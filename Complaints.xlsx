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laints" sheetId="1" r:id="rId4"/>
  </sheets>
  <externalReferences>
    <externalReference r:id="rId5"/>
  </externalReferences>
  <definedNames>
    <definedName name="City_Name">'[1]Migrated Societies Data'!$B$2:$B$999</definedName>
  </definedNames>
  <calcPr/>
  <extLst>
    <ext uri="GoogleSheetsCustomDataVersion2">
      <go:sheetsCustomData xmlns:go="http://customooxmlschemas.google.com/" r:id="rId6" roundtripDataChecksum="kUMh7ZlUNdPf7YZUiHlMWCUIq0xXJHgPsbrO6LwLFuU="/>
    </ext>
  </extLst>
</workbook>
</file>

<file path=xl/sharedStrings.xml><?xml version="1.0" encoding="utf-8"?>
<sst xmlns="http://schemas.openxmlformats.org/spreadsheetml/2006/main" count="693" uniqueCount="226">
  <si>
    <t>Repeated</t>
  </si>
  <si>
    <t>City Name</t>
  </si>
  <si>
    <t>Store Name</t>
  </si>
  <si>
    <t>Milk / Non-Milk</t>
  </si>
  <si>
    <t>Category</t>
  </si>
  <si>
    <t>Month</t>
  </si>
  <si>
    <t>Week</t>
  </si>
  <si>
    <t>Date</t>
  </si>
  <si>
    <t>Ticket ID</t>
  </si>
  <si>
    <t>Pending Task Id</t>
  </si>
  <si>
    <t>Remarks</t>
  </si>
  <si>
    <t>Member Id</t>
  </si>
  <si>
    <t>Order ID</t>
  </si>
  <si>
    <t>Level 1</t>
  </si>
  <si>
    <t>Level 2</t>
  </si>
  <si>
    <t>Level 3</t>
  </si>
  <si>
    <t>Level 4</t>
  </si>
  <si>
    <t>Level 5</t>
  </si>
  <si>
    <t>Fatal/Non-Fatal</t>
  </si>
  <si>
    <t>Hub</t>
  </si>
  <si>
    <t>City</t>
  </si>
  <si>
    <t>Lob</t>
  </si>
  <si>
    <t>DC</t>
  </si>
  <si>
    <t>Cee Name</t>
  </si>
  <si>
    <t>CEE Number</t>
  </si>
  <si>
    <t>SKU Id</t>
  </si>
  <si>
    <t>SKU Name</t>
  </si>
  <si>
    <t>SKU Category</t>
  </si>
  <si>
    <t>CS Name</t>
  </si>
  <si>
    <t>CS Empcode</t>
  </si>
  <si>
    <t>CS TL Name</t>
  </si>
  <si>
    <t>Sub type</t>
  </si>
  <si>
    <t>Department</t>
  </si>
  <si>
    <t>Unit Manager</t>
  </si>
  <si>
    <t>Action Taken</t>
  </si>
  <si>
    <t>Unit Manager Remarks</t>
  </si>
  <si>
    <t>STATUS</t>
  </si>
  <si>
    <t>Complaint closure Date &amp; Time</t>
  </si>
  <si>
    <t>Closed within TAT</t>
  </si>
  <si>
    <t>Customer Voice Link</t>
  </si>
  <si>
    <t>No of Same Disposition</t>
  </si>
  <si>
    <t>Slot</t>
  </si>
  <si>
    <t>Last Conversation Type</t>
  </si>
  <si>
    <t>Agent Disposition</t>
  </si>
  <si>
    <t>Ticket for Customer - 4766018078148 1855847684 #bbdaily-b2c VOC- 1 pack akshyakalpa cow milk and 500ml shubham milk is missing hence given refund “Nandini Shubham Milk 1 L Pouch, Akshayakalpa Organic Cow Milk - Pasteurized 500 ml Pouch of 1 quantity”  (SKU: Shubham Milk - 1.0 ,Cow Milk - Pasteurized - 1 , )&lt;br&gt;Categories:-&lt;sku_categories&gt;Bakery, Cakes &amp; Dairy&lt;/sku_categories&gt;&lt;nui version=v5.2.52&gt;&lt;/nui&gt; - 18-12-2025&lt;br&gt;Parent Ticket Id: &lt;parent_ticket_id&gt;4766018078148&lt;/parent_ticket_id&gt;&lt;br&gt;Parent Ticket Conversation Type: &lt;parent_ticket_last_con_type&gt;D&lt;/parent_ticket_last_con_type&gt;</t>
  </si>
  <si>
    <t>Customer Support</t>
  </si>
  <si>
    <t>Complaint</t>
  </si>
  <si>
    <t>Product Related</t>
  </si>
  <si>
    <t>IBND_AMOUNT CREDITED</t>
  </si>
  <si>
    <t>No</t>
  </si>
  <si>
    <t>BBD-BLR-Nagondanahalli-T1</t>
  </si>
  <si>
    <t>Bangalore</t>
  </si>
  <si>
    <t>bbdaily-b2c</t>
  </si>
  <si>
    <t>chandra s</t>
  </si>
  <si>
    <t>40149834, 40148723</t>
  </si>
  <si>
    <t>Shubham Milk, Cow Milk - Pasteurized</t>
  </si>
  <si>
    <t>Bakery, Cakes &amp; Dairy</t>
  </si>
  <si>
    <t>Praveena</t>
  </si>
  <si>
    <t>GOVIND K|26028</t>
  </si>
  <si>
    <t>IBND</t>
  </si>
  <si>
    <t>Operations</t>
  </si>
  <si>
    <t>Ambareesh</t>
  </si>
  <si>
    <t>Customer Support|Product Related|Product Related|IBND_AMOUNT CREDITED</t>
  </si>
  <si>
    <t>Pending</t>
  </si>
  <si>
    <t>Not Escalated</t>
  </si>
  <si>
    <t>2025-12-18 04:30 AM to 07:00 AM</t>
  </si>
  <si>
    <t>Customer Support|Complaint|Product Related|Product Related|IBND_AMOUNT CREDITED</t>
  </si>
  <si>
    <t>-</t>
  </si>
  <si>
    <t>SS - Chat - l3 - One or more items are missing in the order. - 766019512418 #IOACALLBACK# #  bbdaily-b2c# cx stated as is not delivered yet My order It vll come ?  Yes not even single packet hence apologized arranged a  call back. &lt;nui version=v5.2.52-can.71ee1e9c&gt;&lt;/nui&gt; - 18-12-2025&lt;br&gt;Parent Ticket Id: &lt;parent_ticket_id&gt;766019512418&lt;/parent_ticket_id&gt;&lt;br&gt;Parent Ticket Conversation Type: &lt;parent_ticket_last_con_type&gt;D&lt;/parent_ticket_last_con_type&gt;</t>
  </si>
  <si>
    <t>Delivery Related</t>
  </si>
  <si>
    <t>OPS-CEE Related</t>
  </si>
  <si>
    <t>Incorrect order acknowledgement</t>
  </si>
  <si>
    <t>BBD-BLR-Budhigere-T1</t>
  </si>
  <si>
    <t>Shashank H G shash</t>
  </si>
  <si>
    <t>Pradeep P</t>
  </si>
  <si>
    <t>ABHIJEET KAUSHIK</t>
  </si>
  <si>
    <t>Prakash Store incharge</t>
  </si>
  <si>
    <t>Customer Support|Delivery Related|OPS-CEE Related|Incorrect order acknowledgement</t>
  </si>
  <si>
    <t>https://s3.ap-south-1.amazonaws.com/3m-pu.ozonetel.com/bigbasket/IVRc33ac275869e695047d1481dd6822e72.mp3</t>
  </si>
  <si>
    <t>Customer Support|Complaint|Delivery Related|OPS-CEE Related|Incorrect order acknowledgement</t>
  </si>
  <si>
    <t>SS - Chat - l3 - One or more items are missing in the order. - 766021019530 1855848651 #BBDAILY #RAD IBND VOC-Today they delivered only 4 packetd for this order 1855848651 But money deductef for 5 packetd Refund for 1 packet hence refunded the amount and informed to cx        (SKU: Pasteurised Toned Milk - 1 , )&lt;br&gt;Categories:-&lt;sku_categories&gt;Bakery, Cakes &amp; Dairy&lt;/sku_categories&gt;&lt;nui version=v5.2.52&gt;&lt;/nui&gt; - 18-12-2025&lt;br&gt;Parent Ticket Id: &lt;parent_ticket_id&gt;766021019530&lt;/parent_ticket_id&gt;&lt;br&gt;Parent Ticket Conversation Type: &lt;parent_ticket_last_con_type&gt;D&lt;/parent_ticket_last_con_type&gt;</t>
  </si>
  <si>
    <t>NITHESHWARGOWDA M</t>
  </si>
  <si>
    <t>Pasteurised Toned Milk</t>
  </si>
  <si>
    <t>S Prashanth</t>
  </si>
  <si>
    <t>Vedavathi C M</t>
  </si>
  <si>
    <t>SS - Chat - l3 - One or more items are missing in the order. - 765941835946 1855038822#IOA CX-today milk is not delivered 1 Amul Milk HENCE PROBED As per the records, I noticed that the order #1855038822 is marked delivered, kindly confirm that you have received or not. CX offline       (SKU: Gold Full Cream Milk - 1.0 , )&lt;br&gt;Categories:-&lt;sku_categories&gt;Bakery, Cakes &amp; Dairy&lt;/sku_categories&gt;&lt;nui version=v5.2.52&gt;&lt;/nui&gt; - 17-12-2025 - 765941835946 1855038822#bbdaily-b2c#IOA VOC- Today Amul Milk was not delivered HENCE PROBE FOR  According to our records, the order #1855038822 is marked as delivered. Could you please confirm whether you have received it? CX OFFLINE.    &lt;nui version=v5.2.52-can.71ee1e9c&gt;&lt;/nui&gt; - 17-12-2025 - 765941835946 1855038822 #BBDAILY #IOACALLBACK VOC-Order was not delivered Amul milk order was not delivered HENCE INFORMED CB&lt;nui version=v5.2.52&gt;&lt;/nui&gt; - 18-12-2025&lt;br&gt;Parent Ticket Id: &lt;parent_ticket_id&gt;765941835946&lt;/parent_ticket_id&gt;&lt;br&gt;Parent Ticket Conversation Type: &lt;parent_ticket_last_con_type&gt;D&lt;/parent_ticket_last_con_type&gt;</t>
  </si>
  <si>
    <t>BBD-BLR-Attibele-T1</t>
  </si>
  <si>
    <t>Hari Haran Singh Singh</t>
  </si>
  <si>
    <t>MUTTA DEVISRI</t>
  </si>
  <si>
    <t>S Divakar Reddy</t>
  </si>
  <si>
    <t>Unassigned</t>
  </si>
  <si>
    <t>2025-12-17 04:30 AM to 07:00 AM</t>
  </si>
  <si>
    <t>SS - Query - payment - 765955836485 1855848894 voc -  Ive got wrong item, instead of curd, delivered amul milk Hence refunded for the Nandini Curd 500 g Pouch. As a solution for this, I have processed the refund of the product value to your Bigbasket wallet and the same can be utilised in your future orders. I request you to check the balance under My Account in My Wallet.         (SKU: Curd - 1.0 , )&lt;br&gt;Categories:-&lt;sku_categories&gt;Bakery, Cakes &amp; Dairy&lt;/sku_categories&gt;&lt;nui version=v5.2.52&gt;&lt;/nui&gt; - 18-12-2025&lt;br&gt;Parent Ticket Id: &lt;parent_ticket_id&gt;765955836485&lt;/parent_ticket_id&gt;&lt;br&gt;Parent Ticket Conversation Type: &lt;parent_ticket_last_con_type&gt;D&lt;/parent_ticket_last_con_type&gt;</t>
  </si>
  <si>
    <t>Wrong Product _Amount Credited</t>
  </si>
  <si>
    <t>BBD-BLR-BellahalliRoad-T1</t>
  </si>
  <si>
    <t>Jeevan gowda</t>
  </si>
  <si>
    <t>Curd</t>
  </si>
  <si>
    <t>Pallamreddy Varshith Kumar Reddy</t>
  </si>
  <si>
    <t>Wrong Product</t>
  </si>
  <si>
    <t>Customer Support|Product Related|Product Related|Wrong Product _ Amount Credited</t>
  </si>
  <si>
    <t>Customer Support|Complaint|Product Related|Product Related|Wrong Product _Amount Credited</t>
  </si>
  <si>
    <t>https://kapture-p-v2.storage.googleapis.com/494/chat-attachments/1225/17660216946450i3euxrkfvg/IMG_Thu_Dec_18_07_04_52_GMT_05_30_2025.jpg</t>
  </si>
  <si>
    <t>SS - Chat - l3 - One or more items are missing in the order. - 765941835946 1855038822#IOA CX-today milk is not delivered 1 Amul Milk HENCE PROBED As per the records, I noticed that the order #1855038822 is marked delivered, kindly confirm that you have received or not. CX offline       (SKU: Gold Full Cream Milk - 1.0 , )&lt;br&gt;Categories:-&lt;sku_categories&gt;Bakery, Cakes &amp; Dairy&lt;/sku_categories&gt;&lt;nui version=v5.2.52&gt;&lt;/nui&gt; - 17-12-2025 - 765941835946 1855038822#bbdaily-b2c#IOA VOC- Today Amul Milk was not delivered HENCE PROBE FOR  According to our records, the order #1855038822 is marked as delivered. Could you please confirm whether you have received it? CX OFFLINE.    &lt;nui version=v5.2.52-can.71ee1e9c&gt;&lt;/nui&gt; - 17-12-2025 - 765941835946 1855038822 #BBDAILY #IOACALLBACK VOC-Order was not delivered Amul milk order was not delivered HENCE INFORMED CB&lt;nui version=v5.2.52&gt;&lt;/nui&gt; - 18-12-2025 - 1855038822 #IOA As per callback arranged so called cee-9482430294- He told that he had delivered the product. so called cx and probed is the order delivered cx told still not and apologzied and concolled with cee and cee was rude to the cx that I have delivered and cx complained that I am saying order is not delivered and apologzied for cee behaviour and told i will document a complaint told I will initiate refund for it and cx agrees and cx told today also its marked as complete and I will check and revert back. Hence closed. cx dropped the call before refunding the amount.  tried to initaite refund unable to do it-Opps! Entry context is not matching with orders entry context, Please select correct entry context from dropdown and retry. so raised capture request.  (SKU: Gold Full Cream Milk - 1.0 , )&lt;br&gt;Categories:-&lt;sku_categories&gt;Bakery, Cakes &amp; Dairy&lt;/sku_categories&gt;&lt;nui version=v5.2.52&gt;&lt;/nui&gt; - 18-12-2025&lt;br&gt;Parent Ticket Id: &lt;parent_ticket_id&gt;765941835946&lt;/parent_ticket_id&gt;&lt;br&gt;Parent Ticket Conversation Type: &lt;parent_ticket_last_con_type&gt;B&lt;/parent_ticket_last_con_type&gt;</t>
  </si>
  <si>
    <t>Rude Behaviour</t>
  </si>
  <si>
    <t>DS-IBBLR-Attibele</t>
  </si>
  <si>
    <t>Gold Full Cream Milk</t>
  </si>
  <si>
    <t>Vishwanath Anand N</t>
  </si>
  <si>
    <t>YOHESWARI V</t>
  </si>
  <si>
    <t>Customer Support|Delivery Related|OPS-CEE Related|Rude Behaviour</t>
  </si>
  <si>
    <t>https://s3.ap-south-1.amazonaws.com/3m-pu.ozonetel.com/bigbasket/IVR5c4cf8ba80fad1de6b2f8bec714a9fe1.mp3</t>
  </si>
  <si>
    <t>Customer Support|Complaint|Delivery Related|OPS-CEE Related|Rude Behaviour</t>
  </si>
  <si>
    <t>SS - Chat - l3 - I have payment related issue. - 766021348934 1855848902 #bbdaily-b2c# VOC- SS - Chat - l3 - I have payment related issue.Order Id: hence probed exact payment issue? cx I want to return this product and want a refund probed for exact product details and the exact issue regarding the product cx Moringa powder probed for Please share the exact issue with the product Kapiva Organic Moringa Powder 200 g? cx Please cancel my subscription also Kapiva was not delivered..the products name is attar ayueveda and probed Please confirm do you wish to cancel all the subscriptions? cx Cancel the subscription of moringa powder probed reason cx Not neede so unable to cancel as error Passed sku price not supported so informed Please note that due to a technical issue, I am unable to cancel the subscription to which you are referring, so please revert to us after some time and refunded for Kapiva Organic Moringa Powder 200 g (SKU: Organic Moringa Powder - 1.0 , )&lt;br&gt;Categories:-&lt;sku_categories&gt;Beauty &amp; Hygiene&lt;/sku_categories&gt;&lt;nui version=v5.2.52&gt;&lt;/nui&gt; - 18-12-2025&lt;br&gt;Parent Ticket Id: &lt;parent_ticket_id&gt;766021348934&lt;/parent_ticket_id&gt;&lt;br&gt;Parent Ticket Conversation Type: &lt;parent_ticket_last_con_type&gt;D&lt;/parent_ticket_last_con_type&gt;</t>
  </si>
  <si>
    <t>Organic Moringa Powder</t>
  </si>
  <si>
    <t>Beauty &amp; Hygiene</t>
  </si>
  <si>
    <t>AFRID PASHA</t>
  </si>
  <si>
    <t>Kumar Velu S</t>
  </si>
  <si>
    <t>Ticket for Customer - 4766022855269 1855849705 #bbdaily-b2c# #RADIBND# #IOA ORDER# VOC- Todays delivery has not been received but it shows delivered Please check and initiate refund for todays delivery hence as per KM PROCESS refunded for  Nandini Pasteurised Toned Milk 1 L Pouch and gave assurance  (SKU: Pasteurised Toned Milk - 1.0 , )&lt;br&gt;Categories:-&lt;sku_categories&gt;Bakery, Cakes &amp; Dairy&lt;/sku_categories&gt;&lt;nui version=v5.2.52&gt;&lt;/nui&gt; - 18-12-2025&lt;br&gt;Parent Ticket Id: &lt;parent_ticket_id&gt;4766022855269&lt;/parent_ticket_id&gt;&lt;br&gt;Parent Ticket Conversation Type: &lt;parent_ticket_last_con_type&gt;D&lt;/parent_ticket_last_con_type&gt;</t>
  </si>
  <si>
    <t>GOBINATH S GOBINATH</t>
  </si>
  <si>
    <t>SS - Chat - l3 - One or more items are missing in the order. - 766022861383 1855848499  VOC- Delivered milk pkts are all spoiled hence probed for exact quantity, cx stated 3 hnece refunded for Nandini Samrudhi Milk 500 ml Pouch in 3 quantities. (SKU: Samrudhi Milk - 3.0 , )&lt;br&gt;Categories:-&lt;sku_categories&gt;Bakery, Cakes &amp; Dairy&lt;/sku_categories&gt;&lt;nui version=v5.2.52&gt;&lt;/nui&gt; - 18-12-2025&lt;br&gt;Parent Ticket Id: &lt;parent_ticket_id&gt;766022861383&lt;/parent_ticket_id&gt;&lt;br&gt;Parent Ticket Conversation Type: &lt;parent_ticket_last_con_type&gt;D&lt;/parent_ticket_last_con_type&gt;</t>
  </si>
  <si>
    <t>Quality Related</t>
  </si>
  <si>
    <t>Quality Issues</t>
  </si>
  <si>
    <t>Refunded</t>
  </si>
  <si>
    <t>Pawan Kumar Pawan</t>
  </si>
  <si>
    <t>Samrudhi Milk</t>
  </si>
  <si>
    <t>Shruthi N</t>
  </si>
  <si>
    <t>Supriya G</t>
  </si>
  <si>
    <t>Q_I_Bakery, Cakes &amp; Dairy</t>
  </si>
  <si>
    <t>Customer Support|Quality Related|Quality Issues|Bakery Cakes &amp; Dairy</t>
  </si>
  <si>
    <t>Customer Support|Complaint|Quality Related|Quality Issues|Refunded</t>
  </si>
  <si>
    <t>SS - Chat - l3 - I have payment related issue. - 766022965472 1855847547 #BBDAILY #RADIBND VOC: Milk not delivered Hence: refunded for  product Nandini Shubham Milk 500 ml Pouch from the order.    (SKU: Shubham Milk - 1.0 , )&lt;br&gt;Categories:-&lt;sku_categories&gt;Bakery, Cakes &amp; Dairy&lt;/sku_categories&gt;&lt;nui version=v5.2.52&gt;&lt;/nui&gt; - 18-12-2025&lt;br&gt;Parent Ticket Id: &lt;parent_ticket_id&gt;766022965472&lt;/parent_ticket_id&gt;&lt;br&gt;Parent Ticket Conversation Type: &lt;parent_ticket_last_con_type&gt;D&lt;/parent_ticket_last_con_type&gt; - &lt;resolve&gt;cee delivered the product to customer ,cee delivered the order at time photo attached clearly show the product but wrongly raised the complaint&lt;/resolve&gt;</t>
  </si>
  <si>
    <t>BBD-BLR-Chikkasandra-T1</t>
  </si>
  <si>
    <t>Manjunatha G</t>
  </si>
  <si>
    <t>Shubham Milk</t>
  </si>
  <si>
    <t>Swathi Ganesh pujari</t>
  </si>
  <si>
    <t>JN RAMESH BABU</t>
  </si>
  <si>
    <t>Left in Hub. Warning to CEE</t>
  </si>
  <si>
    <t>Complete</t>
  </si>
  <si>
    <t>Escalated</t>
  </si>
  <si>
    <t>Ticket for Customer - 4766022774780 1855848082 cx stated The milk. Packet delivered is expired  hence refunde for Nandini Samrudhi Milk 500 ml Pouch expired date is 17.12 2025   (SKU: Samrudhi Milk - 1.0 , )&lt;br&gt;Categories:-&lt;sku_categories&gt;Bakery, Cakes &amp; Dairy&lt;/sku_categories&gt;&lt;nui version=v5.2.52&gt;&lt;/nui&gt; - 18-12-2025&lt;br&gt;Parent Ticket Id: &lt;parent_ticket_id&gt;4766022774780&lt;/parent_ticket_id&gt;&lt;br&gt;Parent Ticket Conversation Type: &lt;parent_ticket_last_con_type&gt;D&lt;/parent_ticket_last_con_type&gt;</t>
  </si>
  <si>
    <t>Expired Product _ Amount Credited</t>
  </si>
  <si>
    <t>Gangadhar bv Gangadhar</t>
  </si>
  <si>
    <t>Sigichettla Manasa</t>
  </si>
  <si>
    <t>EXPIRED</t>
  </si>
  <si>
    <t>Customer Support|Product Related|Product Related|Expired Product _ Amount Credited</t>
  </si>
  <si>
    <t>Customer Support|Complaint|Product Related|Product Related|Expired Product _ Amount Credited</t>
  </si>
  <si>
    <t>https://kapture-p-v2.storage.googleapis.com/494/chat-attachments/1225/17660234506740jngkkb3ci8/1766023449988.jpg,https://kapture-p-v2.storage.googleapis.com/494/chat-attachments/1225/17660234610020vxg1scut9k/1766023460509.jpg</t>
  </si>
  <si>
    <t>SS - Chat - l3 - My Order is cancelled without my knowledge. - 766023044802 Order id-1855847499 #BBDAILY# CX stated I need all wallet amount in to my bank account Please transfer all my wallet amount to my bank account...as you are not able to deliver daily. Informed As per our record, your subscription for Shubham Milk (quantity 1) of Rs.52 and of Rs.27 is active and next date of delivery is on 19/12/2025. Kindly confirm whether you want to cancel the subscription and want those remaining amount of Rs.290 from BB wallet to your source account.  CX stated So what you want? Anyway you are cancelling the order daily Please be informed today your order #1855847499 was canceled as it was rejected from your side.  CX stated No it was not rejected from my side...I did not receive Informed I will promptly document your complaint and escalate it to the appropriate team for immediate attention. We are committed to ensuring that similar issues do not occur with your future orders. Your satisfaction is our priority, and we appreciate your understanding in this matter. Please be assured it will be delivered from our side from tomorrow on regular basis. CX stated I dont want to continue.. please refund all wallet amount to bank account Infrmed As per your confirmation, your subscription is canceled. Probed I would like to inform you that once the request is processed the refund will be initiated at the earliest and once initiated the bank will acknowledge within 48 hours. Kindly confirm can I go ahead and process the request for source transfer? CX yes Informed I would like to inform you that I have successfully processed the refund to source request for Rs.290, it will be initiated at the earliest and bank will acknowledge the same within 48 hours. I request your understanding and patience in this regards.&lt;nui version=v5.2.52-can.71ee1e9c&gt;&lt;/nui&gt; - 18-12-2025&lt;br&gt;Parent Ticket Id: &lt;parent_ticket_id&gt;766023044802&lt;/parent_ticket_id&gt;&lt;br&gt;Parent Ticket Conversation Type: &lt;parent_ticket_last_con_type&gt;D&lt;/parent_ticket_last_con_type&gt;</t>
  </si>
  <si>
    <t>Others</t>
  </si>
  <si>
    <t>DS-IBBLR-Budhigere</t>
  </si>
  <si>
    <t>Saney Tamang</t>
  </si>
  <si>
    <t>Customer Support|Complaint|Delivery Related|OPS-CEE Related|Others</t>
  </si>
  <si>
    <t>Ticket for Customer - 4766023498838 1855848956 #bbdaily-b2c# cx Here are the details- I have subscribed for Amul full fat milk 2 bags on alternate days, the milk was delivered on 16 dec 2025, so as per subscription of alternate days, it was supposed to deliver the milk today, but it is not delivered yet, please help me with this hence Im sorry to inform you that the product was out of stock while processing the order, due to which the order #1855848956 has been cancelled.Rs.66/- which was debited from your BB wallet for the  cancelled order is reversed back to your BB wallet.    &lt;nui version=v5.2.52-can.71ee1e9c&gt;&lt;/nui&gt; - 18-12-2025&lt;br&gt;Parent Ticket Id: &lt;parent_ticket_id&gt;4766023498838&lt;/parent_ticket_id&gt;&lt;br&gt;Parent Ticket Conversation Type: &lt;parent_ticket_last_con_type&gt;D&lt;/parent_ticket_last_con_type&gt;</t>
  </si>
  <si>
    <t>Order Related</t>
  </si>
  <si>
    <t>Order Modification</t>
  </si>
  <si>
    <t>Order Cancelled - Complaint</t>
  </si>
  <si>
    <t>BBD-BLR-Jigani-T1</t>
  </si>
  <si>
    <t>gowtham k</t>
  </si>
  <si>
    <t>Sumaiya Begum</t>
  </si>
  <si>
    <t>Order Cancelled</t>
  </si>
  <si>
    <t>Customer Support|Order Related|Order Modification</t>
  </si>
  <si>
    <t>Customer Support|Complaint|Order Related|Order Modification|Order Cancelled - Complaint</t>
  </si>
  <si>
    <t>https://kapture-p-v2.storage.googleapis.com/494/chat-attachments/1225/17660241775420zwl4s57mr2/1766024166025.jpg</t>
  </si>
  <si>
    <t>SS - Chat - l3 - One or more items are missing in the order. - 766024883258 1855848980 #bbdaily-b2c# VOC; All milk packets were spoiled hence probed for verification  8714312485 Padmnabhareddy25@gmail.com  informed that the email ID that you shared is not registered please  share the registered email ID. CX Padmanabha reddy.meda25@gmail.com hence apolkgoied and refundde for  Nandini Samrudhi Milk 500 ml Pouch ( 3 quantities).   (SKU: Samrudhi Milk - 3.0 , )&lt;br&gt;Categories:-&lt;sku_categories&gt;Bakery, Cakes &amp; Dairy&lt;/sku_categories&gt;&lt;nui version=v5.2.52-can.71ee1e9c&gt;&lt;/nui&gt; - 18-12-2025&lt;br&gt;Parent Ticket Id: &lt;parent_ticket_id&gt;766024883258&lt;/parent_ticket_id&gt;&lt;br&gt;Parent Ticket Conversation Type: &lt;parent_ticket_last_con_type&gt;D&lt;/parent_ticket_last_con_type&gt;</t>
  </si>
  <si>
    <t>Makam Ramya Krishna</t>
  </si>
  <si>
    <t>https://kapture-p-v2.storage.googleapis.com/494/chat-attachments/1225/176602491018905g6zslj924/6D34439E-31F7-408D-B983-2AE755FAB271.jpg,https://kapture-p-v2.storage.googleapis.com/494/chat-attachments/1225/17660249324120fnnlzt3bwe/B6FF5C6A-9639-4356-99A4-4DC8B5C0839F.jpg</t>
  </si>
  <si>
    <t>Ticket for Customer - 4766025169591 1855850120 #BB_DAILY# VOC: cx shared the ss of damaged product Nandini Shubham Milk 500 ml Pouch as per ss it was damaged and leaking  cx  stated Arrange a call right now I’m frustrated to raise this issue everyday This is happening every day hence I’m sorry to know that you have received “Nandini Shubham Milk 500 ml Pouch” in a damaged condition and I apologize for the inconvenience caused to you. I have processed the refund of the product value to your Bigbasket Wallet. and probed Kindly confirm if you still wish for a callback? cx stated yes hence arranged for callback              (SKU: Shubham Milk - 1.0 , )&lt;br&gt;Categories:-&lt;sku_categories&gt;Bakery, Cakes &amp; Dairy&lt;/sku_categories&gt;&lt;nui version=v5.2.52-can.71ee1e9c&gt;&lt;/nui&gt; - 18-12-2025 - 1855850120 called cx 8722971597 cx stated everyday milk packets are getting damaged hence apologzied and informed cx i will escalte this issue to concern team and assurance given to cx  #NDS - 18-12-2025&lt;br&gt;Parent Ticket Id: &lt;parent_ticket_id&gt;4766025169591&lt;/parent_ticket_id&gt;&lt;br&gt;Parent Ticket Conversation Type: &lt;parent_ticket_last_con_type&gt;B&lt;/parent_ticket_last_con_type&gt; - &lt;resolve&gt;We apologized for the inconvenience caused, we will ensure it wont repeat again in future&lt;/resolve&gt;</t>
  </si>
  <si>
    <t>Touheed Ali Khan A</t>
  </si>
  <si>
    <t>Shobha SA</t>
  </si>
  <si>
    <t>Damage at Hub. Warning to CEE</t>
  </si>
  <si>
    <t>https://s3.ap-south-1.amazonaws.com/3m-pu.ozonetel.com/bigbasket/IVR3ccce342d4336432ec1f12e2ebe5282c.mp3</t>
  </si>
  <si>
    <t>https://kapture-p-v2.storage.googleapis.com/494/chat-attachments/1225/176602519912706ebailzq8o/081889D6-A81E-42F2-BEDF-2558F5D2D77D.jpg,https://kapture-p-v2.storage.googleapis.com/494/chat-attachments/1225/17660252085010v0cw7h6gf4/A5C77EFF-C910-490C-A4CE-E97CD1C6F67E.jpg</t>
  </si>
  <si>
    <t>SS - Chat - l3 - One or more items are missing in the order. - 765941835946 1855038822#IOA CX-today milk is not delivered 1 Amul Milk HENCE PROBED As per the records, I noticed that the order #1855038822 is marked delivered, kindly confirm that you have received or not. CX offline       (SKU: Gold Full Cream Milk - 1.0 , )&lt;br&gt;Categories:-&lt;sku_categories&gt;Bakery, Cakes &amp; Dairy&lt;/sku_categories&gt;&lt;nui version=v5.2.52&gt;&lt;/nui&gt; - 17-12-2025 - 765941835946 1855038822#bbdaily-b2c#IOA VOC- Today Amul Milk was not delivered HENCE PROBE FOR  According to our records, the order #1855038822 is marked as delivered. Could you please confirm whether you have received it? CX OFFLINE.    &lt;nui version=v5.2.52-can.71ee1e9c&gt;&lt;/nui&gt; - 17-12-2025 - 765941835946 1855038822 #BBDAILY #IOACALLBACK VOC-Order was not delivered Amul milk order was not delivered HENCE INFORMED CB&lt;nui version=v5.2.52&gt;&lt;/nui&gt; - 18-12-2025 - 1855038822 #IOA As per callback arranged so called cee-9482430294- He told that he had delivered the product. so called cx and probed is the order delivered cx told still not and apologzied and concolled with cee and cee was rude to the cx that I have delivered and cx complained that I am saying order is not delivered and apologzied for cee behaviour and told i will document a complaint told I will initiate refund for it and cx agrees and cx told today also its marked as complete and I will check and revert back. Hence closed. cx dropped the call before refunding the amount.  tried to initaite refund unable to do it-Opps! Entry context is not matching with orders entry context, Please select correct entry context from dropdown and retry. so raised capture request.  (SKU: Gold Full Cream Milk - 1.0 , )&lt;br&gt;Categories:-&lt;sku_categories&gt;Bakery, Cakes &amp; Dairy&lt;/sku_categories&gt;&lt;nui version=v5.2.52&gt;&lt;/nui&gt; - 18-12-2025 - 765941835946 1855038822 # RAD IBND# voc 17th Milk was not delivered I did not get the refund yet. hence refunded  for the product Amul Gold Full Cream Milk 500 ml Pouch and wallet activity informed   (SKU: Gold Full Cream Milk - 1.0 , )&lt;br&gt;Categories:-&lt;s</t>
  </si>
  <si>
    <t>MEERA N S</t>
  </si>
  <si>
    <t>Ticket for Customer - 4766028300394 #bbdaily-b2c voc - You haven’t delivered the order today but money was deducted  hence informed Delay reason #NODG &lt;nui version=v5.2.52&gt;&lt;/nui&gt; - 18-12-2025&lt;br&gt;Parent Ticket Id: &lt;parent_ticket_id&gt;4766028300394&lt;/parent_ticket_id&gt;&lt;br&gt;Parent Ticket Conversation Type: &lt;parent_ticket_last_con_type&gt;D&lt;/parent_ticket_last_con_type&gt;</t>
  </si>
  <si>
    <t>Delivery Status</t>
  </si>
  <si>
    <t>Delay reason informed</t>
  </si>
  <si>
    <t>Cibi Pugazhenthi</t>
  </si>
  <si>
    <t>Delay Delivery</t>
  </si>
  <si>
    <t>Customer Support|Delivery Related|Delivery Status|Delay reason informed</t>
  </si>
  <si>
    <t>Customer Support|Complaint|Delivery Related|Delivery Status|Delay reason informed</t>
  </si>
  <si>
    <t>SS - Chat - l3 - One or more items are missing in the order. - 766031379228 1855847580 #BB #RAD IBND VOC-In one of the coconut water was not present refunded the amount for the product fresho! Premium Tender Coconut 1 pc for 1 quantity from the order. (SKU: Premium Tender Coconut - 1 , )&lt;br&gt;Categories:-&lt;sku_categories&gt;Fruits &amp; Vegetables&lt;/sku_categories&gt;&lt;nui version=v5.2.52-can.71ee1e9c&gt;&lt;/nui&gt; - 18-12-2025&lt;br&gt;Parent Ticket Id: &lt;parent_ticket_id&gt;766031379228&lt;/parent_ticket_id&gt;&lt;br&gt;Parent Ticket Conversation Type: &lt;parent_ticket_last_con_type&gt;D&lt;/parent_ticket_last_con_type&gt;</t>
  </si>
  <si>
    <t>BBD-BLR-HAL-T1</t>
  </si>
  <si>
    <t>Ajith n</t>
  </si>
  <si>
    <t>Premium Tender Coconut</t>
  </si>
  <si>
    <t>Fruits &amp; Vegetables</t>
  </si>
  <si>
    <t>Kasturi Dey</t>
  </si>
  <si>
    <t>HIDAYATH ULLA K</t>
  </si>
  <si>
    <t>SS - Chat - l3 - One or more items are missing in the order. - 766017483636 1855848389 #RAD-IBND# CX said Hi there is one milk packet pending to be delivered Got only 2. henec refunded for Nandini Pasteurised Toned Milk 500 ml Pouch of 1 quantity. (SKU: Pasteurised Toned Milk - 1 , )&lt;br&gt;Categories:-&lt;sku_categories&gt;Bakery, Cakes &amp; Dairy&lt;/sku_categories&gt;&lt;nui version=v5.2.52-can.71ee1e9c&gt;&lt;/nui&gt; - 18-12-2025&lt;br&gt;Parent Ticket Id: &lt;parent_ticket_id&gt;766017483636&lt;/parent_ticket_id&gt;&lt;br&gt;Parent Ticket Conversation Type: &lt;parent_ticket_last_con_type&gt;D&lt;/parent_ticket_last_con_type&gt;</t>
  </si>
  <si>
    <t>yeshwanth gowda yeshwanth gowda a</t>
  </si>
  <si>
    <t>K Yamini</t>
  </si>
  <si>
    <t>V Pearline Paul</t>
  </si>
  <si>
    <t>SS - Request - order_cancel - 765995687677 1855846160 #BBNOW VOC:  I didnt receive the product hence probed exact product name which has been undelivered cx offline&lt;nui version=v5.2.52&gt;&lt;/nui&gt; - 18-12-2025 - 765995687677  #IOA# 1855846160 cx sttaed Hey I didnt receive the product I didnt get the coconut water at all Today. hence As per our records, it shows that the order is marked as delivered. However, since you havent received the order yet, I will arrange for a call back and our callback team will reach out to you within 30 minutes.       &lt;nui version=v5.2.52&gt;&lt;/nui&gt; - 18-12-2025&lt;br&gt;Parent Ticket Id: &lt;parent_ticket_id&gt;765995687677&lt;/parent_ticket_id&gt;&lt;br&gt;Parent Ticket Conversation Type: &lt;parent_ticket_last_con_type&gt;D&lt;/parent_ticket_last_con_type&gt;</t>
  </si>
  <si>
    <t>DS-IBBLR-Bellahalli</t>
  </si>
  <si>
    <t>Shivani V</t>
  </si>
  <si>
    <t>N Vignesh</t>
  </si>
  <si>
    <t>https://s3.ap-south-1.amazonaws.com/3m-pu.ozonetel.com/bigbasket/IVR2a889b4af873b002a73c4868428002a3.mp3</t>
  </si>
  <si>
    <t>SS - Chat - l3 - One or more items are missing in the order. - 766062118157 1855848595 VOC: Nandini milk packet delivered is not good. Milk got wrotten Nandini Samrudhi Milk 500 ml Pouch 1QTY RAD limit breached!! Please escalate to your supervisor.I see that youve faced multiple issues this month, our team will look into this complaint and come back to you within 24 hours. #SUBSCRBITION#   (SKU: Samrudhi Milk - 1 , )&lt;br&gt;Categories:-&lt;sku_categories&gt;Bakery, Cakes &amp; Dairy&lt;/sku_categories&gt;&lt;nui version=v5.2.52&gt;&lt;/nui&gt; - 18-12-2025 - Ticket no 766062433449 Order id : 1855848595 credit claim: 3.29% Product: Nandini Samrudhi Milk 500 ml Pouch Issue: 1 qty rotten Resolution given the credit and cx said that either milk or curd is rotten its happening from past one week and its getting rotten  so taken thefeedbakck (SKU: Samrudhi Milk - 1 , )&lt;br&gt;Categories:-&lt;sku_categories&gt;Bakery, Cakes &amp; Dairy&lt;/sku_categories&gt;&lt;nui version=v5.2.52&gt;&lt;/nui&gt; - 18-12-2025&lt;br&gt;Parent Ticket Id: &lt;parent_ticket_id&gt;766062118157&lt;/parent_ticket_id&gt;&lt;br&gt;Parent Ticket Conversation Type: &lt;parent_ticket_last_con_type&gt;B&lt;/parent_ticket_last_con_type&gt;</t>
  </si>
  <si>
    <t>K Nandini</t>
  </si>
  <si>
    <t>KOMALA R</t>
  </si>
  <si>
    <t>https://s3.ap-south-1.amazonaws.com/3m-pu.ozonetel.com/bigbasket/IVR4ff46f89d31abd17f6e181cac5ddb79b.mp3</t>
  </si>
  <si>
    <t>SS - Chat - l3 - One or more items are missing in the order. - #IOA# 766064836638 1855847454 #BBDAILY #RAD IBND#CX I have not received today’s milk hence Im sorry that you have not received the product Nandini Shubham Milk 500 ml Pouch from the order.I have processed the refund of the product value to your Bigbasket wallet. cx offline        (SKU: Shubham Milk - 1.0 , )&lt;br&gt;Categories:-&lt;sku_categories&gt;Bakery, Cakes &amp; Dairy&lt;/sku_categories&gt;&lt;nui version=v5.2.52&gt;&lt;/nui&gt; - 18-12-2025&lt;br&gt;Parent Ticket Id: &lt;parent_ticket_id&gt;766064836638&lt;/parent_ticket_id&gt;&lt;br&gt;Parent Ticket Conversation Type: &lt;parent_ticket_last_con_type&gt;D&lt;/parent_ticket_last_con_type&gt;</t>
  </si>
  <si>
    <t>Molay chandra Ghosh</t>
  </si>
  <si>
    <t>CHANDAN KUMAR S</t>
  </si>
  <si>
    <t>SS - Chat - l3 - One or more items are missing in the order. - 766069101416 1855848394 #bbnow #voc-as per checking cx snapshot milk was spoiled hence refunded  (SKU: Pasteurised Toned Milk - 1.0 , )&lt;br&gt;Categories:-&lt;sku_categories&gt;Bakery, Cakes &amp; Dairy&lt;/sku_categories&gt;&lt;nui version=v5.2.52&gt;&lt;/nui&gt; - 18-12-2025&lt;br&gt;Parent Ticket Id: &lt;parent_ticket_id&gt;766069101416&lt;/parent_ticket_id&gt;&lt;br&gt;Parent Ticket Conversation Type: &lt;parent_ticket_last_con_type&gt;D&lt;/parent_ticket_last_con_type&gt;</t>
  </si>
  <si>
    <t>Chiru Prajwal S V</t>
  </si>
  <si>
    <t>https://kapture-p-v2.storage.googleapis.com/494/chat-attachments/1225/17660691822810mwl5mqzyb4/IMG20251218200148.jpg,https://kapture-p-v2.storage.googleapis.com/494/chat-attachments/1225/17660771809690rdgqxvtm11/IMG20251218220344.jpg,https://kapture-p-v2.storage.googleapis.com/494/chat-attachments/1225/17660775541770kwoon46839/IMG-20251218-WA0004.jpg</t>
  </si>
  <si>
    <t>Ticket for Customer - 4766071839343 1855850276 #BBDAILY# VOc -  Instead of 1 only half litre has been delivered to me today Subham milk 1 litre hence refunded for the wrong product instead of Nandini Shubham Milk 1 L Pouch  and apologise.     (SKU: Shubham Milk - 1.0 , )&lt;br&gt;Categories:-&lt;sku_categories&gt;Bakery, Cakes &amp; Dairy&lt;/sku_categories&gt;&lt;nui version=v5.2.52-can.71ee1e9c&gt;&lt;/nui&gt; - 18-12-2025&lt;br&gt;Parent Ticket Id: &lt;parent_ticket_id&gt;4766071839343&lt;/parent_ticket_id&gt;&lt;br&gt;Parent Ticket Conversation Type: &lt;parent_ticket_last_con_type&gt;D&lt;/parent_ticket_last_con_type&gt;</t>
  </si>
  <si>
    <t>LAKSHMINARAYANA A</t>
  </si>
  <si>
    <t>MOHAMMED AYAN QURESHI</t>
  </si>
  <si>
    <t>https://kapture-p-v2.storage.googleapis.com/494/chat-attachments/1225/17660719234660cb0e4i4asi/IMG_Thu_Dec_18_21_01_38_GMT_05_30_2025.jpg</t>
  </si>
  <si>
    <t>SS - Chat - l3 - One or more items are missing in the order. - 766019512418 #IOACALLBACK# #  bbdaily-b2c# cx stated as is not delivered yet My order It vll come ?  Yes not even single packet hence apologized arranged a  call back. &lt;nui version=v5.2.52-can.71ee1e9c&gt;&lt;/nui&gt; - 18-12-2025 - 1855847737 #IOA CALLBACK# As per cb arranged, called CEE 9113837969(14952176601998691), RNR. Called OC 9741143943 and told to contact Kumar v. Called OC 9113814079, busy. Hence called CX and said order is not delivered. Hence initiated Rs120/- to wallet and closed.&lt;nui version=v5.2.52&gt;&lt;/nui&gt; - 18-12-2025 - 766019512418 #bbdaily-b2c #SUBscription voc - Already morning u have raise a complaint recarding order missing  hence info wallet activity and took complaint &lt;nui version=v5.2.52&gt;&lt;/nui&gt; - 18-12-2025 - 766019512418 1855847737 voc- Its regarding my todays order Ordered two liters of nandhini milk but got only 1 liter hence informed processed the refund of the product Nandini Pasteurised Toned Milk 1 L Pouch 1 1quantity value to your Bigbasket wallet. (SKU: Pasteurised Toned Milk - 1 , )&lt;br&gt;Categories:-&lt;sku_categories&gt;Bakery, Cakes &amp; Dairy&lt;/sku_categories&gt;&lt;nui version=v5.2.52&gt;&lt;/nui&gt; - 18-12-2025&lt;br&gt;Parent Ticket Id: &lt;parent_ticket_id&gt;766019512418&lt;/parent_ticket_id&gt;&lt;br&gt;Parent Ticket Conversation Type: &lt;parent_ticket_last_con_type&gt;D&lt;/parent_ticket_last_con_type&gt;</t>
  </si>
  <si>
    <t>Narisetty Girish Manikanta</t>
  </si>
  <si>
    <t>SS - Request - order_cancel - 765992941098 1855849047 #bbdaily-b2c VOC- SS - Chat - l3 - One or more items are missing in the order.Order Id:  Kindly share the product name as per the invoice which is missing from the order.  CX OFFLINE&lt;nui version=v5.2.52-can.71ee1e9c&gt;&lt;/nui&gt; - 18-12-2025 - 765992941098 1855849047 cx stated This is how I received the milk today. ..  Leaked packet 2q ty. hence I’m sorry to know that you have received “2 quantities of Nandini Pasteurised Toned Milk 1 L Pouch” in a damaged condition and I apologize for the inconvenience caused to you. I have processed the refund of the product value to your Bigbasket Wallet.          (SKU: Pasteurised Toned Milk - 2 , )&lt;br&gt;Categories:-&lt;sku_categories&gt;Bakery, Cakes &amp; Dairy&lt;/sku_categories&gt;&lt;nui version=v5.2.52&gt;&lt;/nui&gt; - 18-12-2025&lt;br&gt;Parent Ticket Id: &lt;parent_ticket_id&gt;765992941098&lt;/parent_ticket_id&gt;&lt;br&gt;Parent Ticket Conversation Type: &lt;parent_ticket_last_con_type&gt;D&lt;/parent_ticket_last_con_type&gt;</t>
  </si>
  <si>
    <t>Damaged Product _ Amount Credited</t>
  </si>
  <si>
    <t>BBD-BLR-PeenyaPhase3-T1</t>
  </si>
  <si>
    <t>Abhijeet Kumar L</t>
  </si>
  <si>
    <t>TELUGU SRINIVASULU</t>
  </si>
  <si>
    <t>DHIRAJ KUMAR</t>
  </si>
  <si>
    <t>Damaged Product</t>
  </si>
  <si>
    <t>Anand R</t>
  </si>
  <si>
    <t>Customer Support|Product Related|Product Related|Damaged Product _ Amount Credited</t>
  </si>
  <si>
    <t>Customer Support|Complaint|Product Related|Product Related|Damaged Product _ Amount Credited</t>
  </si>
  <si>
    <t>https://kapture-p-v2.storage.googleapis.com/494/chat-attachments/1225/17660800000520ghl8s9qh3s/1766079996210.jpg</t>
  </si>
  <si>
    <t>SS - Chat - l3 - One or more items are missing in the order. - 766081231171 1855847033 #IOA voc_ Today milk not delivered hence refudned   Customer VOC_Today milk not delivered Resolution :Refund Mandatory Checks: Credit/Debit/Refund Cases Payment Mode and Neu coins usage- yes Neu coins Used – no  Product Value - (Below 500 do RAD) Multiple quantities above 500 raise capture – Admin     Check wallet Activity (Post Credit) - yes  Any negative balance inform the customer - no   Any neu coins refund check proxy and explain - no    (SKU: Pasteurised Toned Milk - 1.0 , )&lt;br&gt;Categories:-&lt;sku_categories&gt;Bakery, Cakes &amp; Dairy&lt;/sku_categories&gt;&lt;nui version=v5.2.52&gt;&lt;/nui&gt; - 18-12-2025&lt;br&gt;Parent Ticket Id: &lt;parent_ticket_id&gt;766081231171&lt;/parent_ticket_id&gt;&lt;br&gt;Parent Ticket Conversation Type: &lt;parent_ticket_last_con_type&gt;D&lt;/parent_ticket_last_con_type&gt;</t>
  </si>
  <si>
    <t>V Rohit</t>
  </si>
  <si>
    <t>C R Naveen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</si>
</sst>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yyyy\-mm\-dd\ hh:mm:ss"/>
  </numFmts>
  <fonts count="7">
    <font>
      <sz val="10.0"/>
      <color theme="1"/>
      <name val="Aptos Narrow"/>
      <scheme val="minor"/>
    </font>
    <font>
      <b/>
      <sz val="10.0"/>
      <color theme="1"/>
      <name val="Arial"/>
    </font>
    <font>
      <b/>
      <sz val="11.0"/>
      <color theme="1"/>
      <name val="Calibri"/>
    </font>
    <font>
      <sz val="10.0"/>
      <color theme="1"/>
      <name val="Aptos Narrow"/>
    </font>
    <font>
      <sz val="11.0"/>
      <color rgb="FF000000"/>
      <name val="&quot;Aptos Narrow&quot;"/>
    </font>
    <font>
      <u/>
      <sz val="11.0"/>
      <color rgb="FF000000"/>
      <name val="&quot;Aptos Narrow&quot;"/>
    </font>
    <font>
      <sz val="11.0"/>
      <color rgb="FF000000"/>
      <name val="Arial"/>
    </font>
  </fonts>
  <fills count="4">
    <fill>
      <patternFill patternType="none"/>
    </fill>
    <fill>
      <patternFill patternType="lightGray"/>
    </fill>
    <fill>
      <patternFill patternType="solid">
        <fgColor rgb="FF00FF00"/>
        <bgColor rgb="FF00FF00"/>
      </patternFill>
    </fill>
    <fill>
      <patternFill patternType="solid">
        <fgColor rgb="FFFFFF00"/>
        <bgColor rgb="FFFFFF00"/>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xf>
    <xf borderId="2" fillId="0" fontId="2" numFmtId="0" xfId="0" applyAlignment="1" applyBorder="1" applyFont="1">
      <alignment horizontal="center"/>
    </xf>
    <xf borderId="2" fillId="3" fontId="2" numFmtId="0" xfId="0" applyAlignment="1" applyBorder="1" applyFill="1" applyFont="1">
      <alignment horizontal="center"/>
    </xf>
    <xf borderId="1" fillId="0" fontId="2" numFmtId="0" xfId="0" applyAlignment="1" applyBorder="1" applyFont="1">
      <alignment horizontal="center"/>
    </xf>
    <xf borderId="0" fillId="0" fontId="3" numFmtId="0" xfId="0" applyAlignment="1" applyFont="1">
      <alignment vertical="center"/>
    </xf>
    <xf borderId="2" fillId="0" fontId="4" numFmtId="1" xfId="0" applyAlignment="1" applyBorder="1" applyFont="1" applyNumberFormat="1">
      <alignment horizontal="center"/>
    </xf>
    <xf borderId="2" fillId="0" fontId="4" numFmtId="0" xfId="0" applyAlignment="1" applyBorder="1" applyFont="1">
      <alignment horizontal="center"/>
    </xf>
    <xf borderId="0" fillId="0" fontId="4" numFmtId="164" xfId="0" applyAlignment="1" applyFont="1" applyNumberFormat="1">
      <alignment horizontal="center"/>
    </xf>
    <xf borderId="0" fillId="0" fontId="4" numFmtId="0" xfId="0" applyAlignment="1" applyFont="1">
      <alignment horizontal="center"/>
    </xf>
    <xf borderId="0" fillId="0" fontId="5" numFmtId="0" xfId="0" applyAlignment="1" applyFont="1">
      <alignment horizontal="center"/>
    </xf>
    <xf borderId="0" fillId="0" fontId="6" numFmtId="0" xfId="0" applyAlignment="1" applyFont="1">
      <alignment horizontal="center"/>
    </xf>
    <xf borderId="0" fillId="0" fontId="4" numFmtId="165" xfId="0" applyAlignment="1" applyFont="1" applyNumberFormat="1">
      <alignment horizontal="center"/>
    </xf>
    <xf borderId="0" fillId="0" fontId="4" numFmtId="1"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externalLink" Target="externalLinks/externalLink1.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yed%20Muazzam/Downloads/Subscription_Pilot_Metrics_Tracker%20(1).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shboard"/>
      <sheetName val="OTD + FR + CX Complaints"/>
      <sheetName val="Testing"/>
      <sheetName val="Seshu Sir Data"/>
      <sheetName val="Day wise type 2"/>
      <sheetName val="Day wise Format"/>
      <sheetName val="Fill Rate Impacted SKU Details"/>
      <sheetName val="Lookup Data"/>
      <sheetName val="Quicksight Prerequisite"/>
      <sheetName val="S&amp;M Dashboard"/>
      <sheetName val="Migrated Societies Data"/>
      <sheetName val="FO Data"/>
      <sheetName val="Reports"/>
      <sheetName val="order_sku_sales_bb2_report"/>
      <sheetName val="order_Report_SA_ID_BB2.0"/>
      <sheetName val="subscription_order_detail_daily"/>
      <sheetName val="bb2-ud-rca-report"/>
      <sheetName val="B2B_ORDER_pICK"/>
      <sheetName val="interfc_2.0_fillrate"/>
      <sheetName val="OTA"/>
      <sheetName val="Orders Summary"/>
      <sheetName val="Summary"/>
      <sheetName val="Sales + Marketing"/>
      <sheetName val="iot-rate-card-iot_orderwise_rep"/>
      <sheetName val="UD-SKU"/>
      <sheetName val="Aug Societies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kapture-p-v2.storage.googleapis.com/494/chat-attachments/1225/17660691822810mwl5mqzyb4/IMG20251218200148.jpg,https:/kapture-p-v2.storage.googleapis.com/494/chat-attachments/1225/17660771809690rdgqxvtm11/IMG20251218220344.jpg,https:/kapture-p-v2.storage.googleapis.com/494/chat-attachments/1225/17660775541770kwoon46839/IMG-20251218-WA0004.jpg" TargetMode="External"/><Relationship Id="rId10" Type="http://schemas.openxmlformats.org/officeDocument/2006/relationships/hyperlink" Target="https://s3.ap-south-1.amazonaws.com/3m-pu.ozonetel.com/bigbasket/IVR4ff46f89d31abd17f6e181cac5ddb79b.mp3" TargetMode="External"/><Relationship Id="rId13" Type="http://schemas.openxmlformats.org/officeDocument/2006/relationships/hyperlink" Target="https://kapture-p-v2.storage.googleapis.com/494/chat-attachments/1225/17660800000520ghl8s9qh3s/1766079996210.jpg" TargetMode="External"/><Relationship Id="rId12" Type="http://schemas.openxmlformats.org/officeDocument/2006/relationships/hyperlink" Target="https://kapture-p-v2.storage.googleapis.com/494/chat-attachments/1225/17660719234660cb0e4i4asi/IMG_Thu_Dec_18_21_01_38_GMT_05_30_2025.jpg" TargetMode="External"/><Relationship Id="rId1" Type="http://schemas.openxmlformats.org/officeDocument/2006/relationships/hyperlink" Target="https://s3.ap-south-1.amazonaws.com/3m-pu.ozonetel.com/bigbasket/IVRc33ac275869e695047d1481dd6822e72.mp3" TargetMode="External"/><Relationship Id="rId2" Type="http://schemas.openxmlformats.org/officeDocument/2006/relationships/hyperlink" Target="https://kapture-p-v2.storage.googleapis.com/494/chat-attachments/1225/17660216946450i3euxrkfvg/IMG_Thu_Dec_18_07_04_52_GMT_05_30_2025.jpg" TargetMode="External"/><Relationship Id="rId3" Type="http://schemas.openxmlformats.org/officeDocument/2006/relationships/hyperlink" Target="https://s3.ap-south-1.amazonaws.com/3m-pu.ozonetel.com/bigbasket/IVR5c4cf8ba80fad1de6b2f8bec714a9fe1.mp3" TargetMode="External"/><Relationship Id="rId4" Type="http://schemas.openxmlformats.org/officeDocument/2006/relationships/hyperlink" Target="https://kapture-p-v2.storage.googleapis.com/494/chat-attachments/1225/17660234506740jngkkb3ci8/1766023449988.jpg,https:/kapture-p-v2.storage.googleapis.com/494/chat-attachments/1225/17660234610020vxg1scut9k/1766023460509.jpg" TargetMode="External"/><Relationship Id="rId9" Type="http://schemas.openxmlformats.org/officeDocument/2006/relationships/hyperlink" Target="https://s3.ap-south-1.amazonaws.com/3m-pu.ozonetel.com/bigbasket/IVR2a889b4af873b002a73c4868428002a3.mp3" TargetMode="External"/><Relationship Id="rId14" Type="http://schemas.openxmlformats.org/officeDocument/2006/relationships/drawing" Target="../drawings/drawing1.xml"/><Relationship Id="rId5" Type="http://schemas.openxmlformats.org/officeDocument/2006/relationships/hyperlink" Target="https://kapture-p-v2.storage.googleapis.com/494/chat-attachments/1225/17660241775420zwl4s57mr2/1766024166025.jpg" TargetMode="External"/><Relationship Id="rId6" Type="http://schemas.openxmlformats.org/officeDocument/2006/relationships/hyperlink" Target="https://kapture-p-v2.storage.googleapis.com/494/chat-attachments/1225/176602491018905g6zslj924/6D34439E-31F7-408D-B983-2AE755FAB271.jpg,https:/kapture-p-v2.storage.googleapis.com/494/chat-attachments/1225/17660249324120fnnlzt3bwe/B6FF5C6A-9639-4356-99A4-4DC8B5C0839F.jpg" TargetMode="External"/><Relationship Id="rId7" Type="http://schemas.openxmlformats.org/officeDocument/2006/relationships/hyperlink" Target="https://s3.ap-south-1.amazonaws.com/3m-pu.ozonetel.com/bigbasket/IVR3ccce342d4336432ec1f12e2ebe5282c.mp3" TargetMode="External"/><Relationship Id="rId8" Type="http://schemas.openxmlformats.org/officeDocument/2006/relationships/hyperlink" Target="https://kapture-p-v2.storage.googleapis.com/494/chat-attachments/1225/176602519912706ebailzq8o/081889D6-A81E-42F2-BEDF-2558F5D2D77D.jpg,https:/kapture-p-v2.storage.googleapis.com/494/chat-attachments/1225/17660252085010v0cw7h6gf4/A5C77EFF-C910-490C-A4CE-E97CD1C6F67E.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24.86"/>
    <col customWidth="1" min="5" max="7" width="24.29"/>
    <col customWidth="1" min="8" max="9" width="11.86"/>
    <col customWidth="1" min="10" max="10" width="13.86"/>
    <col customWidth="1" min="11" max="11" width="15.14"/>
    <col customWidth="1" min="12" max="12" width="17.43"/>
    <col customWidth="1" min="13" max="13" width="47.29"/>
    <col customWidth="1" min="14" max="14" width="13.71"/>
    <col customWidth="1" min="15" max="15" width="12.86"/>
    <col customWidth="1" min="16" max="16" width="19.71"/>
    <col customWidth="1" min="17" max="17" width="13.43"/>
    <col customWidth="1" min="18" max="18" width="16.57"/>
    <col customWidth="1" min="19" max="19" width="18.43"/>
    <col customWidth="1" min="20" max="20" width="48.57"/>
    <col customWidth="1" min="21" max="21" width="17.57"/>
    <col customWidth="1" min="22" max="22" width="33.57"/>
    <col customWidth="1" min="23" max="23" width="10.71"/>
    <col customWidth="1" min="24" max="24" width="11.86"/>
    <col customWidth="1" min="25" max="25" width="24.0"/>
    <col customWidth="1" min="26" max="26" width="12.86"/>
    <col customWidth="1" min="27" max="27" width="14.71"/>
    <col customWidth="1" min="28" max="28" width="22.71"/>
    <col customWidth="1" min="29" max="29" width="38.0"/>
    <col customWidth="1" min="30" max="30" width="22.0"/>
    <col customWidth="1" min="31" max="31" width="39.86"/>
    <col customWidth="1" min="32" max="32" width="14.57"/>
    <col customWidth="1" min="33" max="33" width="18.0"/>
    <col customWidth="1" min="34" max="34" width="32.29"/>
    <col customWidth="1" min="35" max="35" width="14.57"/>
    <col customWidth="1" min="36" max="36" width="16.0"/>
    <col customWidth="1" min="37" max="37" width="83.43"/>
    <col customWidth="1" min="38" max="38" width="15.14"/>
    <col customWidth="1" min="39" max="39" width="24.0"/>
    <col customWidth="1" min="40" max="40" width="10.29"/>
    <col customWidth="1" min="41" max="41" width="31.0"/>
    <col customWidth="1" min="42" max="42" width="19.29"/>
    <col customWidth="1" min="43" max="43" width="41.71"/>
    <col customWidth="1" min="44" max="44" width="24.29"/>
    <col customWidth="1" min="45" max="45" width="33.29"/>
    <col customWidth="1" min="46" max="49" width="24.0"/>
  </cols>
  <sheetData>
    <row r="1">
      <c r="A1" s="1" t="s">
        <v>0</v>
      </c>
      <c r="B1" s="1" t="s">
        <v>0</v>
      </c>
      <c r="C1" s="1" t="s">
        <v>0</v>
      </c>
      <c r="D1" s="2" t="s">
        <v>1</v>
      </c>
      <c r="E1" s="2" t="s">
        <v>2</v>
      </c>
      <c r="F1" s="2" t="s">
        <v>3</v>
      </c>
      <c r="G1" s="2" t="s">
        <v>4</v>
      </c>
      <c r="H1" s="2" t="s">
        <v>5</v>
      </c>
      <c r="I1" s="2" t="s">
        <v>6</v>
      </c>
      <c r="J1" s="3" t="s">
        <v>7</v>
      </c>
      <c r="K1" s="3" t="s">
        <v>8</v>
      </c>
      <c r="L1" s="3" t="s">
        <v>9</v>
      </c>
      <c r="M1" s="3" t="s">
        <v>10</v>
      </c>
      <c r="N1" s="4" t="s">
        <v>11</v>
      </c>
      <c r="O1" s="4" t="s">
        <v>12</v>
      </c>
      <c r="P1" s="3" t="s">
        <v>13</v>
      </c>
      <c r="Q1" s="3" t="s">
        <v>14</v>
      </c>
      <c r="R1" s="3" t="s">
        <v>15</v>
      </c>
      <c r="S1" s="3" t="s">
        <v>16</v>
      </c>
      <c r="T1" s="3" t="s">
        <v>17</v>
      </c>
      <c r="U1" s="3" t="s">
        <v>18</v>
      </c>
      <c r="V1" s="3" t="s">
        <v>19</v>
      </c>
      <c r="W1" s="3" t="s">
        <v>20</v>
      </c>
      <c r="X1" s="3" t="s">
        <v>21</v>
      </c>
      <c r="Y1" s="3" t="s">
        <v>22</v>
      </c>
      <c r="Z1" s="3" t="s">
        <v>23</v>
      </c>
      <c r="AA1" s="3" t="s">
        <v>24</v>
      </c>
      <c r="AB1" s="4" t="s">
        <v>25</v>
      </c>
      <c r="AC1" s="3" t="s">
        <v>26</v>
      </c>
      <c r="AD1" s="3" t="s">
        <v>27</v>
      </c>
      <c r="AE1" s="3" t="s">
        <v>28</v>
      </c>
      <c r="AF1" s="3" t="s">
        <v>29</v>
      </c>
      <c r="AG1" s="3" t="s">
        <v>30</v>
      </c>
      <c r="AH1" s="3" t="s">
        <v>31</v>
      </c>
      <c r="AI1" s="3" t="s">
        <v>32</v>
      </c>
      <c r="AJ1" s="3" t="s">
        <v>33</v>
      </c>
      <c r="AK1" s="3" t="s">
        <v>4</v>
      </c>
      <c r="AL1" s="3" t="s">
        <v>34</v>
      </c>
      <c r="AM1" s="3" t="s">
        <v>35</v>
      </c>
      <c r="AN1" s="3" t="s">
        <v>36</v>
      </c>
      <c r="AO1" s="3" t="s">
        <v>37</v>
      </c>
      <c r="AP1" s="3" t="s">
        <v>38</v>
      </c>
      <c r="AQ1" s="3" t="s">
        <v>39</v>
      </c>
      <c r="AR1" s="3" t="s">
        <v>40</v>
      </c>
      <c r="AS1" s="3" t="s">
        <v>41</v>
      </c>
      <c r="AT1" s="3" t="s">
        <v>42</v>
      </c>
      <c r="AU1" s="5" t="s">
        <v>43</v>
      </c>
      <c r="AV1" s="5"/>
      <c r="AW1" s="5"/>
    </row>
    <row r="2" ht="15.75" customHeight="1">
      <c r="A2" s="6" t="str">
        <f t="shared" ref="A2:A28" si="1">IFERROR(IF(AND(VLOOKUP($N2,'[1]Lookup Data'!L:L,1,0)=$N2,VLOOKUP($N2,'[1]Lookup Data'!K:K,1,0)=$N2),"Sep-Aug",""),"")</f>
        <v/>
      </c>
      <c r="B2" s="6" t="str">
        <f t="shared" ref="B2:B28" si="2">IFERROR(IF(AND(VLOOKUP($N2,'[1]Lookup Data'!M:M,1,0)=$N2,VLOOKUP($N2,'[1]Lookup Data'!L:L,1,0)=$N2),"Oct-Sep",""),"")</f>
        <v/>
      </c>
      <c r="C2" s="6" t="str">
        <f t="shared" ref="C2:C28" si="3">IFERROR(IF(AND(VLOOKUP($N2,'[1]Lookup Data'!N:N,1,0)=$N2,VLOOKUP($N2,'[1]Lookup Data'!M:M,1,0)=$N2),"Nov-Oct",""),"")</f>
        <v/>
      </c>
      <c r="D2" s="7" t="str">
        <f t="array" ref="D2">_xludf.XLOOKUP(V2,'[1]Migrated Societies Data'!D:D,'[1]Migrated Societies Data'!B:B)</f>
        <v>#NAME?</v>
      </c>
      <c r="E2" s="8" t="str">
        <f t="array" ref="E2">_xludf.XLOOKUP(V2,'[1]Migrated Societies Data'!D:D,'[1]Migrated Societies Data'!E:E)</f>
        <v>#NAME?</v>
      </c>
      <c r="F2" s="8" t="str">
        <f>ARRAY_CONSTRAIN(ARRAYFORMULA(_xludf.XLOOKUP(O474,[1]order_Report_SA_ID_BB2.0!Q:Q,[1]order_Report_SA_ID_BB2.0!G:G)), 1, 1)</f>
        <v>#ERROR!</v>
      </c>
      <c r="G2" s="8" t="str">
        <f t="array" ref="G2">_xludf.XLOOKUP(T2,'[1]Lookup Data'!F:F,'[1]Lookup Data'!E:E)</f>
        <v>#NAME?</v>
      </c>
      <c r="H2" s="7">
        <f t="shared" ref="H2:H28" si="4">MONTH(J2)</f>
        <v>12</v>
      </c>
      <c r="I2" s="7">
        <f t="shared" ref="I2:I28" si="5">WEEKNUM(J2,11)</f>
        <v>51</v>
      </c>
      <c r="J2" s="9">
        <v>46009.0</v>
      </c>
      <c r="K2" s="10">
        <v>7.66018418223E11</v>
      </c>
      <c r="L2" s="10">
        <v>7.8441007E8</v>
      </c>
      <c r="M2" s="10" t="s">
        <v>44</v>
      </c>
      <c r="N2" s="10">
        <v>3.6777635E7</v>
      </c>
      <c r="O2" s="10">
        <v>1.855847684E9</v>
      </c>
      <c r="P2" s="10" t="s">
        <v>45</v>
      </c>
      <c r="Q2" s="10" t="s">
        <v>46</v>
      </c>
      <c r="R2" s="10" t="s">
        <v>47</v>
      </c>
      <c r="S2" s="10" t="s">
        <v>47</v>
      </c>
      <c r="T2" s="10" t="s">
        <v>48</v>
      </c>
      <c r="U2" s="10" t="s">
        <v>49</v>
      </c>
      <c r="V2" s="10" t="s">
        <v>50</v>
      </c>
      <c r="W2" s="10" t="s">
        <v>51</v>
      </c>
      <c r="X2" s="10" t="s">
        <v>52</v>
      </c>
      <c r="Y2" s="10"/>
      <c r="Z2" s="10" t="s">
        <v>53</v>
      </c>
      <c r="AA2" s="10">
        <v>7.259681253E9</v>
      </c>
      <c r="AB2" s="10" t="s">
        <v>54</v>
      </c>
      <c r="AC2" s="10" t="s">
        <v>55</v>
      </c>
      <c r="AD2" s="10" t="s">
        <v>56</v>
      </c>
      <c r="AE2" s="10" t="s">
        <v>57</v>
      </c>
      <c r="AF2" s="10">
        <v>75405.0</v>
      </c>
      <c r="AG2" s="10" t="s">
        <v>58</v>
      </c>
      <c r="AH2" s="10" t="s">
        <v>59</v>
      </c>
      <c r="AI2" s="10" t="s">
        <v>60</v>
      </c>
      <c r="AJ2" s="10" t="s">
        <v>61</v>
      </c>
      <c r="AK2" s="10" t="s">
        <v>62</v>
      </c>
      <c r="AL2" s="10"/>
      <c r="AM2" s="10"/>
      <c r="AN2" s="10" t="s">
        <v>63</v>
      </c>
      <c r="AO2" s="10"/>
      <c r="AP2" s="10" t="s">
        <v>64</v>
      </c>
      <c r="AQ2" s="10"/>
      <c r="AR2" s="10">
        <v>1.0</v>
      </c>
      <c r="AS2" s="10" t="s">
        <v>65</v>
      </c>
      <c r="AT2" s="10"/>
      <c r="AU2" s="10" t="s">
        <v>66</v>
      </c>
      <c r="AV2" s="10"/>
      <c r="AW2" s="10" t="s">
        <v>67</v>
      </c>
    </row>
    <row r="3" ht="15.75" customHeight="1">
      <c r="A3" s="6" t="str">
        <f t="shared" si="1"/>
        <v/>
      </c>
      <c r="B3" s="6" t="str">
        <f t="shared" si="2"/>
        <v/>
      </c>
      <c r="C3" s="6" t="str">
        <f t="shared" si="3"/>
        <v/>
      </c>
      <c r="D3" s="7" t="str">
        <f t="array" ref="D3">_xludf.XLOOKUP(V3,'[1]Migrated Societies Data'!D:D,'[1]Migrated Societies Data'!B:B)</f>
        <v>#NAME?</v>
      </c>
      <c r="E3" s="8" t="str">
        <f t="array" ref="E3">_xludf.XLOOKUP(V3,'[1]Migrated Societies Data'!D:D,'[1]Migrated Societies Data'!E:E)</f>
        <v>#NAME?</v>
      </c>
      <c r="F3" s="8" t="str">
        <f>ARRAY_CONSTRAIN(ARRAYFORMULA(_xludf.XLOOKUP(O475,[1]order_Report_SA_ID_BB2.0!Q:Q,[1]order_Report_SA_ID_BB2.0!G:G)), 1, 1)</f>
        <v>#ERROR!</v>
      </c>
      <c r="G3" s="8" t="str">
        <f t="array" ref="G3">_xludf.XLOOKUP(T3,'[1]Lookup Data'!F:F,'[1]Lookup Data'!E:E)</f>
        <v>#NAME?</v>
      </c>
      <c r="H3" s="7">
        <f t="shared" si="4"/>
        <v>12</v>
      </c>
      <c r="I3" s="7">
        <f t="shared" si="5"/>
        <v>51</v>
      </c>
      <c r="J3" s="9">
        <v>46009.0</v>
      </c>
      <c r="K3" s="10">
        <v>7.66019806161E11</v>
      </c>
      <c r="L3" s="10">
        <v>7.84412542E8</v>
      </c>
      <c r="M3" s="10" t="s">
        <v>68</v>
      </c>
      <c r="N3" s="10">
        <v>3323192.0</v>
      </c>
      <c r="O3" s="10">
        <v>1.855847737E9</v>
      </c>
      <c r="P3" s="10" t="s">
        <v>45</v>
      </c>
      <c r="Q3" s="10" t="s">
        <v>46</v>
      </c>
      <c r="R3" s="10" t="s">
        <v>69</v>
      </c>
      <c r="S3" s="10" t="s">
        <v>70</v>
      </c>
      <c r="T3" s="10" t="s">
        <v>71</v>
      </c>
      <c r="U3" s="10" t="s">
        <v>49</v>
      </c>
      <c r="V3" s="10" t="s">
        <v>72</v>
      </c>
      <c r="W3" s="10" t="s">
        <v>51</v>
      </c>
      <c r="X3" s="10" t="s">
        <v>52</v>
      </c>
      <c r="Y3" s="10"/>
      <c r="Z3" s="10" t="s">
        <v>73</v>
      </c>
      <c r="AA3" s="10">
        <v>9.113837969E9</v>
      </c>
      <c r="AB3" s="10"/>
      <c r="AC3" s="10"/>
      <c r="AD3" s="10"/>
      <c r="AE3" s="10" t="s">
        <v>74</v>
      </c>
      <c r="AF3" s="10">
        <v>75093.0</v>
      </c>
      <c r="AG3" s="10" t="s">
        <v>75</v>
      </c>
      <c r="AH3" s="10" t="s">
        <v>71</v>
      </c>
      <c r="AI3" s="10" t="s">
        <v>60</v>
      </c>
      <c r="AJ3" s="10" t="s">
        <v>76</v>
      </c>
      <c r="AK3" s="10" t="s">
        <v>77</v>
      </c>
      <c r="AL3" s="10"/>
      <c r="AM3" s="10"/>
      <c r="AN3" s="10" t="s">
        <v>63</v>
      </c>
      <c r="AO3" s="10"/>
      <c r="AP3" s="10" t="s">
        <v>64</v>
      </c>
      <c r="AQ3" s="11" t="s">
        <v>78</v>
      </c>
      <c r="AR3" s="10">
        <v>3.0</v>
      </c>
      <c r="AS3" s="10" t="s">
        <v>65</v>
      </c>
      <c r="AT3" s="10"/>
      <c r="AU3" s="10" t="s">
        <v>79</v>
      </c>
      <c r="AV3" s="10"/>
      <c r="AW3" s="10" t="s">
        <v>67</v>
      </c>
    </row>
    <row r="4" ht="15.75" customHeight="1">
      <c r="A4" s="6" t="str">
        <f t="shared" si="1"/>
        <v/>
      </c>
      <c r="B4" s="6" t="str">
        <f t="shared" si="2"/>
        <v/>
      </c>
      <c r="C4" s="6" t="str">
        <f t="shared" si="3"/>
        <v/>
      </c>
      <c r="D4" s="7" t="str">
        <f t="array" ref="D4">_xludf.XLOOKUP(V4,'[1]Migrated Societies Data'!D:D,'[1]Migrated Societies Data'!B:B)</f>
        <v>#NAME?</v>
      </c>
      <c r="E4" s="8" t="str">
        <f t="array" ref="E4">_xludf.XLOOKUP(V4,'[1]Migrated Societies Data'!D:D,'[1]Migrated Societies Data'!E:E)</f>
        <v>#NAME?</v>
      </c>
      <c r="F4" s="8" t="str">
        <f>ARRAY_CONSTRAIN(ARRAYFORMULA(_xludf.XLOOKUP(O476,[1]order_Report_SA_ID_BB2.0!Q:Q,[1]order_Report_SA_ID_BB2.0!G:G)), 1, 1)</f>
        <v>#ERROR!</v>
      </c>
      <c r="G4" s="8" t="str">
        <f t="array" ref="G4">_xludf.XLOOKUP(T4,'[1]Lookup Data'!F:F,'[1]Lookup Data'!E:E)</f>
        <v>#NAME?</v>
      </c>
      <c r="H4" s="7">
        <f t="shared" si="4"/>
        <v>12</v>
      </c>
      <c r="I4" s="7">
        <f t="shared" si="5"/>
        <v>51</v>
      </c>
      <c r="J4" s="9">
        <v>46009.0</v>
      </c>
      <c r="K4" s="10">
        <v>7.66021337607E11</v>
      </c>
      <c r="L4" s="10">
        <v>7.84416384E8</v>
      </c>
      <c r="M4" s="10" t="s">
        <v>80</v>
      </c>
      <c r="N4" s="10">
        <v>524578.0</v>
      </c>
      <c r="O4" s="10">
        <v>1.855848651E9</v>
      </c>
      <c r="P4" s="10" t="s">
        <v>45</v>
      </c>
      <c r="Q4" s="10" t="s">
        <v>46</v>
      </c>
      <c r="R4" s="10" t="s">
        <v>47</v>
      </c>
      <c r="S4" s="10" t="s">
        <v>47</v>
      </c>
      <c r="T4" s="10" t="s">
        <v>48</v>
      </c>
      <c r="U4" s="10" t="s">
        <v>49</v>
      </c>
      <c r="V4" s="10" t="s">
        <v>72</v>
      </c>
      <c r="W4" s="10" t="s">
        <v>51</v>
      </c>
      <c r="X4" s="10" t="s">
        <v>52</v>
      </c>
      <c r="Y4" s="10"/>
      <c r="Z4" s="10" t="s">
        <v>81</v>
      </c>
      <c r="AA4" s="10">
        <v>7.019409512E9</v>
      </c>
      <c r="AB4" s="10">
        <v>4.0149832E7</v>
      </c>
      <c r="AC4" s="10" t="s">
        <v>82</v>
      </c>
      <c r="AD4" s="10" t="s">
        <v>56</v>
      </c>
      <c r="AE4" s="10" t="s">
        <v>83</v>
      </c>
      <c r="AF4" s="10">
        <v>79822.0</v>
      </c>
      <c r="AG4" s="10" t="s">
        <v>84</v>
      </c>
      <c r="AH4" s="10" t="s">
        <v>59</v>
      </c>
      <c r="AI4" s="10" t="s">
        <v>60</v>
      </c>
      <c r="AJ4" s="10" t="s">
        <v>76</v>
      </c>
      <c r="AK4" s="10" t="s">
        <v>62</v>
      </c>
      <c r="AL4" s="10"/>
      <c r="AM4" s="10"/>
      <c r="AN4" s="10" t="s">
        <v>63</v>
      </c>
      <c r="AO4" s="10"/>
      <c r="AP4" s="10" t="s">
        <v>64</v>
      </c>
      <c r="AQ4" s="10"/>
      <c r="AR4" s="10">
        <v>1.0</v>
      </c>
      <c r="AS4" s="10" t="s">
        <v>65</v>
      </c>
      <c r="AT4" s="10"/>
      <c r="AU4" s="10" t="s">
        <v>66</v>
      </c>
      <c r="AV4" s="10"/>
      <c r="AW4" s="10" t="s">
        <v>67</v>
      </c>
    </row>
    <row r="5" ht="15.75" customHeight="1">
      <c r="A5" s="6" t="str">
        <f t="shared" si="1"/>
        <v/>
      </c>
      <c r="B5" s="6" t="str">
        <f t="shared" si="2"/>
        <v/>
      </c>
      <c r="C5" s="6" t="str">
        <f t="shared" si="3"/>
        <v/>
      </c>
      <c r="D5" s="7" t="str">
        <f t="array" ref="D5">_xludf.XLOOKUP(V5,'[1]Migrated Societies Data'!D:D,'[1]Migrated Societies Data'!B:B)</f>
        <v>#NAME?</v>
      </c>
      <c r="E5" s="8" t="str">
        <f t="array" ref="E5">_xludf.XLOOKUP(V5,'[1]Migrated Societies Data'!D:D,'[1]Migrated Societies Data'!E:E)</f>
        <v>#NAME?</v>
      </c>
      <c r="F5" s="8" t="str">
        <f>ARRAY_CONSTRAIN(ARRAYFORMULA(_xludf.XLOOKUP(O477,[1]order_Report_SA_ID_BB2.0!Q:Q,[1]order_Report_SA_ID_BB2.0!G:G)), 1, 1)</f>
        <v>#ERROR!</v>
      </c>
      <c r="G5" s="8" t="str">
        <f t="array" ref="G5">_xludf.XLOOKUP(T5,'[1]Lookup Data'!F:F,'[1]Lookup Data'!E:E)</f>
        <v>#NAME?</v>
      </c>
      <c r="H5" s="7">
        <f t="shared" si="4"/>
        <v>12</v>
      </c>
      <c r="I5" s="7">
        <f t="shared" si="5"/>
        <v>51</v>
      </c>
      <c r="J5" s="9">
        <v>46009.0</v>
      </c>
      <c r="K5" s="10">
        <v>7.66021733357E11</v>
      </c>
      <c r="L5" s="10">
        <v>7.8382204E8</v>
      </c>
      <c r="M5" s="10" t="s">
        <v>85</v>
      </c>
      <c r="N5" s="10">
        <v>1.615433E7</v>
      </c>
      <c r="O5" s="10">
        <v>1.855038822E9</v>
      </c>
      <c r="P5" s="10" t="s">
        <v>45</v>
      </c>
      <c r="Q5" s="10" t="s">
        <v>46</v>
      </c>
      <c r="R5" s="10" t="s">
        <v>69</v>
      </c>
      <c r="S5" s="10" t="s">
        <v>70</v>
      </c>
      <c r="T5" s="10" t="s">
        <v>71</v>
      </c>
      <c r="U5" s="10" t="s">
        <v>49</v>
      </c>
      <c r="V5" s="10" t="s">
        <v>86</v>
      </c>
      <c r="W5" s="10" t="s">
        <v>51</v>
      </c>
      <c r="X5" s="10" t="s">
        <v>52</v>
      </c>
      <c r="Y5" s="10"/>
      <c r="Z5" s="10" t="s">
        <v>87</v>
      </c>
      <c r="AA5" s="10">
        <v>9.482430294E9</v>
      </c>
      <c r="AB5" s="10"/>
      <c r="AC5" s="10"/>
      <c r="AD5" s="10"/>
      <c r="AE5" s="10" t="s">
        <v>88</v>
      </c>
      <c r="AF5" s="10">
        <v>80878.0</v>
      </c>
      <c r="AG5" s="10" t="s">
        <v>89</v>
      </c>
      <c r="AH5" s="10" t="s">
        <v>71</v>
      </c>
      <c r="AI5" s="10" t="s">
        <v>60</v>
      </c>
      <c r="AJ5" s="10" t="s">
        <v>90</v>
      </c>
      <c r="AK5" s="10" t="s">
        <v>77</v>
      </c>
      <c r="AL5" s="10"/>
      <c r="AM5" s="10"/>
      <c r="AN5" s="10" t="s">
        <v>63</v>
      </c>
      <c r="AO5" s="10"/>
      <c r="AP5" s="10" t="s">
        <v>64</v>
      </c>
      <c r="AQ5" s="10"/>
      <c r="AR5" s="10">
        <v>1.0</v>
      </c>
      <c r="AS5" s="10" t="s">
        <v>91</v>
      </c>
      <c r="AT5" s="10"/>
      <c r="AU5" s="10" t="s">
        <v>79</v>
      </c>
      <c r="AV5" s="10"/>
      <c r="AW5" s="10" t="s">
        <v>67</v>
      </c>
    </row>
    <row r="6" ht="15.75" customHeight="1">
      <c r="A6" s="6" t="str">
        <f t="shared" si="1"/>
        <v/>
      </c>
      <c r="B6" s="6" t="str">
        <f t="shared" si="2"/>
        <v/>
      </c>
      <c r="C6" s="6" t="str">
        <f t="shared" si="3"/>
        <v/>
      </c>
      <c r="D6" s="7" t="str">
        <f t="array" ref="D6">_xludf.XLOOKUP(V6,'[1]Migrated Societies Data'!D:D,'[1]Migrated Societies Data'!B:B)</f>
        <v>#NAME?</v>
      </c>
      <c r="E6" s="8" t="str">
        <f t="array" ref="E6">_xludf.XLOOKUP(V6,'[1]Migrated Societies Data'!D:D,'[1]Migrated Societies Data'!E:E)</f>
        <v>#NAME?</v>
      </c>
      <c r="F6" s="8" t="str">
        <f>ARRAY_CONSTRAIN(ARRAYFORMULA(_xludf.XLOOKUP(O478,[1]order_Report_SA_ID_BB2.0!Q:Q,[1]order_Report_SA_ID_BB2.0!G:G)), 1, 1)</f>
        <v>#ERROR!</v>
      </c>
      <c r="G6" s="8" t="str">
        <f t="array" ref="G6">_xludf.XLOOKUP(T6,'[1]Lookup Data'!F:F,'[1]Lookup Data'!E:E)</f>
        <v>#NAME?</v>
      </c>
      <c r="H6" s="7">
        <f t="shared" si="4"/>
        <v>12</v>
      </c>
      <c r="I6" s="7">
        <f t="shared" si="5"/>
        <v>51</v>
      </c>
      <c r="J6" s="9">
        <v>46009.0</v>
      </c>
      <c r="K6" s="10">
        <v>7.660218407E11</v>
      </c>
      <c r="L6" s="10">
        <v>7.83961567E8</v>
      </c>
      <c r="M6" s="10" t="s">
        <v>92</v>
      </c>
      <c r="N6" s="10">
        <v>2.4197999E7</v>
      </c>
      <c r="O6" s="10">
        <v>1.855848894E9</v>
      </c>
      <c r="P6" s="10" t="s">
        <v>45</v>
      </c>
      <c r="Q6" s="10" t="s">
        <v>46</v>
      </c>
      <c r="R6" s="10" t="s">
        <v>47</v>
      </c>
      <c r="S6" s="10" t="s">
        <v>47</v>
      </c>
      <c r="T6" s="10" t="s">
        <v>93</v>
      </c>
      <c r="U6" s="10" t="s">
        <v>49</v>
      </c>
      <c r="V6" s="10" t="s">
        <v>94</v>
      </c>
      <c r="W6" s="10" t="s">
        <v>51</v>
      </c>
      <c r="X6" s="10" t="s">
        <v>52</v>
      </c>
      <c r="Y6" s="10"/>
      <c r="Z6" s="10" t="s">
        <v>95</v>
      </c>
      <c r="AA6" s="10">
        <v>9.902019848E9</v>
      </c>
      <c r="AB6" s="10">
        <v>4.014983E7</v>
      </c>
      <c r="AC6" s="10" t="s">
        <v>96</v>
      </c>
      <c r="AD6" s="10" t="s">
        <v>56</v>
      </c>
      <c r="AE6" s="10" t="s">
        <v>97</v>
      </c>
      <c r="AF6" s="10">
        <v>79468.0</v>
      </c>
      <c r="AG6" s="10" t="s">
        <v>84</v>
      </c>
      <c r="AH6" s="10" t="s">
        <v>98</v>
      </c>
      <c r="AI6" s="10" t="s">
        <v>22</v>
      </c>
      <c r="AJ6" s="10" t="s">
        <v>90</v>
      </c>
      <c r="AK6" s="10" t="s">
        <v>99</v>
      </c>
      <c r="AL6" s="10"/>
      <c r="AM6" s="10"/>
      <c r="AN6" s="10" t="s">
        <v>63</v>
      </c>
      <c r="AO6" s="10"/>
      <c r="AP6" s="10" t="s">
        <v>64</v>
      </c>
      <c r="AQ6" s="10"/>
      <c r="AR6" s="10">
        <v>1.0</v>
      </c>
      <c r="AS6" s="10" t="s">
        <v>65</v>
      </c>
      <c r="AT6" s="10"/>
      <c r="AU6" s="10" t="s">
        <v>100</v>
      </c>
      <c r="AV6" s="10"/>
      <c r="AW6" s="11" t="s">
        <v>101</v>
      </c>
    </row>
    <row r="7" ht="15.75" customHeight="1">
      <c r="A7" s="6" t="str">
        <f t="shared" si="1"/>
        <v/>
      </c>
      <c r="B7" s="6" t="str">
        <f t="shared" si="2"/>
        <v/>
      </c>
      <c r="C7" s="6" t="str">
        <f t="shared" si="3"/>
        <v/>
      </c>
      <c r="D7" s="7" t="str">
        <f t="array" ref="D7">_xludf.XLOOKUP(V7,'[1]Migrated Societies Data'!D:D,'[1]Migrated Societies Data'!B:B)</f>
        <v>#NAME?</v>
      </c>
      <c r="E7" s="8" t="str">
        <f t="array" ref="E7">_xludf.XLOOKUP(V7,'[1]Migrated Societies Data'!D:D,'[1]Migrated Societies Data'!E:E)</f>
        <v>#NAME?</v>
      </c>
      <c r="F7" s="8" t="str">
        <f>ARRAY_CONSTRAIN(ARRAYFORMULA(_xludf.XLOOKUP(O479,[1]order_Report_SA_ID_BB2.0!Q:Q,[1]order_Report_SA_ID_BB2.0!G:G)), 1, 1)</f>
        <v>#ERROR!</v>
      </c>
      <c r="G7" s="8" t="str">
        <f t="array" ref="G7">_xludf.XLOOKUP(T7,'[1]Lookup Data'!F:F,'[1]Lookup Data'!E:E)</f>
        <v>#NAME?</v>
      </c>
      <c r="H7" s="7">
        <f t="shared" si="4"/>
        <v>12</v>
      </c>
      <c r="I7" s="7">
        <f t="shared" si="5"/>
        <v>51</v>
      </c>
      <c r="J7" s="9">
        <v>46009.0</v>
      </c>
      <c r="K7" s="10">
        <v>7.66022626061E11</v>
      </c>
      <c r="L7" s="10">
        <v>7.8382204E8</v>
      </c>
      <c r="M7" s="10" t="s">
        <v>102</v>
      </c>
      <c r="N7" s="10">
        <v>1.615433E7</v>
      </c>
      <c r="O7" s="10">
        <v>1.855038822E9</v>
      </c>
      <c r="P7" s="10" t="s">
        <v>45</v>
      </c>
      <c r="Q7" s="10" t="s">
        <v>46</v>
      </c>
      <c r="R7" s="10" t="s">
        <v>69</v>
      </c>
      <c r="S7" s="10" t="s">
        <v>70</v>
      </c>
      <c r="T7" s="10" t="s">
        <v>103</v>
      </c>
      <c r="U7" s="10" t="s">
        <v>49</v>
      </c>
      <c r="V7" s="12" t="s">
        <v>86</v>
      </c>
      <c r="W7" s="10" t="s">
        <v>51</v>
      </c>
      <c r="X7" s="10" t="s">
        <v>52</v>
      </c>
      <c r="Y7" s="10" t="s">
        <v>104</v>
      </c>
      <c r="Z7" s="10" t="s">
        <v>87</v>
      </c>
      <c r="AA7" s="10">
        <v>9.482430294E9</v>
      </c>
      <c r="AB7" s="10">
        <v>4.0090893E7</v>
      </c>
      <c r="AC7" s="10" t="s">
        <v>105</v>
      </c>
      <c r="AD7" s="10" t="s">
        <v>56</v>
      </c>
      <c r="AE7" s="10" t="s">
        <v>106</v>
      </c>
      <c r="AF7" s="10">
        <v>80549.0</v>
      </c>
      <c r="AG7" s="10" t="s">
        <v>107</v>
      </c>
      <c r="AH7" s="10" t="s">
        <v>103</v>
      </c>
      <c r="AI7" s="10" t="s">
        <v>60</v>
      </c>
      <c r="AJ7" s="10" t="s">
        <v>90</v>
      </c>
      <c r="AK7" s="10" t="s">
        <v>108</v>
      </c>
      <c r="AL7" s="10"/>
      <c r="AM7" s="10"/>
      <c r="AN7" s="10" t="s">
        <v>63</v>
      </c>
      <c r="AO7" s="10"/>
      <c r="AP7" s="10" t="s">
        <v>64</v>
      </c>
      <c r="AQ7" s="11" t="s">
        <v>109</v>
      </c>
      <c r="AR7" s="10">
        <v>1.0</v>
      </c>
      <c r="AS7" s="10" t="s">
        <v>91</v>
      </c>
      <c r="AT7" s="10"/>
      <c r="AU7" s="10" t="s">
        <v>110</v>
      </c>
      <c r="AV7" s="10"/>
      <c r="AW7" s="10" t="s">
        <v>67</v>
      </c>
    </row>
    <row r="8" ht="15.75" customHeight="1">
      <c r="A8" s="6" t="str">
        <f t="shared" si="1"/>
        <v/>
      </c>
      <c r="B8" s="6" t="str">
        <f t="shared" si="2"/>
        <v/>
      </c>
      <c r="C8" s="6" t="str">
        <f t="shared" si="3"/>
        <v/>
      </c>
      <c r="D8" s="7" t="str">
        <f t="array" ref="D8">_xludf.XLOOKUP(V8,'[1]Migrated Societies Data'!D:D,'[1]Migrated Societies Data'!B:B)</f>
        <v>#NAME?</v>
      </c>
      <c r="E8" s="8" t="str">
        <f t="array" ref="E8">_xludf.XLOOKUP(V8,'[1]Migrated Societies Data'!D:D,'[1]Migrated Societies Data'!E:E)</f>
        <v>#NAME?</v>
      </c>
      <c r="F8" s="8" t="str">
        <f>ARRAY_CONSTRAIN(ARRAYFORMULA(_xludf.XLOOKUP(O480,[1]order_Report_SA_ID_BB2.0!Q:Q,[1]order_Report_SA_ID_BB2.0!G:G)), 1, 1)</f>
        <v>#ERROR!</v>
      </c>
      <c r="G8" s="8" t="str">
        <f t="array" ref="G8">_xludf.XLOOKUP(T8,'[1]Lookup Data'!F:F,'[1]Lookup Data'!E:E)</f>
        <v>#NAME?</v>
      </c>
      <c r="H8" s="7">
        <f t="shared" si="4"/>
        <v>12</v>
      </c>
      <c r="I8" s="7">
        <f t="shared" si="5"/>
        <v>51</v>
      </c>
      <c r="J8" s="9">
        <v>46009.0</v>
      </c>
      <c r="K8" s="10">
        <v>7.66022752413E11</v>
      </c>
      <c r="L8" s="10">
        <v>7.84417318E8</v>
      </c>
      <c r="M8" s="10" t="s">
        <v>111</v>
      </c>
      <c r="N8" s="10">
        <v>7979887.0</v>
      </c>
      <c r="O8" s="10">
        <v>1.855848902E9</v>
      </c>
      <c r="P8" s="10" t="s">
        <v>45</v>
      </c>
      <c r="Q8" s="10" t="s">
        <v>46</v>
      </c>
      <c r="R8" s="10" t="s">
        <v>47</v>
      </c>
      <c r="S8" s="10" t="s">
        <v>47</v>
      </c>
      <c r="T8" s="10" t="s">
        <v>93</v>
      </c>
      <c r="U8" s="10" t="s">
        <v>49</v>
      </c>
      <c r="V8" s="10" t="s">
        <v>94</v>
      </c>
      <c r="W8" s="10" t="s">
        <v>51</v>
      </c>
      <c r="X8" s="10" t="s">
        <v>52</v>
      </c>
      <c r="Y8" s="10"/>
      <c r="Z8" s="10" t="s">
        <v>95</v>
      </c>
      <c r="AA8" s="10">
        <v>9.902019848E9</v>
      </c>
      <c r="AB8" s="10">
        <v>4.035088E7</v>
      </c>
      <c r="AC8" s="10" t="s">
        <v>112</v>
      </c>
      <c r="AD8" s="10" t="s">
        <v>113</v>
      </c>
      <c r="AE8" s="10" t="s">
        <v>114</v>
      </c>
      <c r="AF8" s="10">
        <v>72098.0</v>
      </c>
      <c r="AG8" s="10" t="s">
        <v>115</v>
      </c>
      <c r="AH8" s="10" t="s">
        <v>98</v>
      </c>
      <c r="AI8" s="10" t="s">
        <v>22</v>
      </c>
      <c r="AJ8" s="10" t="s">
        <v>90</v>
      </c>
      <c r="AK8" s="10" t="s">
        <v>99</v>
      </c>
      <c r="AL8" s="10"/>
      <c r="AM8" s="10"/>
      <c r="AN8" s="10" t="s">
        <v>63</v>
      </c>
      <c r="AO8" s="10"/>
      <c r="AP8" s="10" t="s">
        <v>64</v>
      </c>
      <c r="AQ8" s="10"/>
      <c r="AR8" s="10">
        <v>1.0</v>
      </c>
      <c r="AS8" s="10" t="s">
        <v>65</v>
      </c>
      <c r="AT8" s="10"/>
      <c r="AU8" s="10" t="s">
        <v>100</v>
      </c>
      <c r="AV8" s="10"/>
      <c r="AW8" s="10" t="s">
        <v>67</v>
      </c>
    </row>
    <row r="9" ht="15.75" customHeight="1">
      <c r="A9" s="6" t="str">
        <f t="shared" si="1"/>
        <v/>
      </c>
      <c r="B9" s="6" t="str">
        <f t="shared" si="2"/>
        <v/>
      </c>
      <c r="C9" s="6" t="str">
        <f t="shared" si="3"/>
        <v/>
      </c>
      <c r="D9" s="7" t="str">
        <f t="array" ref="D9">_xludf.XLOOKUP(V9,'[1]Migrated Societies Data'!D:D,'[1]Migrated Societies Data'!B:B)</f>
        <v>#NAME?</v>
      </c>
      <c r="E9" s="8" t="str">
        <f t="array" ref="E9">_xludf.XLOOKUP(V9,'[1]Migrated Societies Data'!D:D,'[1]Migrated Societies Data'!E:E)</f>
        <v>#NAME?</v>
      </c>
      <c r="F9" s="8" t="str">
        <f>ARRAY_CONSTRAIN(ARRAYFORMULA(_xludf.XLOOKUP(O481,[1]order_Report_SA_ID_BB2.0!Q:Q,[1]order_Report_SA_ID_BB2.0!G:G)), 1, 1)</f>
        <v>#ERROR!</v>
      </c>
      <c r="G9" s="8" t="str">
        <f t="array" ref="G9">_xludf.XLOOKUP(T9,'[1]Lookup Data'!F:F,'[1]Lookup Data'!E:E)</f>
        <v>#NAME?</v>
      </c>
      <c r="H9" s="7">
        <f t="shared" si="4"/>
        <v>12</v>
      </c>
      <c r="I9" s="7">
        <f t="shared" si="5"/>
        <v>51</v>
      </c>
      <c r="J9" s="9">
        <v>46009.0</v>
      </c>
      <c r="K9" s="10">
        <v>7.66023129866E11</v>
      </c>
      <c r="L9" s="10">
        <v>7.84423048E8</v>
      </c>
      <c r="M9" s="10" t="s">
        <v>116</v>
      </c>
      <c r="N9" s="10">
        <v>1.4602531E7</v>
      </c>
      <c r="O9" s="10">
        <v>1.855849705E9</v>
      </c>
      <c r="P9" s="10" t="s">
        <v>45</v>
      </c>
      <c r="Q9" s="10" t="s">
        <v>46</v>
      </c>
      <c r="R9" s="10" t="s">
        <v>47</v>
      </c>
      <c r="S9" s="10" t="s">
        <v>47</v>
      </c>
      <c r="T9" s="10" t="s">
        <v>48</v>
      </c>
      <c r="U9" s="10" t="s">
        <v>49</v>
      </c>
      <c r="V9" s="10" t="s">
        <v>50</v>
      </c>
      <c r="W9" s="10" t="s">
        <v>51</v>
      </c>
      <c r="X9" s="10" t="s">
        <v>52</v>
      </c>
      <c r="Y9" s="10"/>
      <c r="Z9" s="10" t="s">
        <v>117</v>
      </c>
      <c r="AA9" s="10">
        <v>9.791608842E9</v>
      </c>
      <c r="AB9" s="10">
        <v>4.0158264E7</v>
      </c>
      <c r="AC9" s="10" t="s">
        <v>82</v>
      </c>
      <c r="AD9" s="10" t="s">
        <v>56</v>
      </c>
      <c r="AE9" s="10" t="s">
        <v>114</v>
      </c>
      <c r="AF9" s="10">
        <v>72098.0</v>
      </c>
      <c r="AG9" s="10" t="s">
        <v>115</v>
      </c>
      <c r="AH9" s="10" t="s">
        <v>59</v>
      </c>
      <c r="AI9" s="10" t="s">
        <v>60</v>
      </c>
      <c r="AJ9" s="10" t="s">
        <v>61</v>
      </c>
      <c r="AK9" s="10" t="s">
        <v>62</v>
      </c>
      <c r="AL9" s="10"/>
      <c r="AM9" s="10"/>
      <c r="AN9" s="10" t="s">
        <v>63</v>
      </c>
      <c r="AO9" s="10"/>
      <c r="AP9" s="10" t="s">
        <v>64</v>
      </c>
      <c r="AQ9" s="10"/>
      <c r="AR9" s="10">
        <v>1.0</v>
      </c>
      <c r="AS9" s="10" t="s">
        <v>65</v>
      </c>
      <c r="AT9" s="10"/>
      <c r="AU9" s="10" t="s">
        <v>66</v>
      </c>
      <c r="AV9" s="10"/>
      <c r="AW9" s="10" t="s">
        <v>67</v>
      </c>
    </row>
    <row r="10" ht="15.75" customHeight="1">
      <c r="A10" s="6" t="str">
        <f t="shared" si="1"/>
        <v/>
      </c>
      <c r="B10" s="6" t="str">
        <f t="shared" si="2"/>
        <v/>
      </c>
      <c r="C10" s="6" t="str">
        <f t="shared" si="3"/>
        <v/>
      </c>
      <c r="D10" s="7" t="str">
        <f t="array" ref="D10">_xludf.XLOOKUP(V10,'[1]Migrated Societies Data'!D:D,'[1]Migrated Societies Data'!B:B)</f>
        <v>#NAME?</v>
      </c>
      <c r="E10" s="8" t="str">
        <f t="array" ref="E10">_xludf.XLOOKUP(V10,'[1]Migrated Societies Data'!D:D,'[1]Migrated Societies Data'!E:E)</f>
        <v>#NAME?</v>
      </c>
      <c r="F10" s="8" t="str">
        <f>ARRAY_CONSTRAIN(ARRAYFORMULA(_xludf.XLOOKUP(O482,[1]order_Report_SA_ID_BB2.0!Q:Q,[1]order_Report_SA_ID_BB2.0!G:G)), 1, 1)</f>
        <v>#ERROR!</v>
      </c>
      <c r="G10" s="8" t="str">
        <f t="array" ref="G10">_xludf.XLOOKUP(T10,'[1]Lookup Data'!F:F,'[1]Lookup Data'!E:E)</f>
        <v>#NAME?</v>
      </c>
      <c r="H10" s="7">
        <f t="shared" si="4"/>
        <v>12</v>
      </c>
      <c r="I10" s="7">
        <f t="shared" si="5"/>
        <v>51</v>
      </c>
      <c r="J10" s="9">
        <v>46009.0</v>
      </c>
      <c r="K10" s="10">
        <v>7.66023196424E11</v>
      </c>
      <c r="L10" s="10">
        <v>7.84423066E8</v>
      </c>
      <c r="M10" s="10" t="s">
        <v>118</v>
      </c>
      <c r="N10" s="10">
        <v>449952.0</v>
      </c>
      <c r="O10" s="10">
        <v>1.855848499E9</v>
      </c>
      <c r="P10" s="10" t="s">
        <v>45</v>
      </c>
      <c r="Q10" s="10" t="s">
        <v>46</v>
      </c>
      <c r="R10" s="10" t="s">
        <v>119</v>
      </c>
      <c r="S10" s="10" t="s">
        <v>120</v>
      </c>
      <c r="T10" s="10" t="s">
        <v>121</v>
      </c>
      <c r="U10" s="10" t="s">
        <v>49</v>
      </c>
      <c r="V10" s="10" t="s">
        <v>72</v>
      </c>
      <c r="W10" s="10" t="s">
        <v>51</v>
      </c>
      <c r="X10" s="10" t="s">
        <v>52</v>
      </c>
      <c r="Y10" s="10"/>
      <c r="Z10" s="10" t="s">
        <v>122</v>
      </c>
      <c r="AA10" s="10">
        <v>9.845517073E9</v>
      </c>
      <c r="AB10" s="10">
        <v>4.0161616E7</v>
      </c>
      <c r="AC10" s="10" t="s">
        <v>123</v>
      </c>
      <c r="AD10" s="10" t="s">
        <v>56</v>
      </c>
      <c r="AE10" s="10" t="s">
        <v>124</v>
      </c>
      <c r="AF10" s="10">
        <v>80505.0</v>
      </c>
      <c r="AG10" s="10" t="s">
        <v>125</v>
      </c>
      <c r="AH10" s="10" t="s">
        <v>126</v>
      </c>
      <c r="AI10" s="10" t="s">
        <v>22</v>
      </c>
      <c r="AJ10" s="10" t="s">
        <v>76</v>
      </c>
      <c r="AK10" s="10" t="s">
        <v>127</v>
      </c>
      <c r="AL10" s="10"/>
      <c r="AM10" s="10"/>
      <c r="AN10" s="10" t="s">
        <v>63</v>
      </c>
      <c r="AO10" s="10"/>
      <c r="AP10" s="10" t="s">
        <v>64</v>
      </c>
      <c r="AQ10" s="10"/>
      <c r="AR10" s="10">
        <v>1.0</v>
      </c>
      <c r="AS10" s="10" t="s">
        <v>65</v>
      </c>
      <c r="AT10" s="10"/>
      <c r="AU10" s="10" t="s">
        <v>128</v>
      </c>
      <c r="AV10" s="10"/>
      <c r="AW10" s="10" t="s">
        <v>67</v>
      </c>
    </row>
    <row r="11" ht="15.75" customHeight="1">
      <c r="A11" s="6" t="str">
        <f t="shared" si="1"/>
        <v/>
      </c>
      <c r="B11" s="6" t="str">
        <f t="shared" si="2"/>
        <v/>
      </c>
      <c r="C11" s="6" t="str">
        <f t="shared" si="3"/>
        <v/>
      </c>
      <c r="D11" s="7" t="str">
        <f t="array" ref="D11">_xludf.XLOOKUP(V11,'[1]Migrated Societies Data'!D:D,'[1]Migrated Societies Data'!B:B)</f>
        <v>#NAME?</v>
      </c>
      <c r="E11" s="8" t="str">
        <f t="array" ref="E11">_xludf.XLOOKUP(V11,'[1]Migrated Societies Data'!D:D,'[1]Migrated Societies Data'!E:E)</f>
        <v>#NAME?</v>
      </c>
      <c r="F11" s="8" t="str">
        <f>ARRAY_CONSTRAIN(ARRAYFORMULA(_xludf.XLOOKUP(O483,[1]order_Report_SA_ID_BB2.0!Q:Q,[1]order_Report_SA_ID_BB2.0!G:G)), 1, 1)</f>
        <v>#ERROR!</v>
      </c>
      <c r="G11" s="8" t="str">
        <f t="array" ref="G11">_xludf.XLOOKUP(T11,'[1]Lookup Data'!F:F,'[1]Lookup Data'!E:E)</f>
        <v>#NAME?</v>
      </c>
      <c r="H11" s="7">
        <f t="shared" si="4"/>
        <v>12</v>
      </c>
      <c r="I11" s="7">
        <f t="shared" si="5"/>
        <v>51</v>
      </c>
      <c r="J11" s="9">
        <v>46009.0</v>
      </c>
      <c r="K11" s="10">
        <v>7.66023212047E11</v>
      </c>
      <c r="L11" s="10">
        <v>7.8442357E8</v>
      </c>
      <c r="M11" s="10" t="s">
        <v>129</v>
      </c>
      <c r="N11" s="10">
        <v>1.4520372E7</v>
      </c>
      <c r="O11" s="10">
        <v>1.855847547E9</v>
      </c>
      <c r="P11" s="10" t="s">
        <v>45</v>
      </c>
      <c r="Q11" s="10" t="s">
        <v>46</v>
      </c>
      <c r="R11" s="10" t="s">
        <v>47</v>
      </c>
      <c r="S11" s="10" t="s">
        <v>47</v>
      </c>
      <c r="T11" s="10" t="s">
        <v>48</v>
      </c>
      <c r="U11" s="10" t="s">
        <v>49</v>
      </c>
      <c r="V11" s="10" t="s">
        <v>130</v>
      </c>
      <c r="W11" s="10" t="s">
        <v>51</v>
      </c>
      <c r="X11" s="10" t="s">
        <v>52</v>
      </c>
      <c r="Y11" s="10"/>
      <c r="Z11" s="10" t="s">
        <v>131</v>
      </c>
      <c r="AA11" s="10">
        <v>9.11088085E9</v>
      </c>
      <c r="AB11" s="10">
        <v>4.0149833E7</v>
      </c>
      <c r="AC11" s="10" t="s">
        <v>132</v>
      </c>
      <c r="AD11" s="10" t="s">
        <v>56</v>
      </c>
      <c r="AE11" s="10" t="s">
        <v>133</v>
      </c>
      <c r="AF11" s="10">
        <v>80496.0</v>
      </c>
      <c r="AG11" s="10" t="s">
        <v>84</v>
      </c>
      <c r="AH11" s="10" t="s">
        <v>59</v>
      </c>
      <c r="AI11" s="10" t="s">
        <v>60</v>
      </c>
      <c r="AJ11" s="10" t="s">
        <v>134</v>
      </c>
      <c r="AK11" s="10" t="s">
        <v>62</v>
      </c>
      <c r="AL11" s="10" t="s">
        <v>135</v>
      </c>
      <c r="AM11" s="10"/>
      <c r="AN11" s="10" t="s">
        <v>136</v>
      </c>
      <c r="AO11" s="13">
        <v>46009.97665509259</v>
      </c>
      <c r="AP11" s="10" t="s">
        <v>137</v>
      </c>
      <c r="AQ11" s="10"/>
      <c r="AR11" s="10">
        <v>1.0</v>
      </c>
      <c r="AS11" s="10" t="s">
        <v>65</v>
      </c>
      <c r="AT11" s="10"/>
      <c r="AU11" s="10" t="s">
        <v>66</v>
      </c>
      <c r="AV11" s="10"/>
      <c r="AW11" s="10" t="s">
        <v>67</v>
      </c>
    </row>
    <row r="12" ht="15.75" customHeight="1">
      <c r="A12" s="6" t="str">
        <f t="shared" si="1"/>
        <v/>
      </c>
      <c r="B12" s="6" t="str">
        <f t="shared" si="2"/>
        <v/>
      </c>
      <c r="C12" s="6" t="str">
        <f t="shared" si="3"/>
        <v/>
      </c>
      <c r="D12" s="7" t="str">
        <f t="array" ref="D12">_xludf.XLOOKUP(V12,'[1]Migrated Societies Data'!D:D,'[1]Migrated Societies Data'!B:B)</f>
        <v>#NAME?</v>
      </c>
      <c r="E12" s="8" t="str">
        <f t="array" ref="E12">_xludf.XLOOKUP(V12,'[1]Migrated Societies Data'!D:D,'[1]Migrated Societies Data'!E:E)</f>
        <v>#NAME?</v>
      </c>
      <c r="F12" s="8" t="str">
        <f>ARRAY_CONSTRAIN(ARRAYFORMULA(_xludf.XLOOKUP(O484,[1]order_Report_SA_ID_BB2.0!Q:Q,[1]order_Report_SA_ID_BB2.0!G:G)), 1, 1)</f>
        <v>#ERROR!</v>
      </c>
      <c r="G12" s="8" t="str">
        <f t="array" ref="G12">_xludf.XLOOKUP(T12,'[1]Lookup Data'!F:F,'[1]Lookup Data'!E:E)</f>
        <v>#NAME?</v>
      </c>
      <c r="H12" s="7">
        <f t="shared" si="4"/>
        <v>12</v>
      </c>
      <c r="I12" s="7">
        <f t="shared" si="5"/>
        <v>51</v>
      </c>
      <c r="J12" s="9">
        <v>46009.0</v>
      </c>
      <c r="K12" s="10">
        <v>7.66023613841E11</v>
      </c>
      <c r="L12" s="10">
        <v>7.84422675E8</v>
      </c>
      <c r="M12" s="10" t="s">
        <v>138</v>
      </c>
      <c r="N12" s="10">
        <v>6143841.0</v>
      </c>
      <c r="O12" s="10">
        <v>1.855848082E9</v>
      </c>
      <c r="P12" s="10" t="s">
        <v>45</v>
      </c>
      <c r="Q12" s="10" t="s">
        <v>46</v>
      </c>
      <c r="R12" s="10" t="s">
        <v>47</v>
      </c>
      <c r="S12" s="10" t="s">
        <v>47</v>
      </c>
      <c r="T12" s="10" t="s">
        <v>139</v>
      </c>
      <c r="U12" s="10" t="s">
        <v>49</v>
      </c>
      <c r="V12" s="10" t="s">
        <v>72</v>
      </c>
      <c r="W12" s="10" t="s">
        <v>51</v>
      </c>
      <c r="X12" s="10" t="s">
        <v>52</v>
      </c>
      <c r="Y12" s="10"/>
      <c r="Z12" s="10" t="s">
        <v>140</v>
      </c>
      <c r="AA12" s="10">
        <v>6.366261682E9</v>
      </c>
      <c r="AB12" s="10">
        <v>4.0161616E7</v>
      </c>
      <c r="AC12" s="10" t="s">
        <v>123</v>
      </c>
      <c r="AD12" s="10" t="s">
        <v>56</v>
      </c>
      <c r="AE12" s="10" t="s">
        <v>141</v>
      </c>
      <c r="AF12" s="10">
        <v>70639.0</v>
      </c>
      <c r="AG12" s="10" t="s">
        <v>58</v>
      </c>
      <c r="AH12" s="10" t="s">
        <v>142</v>
      </c>
      <c r="AI12" s="10" t="s">
        <v>22</v>
      </c>
      <c r="AJ12" s="10" t="s">
        <v>76</v>
      </c>
      <c r="AK12" s="10" t="s">
        <v>143</v>
      </c>
      <c r="AL12" s="10"/>
      <c r="AM12" s="10"/>
      <c r="AN12" s="10" t="s">
        <v>63</v>
      </c>
      <c r="AO12" s="10"/>
      <c r="AP12" s="10" t="s">
        <v>64</v>
      </c>
      <c r="AQ12" s="10"/>
      <c r="AR12" s="10">
        <v>1.0</v>
      </c>
      <c r="AS12" s="10" t="s">
        <v>65</v>
      </c>
      <c r="AT12" s="10"/>
      <c r="AU12" s="10" t="s">
        <v>144</v>
      </c>
      <c r="AV12" s="10"/>
      <c r="AW12" s="11" t="s">
        <v>145</v>
      </c>
    </row>
    <row r="13" ht="15.75" customHeight="1">
      <c r="A13" s="6" t="str">
        <f t="shared" si="1"/>
        <v/>
      </c>
      <c r="B13" s="6" t="str">
        <f t="shared" si="2"/>
        <v/>
      </c>
      <c r="C13" s="6" t="str">
        <f t="shared" si="3"/>
        <v/>
      </c>
      <c r="D13" s="7" t="str">
        <f t="array" ref="D13">_xludf.XLOOKUP(V13,'[1]Migrated Societies Data'!D:D,'[1]Migrated Societies Data'!B:B)</f>
        <v>#NAME?</v>
      </c>
      <c r="E13" s="8" t="str">
        <f t="array" ref="E13">_xludf.XLOOKUP(V13,'[1]Migrated Societies Data'!D:D,'[1]Migrated Societies Data'!E:E)</f>
        <v>#NAME?</v>
      </c>
      <c r="F13" s="8" t="str">
        <f>ARRAY_CONSTRAIN(ARRAYFORMULA(_xludf.XLOOKUP(O485,[1]order_Report_SA_ID_BB2.0!Q:Q,[1]order_Report_SA_ID_BB2.0!G:G)), 1, 1)</f>
        <v>#ERROR!</v>
      </c>
      <c r="G13" s="8" t="str">
        <f t="array" ref="G13">_xludf.XLOOKUP(T13,'[1]Lookup Data'!F:F,'[1]Lookup Data'!E:E)</f>
        <v>#NAME?</v>
      </c>
      <c r="H13" s="7">
        <f t="shared" si="4"/>
        <v>12</v>
      </c>
      <c r="I13" s="7">
        <f t="shared" si="5"/>
        <v>51</v>
      </c>
      <c r="J13" s="9">
        <v>46009.0</v>
      </c>
      <c r="K13" s="10">
        <v>7.66024331337E11</v>
      </c>
      <c r="L13" s="10">
        <v>7.84423882E8</v>
      </c>
      <c r="M13" s="10" t="s">
        <v>146</v>
      </c>
      <c r="N13" s="10">
        <v>74655.0</v>
      </c>
      <c r="O13" s="10">
        <v>1.855847499E9</v>
      </c>
      <c r="P13" s="10" t="s">
        <v>45</v>
      </c>
      <c r="Q13" s="10" t="s">
        <v>46</v>
      </c>
      <c r="R13" s="10" t="s">
        <v>69</v>
      </c>
      <c r="S13" s="10" t="s">
        <v>70</v>
      </c>
      <c r="T13" s="10" t="s">
        <v>147</v>
      </c>
      <c r="U13" s="10" t="s">
        <v>49</v>
      </c>
      <c r="V13" s="10" t="s">
        <v>72</v>
      </c>
      <c r="W13" s="10" t="s">
        <v>51</v>
      </c>
      <c r="X13" s="10" t="s">
        <v>52</v>
      </c>
      <c r="Y13" s="10" t="s">
        <v>148</v>
      </c>
      <c r="Z13" s="10" t="s">
        <v>140</v>
      </c>
      <c r="AA13" s="10">
        <v>6.366261682E9</v>
      </c>
      <c r="AB13" s="10"/>
      <c r="AC13" s="10"/>
      <c r="AD13" s="10"/>
      <c r="AE13" s="10" t="s">
        <v>149</v>
      </c>
      <c r="AF13" s="10">
        <v>62126.0</v>
      </c>
      <c r="AG13" s="10" t="s">
        <v>58</v>
      </c>
      <c r="AH13" s="10" t="s">
        <v>147</v>
      </c>
      <c r="AI13" s="10" t="s">
        <v>60</v>
      </c>
      <c r="AJ13" s="10" t="s">
        <v>76</v>
      </c>
      <c r="AK13" s="10" t="s">
        <v>150</v>
      </c>
      <c r="AL13" s="10"/>
      <c r="AM13" s="10"/>
      <c r="AN13" s="10" t="s">
        <v>63</v>
      </c>
      <c r="AO13" s="10"/>
      <c r="AP13" s="10" t="s">
        <v>64</v>
      </c>
      <c r="AQ13" s="10"/>
      <c r="AR13" s="10">
        <v>1.0</v>
      </c>
      <c r="AS13" s="10" t="s">
        <v>65</v>
      </c>
      <c r="AT13" s="10"/>
      <c r="AU13" s="10" t="s">
        <v>150</v>
      </c>
      <c r="AV13" s="10"/>
      <c r="AW13" s="10" t="s">
        <v>67</v>
      </c>
    </row>
    <row r="14" ht="15.75" customHeight="1">
      <c r="A14" s="6" t="str">
        <f t="shared" si="1"/>
        <v/>
      </c>
      <c r="B14" s="6" t="str">
        <f t="shared" si="2"/>
        <v/>
      </c>
      <c r="C14" s="6" t="str">
        <f t="shared" si="3"/>
        <v/>
      </c>
      <c r="D14" s="7" t="str">
        <f t="array" ref="D14">_xludf.XLOOKUP(V14,'[1]Migrated Societies Data'!D:D,'[1]Migrated Societies Data'!B:B)</f>
        <v>#NAME?</v>
      </c>
      <c r="E14" s="8" t="str">
        <f t="array" ref="E14">_xludf.XLOOKUP(V14,'[1]Migrated Societies Data'!D:D,'[1]Migrated Societies Data'!E:E)</f>
        <v>#NAME?</v>
      </c>
      <c r="F14" s="8" t="str">
        <f>ARRAY_CONSTRAIN(ARRAYFORMULA(_xludf.XLOOKUP(O486,[1]order_Report_SA_ID_BB2.0!Q:Q,[1]order_Report_SA_ID_BB2.0!G:G)), 1, 1)</f>
        <v>#ERROR!</v>
      </c>
      <c r="G14" s="8" t="str">
        <f t="array" ref="G14">_xludf.XLOOKUP(T14,'[1]Lookup Data'!F:F,'[1]Lookup Data'!E:E)</f>
        <v>#NAME?</v>
      </c>
      <c r="H14" s="7">
        <f t="shared" si="4"/>
        <v>12</v>
      </c>
      <c r="I14" s="7">
        <f t="shared" si="5"/>
        <v>51</v>
      </c>
      <c r="J14" s="9">
        <v>46009.0</v>
      </c>
      <c r="K14" s="10">
        <v>7.66024353955E11</v>
      </c>
      <c r="L14" s="10">
        <v>7.84425996E8</v>
      </c>
      <c r="M14" s="10" t="s">
        <v>151</v>
      </c>
      <c r="N14" s="10">
        <v>6.0000226E7</v>
      </c>
      <c r="O14" s="10">
        <v>1.855848956E9</v>
      </c>
      <c r="P14" s="10" t="s">
        <v>45</v>
      </c>
      <c r="Q14" s="10" t="s">
        <v>46</v>
      </c>
      <c r="R14" s="10" t="s">
        <v>152</v>
      </c>
      <c r="S14" s="10" t="s">
        <v>153</v>
      </c>
      <c r="T14" s="10" t="s">
        <v>154</v>
      </c>
      <c r="U14" s="10" t="s">
        <v>49</v>
      </c>
      <c r="V14" s="10" t="s">
        <v>155</v>
      </c>
      <c r="W14" s="10" t="s">
        <v>51</v>
      </c>
      <c r="X14" s="10" t="s">
        <v>52</v>
      </c>
      <c r="Y14" s="10"/>
      <c r="Z14" s="10" t="s">
        <v>156</v>
      </c>
      <c r="AA14" s="10">
        <v>8.867404312E9</v>
      </c>
      <c r="AB14" s="10"/>
      <c r="AC14" s="10"/>
      <c r="AD14" s="10"/>
      <c r="AE14" s="10" t="s">
        <v>157</v>
      </c>
      <c r="AF14" s="10">
        <v>70985.0</v>
      </c>
      <c r="AG14" s="10" t="s">
        <v>58</v>
      </c>
      <c r="AH14" s="10" t="s">
        <v>158</v>
      </c>
      <c r="AI14" s="10" t="s">
        <v>60</v>
      </c>
      <c r="AJ14" s="10" t="s">
        <v>90</v>
      </c>
      <c r="AK14" s="10" t="s">
        <v>159</v>
      </c>
      <c r="AL14" s="10"/>
      <c r="AM14" s="10"/>
      <c r="AN14" s="10" t="s">
        <v>63</v>
      </c>
      <c r="AO14" s="10"/>
      <c r="AP14" s="10" t="s">
        <v>64</v>
      </c>
      <c r="AQ14" s="10"/>
      <c r="AR14" s="10">
        <v>1.0</v>
      </c>
      <c r="AS14" s="10" t="s">
        <v>65</v>
      </c>
      <c r="AT14" s="10"/>
      <c r="AU14" s="10" t="s">
        <v>160</v>
      </c>
      <c r="AV14" s="10"/>
      <c r="AW14" s="11" t="s">
        <v>161</v>
      </c>
    </row>
    <row r="15" ht="15.75" customHeight="1">
      <c r="A15" s="6" t="str">
        <f t="shared" si="1"/>
        <v/>
      </c>
      <c r="B15" s="6" t="str">
        <f t="shared" si="2"/>
        <v/>
      </c>
      <c r="C15" s="6" t="str">
        <f t="shared" si="3"/>
        <v/>
      </c>
      <c r="D15" s="7" t="str">
        <f t="array" ref="D15">_xludf.XLOOKUP(V15,'[1]Migrated Societies Data'!D:D,'[1]Migrated Societies Data'!B:B)</f>
        <v>#NAME?</v>
      </c>
      <c r="E15" s="8" t="str">
        <f t="array" ref="E15">_xludf.XLOOKUP(V15,'[1]Migrated Societies Data'!D:D,'[1]Migrated Societies Data'!E:E)</f>
        <v>#NAME?</v>
      </c>
      <c r="F15" s="8" t="str">
        <f>ARRAY_CONSTRAIN(ARRAYFORMULA(_xludf.XLOOKUP(O487,[1]order_Report_SA_ID_BB2.0!Q:Q,[1]order_Report_SA_ID_BB2.0!G:G)), 1, 1)</f>
        <v>#ERROR!</v>
      </c>
      <c r="G15" s="8" t="str">
        <f t="array" ref="G15">_xludf.XLOOKUP(T15,'[1]Lookup Data'!F:F,'[1]Lookup Data'!E:E)</f>
        <v>#NAME?</v>
      </c>
      <c r="H15" s="7">
        <f t="shared" si="4"/>
        <v>12</v>
      </c>
      <c r="I15" s="7">
        <f t="shared" si="5"/>
        <v>51</v>
      </c>
      <c r="J15" s="9">
        <v>46009.0</v>
      </c>
      <c r="K15" s="10">
        <v>7.66025497248E11</v>
      </c>
      <c r="L15" s="10">
        <v>7.84434075E8</v>
      </c>
      <c r="M15" s="10" t="s">
        <v>162</v>
      </c>
      <c r="N15" s="10">
        <v>4661395.0</v>
      </c>
      <c r="O15" s="10">
        <v>1.85584898E9</v>
      </c>
      <c r="P15" s="10" t="s">
        <v>45</v>
      </c>
      <c r="Q15" s="10" t="s">
        <v>46</v>
      </c>
      <c r="R15" s="10" t="s">
        <v>119</v>
      </c>
      <c r="S15" s="10" t="s">
        <v>120</v>
      </c>
      <c r="T15" s="10" t="s">
        <v>121</v>
      </c>
      <c r="U15" s="10" t="s">
        <v>49</v>
      </c>
      <c r="V15" s="10" t="s">
        <v>72</v>
      </c>
      <c r="W15" s="10" t="s">
        <v>51</v>
      </c>
      <c r="X15" s="10" t="s">
        <v>52</v>
      </c>
      <c r="Y15" s="10"/>
      <c r="Z15" s="10" t="s">
        <v>122</v>
      </c>
      <c r="AA15" s="10">
        <v>9.845517073E9</v>
      </c>
      <c r="AB15" s="10">
        <v>4.0161616E7</v>
      </c>
      <c r="AC15" s="10" t="s">
        <v>123</v>
      </c>
      <c r="AD15" s="10" t="s">
        <v>56</v>
      </c>
      <c r="AE15" s="10" t="s">
        <v>163</v>
      </c>
      <c r="AF15" s="10">
        <v>66421.0</v>
      </c>
      <c r="AG15" s="10" t="s">
        <v>58</v>
      </c>
      <c r="AH15" s="10" t="s">
        <v>126</v>
      </c>
      <c r="AI15" s="10" t="s">
        <v>22</v>
      </c>
      <c r="AJ15" s="10" t="s">
        <v>76</v>
      </c>
      <c r="AK15" s="10" t="s">
        <v>127</v>
      </c>
      <c r="AL15" s="10"/>
      <c r="AM15" s="10"/>
      <c r="AN15" s="10" t="s">
        <v>63</v>
      </c>
      <c r="AO15" s="10"/>
      <c r="AP15" s="10" t="s">
        <v>64</v>
      </c>
      <c r="AQ15" s="10"/>
      <c r="AR15" s="10">
        <v>1.0</v>
      </c>
      <c r="AS15" s="10" t="s">
        <v>65</v>
      </c>
      <c r="AT15" s="10"/>
      <c r="AU15" s="10" t="s">
        <v>128</v>
      </c>
      <c r="AV15" s="10"/>
      <c r="AW15" s="11" t="s">
        <v>164</v>
      </c>
    </row>
    <row r="16" ht="15.75" customHeight="1">
      <c r="A16" s="6" t="str">
        <f t="shared" si="1"/>
        <v/>
      </c>
      <c r="B16" s="6" t="str">
        <f t="shared" si="2"/>
        <v/>
      </c>
      <c r="C16" s="6" t="str">
        <f t="shared" si="3"/>
        <v/>
      </c>
      <c r="D16" s="7" t="str">
        <f t="array" ref="D16">_xludf.XLOOKUP(V16,'[1]Migrated Societies Data'!D:D,'[1]Migrated Societies Data'!B:B)</f>
        <v>#NAME?</v>
      </c>
      <c r="E16" s="8" t="str">
        <f t="array" ref="E16">_xludf.XLOOKUP(V16,'[1]Migrated Societies Data'!D:D,'[1]Migrated Societies Data'!E:E)</f>
        <v>#NAME?</v>
      </c>
      <c r="F16" s="8" t="str">
        <f>ARRAY_CONSTRAIN(ARRAYFORMULA(_xludf.XLOOKUP(O488,[1]order_Report_SA_ID_BB2.0!Q:Q,[1]order_Report_SA_ID_BB2.0!G:G)), 1, 1)</f>
        <v>#ERROR!</v>
      </c>
      <c r="G16" s="8" t="str">
        <f t="array" ref="G16">_xludf.XLOOKUP(T16,'[1]Lookup Data'!F:F,'[1]Lookup Data'!E:E)</f>
        <v>#NAME?</v>
      </c>
      <c r="H16" s="7">
        <f t="shared" si="4"/>
        <v>12</v>
      </c>
      <c r="I16" s="7">
        <f t="shared" si="5"/>
        <v>51</v>
      </c>
      <c r="J16" s="9">
        <v>46009.0</v>
      </c>
      <c r="K16" s="10">
        <v>7.66026627455E11</v>
      </c>
      <c r="L16" s="10">
        <v>7.84435989E8</v>
      </c>
      <c r="M16" s="10" t="s">
        <v>165</v>
      </c>
      <c r="N16" s="10">
        <v>2.9500006E7</v>
      </c>
      <c r="O16" s="10">
        <v>1.85585012E9</v>
      </c>
      <c r="P16" s="10" t="s">
        <v>45</v>
      </c>
      <c r="Q16" s="10" t="s">
        <v>46</v>
      </c>
      <c r="R16" s="10" t="s">
        <v>69</v>
      </c>
      <c r="S16" s="10" t="s">
        <v>70</v>
      </c>
      <c r="T16" s="10" t="s">
        <v>147</v>
      </c>
      <c r="U16" s="10" t="s">
        <v>49</v>
      </c>
      <c r="V16" s="10" t="s">
        <v>130</v>
      </c>
      <c r="W16" s="10" t="s">
        <v>51</v>
      </c>
      <c r="X16" s="10" t="s">
        <v>52</v>
      </c>
      <c r="Y16" s="10"/>
      <c r="Z16" s="10" t="s">
        <v>131</v>
      </c>
      <c r="AA16" s="10">
        <v>9.11088085E9</v>
      </c>
      <c r="AB16" s="10"/>
      <c r="AC16" s="10"/>
      <c r="AD16" s="10"/>
      <c r="AE16" s="10" t="s">
        <v>166</v>
      </c>
      <c r="AF16" s="10">
        <v>63944.0</v>
      </c>
      <c r="AG16" s="10" t="s">
        <v>167</v>
      </c>
      <c r="AH16" s="10" t="s">
        <v>147</v>
      </c>
      <c r="AI16" s="10" t="s">
        <v>60</v>
      </c>
      <c r="AJ16" s="10" t="s">
        <v>134</v>
      </c>
      <c r="AK16" s="10" t="s">
        <v>150</v>
      </c>
      <c r="AL16" s="10" t="s">
        <v>168</v>
      </c>
      <c r="AM16" s="10"/>
      <c r="AN16" s="10" t="s">
        <v>136</v>
      </c>
      <c r="AO16" s="13">
        <v>46009.842997685184</v>
      </c>
      <c r="AP16" s="10" t="s">
        <v>137</v>
      </c>
      <c r="AQ16" s="11" t="s">
        <v>169</v>
      </c>
      <c r="AR16" s="10">
        <v>1.0</v>
      </c>
      <c r="AS16" s="10" t="s">
        <v>65</v>
      </c>
      <c r="AT16" s="10"/>
      <c r="AU16" s="10" t="s">
        <v>150</v>
      </c>
      <c r="AV16" s="10"/>
      <c r="AW16" s="11" t="s">
        <v>170</v>
      </c>
    </row>
    <row r="17" ht="15.75" customHeight="1">
      <c r="A17" s="6" t="str">
        <f t="shared" si="1"/>
        <v/>
      </c>
      <c r="B17" s="6" t="str">
        <f t="shared" si="2"/>
        <v/>
      </c>
      <c r="C17" s="6" t="str">
        <f t="shared" si="3"/>
        <v/>
      </c>
      <c r="D17" s="7" t="str">
        <f t="array" ref="D17">_xludf.XLOOKUP(V17,'[1]Migrated Societies Data'!D:D,'[1]Migrated Societies Data'!B:B)</f>
        <v>#NAME?</v>
      </c>
      <c r="E17" s="8" t="str">
        <f t="array" ref="E17">_xludf.XLOOKUP(V17,'[1]Migrated Societies Data'!D:D,'[1]Migrated Societies Data'!E:E)</f>
        <v>#NAME?</v>
      </c>
      <c r="F17" s="8" t="str">
        <f>ARRAY_CONSTRAIN(ARRAYFORMULA(_xludf.XLOOKUP(O489,[1]order_Report_SA_ID_BB2.0!Q:Q,[1]order_Report_SA_ID_BB2.0!G:G)), 1, 1)</f>
        <v>#ERROR!</v>
      </c>
      <c r="G17" s="8" t="str">
        <f t="array" ref="G17">_xludf.XLOOKUP(T17,'[1]Lookup Data'!F:F,'[1]Lookup Data'!E:E)</f>
        <v>#NAME?</v>
      </c>
      <c r="H17" s="7">
        <f t="shared" si="4"/>
        <v>12</v>
      </c>
      <c r="I17" s="7">
        <f t="shared" si="5"/>
        <v>51</v>
      </c>
      <c r="J17" s="9">
        <v>46009.0</v>
      </c>
      <c r="K17" s="10">
        <v>7.6602917261E11</v>
      </c>
      <c r="L17" s="10">
        <v>7.8382204E8</v>
      </c>
      <c r="M17" s="10" t="s">
        <v>171</v>
      </c>
      <c r="N17" s="10">
        <v>1.615433E7</v>
      </c>
      <c r="O17" s="10">
        <v>1.855038822E9</v>
      </c>
      <c r="P17" s="10" t="s">
        <v>45</v>
      </c>
      <c r="Q17" s="10" t="s">
        <v>46</v>
      </c>
      <c r="R17" s="10" t="s">
        <v>47</v>
      </c>
      <c r="S17" s="10" t="s">
        <v>47</v>
      </c>
      <c r="T17" s="10" t="s">
        <v>48</v>
      </c>
      <c r="U17" s="10" t="s">
        <v>49</v>
      </c>
      <c r="V17" s="10" t="s">
        <v>86</v>
      </c>
      <c r="W17" s="10" t="s">
        <v>51</v>
      </c>
      <c r="X17" s="10" t="s">
        <v>52</v>
      </c>
      <c r="Y17" s="10"/>
      <c r="Z17" s="10" t="s">
        <v>87</v>
      </c>
      <c r="AA17" s="10">
        <v>9.482430294E9</v>
      </c>
      <c r="AB17" s="10">
        <v>4.0090893E7</v>
      </c>
      <c r="AC17" s="10" t="s">
        <v>105</v>
      </c>
      <c r="AD17" s="10" t="s">
        <v>56</v>
      </c>
      <c r="AE17" s="10" t="s">
        <v>172</v>
      </c>
      <c r="AF17" s="10">
        <v>81399.0</v>
      </c>
      <c r="AG17" s="10" t="s">
        <v>89</v>
      </c>
      <c r="AH17" s="10" t="s">
        <v>59</v>
      </c>
      <c r="AI17" s="10" t="s">
        <v>60</v>
      </c>
      <c r="AJ17" s="10" t="s">
        <v>90</v>
      </c>
      <c r="AK17" s="10" t="s">
        <v>62</v>
      </c>
      <c r="AL17" s="10"/>
      <c r="AM17" s="10"/>
      <c r="AN17" s="10" t="s">
        <v>63</v>
      </c>
      <c r="AO17" s="10"/>
      <c r="AP17" s="10" t="s">
        <v>64</v>
      </c>
      <c r="AQ17" s="10"/>
      <c r="AR17" s="10">
        <v>1.0</v>
      </c>
      <c r="AS17" s="10" t="s">
        <v>91</v>
      </c>
      <c r="AT17" s="10"/>
      <c r="AU17" s="10" t="s">
        <v>66</v>
      </c>
      <c r="AV17" s="10"/>
      <c r="AW17" s="10" t="s">
        <v>67</v>
      </c>
    </row>
    <row r="18" ht="15.75" customHeight="1">
      <c r="A18" s="6" t="str">
        <f t="shared" si="1"/>
        <v/>
      </c>
      <c r="B18" s="6" t="str">
        <f t="shared" si="2"/>
        <v/>
      </c>
      <c r="C18" s="6" t="str">
        <f t="shared" si="3"/>
        <v/>
      </c>
      <c r="D18" s="7" t="str">
        <f t="array" ref="D18">_xludf.XLOOKUP(V18,'[1]Migrated Societies Data'!D:D,'[1]Migrated Societies Data'!B:B)</f>
        <v>#NAME?</v>
      </c>
      <c r="E18" s="8" t="str">
        <f t="array" ref="E18">_xludf.XLOOKUP(V18,'[1]Migrated Societies Data'!D:D,'[1]Migrated Societies Data'!E:E)</f>
        <v>#NAME?</v>
      </c>
      <c r="F18" s="8" t="str">
        <f>ARRAY_CONSTRAIN(ARRAYFORMULA(_xludf.XLOOKUP(O490,[1]order_Report_SA_ID_BB2.0!Q:Q,[1]order_Report_SA_ID_BB2.0!G:G)), 1, 1)</f>
        <v>#ERROR!</v>
      </c>
      <c r="G18" s="8" t="str">
        <f t="array" ref="G18">_xludf.XLOOKUP(T18,'[1]Lookup Data'!F:F,'[1]Lookup Data'!E:E)</f>
        <v>#NAME?</v>
      </c>
      <c r="H18" s="7">
        <f t="shared" si="4"/>
        <v>12</v>
      </c>
      <c r="I18" s="7">
        <f t="shared" si="5"/>
        <v>51</v>
      </c>
      <c r="J18" s="9">
        <v>46009.0</v>
      </c>
      <c r="K18" s="10">
        <v>7.66030363072E11</v>
      </c>
      <c r="L18" s="10">
        <v>7.84457898E8</v>
      </c>
      <c r="M18" s="10" t="s">
        <v>173</v>
      </c>
      <c r="N18" s="10">
        <v>9690419.0</v>
      </c>
      <c r="O18" s="10">
        <v>1.855849956E9</v>
      </c>
      <c r="P18" s="10" t="s">
        <v>45</v>
      </c>
      <c r="Q18" s="10" t="s">
        <v>46</v>
      </c>
      <c r="R18" s="10" t="s">
        <v>69</v>
      </c>
      <c r="S18" s="10" t="s">
        <v>174</v>
      </c>
      <c r="T18" s="10" t="s">
        <v>175</v>
      </c>
      <c r="U18" s="10" t="s">
        <v>49</v>
      </c>
      <c r="V18" s="10" t="s">
        <v>155</v>
      </c>
      <c r="W18" s="10" t="s">
        <v>51</v>
      </c>
      <c r="X18" s="10" t="s">
        <v>52</v>
      </c>
      <c r="Y18" s="10"/>
      <c r="Z18" s="10" t="s">
        <v>176</v>
      </c>
      <c r="AA18" s="10">
        <v>7.676349442E9</v>
      </c>
      <c r="AB18" s="10"/>
      <c r="AC18" s="10"/>
      <c r="AD18" s="10"/>
      <c r="AE18" s="10" t="s">
        <v>74</v>
      </c>
      <c r="AF18" s="10">
        <v>75093.0</v>
      </c>
      <c r="AG18" s="10" t="s">
        <v>75</v>
      </c>
      <c r="AH18" s="10" t="s">
        <v>177</v>
      </c>
      <c r="AI18" s="10" t="s">
        <v>60</v>
      </c>
      <c r="AJ18" s="10" t="s">
        <v>90</v>
      </c>
      <c r="AK18" s="10" t="s">
        <v>178</v>
      </c>
      <c r="AL18" s="10"/>
      <c r="AM18" s="10"/>
      <c r="AN18" s="10" t="s">
        <v>63</v>
      </c>
      <c r="AO18" s="10"/>
      <c r="AP18" s="10" t="s">
        <v>64</v>
      </c>
      <c r="AQ18" s="10"/>
      <c r="AR18" s="10">
        <v>1.0</v>
      </c>
      <c r="AS18" s="10" t="s">
        <v>65</v>
      </c>
      <c r="AT18" s="10"/>
      <c r="AU18" s="10" t="s">
        <v>179</v>
      </c>
      <c r="AV18" s="10"/>
      <c r="AW18" s="10" t="s">
        <v>67</v>
      </c>
    </row>
    <row r="19" ht="15.75" customHeight="1">
      <c r="A19" s="6" t="str">
        <f t="shared" si="1"/>
        <v/>
      </c>
      <c r="B19" s="6" t="str">
        <f t="shared" si="2"/>
        <v/>
      </c>
      <c r="C19" s="6" t="str">
        <f t="shared" si="3"/>
        <v/>
      </c>
      <c r="D19" s="7" t="str">
        <f t="array" ref="D19">_xludf.XLOOKUP(V19,'[1]Migrated Societies Data'!D:D,'[1]Migrated Societies Data'!B:B)</f>
        <v>#NAME?</v>
      </c>
      <c r="E19" s="8" t="str">
        <f t="array" ref="E19">_xludf.XLOOKUP(V19,'[1]Migrated Societies Data'!D:D,'[1]Migrated Societies Data'!E:E)</f>
        <v>#NAME?</v>
      </c>
      <c r="F19" s="8" t="str">
        <f>ARRAY_CONSTRAIN(ARRAYFORMULA(_xludf.XLOOKUP(O491,[1]order_Report_SA_ID_BB2.0!Q:Q,[1]order_Report_SA_ID_BB2.0!G:G)), 1, 1)</f>
        <v>#ERROR!</v>
      </c>
      <c r="G19" s="8" t="str">
        <f t="array" ref="G19">_xludf.XLOOKUP(T19,'[1]Lookup Data'!F:F,'[1]Lookup Data'!E:E)</f>
        <v>#NAME?</v>
      </c>
      <c r="H19" s="7">
        <f t="shared" si="4"/>
        <v>12</v>
      </c>
      <c r="I19" s="7">
        <f t="shared" si="5"/>
        <v>51</v>
      </c>
      <c r="J19" s="9">
        <v>46009.0</v>
      </c>
      <c r="K19" s="10">
        <v>7.66031653838E11</v>
      </c>
      <c r="L19" s="10">
        <v>7.84484047E8</v>
      </c>
      <c r="M19" s="10" t="s">
        <v>180</v>
      </c>
      <c r="N19" s="10">
        <v>8411994.0</v>
      </c>
      <c r="O19" s="10">
        <v>1.85584758E9</v>
      </c>
      <c r="P19" s="10" t="s">
        <v>45</v>
      </c>
      <c r="Q19" s="10" t="s">
        <v>46</v>
      </c>
      <c r="R19" s="10" t="s">
        <v>47</v>
      </c>
      <c r="S19" s="10" t="s">
        <v>47</v>
      </c>
      <c r="T19" s="10" t="s">
        <v>48</v>
      </c>
      <c r="U19" s="10" t="s">
        <v>49</v>
      </c>
      <c r="V19" s="10" t="s">
        <v>181</v>
      </c>
      <c r="W19" s="10" t="s">
        <v>51</v>
      </c>
      <c r="X19" s="10" t="s">
        <v>52</v>
      </c>
      <c r="Y19" s="10"/>
      <c r="Z19" s="10" t="s">
        <v>182</v>
      </c>
      <c r="AA19" s="10">
        <v>9.632810059E9</v>
      </c>
      <c r="AB19" s="10">
        <v>4.0272798E7</v>
      </c>
      <c r="AC19" s="10" t="s">
        <v>183</v>
      </c>
      <c r="AD19" s="10" t="s">
        <v>184</v>
      </c>
      <c r="AE19" s="10" t="s">
        <v>185</v>
      </c>
      <c r="AF19" s="10">
        <v>79693.0</v>
      </c>
      <c r="AG19" s="10" t="s">
        <v>186</v>
      </c>
      <c r="AH19" s="10" t="s">
        <v>59</v>
      </c>
      <c r="AI19" s="10" t="s">
        <v>60</v>
      </c>
      <c r="AJ19" s="10" t="s">
        <v>90</v>
      </c>
      <c r="AK19" s="10" t="s">
        <v>62</v>
      </c>
      <c r="AL19" s="10"/>
      <c r="AM19" s="10"/>
      <c r="AN19" s="10" t="s">
        <v>63</v>
      </c>
      <c r="AO19" s="10"/>
      <c r="AP19" s="10" t="s">
        <v>64</v>
      </c>
      <c r="AQ19" s="10"/>
      <c r="AR19" s="10">
        <v>1.0</v>
      </c>
      <c r="AS19" s="10" t="s">
        <v>65</v>
      </c>
      <c r="AT19" s="10"/>
      <c r="AU19" s="10" t="s">
        <v>66</v>
      </c>
      <c r="AV19" s="10"/>
      <c r="AW19" s="10" t="s">
        <v>67</v>
      </c>
    </row>
    <row r="20" ht="15.75" customHeight="1">
      <c r="A20" s="6" t="str">
        <f t="shared" si="1"/>
        <v/>
      </c>
      <c r="B20" s="6" t="str">
        <f t="shared" si="2"/>
        <v/>
      </c>
      <c r="C20" s="6" t="str">
        <f t="shared" si="3"/>
        <v/>
      </c>
      <c r="D20" s="7" t="str">
        <f t="array" ref="D20">_xludf.XLOOKUP(V20,'[1]Migrated Societies Data'!D:D,'[1]Migrated Societies Data'!B:B)</f>
        <v>#NAME?</v>
      </c>
      <c r="E20" s="8" t="str">
        <f t="array" ref="E20">_xludf.XLOOKUP(V20,'[1]Migrated Societies Data'!D:D,'[1]Migrated Societies Data'!E:E)</f>
        <v>#NAME?</v>
      </c>
      <c r="F20" s="8" t="str">
        <f>ARRAY_CONSTRAIN(ARRAYFORMULA(_xludf.XLOOKUP(O492,[1]order_Report_SA_ID_BB2.0!Q:Q,[1]order_Report_SA_ID_BB2.0!G:G)), 1, 1)</f>
        <v>#ERROR!</v>
      </c>
      <c r="G20" s="8" t="str">
        <f t="array" ref="G20">_xludf.XLOOKUP(T20,'[1]Lookup Data'!F:F,'[1]Lookup Data'!E:E)</f>
        <v>#NAME?</v>
      </c>
      <c r="H20" s="7">
        <f t="shared" si="4"/>
        <v>12</v>
      </c>
      <c r="I20" s="7">
        <f t="shared" si="5"/>
        <v>51</v>
      </c>
      <c r="J20" s="9">
        <v>46009.0</v>
      </c>
      <c r="K20" s="10">
        <v>7.66057027813E11</v>
      </c>
      <c r="L20" s="10">
        <v>7.8440943E8</v>
      </c>
      <c r="M20" s="10" t="s">
        <v>187</v>
      </c>
      <c r="N20" s="10">
        <v>191872.0</v>
      </c>
      <c r="O20" s="10">
        <v>1.855848389E9</v>
      </c>
      <c r="P20" s="10" t="s">
        <v>45</v>
      </c>
      <c r="Q20" s="10" t="s">
        <v>46</v>
      </c>
      <c r="R20" s="10" t="s">
        <v>47</v>
      </c>
      <c r="S20" s="10" t="s">
        <v>47</v>
      </c>
      <c r="T20" s="10" t="s">
        <v>48</v>
      </c>
      <c r="U20" s="10" t="s">
        <v>49</v>
      </c>
      <c r="V20" s="10" t="s">
        <v>72</v>
      </c>
      <c r="W20" s="10" t="s">
        <v>51</v>
      </c>
      <c r="X20" s="10" t="s">
        <v>52</v>
      </c>
      <c r="Y20" s="10"/>
      <c r="Z20" s="10" t="s">
        <v>188</v>
      </c>
      <c r="AA20" s="10">
        <v>8.970200474E9</v>
      </c>
      <c r="AB20" s="10">
        <v>4.0149832E7</v>
      </c>
      <c r="AC20" s="10" t="s">
        <v>82</v>
      </c>
      <c r="AD20" s="10" t="s">
        <v>56</v>
      </c>
      <c r="AE20" s="10" t="s">
        <v>189</v>
      </c>
      <c r="AF20" s="10">
        <v>75267.0</v>
      </c>
      <c r="AG20" s="10" t="s">
        <v>190</v>
      </c>
      <c r="AH20" s="10" t="s">
        <v>59</v>
      </c>
      <c r="AI20" s="10" t="s">
        <v>60</v>
      </c>
      <c r="AJ20" s="10" t="s">
        <v>76</v>
      </c>
      <c r="AK20" s="10" t="s">
        <v>62</v>
      </c>
      <c r="AL20" s="10"/>
      <c r="AM20" s="10"/>
      <c r="AN20" s="10" t="s">
        <v>63</v>
      </c>
      <c r="AO20" s="10"/>
      <c r="AP20" s="10" t="s">
        <v>64</v>
      </c>
      <c r="AQ20" s="10"/>
      <c r="AR20" s="10">
        <v>1.0</v>
      </c>
      <c r="AS20" s="10" t="s">
        <v>65</v>
      </c>
      <c r="AT20" s="10"/>
      <c r="AU20" s="10" t="s">
        <v>66</v>
      </c>
      <c r="AV20" s="10"/>
      <c r="AW20" s="10" t="s">
        <v>67</v>
      </c>
    </row>
    <row r="21" ht="15.75" customHeight="1">
      <c r="A21" s="6" t="str">
        <f t="shared" si="1"/>
        <v/>
      </c>
      <c r="B21" s="6" t="str">
        <f t="shared" si="2"/>
        <v/>
      </c>
      <c r="C21" s="6" t="str">
        <f t="shared" si="3"/>
        <v/>
      </c>
      <c r="D21" s="7" t="str">
        <f t="array" ref="D21">_xludf.XLOOKUP(V21,'[1]Migrated Societies Data'!D:D,'[1]Migrated Societies Data'!B:B)</f>
        <v>#NAME?</v>
      </c>
      <c r="E21" s="8" t="str">
        <f t="array" ref="E21">_xludf.XLOOKUP(V21,'[1]Migrated Societies Data'!D:D,'[1]Migrated Societies Data'!E:E)</f>
        <v>#NAME?</v>
      </c>
      <c r="F21" s="8" t="str">
        <f>ARRAY_CONSTRAIN(ARRAYFORMULA(_xludf.XLOOKUP(O493,[1]order_Report_SA_ID_BB2.0!Q:Q,[1]order_Report_SA_ID_BB2.0!G:G)), 1, 1)</f>
        <v>#ERROR!</v>
      </c>
      <c r="G21" s="8" t="str">
        <f t="array" ref="G21">_xludf.XLOOKUP(T21,'[1]Lookup Data'!F:F,'[1]Lookup Data'!E:E)</f>
        <v>#NAME?</v>
      </c>
      <c r="H21" s="7">
        <f t="shared" si="4"/>
        <v>12</v>
      </c>
      <c r="I21" s="7">
        <f t="shared" si="5"/>
        <v>51</v>
      </c>
      <c r="J21" s="9">
        <v>46009.0</v>
      </c>
      <c r="K21" s="10">
        <v>7.66062181622E11</v>
      </c>
      <c r="L21" s="10">
        <v>7.84369397E8</v>
      </c>
      <c r="M21" s="10" t="s">
        <v>191</v>
      </c>
      <c r="N21" s="10">
        <v>8612812.0</v>
      </c>
      <c r="O21" s="10">
        <v>1.85584616E9</v>
      </c>
      <c r="P21" s="10" t="s">
        <v>45</v>
      </c>
      <c r="Q21" s="10" t="s">
        <v>46</v>
      </c>
      <c r="R21" s="10" t="s">
        <v>69</v>
      </c>
      <c r="S21" s="10" t="s">
        <v>70</v>
      </c>
      <c r="T21" s="10" t="s">
        <v>71</v>
      </c>
      <c r="U21" s="10" t="s">
        <v>49</v>
      </c>
      <c r="V21" s="10" t="s">
        <v>94</v>
      </c>
      <c r="W21" s="10" t="s">
        <v>51</v>
      </c>
      <c r="X21" s="10" t="s">
        <v>52</v>
      </c>
      <c r="Y21" s="10" t="s">
        <v>192</v>
      </c>
      <c r="Z21" s="10" t="s">
        <v>95</v>
      </c>
      <c r="AA21" s="10">
        <v>9.902019848E9</v>
      </c>
      <c r="AB21" s="10"/>
      <c r="AC21" s="10"/>
      <c r="AD21" s="10"/>
      <c r="AE21" s="10" t="s">
        <v>193</v>
      </c>
      <c r="AF21" s="10">
        <v>81025.0</v>
      </c>
      <c r="AG21" s="10" t="s">
        <v>194</v>
      </c>
      <c r="AH21" s="10" t="s">
        <v>71</v>
      </c>
      <c r="AI21" s="10" t="s">
        <v>60</v>
      </c>
      <c r="AJ21" s="10" t="s">
        <v>90</v>
      </c>
      <c r="AK21" s="10" t="s">
        <v>77</v>
      </c>
      <c r="AL21" s="10"/>
      <c r="AM21" s="10"/>
      <c r="AN21" s="10" t="s">
        <v>63</v>
      </c>
      <c r="AO21" s="10"/>
      <c r="AP21" s="10" t="s">
        <v>64</v>
      </c>
      <c r="AQ21" s="11" t="s">
        <v>195</v>
      </c>
      <c r="AR21" s="10">
        <v>2.0</v>
      </c>
      <c r="AS21" s="10" t="s">
        <v>65</v>
      </c>
      <c r="AT21" s="10"/>
      <c r="AU21" s="10" t="s">
        <v>79</v>
      </c>
      <c r="AV21" s="10"/>
      <c r="AW21" s="10" t="s">
        <v>67</v>
      </c>
    </row>
    <row r="22" ht="15.75" customHeight="1">
      <c r="A22" s="6" t="str">
        <f t="shared" si="1"/>
        <v/>
      </c>
      <c r="B22" s="6" t="str">
        <f t="shared" si="2"/>
        <v/>
      </c>
      <c r="C22" s="6" t="str">
        <f t="shared" si="3"/>
        <v/>
      </c>
      <c r="D22" s="7" t="str">
        <f t="array" ref="D22">_xludf.XLOOKUP(V22,'[1]Migrated Societies Data'!D:D,'[1]Migrated Societies Data'!B:B)</f>
        <v>#NAME?</v>
      </c>
      <c r="E22" s="8" t="str">
        <f t="array" ref="E22">_xludf.XLOOKUP(V22,'[1]Migrated Societies Data'!D:D,'[1]Migrated Societies Data'!E:E)</f>
        <v>#NAME?</v>
      </c>
      <c r="F22" s="8" t="str">
        <f>ARRAY_CONSTRAIN(ARRAYFORMULA(_xludf.XLOOKUP(O494,[1]order_Report_SA_ID_BB2.0!Q:Q,[1]order_Report_SA_ID_BB2.0!G:G)), 1, 1)</f>
        <v>#ERROR!</v>
      </c>
      <c r="G22" s="8" t="str">
        <f t="array" ref="G22">_xludf.XLOOKUP(T22,'[1]Lookup Data'!F:F,'[1]Lookup Data'!E:E)</f>
        <v>#NAME?</v>
      </c>
      <c r="H22" s="7">
        <f t="shared" si="4"/>
        <v>12</v>
      </c>
      <c r="I22" s="7">
        <f t="shared" si="5"/>
        <v>51</v>
      </c>
      <c r="J22" s="9">
        <v>46009.0</v>
      </c>
      <c r="K22" s="10">
        <v>7.6606356527E11</v>
      </c>
      <c r="L22" s="10">
        <v>7.84801831E8</v>
      </c>
      <c r="M22" s="10" t="s">
        <v>196</v>
      </c>
      <c r="N22" s="10">
        <v>6503839.0</v>
      </c>
      <c r="O22" s="10">
        <v>1.855848595E9</v>
      </c>
      <c r="P22" s="10" t="s">
        <v>45</v>
      </c>
      <c r="Q22" s="10" t="s">
        <v>46</v>
      </c>
      <c r="R22" s="10" t="s">
        <v>119</v>
      </c>
      <c r="S22" s="10" t="s">
        <v>120</v>
      </c>
      <c r="T22" s="10" t="s">
        <v>121</v>
      </c>
      <c r="U22" s="10" t="s">
        <v>49</v>
      </c>
      <c r="V22" s="10" t="s">
        <v>72</v>
      </c>
      <c r="W22" s="10" t="s">
        <v>51</v>
      </c>
      <c r="X22" s="10" t="s">
        <v>52</v>
      </c>
      <c r="Y22" s="10" t="s">
        <v>148</v>
      </c>
      <c r="Z22" s="10" t="s">
        <v>140</v>
      </c>
      <c r="AA22" s="10">
        <v>6.366261682E9</v>
      </c>
      <c r="AB22" s="10">
        <v>4.0161616E7</v>
      </c>
      <c r="AC22" s="10" t="s">
        <v>123</v>
      </c>
      <c r="AD22" s="10" t="s">
        <v>56</v>
      </c>
      <c r="AE22" s="10" t="s">
        <v>197</v>
      </c>
      <c r="AF22" s="10">
        <v>28199.0</v>
      </c>
      <c r="AG22" s="10" t="s">
        <v>198</v>
      </c>
      <c r="AH22" s="10" t="s">
        <v>126</v>
      </c>
      <c r="AI22" s="10" t="s">
        <v>22</v>
      </c>
      <c r="AJ22" s="10" t="s">
        <v>76</v>
      </c>
      <c r="AK22" s="10" t="s">
        <v>127</v>
      </c>
      <c r="AL22" s="10"/>
      <c r="AM22" s="10"/>
      <c r="AN22" s="10" t="s">
        <v>63</v>
      </c>
      <c r="AO22" s="10"/>
      <c r="AP22" s="10" t="s">
        <v>64</v>
      </c>
      <c r="AQ22" s="11" t="s">
        <v>199</v>
      </c>
      <c r="AR22" s="10">
        <v>1.0</v>
      </c>
      <c r="AS22" s="10" t="s">
        <v>65</v>
      </c>
      <c r="AT22" s="10"/>
      <c r="AU22" s="10" t="s">
        <v>128</v>
      </c>
      <c r="AV22" s="10"/>
      <c r="AW22" s="10" t="s">
        <v>67</v>
      </c>
    </row>
    <row r="23" ht="15.75" customHeight="1">
      <c r="A23" s="6" t="str">
        <f t="shared" si="1"/>
        <v/>
      </c>
      <c r="B23" s="6" t="str">
        <f t="shared" si="2"/>
        <v/>
      </c>
      <c r="C23" s="6" t="str">
        <f t="shared" si="3"/>
        <v/>
      </c>
      <c r="D23" s="7" t="str">
        <f t="array" ref="D23">_xludf.XLOOKUP(V23,'[1]Migrated Societies Data'!D:D,'[1]Migrated Societies Data'!B:B)</f>
        <v>#NAME?</v>
      </c>
      <c r="E23" s="8" t="str">
        <f t="array" ref="E23">_xludf.XLOOKUP(V23,'[1]Migrated Societies Data'!D:D,'[1]Migrated Societies Data'!E:E)</f>
        <v>#NAME?</v>
      </c>
      <c r="F23" s="8" t="str">
        <f>ARRAY_CONSTRAIN(ARRAYFORMULA(_xludf.XLOOKUP(O495,[1]order_Report_SA_ID_BB2.0!Q:Q,[1]order_Report_SA_ID_BB2.0!G:G)), 1, 1)</f>
        <v>#ERROR!</v>
      </c>
      <c r="G23" s="8" t="str">
        <f t="array" ref="G23">_xludf.XLOOKUP(T23,'[1]Lookup Data'!F:F,'[1]Lookup Data'!E:E)</f>
        <v>#NAME?</v>
      </c>
      <c r="H23" s="7">
        <f t="shared" si="4"/>
        <v>12</v>
      </c>
      <c r="I23" s="7">
        <f t="shared" si="5"/>
        <v>51</v>
      </c>
      <c r="J23" s="9">
        <v>46009.0</v>
      </c>
      <c r="K23" s="10">
        <v>7.66065458705E11</v>
      </c>
      <c r="L23" s="10">
        <v>7.84835925E8</v>
      </c>
      <c r="M23" s="10" t="s">
        <v>200</v>
      </c>
      <c r="N23" s="10">
        <v>3079819.0</v>
      </c>
      <c r="O23" s="10">
        <v>1.855847454E9</v>
      </c>
      <c r="P23" s="10" t="s">
        <v>45</v>
      </c>
      <c r="Q23" s="10" t="s">
        <v>46</v>
      </c>
      <c r="R23" s="10" t="s">
        <v>47</v>
      </c>
      <c r="S23" s="10" t="s">
        <v>47</v>
      </c>
      <c r="T23" s="10" t="s">
        <v>48</v>
      </c>
      <c r="U23" s="10" t="s">
        <v>49</v>
      </c>
      <c r="V23" s="10" t="s">
        <v>50</v>
      </c>
      <c r="W23" s="10" t="s">
        <v>51</v>
      </c>
      <c r="X23" s="10" t="s">
        <v>52</v>
      </c>
      <c r="Y23" s="10"/>
      <c r="Z23" s="10" t="s">
        <v>201</v>
      </c>
      <c r="AA23" s="10">
        <v>8.918145639E9</v>
      </c>
      <c r="AB23" s="10">
        <v>4.0149833E7</v>
      </c>
      <c r="AC23" s="10" t="s">
        <v>132</v>
      </c>
      <c r="AD23" s="10" t="s">
        <v>56</v>
      </c>
      <c r="AE23" s="10" t="s">
        <v>202</v>
      </c>
      <c r="AF23" s="10">
        <v>80875.0</v>
      </c>
      <c r="AG23" s="10" t="s">
        <v>89</v>
      </c>
      <c r="AH23" s="10" t="s">
        <v>59</v>
      </c>
      <c r="AI23" s="10" t="s">
        <v>60</v>
      </c>
      <c r="AJ23" s="10" t="s">
        <v>61</v>
      </c>
      <c r="AK23" s="10" t="s">
        <v>62</v>
      </c>
      <c r="AL23" s="10"/>
      <c r="AM23" s="10"/>
      <c r="AN23" s="10" t="s">
        <v>63</v>
      </c>
      <c r="AO23" s="10"/>
      <c r="AP23" s="10" t="s">
        <v>64</v>
      </c>
      <c r="AQ23" s="10"/>
      <c r="AR23" s="10">
        <v>1.0</v>
      </c>
      <c r="AS23" s="10" t="s">
        <v>65</v>
      </c>
      <c r="AT23" s="10"/>
      <c r="AU23" s="10" t="s">
        <v>66</v>
      </c>
      <c r="AV23" s="10"/>
      <c r="AW23" s="10" t="s">
        <v>67</v>
      </c>
    </row>
    <row r="24" ht="15.75" customHeight="1">
      <c r="A24" s="6" t="str">
        <f t="shared" si="1"/>
        <v/>
      </c>
      <c r="B24" s="6" t="str">
        <f t="shared" si="2"/>
        <v/>
      </c>
      <c r="C24" s="6" t="str">
        <f t="shared" si="3"/>
        <v/>
      </c>
      <c r="D24" s="7" t="str">
        <f t="array" ref="D24">_xludf.XLOOKUP(V24,'[1]Migrated Societies Data'!D:D,'[1]Migrated Societies Data'!B:B)</f>
        <v>#NAME?</v>
      </c>
      <c r="E24" s="8" t="str">
        <f t="array" ref="E24">_xludf.XLOOKUP(V24,'[1]Migrated Societies Data'!D:D,'[1]Migrated Societies Data'!E:E)</f>
        <v>#NAME?</v>
      </c>
      <c r="F24" s="8" t="str">
        <f>ARRAY_CONSTRAIN(ARRAYFORMULA(_xludf.XLOOKUP(O496,[1]order_Report_SA_ID_BB2.0!Q:Q,[1]order_Report_SA_ID_BB2.0!G:G)), 1, 1)</f>
        <v>#ERROR!</v>
      </c>
      <c r="G24" s="8" t="str">
        <f t="array" ref="G24">_xludf.XLOOKUP(T24,'[1]Lookup Data'!F:F,'[1]Lookup Data'!E:E)</f>
        <v>#NAME?</v>
      </c>
      <c r="H24" s="7">
        <f t="shared" si="4"/>
        <v>12</v>
      </c>
      <c r="I24" s="7">
        <f t="shared" si="5"/>
        <v>51</v>
      </c>
      <c r="J24" s="9">
        <v>46009.0</v>
      </c>
      <c r="K24" s="10">
        <v>7.66069432805E11</v>
      </c>
      <c r="L24" s="10">
        <v>7.84888315E8</v>
      </c>
      <c r="M24" s="10" t="s">
        <v>203</v>
      </c>
      <c r="N24" s="10">
        <v>1.8790075E7</v>
      </c>
      <c r="O24" s="10">
        <v>1.855848394E9</v>
      </c>
      <c r="P24" s="10" t="s">
        <v>45</v>
      </c>
      <c r="Q24" s="10" t="s">
        <v>46</v>
      </c>
      <c r="R24" s="10" t="s">
        <v>119</v>
      </c>
      <c r="S24" s="10" t="s">
        <v>120</v>
      </c>
      <c r="T24" s="10" t="s">
        <v>121</v>
      </c>
      <c r="U24" s="10" t="s">
        <v>49</v>
      </c>
      <c r="V24" s="10" t="s">
        <v>72</v>
      </c>
      <c r="W24" s="10" t="s">
        <v>51</v>
      </c>
      <c r="X24" s="10" t="s">
        <v>52</v>
      </c>
      <c r="Y24" s="10"/>
      <c r="Z24" s="10" t="s">
        <v>140</v>
      </c>
      <c r="AA24" s="10">
        <v>6.366261682E9</v>
      </c>
      <c r="AB24" s="10">
        <v>4.0149832E7</v>
      </c>
      <c r="AC24" s="10" t="s">
        <v>82</v>
      </c>
      <c r="AD24" s="10" t="s">
        <v>56</v>
      </c>
      <c r="AE24" s="10" t="s">
        <v>204</v>
      </c>
      <c r="AF24" s="10">
        <v>80383.0</v>
      </c>
      <c r="AG24" s="10" t="s">
        <v>89</v>
      </c>
      <c r="AH24" s="10" t="s">
        <v>126</v>
      </c>
      <c r="AI24" s="10" t="s">
        <v>22</v>
      </c>
      <c r="AJ24" s="10" t="s">
        <v>76</v>
      </c>
      <c r="AK24" s="10" t="s">
        <v>127</v>
      </c>
      <c r="AL24" s="10"/>
      <c r="AM24" s="10"/>
      <c r="AN24" s="10" t="s">
        <v>63</v>
      </c>
      <c r="AO24" s="10"/>
      <c r="AP24" s="10" t="s">
        <v>64</v>
      </c>
      <c r="AQ24" s="10"/>
      <c r="AR24" s="10">
        <v>1.0</v>
      </c>
      <c r="AS24" s="10" t="s">
        <v>65</v>
      </c>
      <c r="AT24" s="10"/>
      <c r="AU24" s="10" t="s">
        <v>128</v>
      </c>
      <c r="AV24" s="10"/>
      <c r="AW24" s="11" t="s">
        <v>205</v>
      </c>
    </row>
    <row r="25" ht="15.75" customHeight="1">
      <c r="A25" s="6" t="str">
        <f t="shared" si="1"/>
        <v/>
      </c>
      <c r="B25" s="6" t="str">
        <f t="shared" si="2"/>
        <v/>
      </c>
      <c r="C25" s="6" t="str">
        <f t="shared" si="3"/>
        <v/>
      </c>
      <c r="D25" s="7" t="str">
        <f t="array" ref="D25">_xludf.XLOOKUP(V25,'[1]Migrated Societies Data'!D:D,'[1]Migrated Societies Data'!B:B)</f>
        <v>#NAME?</v>
      </c>
      <c r="E25" s="8" t="str">
        <f t="array" ref="E25">_xludf.XLOOKUP(V25,'[1]Migrated Societies Data'!D:D,'[1]Migrated Societies Data'!E:E)</f>
        <v>#NAME?</v>
      </c>
      <c r="F25" s="8" t="str">
        <f>ARRAY_CONSTRAIN(ARRAYFORMULA(_xludf.XLOOKUP(O497,[1]order_Report_SA_ID_BB2.0!Q:Q,[1]order_Report_SA_ID_BB2.0!G:G)), 1, 1)</f>
        <v>#ERROR!</v>
      </c>
      <c r="G25" s="8" t="str">
        <f t="array" ref="G25">_xludf.XLOOKUP(T25,'[1]Lookup Data'!F:F,'[1]Lookup Data'!E:E)</f>
        <v>#NAME?</v>
      </c>
      <c r="H25" s="7">
        <f t="shared" si="4"/>
        <v>12</v>
      </c>
      <c r="I25" s="7">
        <f t="shared" si="5"/>
        <v>51</v>
      </c>
      <c r="J25" s="9">
        <v>46009.0</v>
      </c>
      <c r="K25" s="10">
        <v>7.66072681663E11</v>
      </c>
      <c r="L25" s="10">
        <v>7.84915995E8</v>
      </c>
      <c r="M25" s="10" t="s">
        <v>206</v>
      </c>
      <c r="N25" s="10">
        <v>3742461.0</v>
      </c>
      <c r="O25" s="10">
        <v>1.855850276E9</v>
      </c>
      <c r="P25" s="10" t="s">
        <v>45</v>
      </c>
      <c r="Q25" s="10" t="s">
        <v>46</v>
      </c>
      <c r="R25" s="10" t="s">
        <v>47</v>
      </c>
      <c r="S25" s="10" t="s">
        <v>47</v>
      </c>
      <c r="T25" s="10" t="s">
        <v>93</v>
      </c>
      <c r="U25" s="10" t="s">
        <v>49</v>
      </c>
      <c r="V25" s="10" t="s">
        <v>130</v>
      </c>
      <c r="W25" s="10" t="s">
        <v>51</v>
      </c>
      <c r="X25" s="10" t="s">
        <v>52</v>
      </c>
      <c r="Y25" s="10"/>
      <c r="Z25" s="10" t="s">
        <v>207</v>
      </c>
      <c r="AA25" s="10">
        <v>9.900318917E9</v>
      </c>
      <c r="AB25" s="10">
        <v>4.0149834E7</v>
      </c>
      <c r="AC25" s="10" t="s">
        <v>132</v>
      </c>
      <c r="AD25" s="10" t="s">
        <v>56</v>
      </c>
      <c r="AE25" s="10" t="s">
        <v>208</v>
      </c>
      <c r="AF25" s="10">
        <v>80886.0</v>
      </c>
      <c r="AG25" s="10" t="s">
        <v>89</v>
      </c>
      <c r="AH25" s="10" t="s">
        <v>98</v>
      </c>
      <c r="AI25" s="10" t="s">
        <v>22</v>
      </c>
      <c r="AJ25" s="10" t="s">
        <v>134</v>
      </c>
      <c r="AK25" s="10" t="s">
        <v>99</v>
      </c>
      <c r="AL25" s="10"/>
      <c r="AM25" s="10"/>
      <c r="AN25" s="10" t="s">
        <v>63</v>
      </c>
      <c r="AO25" s="10"/>
      <c r="AP25" s="10" t="s">
        <v>64</v>
      </c>
      <c r="AQ25" s="10"/>
      <c r="AR25" s="10">
        <v>1.0</v>
      </c>
      <c r="AS25" s="10" t="s">
        <v>65</v>
      </c>
      <c r="AT25" s="10"/>
      <c r="AU25" s="10" t="s">
        <v>100</v>
      </c>
      <c r="AV25" s="10"/>
      <c r="AW25" s="11" t="s">
        <v>209</v>
      </c>
    </row>
    <row r="26" ht="15.75" customHeight="1">
      <c r="A26" s="6" t="str">
        <f t="shared" si="1"/>
        <v/>
      </c>
      <c r="B26" s="6" t="str">
        <f t="shared" si="2"/>
        <v/>
      </c>
      <c r="C26" s="6" t="str">
        <f t="shared" si="3"/>
        <v/>
      </c>
      <c r="D26" s="7" t="str">
        <f t="array" ref="D26">_xludf.XLOOKUP(V26,'[1]Migrated Societies Data'!D:D,'[1]Migrated Societies Data'!B:B)</f>
        <v>#NAME?</v>
      </c>
      <c r="E26" s="8" t="str">
        <f t="array" ref="E26">_xludf.XLOOKUP(V26,'[1]Migrated Societies Data'!D:D,'[1]Migrated Societies Data'!E:E)</f>
        <v>#NAME?</v>
      </c>
      <c r="F26" s="8" t="str">
        <f>ARRAY_CONSTRAIN(ARRAYFORMULA(_xludf.XLOOKUP(O498,[1]order_Report_SA_ID_BB2.0!Q:Q,[1]order_Report_SA_ID_BB2.0!G:G)), 1, 1)</f>
        <v>#ERROR!</v>
      </c>
      <c r="G26" s="8" t="str">
        <f t="array" ref="G26">_xludf.XLOOKUP(T26,'[1]Lookup Data'!F:F,'[1]Lookup Data'!E:E)</f>
        <v>#NAME?</v>
      </c>
      <c r="H26" s="7">
        <f t="shared" si="4"/>
        <v>12</v>
      </c>
      <c r="I26" s="7">
        <f t="shared" si="5"/>
        <v>51</v>
      </c>
      <c r="J26" s="9">
        <v>46009.0</v>
      </c>
      <c r="K26" s="10">
        <v>7.66073296729E11</v>
      </c>
      <c r="L26" s="10">
        <v>7.84412542E8</v>
      </c>
      <c r="M26" s="10" t="s">
        <v>210</v>
      </c>
      <c r="N26" s="10">
        <v>3323192.0</v>
      </c>
      <c r="O26" s="10">
        <v>1.855847737E9</v>
      </c>
      <c r="P26" s="10" t="s">
        <v>45</v>
      </c>
      <c r="Q26" s="10" t="s">
        <v>46</v>
      </c>
      <c r="R26" s="10" t="s">
        <v>47</v>
      </c>
      <c r="S26" s="10" t="s">
        <v>47</v>
      </c>
      <c r="T26" s="10" t="s">
        <v>48</v>
      </c>
      <c r="U26" s="10" t="s">
        <v>49</v>
      </c>
      <c r="V26" s="10" t="s">
        <v>72</v>
      </c>
      <c r="W26" s="10" t="s">
        <v>51</v>
      </c>
      <c r="X26" s="10" t="s">
        <v>52</v>
      </c>
      <c r="Y26" s="10"/>
      <c r="Z26" s="10" t="s">
        <v>73</v>
      </c>
      <c r="AA26" s="10">
        <v>9.113837969E9</v>
      </c>
      <c r="AB26" s="10">
        <v>4.0158264E7</v>
      </c>
      <c r="AC26" s="10" t="s">
        <v>82</v>
      </c>
      <c r="AD26" s="10" t="s">
        <v>56</v>
      </c>
      <c r="AE26" s="10" t="s">
        <v>211</v>
      </c>
      <c r="AF26" s="10">
        <v>79477.0</v>
      </c>
      <c r="AG26" s="10" t="s">
        <v>84</v>
      </c>
      <c r="AH26" s="10" t="s">
        <v>59</v>
      </c>
      <c r="AI26" s="10" t="s">
        <v>60</v>
      </c>
      <c r="AJ26" s="10" t="s">
        <v>76</v>
      </c>
      <c r="AK26" s="10" t="s">
        <v>62</v>
      </c>
      <c r="AL26" s="10"/>
      <c r="AM26" s="10"/>
      <c r="AN26" s="10" t="s">
        <v>63</v>
      </c>
      <c r="AO26" s="10"/>
      <c r="AP26" s="10" t="s">
        <v>64</v>
      </c>
      <c r="AQ26" s="10"/>
      <c r="AR26" s="10">
        <v>1.0</v>
      </c>
      <c r="AS26" s="10" t="s">
        <v>65</v>
      </c>
      <c r="AT26" s="10"/>
      <c r="AU26" s="10" t="s">
        <v>66</v>
      </c>
      <c r="AV26" s="10"/>
      <c r="AW26" s="10" t="s">
        <v>67</v>
      </c>
    </row>
    <row r="27" ht="15.75" customHeight="1">
      <c r="A27" s="6" t="str">
        <f t="shared" si="1"/>
        <v/>
      </c>
      <c r="B27" s="6" t="str">
        <f t="shared" si="2"/>
        <v/>
      </c>
      <c r="C27" s="6" t="str">
        <f t="shared" si="3"/>
        <v/>
      </c>
      <c r="D27" s="7" t="str">
        <f t="array" ref="D27">_xludf.XLOOKUP(V27,'[1]Migrated Societies Data'!D:D,'[1]Migrated Societies Data'!B:B)</f>
        <v>#NAME?</v>
      </c>
      <c r="E27" s="8" t="str">
        <f t="array" ref="E27">_xludf.XLOOKUP(V27,'[1]Migrated Societies Data'!D:D,'[1]Migrated Societies Data'!E:E)</f>
        <v>#NAME?</v>
      </c>
      <c r="F27" s="8" t="str">
        <f>ARRAY_CONSTRAIN(ARRAYFORMULA(_xludf.XLOOKUP(O499,[1]order_Report_SA_ID_BB2.0!Q:Q,[1]order_Report_SA_ID_BB2.0!G:G)), 1, 1)</f>
        <v>#ERROR!</v>
      </c>
      <c r="G27" s="8" t="str">
        <f t="array" ref="G27">_xludf.XLOOKUP(T27,'[1]Lookup Data'!F:F,'[1]Lookup Data'!E:E)</f>
        <v>#NAME?</v>
      </c>
      <c r="H27" s="7">
        <f t="shared" si="4"/>
        <v>12</v>
      </c>
      <c r="I27" s="7">
        <f t="shared" si="5"/>
        <v>51</v>
      </c>
      <c r="J27" s="9">
        <v>46009.0</v>
      </c>
      <c r="K27" s="10">
        <v>7.66080254764E11</v>
      </c>
      <c r="L27" s="10">
        <v>7.84354124E8</v>
      </c>
      <c r="M27" s="10" t="s">
        <v>212</v>
      </c>
      <c r="N27" s="10">
        <v>1.6189445E7</v>
      </c>
      <c r="O27" s="10">
        <v>1.855849047E9</v>
      </c>
      <c r="P27" s="10" t="s">
        <v>45</v>
      </c>
      <c r="Q27" s="10" t="s">
        <v>46</v>
      </c>
      <c r="R27" s="10" t="s">
        <v>47</v>
      </c>
      <c r="S27" s="10" t="s">
        <v>47</v>
      </c>
      <c r="T27" s="10" t="s">
        <v>213</v>
      </c>
      <c r="U27" s="10" t="s">
        <v>49</v>
      </c>
      <c r="V27" s="10" t="s">
        <v>214</v>
      </c>
      <c r="W27" s="10" t="s">
        <v>51</v>
      </c>
      <c r="X27" s="10" t="s">
        <v>52</v>
      </c>
      <c r="Y27" s="10"/>
      <c r="Z27" s="10" t="s">
        <v>215</v>
      </c>
      <c r="AA27" s="10">
        <v>8.123982256E9</v>
      </c>
      <c r="AB27" s="10">
        <v>4.0158264E7</v>
      </c>
      <c r="AC27" s="10" t="s">
        <v>82</v>
      </c>
      <c r="AD27" s="10" t="s">
        <v>56</v>
      </c>
      <c r="AE27" s="10" t="s">
        <v>216</v>
      </c>
      <c r="AF27" s="10">
        <v>70454.0</v>
      </c>
      <c r="AG27" s="10" t="s">
        <v>217</v>
      </c>
      <c r="AH27" s="10" t="s">
        <v>218</v>
      </c>
      <c r="AI27" s="10" t="s">
        <v>22</v>
      </c>
      <c r="AJ27" s="10" t="s">
        <v>219</v>
      </c>
      <c r="AK27" s="10" t="s">
        <v>220</v>
      </c>
      <c r="AL27" s="10"/>
      <c r="AM27" s="10"/>
      <c r="AN27" s="10" t="s">
        <v>63</v>
      </c>
      <c r="AO27" s="10"/>
      <c r="AP27" s="10" t="s">
        <v>64</v>
      </c>
      <c r="AQ27" s="10"/>
      <c r="AR27" s="10">
        <v>1.0</v>
      </c>
      <c r="AS27" s="10" t="s">
        <v>65</v>
      </c>
      <c r="AT27" s="10"/>
      <c r="AU27" s="10" t="s">
        <v>221</v>
      </c>
      <c r="AV27" s="10"/>
      <c r="AW27" s="11" t="s">
        <v>222</v>
      </c>
    </row>
    <row r="28" ht="15.75" customHeight="1">
      <c r="A28" s="6" t="str">
        <f t="shared" si="1"/>
        <v/>
      </c>
      <c r="B28" s="6" t="str">
        <f t="shared" si="2"/>
        <v/>
      </c>
      <c r="C28" s="6" t="str">
        <f t="shared" si="3"/>
        <v/>
      </c>
      <c r="D28" s="7" t="str">
        <f t="array" ref="D28">_xludf.XLOOKUP(V28,'[1]Migrated Societies Data'!D:D,'[1]Migrated Societies Data'!B:B)</f>
        <v>#NAME?</v>
      </c>
      <c r="E28" s="8" t="str">
        <f t="array" ref="E28">_xludf.XLOOKUP(V28,'[1]Migrated Societies Data'!D:D,'[1]Migrated Societies Data'!E:E)</f>
        <v>#NAME?</v>
      </c>
      <c r="F28" s="8" t="str">
        <f>ARRAY_CONSTRAIN(ARRAYFORMULA(_xludf.XLOOKUP(O500,[1]order_Report_SA_ID_BB2.0!Q:Q,[1]order_Report_SA_ID_BB2.0!G:G)), 1, 1)</f>
        <v>#ERROR!</v>
      </c>
      <c r="G28" s="8" t="str">
        <f t="array" ref="G28">_xludf.XLOOKUP(T28,'[1]Lookup Data'!F:F,'[1]Lookup Data'!E:E)</f>
        <v>#NAME?</v>
      </c>
      <c r="H28" s="7">
        <f t="shared" si="4"/>
        <v>12</v>
      </c>
      <c r="I28" s="7">
        <f t="shared" si="5"/>
        <v>51</v>
      </c>
      <c r="J28" s="9">
        <v>46009.0</v>
      </c>
      <c r="K28" s="10">
        <v>7.66081729827E11</v>
      </c>
      <c r="L28" s="10">
        <v>7.8498469E8</v>
      </c>
      <c r="M28" s="10" t="s">
        <v>223</v>
      </c>
      <c r="N28" s="10">
        <v>5.0313666E7</v>
      </c>
      <c r="O28" s="10">
        <v>1.855847033E9</v>
      </c>
      <c r="P28" s="10" t="s">
        <v>45</v>
      </c>
      <c r="Q28" s="10" t="s">
        <v>46</v>
      </c>
      <c r="R28" s="10" t="s">
        <v>69</v>
      </c>
      <c r="S28" s="10" t="s">
        <v>70</v>
      </c>
      <c r="T28" s="10" t="s">
        <v>71</v>
      </c>
      <c r="U28" s="10" t="s">
        <v>49</v>
      </c>
      <c r="V28" s="10" t="s">
        <v>86</v>
      </c>
      <c r="W28" s="10" t="s">
        <v>51</v>
      </c>
      <c r="X28" s="10" t="s">
        <v>52</v>
      </c>
      <c r="Y28" s="10"/>
      <c r="Z28" s="10" t="s">
        <v>87</v>
      </c>
      <c r="AA28" s="10">
        <v>9.482430294E9</v>
      </c>
      <c r="AB28" s="10">
        <v>4.0158264E7</v>
      </c>
      <c r="AC28" s="10" t="s">
        <v>82</v>
      </c>
      <c r="AD28" s="10" t="s">
        <v>56</v>
      </c>
      <c r="AE28" s="10" t="s">
        <v>224</v>
      </c>
      <c r="AF28" s="10">
        <v>75478.0</v>
      </c>
      <c r="AG28" s="10" t="s">
        <v>225</v>
      </c>
      <c r="AH28" s="10" t="s">
        <v>71</v>
      </c>
      <c r="AI28" s="10" t="s">
        <v>60</v>
      </c>
      <c r="AJ28" s="10" t="s">
        <v>90</v>
      </c>
      <c r="AK28" s="10" t="s">
        <v>77</v>
      </c>
      <c r="AL28" s="10"/>
      <c r="AM28" s="10"/>
      <c r="AN28" s="10" t="s">
        <v>63</v>
      </c>
      <c r="AO28" s="10"/>
      <c r="AP28" s="10" t="s">
        <v>64</v>
      </c>
      <c r="AQ28" s="10"/>
      <c r="AR28" s="10">
        <v>1.0</v>
      </c>
      <c r="AS28" s="10" t="s">
        <v>65</v>
      </c>
      <c r="AT28" s="10"/>
      <c r="AU28" s="10" t="s">
        <v>79</v>
      </c>
      <c r="AV28" s="10"/>
      <c r="AW28" s="10" t="s">
        <v>67</v>
      </c>
    </row>
    <row r="29" ht="15.75" customHeight="1">
      <c r="A29" s="6"/>
      <c r="B29" s="6"/>
      <c r="C29" s="6"/>
      <c r="D29" s="14"/>
      <c r="E29" s="10"/>
      <c r="F29" s="10"/>
      <c r="G29" s="10"/>
      <c r="H29" s="14"/>
      <c r="I29" s="14"/>
      <c r="J29" s="9"/>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row>
    <row r="30" ht="15.75" customHeight="1">
      <c r="A30" s="6"/>
      <c r="B30" s="6"/>
      <c r="C30" s="6"/>
      <c r="D30" s="14"/>
      <c r="E30" s="10"/>
      <c r="F30" s="10"/>
      <c r="G30" s="10"/>
      <c r="H30" s="14"/>
      <c r="I30" s="14"/>
      <c r="J30" s="9"/>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row>
    <row r="31" ht="15.75" customHeight="1">
      <c r="A31" s="6"/>
      <c r="B31" s="6"/>
      <c r="C31" s="6"/>
      <c r="D31" s="14"/>
      <c r="E31" s="10"/>
      <c r="F31" s="10"/>
      <c r="G31" s="10"/>
      <c r="H31" s="14"/>
      <c r="I31" s="14"/>
      <c r="J31" s="9"/>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row>
    <row r="32" ht="15.75" customHeight="1">
      <c r="A32" s="6"/>
      <c r="B32" s="6"/>
      <c r="C32" s="6"/>
      <c r="D32" s="14"/>
      <c r="E32" s="10"/>
      <c r="F32" s="10"/>
      <c r="G32" s="10"/>
      <c r="H32" s="14"/>
      <c r="I32" s="14"/>
      <c r="J32" s="9"/>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row>
    <row r="33" ht="15.75" customHeight="1">
      <c r="A33" s="6"/>
      <c r="B33" s="6"/>
      <c r="C33" s="6"/>
      <c r="D33" s="14"/>
      <c r="E33" s="10"/>
      <c r="F33" s="10"/>
      <c r="G33" s="10"/>
      <c r="H33" s="14"/>
      <c r="I33" s="14"/>
      <c r="J33" s="9"/>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row>
    <row r="34" ht="15.75" customHeight="1">
      <c r="A34" s="6"/>
      <c r="B34" s="6"/>
      <c r="C34" s="6"/>
      <c r="D34" s="14"/>
      <c r="E34" s="10"/>
      <c r="F34" s="10"/>
      <c r="G34" s="10"/>
      <c r="H34" s="14"/>
      <c r="I34" s="14"/>
      <c r="J34" s="9"/>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row>
    <row r="35" ht="15.75" customHeight="1">
      <c r="A35" s="6"/>
      <c r="B35" s="6"/>
      <c r="C35" s="6"/>
      <c r="D35" s="14"/>
      <c r="E35" s="10"/>
      <c r="F35" s="10"/>
      <c r="G35" s="10"/>
      <c r="H35" s="14"/>
      <c r="I35" s="14"/>
      <c r="J35" s="9"/>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row>
    <row r="36" ht="15.75" customHeight="1">
      <c r="A36" s="6"/>
      <c r="B36" s="6"/>
      <c r="C36" s="6"/>
      <c r="D36" s="14"/>
      <c r="E36" s="10"/>
      <c r="F36" s="10"/>
      <c r="G36" s="10"/>
      <c r="H36" s="14"/>
      <c r="I36" s="14"/>
      <c r="J36" s="9"/>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row>
    <row r="37" ht="15.75" customHeight="1">
      <c r="A37" s="6"/>
      <c r="B37" s="6"/>
      <c r="C37" s="6"/>
      <c r="D37" s="14"/>
      <c r="E37" s="10"/>
      <c r="F37" s="10"/>
      <c r="G37" s="10"/>
      <c r="H37" s="14"/>
      <c r="I37" s="14"/>
      <c r="J37" s="9"/>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row>
    <row r="38" ht="15.75" customHeight="1">
      <c r="A38" s="6"/>
      <c r="B38" s="6"/>
      <c r="C38" s="6"/>
      <c r="D38" s="14"/>
      <c r="E38" s="10"/>
      <c r="F38" s="10"/>
      <c r="G38" s="10"/>
      <c r="H38" s="14"/>
      <c r="I38" s="14"/>
      <c r="J38" s="9"/>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row>
    <row r="39" ht="15.75" customHeight="1">
      <c r="A39" s="6"/>
      <c r="B39" s="6"/>
      <c r="C39" s="6"/>
      <c r="D39" s="14"/>
      <c r="E39" s="10"/>
      <c r="F39" s="10"/>
      <c r="G39" s="10"/>
      <c r="H39" s="14"/>
      <c r="I39" s="14"/>
      <c r="J39" s="9"/>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row>
    <row r="40" ht="15.75" customHeight="1">
      <c r="A40" s="6"/>
      <c r="B40" s="6"/>
      <c r="C40" s="6"/>
      <c r="D40" s="14"/>
      <c r="E40" s="10"/>
      <c r="F40" s="10"/>
      <c r="G40" s="10"/>
      <c r="H40" s="14"/>
      <c r="I40" s="14"/>
      <c r="J40" s="9"/>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row>
    <row r="41" ht="15.75" customHeight="1">
      <c r="A41" s="6"/>
      <c r="B41" s="6"/>
      <c r="C41" s="6"/>
      <c r="D41" s="14"/>
      <c r="E41" s="10"/>
      <c r="F41" s="10"/>
      <c r="G41" s="10"/>
      <c r="H41" s="14"/>
      <c r="I41" s="14"/>
      <c r="J41" s="9"/>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row>
    <row r="42" ht="15.75" customHeight="1">
      <c r="A42" s="6"/>
      <c r="B42" s="6"/>
      <c r="C42" s="6"/>
      <c r="D42" s="14"/>
      <c r="E42" s="10"/>
      <c r="F42" s="10"/>
      <c r="G42" s="10"/>
      <c r="H42" s="14"/>
      <c r="I42" s="14"/>
      <c r="J42" s="9"/>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row>
    <row r="43" ht="15.75" customHeight="1">
      <c r="A43" s="6"/>
      <c r="B43" s="6"/>
      <c r="C43" s="6"/>
      <c r="D43" s="14"/>
      <c r="E43" s="10"/>
      <c r="F43" s="10"/>
      <c r="G43" s="10"/>
      <c r="H43" s="14"/>
      <c r="I43" s="14"/>
      <c r="J43" s="9"/>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row>
    <row r="44" ht="15.75" customHeight="1">
      <c r="A44" s="6"/>
      <c r="B44" s="6"/>
      <c r="C44" s="6"/>
      <c r="D44" s="14"/>
      <c r="E44" s="10"/>
      <c r="F44" s="10"/>
      <c r="G44" s="10"/>
      <c r="H44" s="14"/>
      <c r="I44" s="14"/>
      <c r="J44" s="9"/>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row>
    <row r="45" ht="15.75" customHeight="1">
      <c r="A45" s="6"/>
      <c r="B45" s="6"/>
      <c r="C45" s="6"/>
      <c r="D45" s="14"/>
      <c r="E45" s="10"/>
      <c r="F45" s="10"/>
      <c r="G45" s="10"/>
      <c r="H45" s="14"/>
      <c r="I45" s="14"/>
      <c r="J45" s="9"/>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row>
    <row r="46" ht="15.75" customHeight="1">
      <c r="A46" s="6"/>
      <c r="B46" s="6"/>
      <c r="C46" s="6"/>
      <c r="D46" s="14"/>
      <c r="E46" s="10"/>
      <c r="F46" s="10"/>
      <c r="G46" s="10"/>
      <c r="H46" s="14"/>
      <c r="I46" s="14"/>
      <c r="J46" s="9"/>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row>
    <row r="47" ht="15.75" customHeight="1">
      <c r="A47" s="6"/>
      <c r="B47" s="6"/>
      <c r="C47" s="6"/>
      <c r="D47" s="14"/>
      <c r="E47" s="10"/>
      <c r="F47" s="10"/>
      <c r="G47" s="10"/>
      <c r="H47" s="14"/>
      <c r="I47" s="14"/>
      <c r="J47" s="9"/>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row>
    <row r="48" ht="15.75" customHeight="1">
      <c r="A48" s="6"/>
      <c r="B48" s="6"/>
      <c r="C48" s="6"/>
      <c r="D48" s="14"/>
      <c r="E48" s="10"/>
      <c r="F48" s="10"/>
      <c r="G48" s="10"/>
      <c r="H48" s="14"/>
      <c r="I48" s="14"/>
      <c r="J48" s="9"/>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row>
    <row r="49" ht="15.75" customHeight="1">
      <c r="A49" s="6"/>
      <c r="B49" s="6"/>
      <c r="C49" s="6"/>
      <c r="D49" s="14"/>
      <c r="E49" s="10"/>
      <c r="F49" s="10"/>
      <c r="G49" s="10"/>
      <c r="H49" s="14"/>
      <c r="I49" s="14"/>
      <c r="J49" s="9"/>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row>
    <row r="50" ht="15.75" customHeight="1">
      <c r="A50" s="6"/>
      <c r="B50" s="6"/>
      <c r="C50" s="6"/>
      <c r="D50" s="14"/>
      <c r="E50" s="10"/>
      <c r="F50" s="10"/>
      <c r="G50" s="10"/>
      <c r="H50" s="14"/>
      <c r="I50" s="14"/>
      <c r="J50" s="9"/>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row>
    <row r="51" ht="15.75" customHeight="1">
      <c r="A51" s="6"/>
      <c r="B51" s="6"/>
      <c r="C51" s="6"/>
      <c r="D51" s="14"/>
      <c r="E51" s="10"/>
      <c r="F51" s="10"/>
      <c r="G51" s="10"/>
      <c r="H51" s="14"/>
      <c r="I51" s="14"/>
      <c r="J51" s="9"/>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row>
    <row r="52" ht="15.75" customHeight="1">
      <c r="A52" s="6"/>
      <c r="B52" s="6"/>
      <c r="C52" s="6"/>
      <c r="D52" s="14"/>
      <c r="E52" s="10"/>
      <c r="F52" s="10"/>
      <c r="G52" s="10"/>
      <c r="H52" s="14"/>
      <c r="I52" s="14"/>
      <c r="J52" s="9"/>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row>
    <row r="53" ht="15.75" customHeight="1">
      <c r="A53" s="6"/>
      <c r="B53" s="6"/>
      <c r="C53" s="6"/>
      <c r="D53" s="14"/>
      <c r="E53" s="10"/>
      <c r="F53" s="10"/>
      <c r="G53" s="10"/>
      <c r="H53" s="14"/>
      <c r="I53" s="14"/>
      <c r="J53" s="9"/>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row>
    <row r="54" ht="15.75" customHeight="1">
      <c r="A54" s="6"/>
      <c r="B54" s="6"/>
      <c r="C54" s="6"/>
      <c r="D54" s="14"/>
      <c r="E54" s="10"/>
      <c r="F54" s="10"/>
      <c r="G54" s="10"/>
      <c r="H54" s="14"/>
      <c r="I54" s="14"/>
      <c r="J54" s="9"/>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row>
    <row r="55" ht="15.75" customHeight="1">
      <c r="A55" s="6"/>
      <c r="B55" s="6"/>
      <c r="C55" s="6"/>
      <c r="D55" s="14"/>
      <c r="E55" s="10"/>
      <c r="F55" s="10"/>
      <c r="G55" s="10"/>
      <c r="H55" s="14"/>
      <c r="I55" s="14"/>
      <c r="J55" s="9"/>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row>
    <row r="56" ht="15.75" customHeight="1">
      <c r="A56" s="6"/>
      <c r="B56" s="6"/>
      <c r="C56" s="6"/>
      <c r="D56" s="14"/>
      <c r="E56" s="10"/>
      <c r="F56" s="10"/>
      <c r="G56" s="10"/>
      <c r="H56" s="14"/>
      <c r="I56" s="14"/>
      <c r="J56" s="9"/>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row>
    <row r="57" ht="15.75" customHeight="1">
      <c r="A57" s="6"/>
      <c r="B57" s="6"/>
      <c r="C57" s="6"/>
      <c r="D57" s="14"/>
      <c r="E57" s="10"/>
      <c r="F57" s="10"/>
      <c r="G57" s="10"/>
      <c r="H57" s="14"/>
      <c r="I57" s="14"/>
      <c r="J57" s="9"/>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row>
    <row r="58" ht="15.75" customHeight="1">
      <c r="A58" s="6"/>
      <c r="B58" s="6"/>
      <c r="C58" s="6"/>
      <c r="D58" s="14"/>
      <c r="E58" s="10"/>
      <c r="F58" s="10"/>
      <c r="G58" s="10"/>
      <c r="H58" s="14"/>
      <c r="I58" s="14"/>
      <c r="J58" s="9"/>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row>
    <row r="59" ht="15.75" customHeight="1">
      <c r="A59" s="6"/>
      <c r="B59" s="6"/>
      <c r="C59" s="6"/>
      <c r="D59" s="14"/>
      <c r="E59" s="10"/>
      <c r="F59" s="10"/>
      <c r="G59" s="10"/>
      <c r="H59" s="14"/>
      <c r="I59" s="14"/>
      <c r="J59" s="9"/>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row>
    <row r="60" ht="15.75" customHeight="1">
      <c r="A60" s="6"/>
      <c r="B60" s="6"/>
      <c r="C60" s="6"/>
      <c r="D60" s="14"/>
      <c r="E60" s="10"/>
      <c r="F60" s="10"/>
      <c r="G60" s="10"/>
      <c r="H60" s="14"/>
      <c r="I60" s="14"/>
      <c r="J60" s="9"/>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row>
    <row r="61" ht="15.75" customHeight="1">
      <c r="A61" s="6"/>
      <c r="B61" s="6"/>
      <c r="C61" s="6"/>
      <c r="D61" s="14"/>
      <c r="E61" s="10"/>
      <c r="F61" s="10"/>
      <c r="G61" s="10"/>
      <c r="H61" s="14"/>
      <c r="I61" s="14"/>
      <c r="J61" s="9"/>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row>
    <row r="62" ht="15.75" customHeight="1">
      <c r="A62" s="6"/>
      <c r="B62" s="6"/>
      <c r="C62" s="6"/>
      <c r="D62" s="14"/>
      <c r="E62" s="10"/>
      <c r="F62" s="10"/>
      <c r="G62" s="10"/>
      <c r="H62" s="14"/>
      <c r="I62" s="14"/>
      <c r="J62" s="9"/>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row>
    <row r="63" ht="15.75" customHeight="1">
      <c r="A63" s="6"/>
      <c r="B63" s="6"/>
      <c r="C63" s="6"/>
      <c r="D63" s="14"/>
      <c r="E63" s="10"/>
      <c r="F63" s="10"/>
      <c r="G63" s="10"/>
      <c r="H63" s="14"/>
      <c r="I63" s="14"/>
      <c r="J63" s="9"/>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row>
    <row r="64" ht="15.75" customHeight="1">
      <c r="A64" s="6"/>
      <c r="B64" s="6"/>
      <c r="C64" s="6"/>
      <c r="D64" s="14"/>
      <c r="E64" s="10"/>
      <c r="F64" s="10"/>
      <c r="G64" s="10"/>
      <c r="H64" s="14"/>
      <c r="I64" s="14"/>
      <c r="J64" s="9"/>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row>
    <row r="65" ht="15.75" customHeight="1">
      <c r="A65" s="6"/>
      <c r="B65" s="6"/>
      <c r="C65" s="6"/>
      <c r="D65" s="14"/>
      <c r="E65" s="10"/>
      <c r="F65" s="10"/>
      <c r="G65" s="10"/>
      <c r="H65" s="14"/>
      <c r="I65" s="14"/>
      <c r="J65" s="9"/>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row>
    <row r="66" ht="15.75" customHeight="1">
      <c r="A66" s="6"/>
      <c r="B66" s="6"/>
      <c r="C66" s="6"/>
      <c r="D66" s="14"/>
      <c r="E66" s="10"/>
      <c r="F66" s="10"/>
      <c r="G66" s="10"/>
      <c r="H66" s="14"/>
      <c r="I66" s="14"/>
      <c r="J66" s="9"/>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row>
    <row r="67" ht="15.75" customHeight="1">
      <c r="A67" s="6"/>
      <c r="B67" s="6"/>
      <c r="C67" s="6"/>
      <c r="D67" s="14"/>
      <c r="E67" s="10"/>
      <c r="F67" s="10"/>
      <c r="G67" s="10"/>
      <c r="H67" s="14"/>
      <c r="I67" s="14"/>
      <c r="J67" s="9"/>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row>
    <row r="68" ht="15.75" customHeight="1">
      <c r="A68" s="6"/>
      <c r="B68" s="6"/>
      <c r="C68" s="6"/>
      <c r="D68" s="14"/>
      <c r="E68" s="10"/>
      <c r="F68" s="10"/>
      <c r="G68" s="10"/>
      <c r="H68" s="14"/>
      <c r="I68" s="14"/>
      <c r="J68" s="9"/>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row>
    <row r="69" ht="15.75" customHeight="1">
      <c r="A69" s="6"/>
      <c r="B69" s="6"/>
      <c r="C69" s="6"/>
      <c r="D69" s="14"/>
      <c r="E69" s="10"/>
      <c r="F69" s="10"/>
      <c r="G69" s="10"/>
      <c r="H69" s="14"/>
      <c r="I69" s="14"/>
      <c r="J69" s="9"/>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row>
    <row r="70" ht="15.75" customHeight="1">
      <c r="A70" s="6"/>
      <c r="B70" s="6"/>
      <c r="C70" s="6"/>
      <c r="D70" s="14"/>
      <c r="E70" s="10"/>
      <c r="F70" s="10"/>
      <c r="G70" s="10"/>
      <c r="H70" s="14"/>
      <c r="I70" s="14"/>
      <c r="J70" s="9"/>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row>
    <row r="71" ht="15.75" customHeight="1">
      <c r="A71" s="6"/>
      <c r="B71" s="6"/>
      <c r="C71" s="6"/>
      <c r="D71" s="14"/>
      <c r="E71" s="10"/>
      <c r="F71" s="10"/>
      <c r="G71" s="10"/>
      <c r="H71" s="14"/>
      <c r="I71" s="14"/>
      <c r="J71" s="9"/>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row>
    <row r="72" ht="15.75" customHeight="1">
      <c r="A72" s="6"/>
      <c r="B72" s="6"/>
      <c r="C72" s="6"/>
      <c r="D72" s="14"/>
      <c r="E72" s="10"/>
      <c r="F72" s="10"/>
      <c r="G72" s="10"/>
      <c r="H72" s="14"/>
      <c r="I72" s="14"/>
      <c r="J72" s="9"/>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row>
    <row r="73" ht="15.75" customHeight="1">
      <c r="A73" s="6"/>
      <c r="B73" s="6"/>
      <c r="C73" s="6"/>
      <c r="D73" s="14"/>
      <c r="E73" s="10"/>
      <c r="F73" s="10"/>
      <c r="G73" s="10"/>
      <c r="H73" s="14"/>
      <c r="I73" s="14"/>
      <c r="J73" s="9"/>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row>
    <row r="74" ht="15.75" customHeight="1">
      <c r="A74" s="6"/>
      <c r="B74" s="6"/>
      <c r="C74" s="6"/>
      <c r="D74" s="14"/>
      <c r="E74" s="10"/>
      <c r="F74" s="10"/>
      <c r="G74" s="10"/>
      <c r="H74" s="14"/>
      <c r="I74" s="14"/>
      <c r="J74" s="9"/>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row>
    <row r="75" ht="15.75" customHeight="1">
      <c r="A75" s="6"/>
      <c r="B75" s="6"/>
      <c r="C75" s="6"/>
      <c r="D75" s="14"/>
      <c r="E75" s="10"/>
      <c r="F75" s="10"/>
      <c r="G75" s="10"/>
      <c r="H75" s="14"/>
      <c r="I75" s="14"/>
      <c r="J75" s="9"/>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row>
    <row r="76" ht="15.75" customHeight="1">
      <c r="A76" s="6"/>
      <c r="B76" s="6"/>
      <c r="C76" s="6"/>
      <c r="D76" s="14"/>
      <c r="E76" s="10"/>
      <c r="F76" s="10"/>
      <c r="G76" s="10"/>
      <c r="H76" s="14"/>
      <c r="I76" s="14"/>
      <c r="J76" s="9"/>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row>
    <row r="77" ht="15.75" customHeight="1">
      <c r="A77" s="6"/>
      <c r="B77" s="6"/>
      <c r="C77" s="6"/>
      <c r="D77" s="14"/>
      <c r="E77" s="10"/>
      <c r="F77" s="10"/>
      <c r="G77" s="10"/>
      <c r="H77" s="14"/>
      <c r="I77" s="14"/>
      <c r="J77" s="9"/>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row>
    <row r="78" ht="15.75" customHeight="1">
      <c r="A78" s="6"/>
      <c r="B78" s="6"/>
      <c r="C78" s="6"/>
      <c r="D78" s="14"/>
      <c r="E78" s="10"/>
      <c r="F78" s="10"/>
      <c r="G78" s="10"/>
      <c r="H78" s="14"/>
      <c r="I78" s="14"/>
      <c r="J78" s="9"/>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row>
    <row r="79" ht="15.75" customHeight="1">
      <c r="A79" s="6"/>
      <c r="B79" s="6"/>
      <c r="C79" s="6"/>
      <c r="D79" s="14"/>
      <c r="E79" s="10"/>
      <c r="F79" s="10"/>
      <c r="G79" s="10"/>
      <c r="H79" s="14"/>
      <c r="I79" s="14"/>
      <c r="J79" s="9"/>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row>
    <row r="80" ht="15.75" customHeight="1">
      <c r="A80" s="6"/>
      <c r="B80" s="6"/>
      <c r="C80" s="6"/>
      <c r="D80" s="14"/>
      <c r="E80" s="10"/>
      <c r="F80" s="10"/>
      <c r="G80" s="10"/>
      <c r="H80" s="14"/>
      <c r="I80" s="14"/>
      <c r="J80" s="9"/>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row>
    <row r="81" ht="15.75" customHeight="1">
      <c r="A81" s="6"/>
      <c r="B81" s="6"/>
      <c r="C81" s="6"/>
      <c r="D81" s="14"/>
      <c r="E81" s="10"/>
      <c r="F81" s="10"/>
      <c r="G81" s="10"/>
      <c r="H81" s="14"/>
      <c r="I81" s="14"/>
      <c r="J81" s="9"/>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row>
    <row r="82" ht="15.75" customHeight="1">
      <c r="A82" s="6"/>
      <c r="B82" s="6"/>
      <c r="C82" s="6"/>
      <c r="D82" s="14"/>
      <c r="E82" s="10"/>
      <c r="F82" s="10"/>
      <c r="G82" s="10"/>
      <c r="H82" s="14"/>
      <c r="I82" s="14"/>
      <c r="J82" s="9"/>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row>
    <row r="83" ht="15.75" customHeight="1">
      <c r="A83" s="6"/>
      <c r="B83" s="6"/>
      <c r="C83" s="6"/>
      <c r="D83" s="14"/>
      <c r="E83" s="10"/>
      <c r="F83" s="10"/>
      <c r="G83" s="10"/>
      <c r="H83" s="14"/>
      <c r="I83" s="14"/>
      <c r="J83" s="9"/>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row>
    <row r="84" ht="15.75" customHeight="1">
      <c r="A84" s="6"/>
      <c r="B84" s="6"/>
      <c r="C84" s="6"/>
      <c r="D84" s="14"/>
      <c r="E84" s="10"/>
      <c r="F84" s="10"/>
      <c r="G84" s="10"/>
      <c r="H84" s="14"/>
      <c r="I84" s="14"/>
      <c r="J84" s="9"/>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row>
    <row r="85" ht="15.75" customHeight="1">
      <c r="A85" s="6"/>
      <c r="B85" s="6"/>
      <c r="C85" s="6"/>
      <c r="D85" s="14"/>
      <c r="E85" s="10"/>
      <c r="F85" s="10"/>
      <c r="G85" s="10"/>
      <c r="H85" s="14"/>
      <c r="I85" s="14"/>
      <c r="J85" s="9"/>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row>
    <row r="86" ht="15.75" customHeight="1">
      <c r="A86" s="6"/>
      <c r="B86" s="6"/>
      <c r="C86" s="6"/>
      <c r="D86" s="14"/>
      <c r="E86" s="10"/>
      <c r="F86" s="10"/>
      <c r="G86" s="10"/>
      <c r="H86" s="14"/>
      <c r="I86" s="14"/>
      <c r="J86" s="9"/>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row>
    <row r="87" ht="15.75" customHeight="1">
      <c r="A87" s="6"/>
      <c r="B87" s="6"/>
      <c r="C87" s="6"/>
      <c r="D87" s="14"/>
      <c r="E87" s="10"/>
      <c r="F87" s="10"/>
      <c r="G87" s="10"/>
      <c r="H87" s="14"/>
      <c r="I87" s="14"/>
      <c r="J87" s="9"/>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row>
    <row r="88" ht="15.75" customHeight="1">
      <c r="A88" s="6"/>
      <c r="B88" s="6"/>
      <c r="C88" s="6"/>
      <c r="D88" s="14"/>
      <c r="E88" s="10"/>
      <c r="F88" s="10"/>
      <c r="G88" s="10"/>
      <c r="H88" s="14"/>
      <c r="I88" s="14"/>
      <c r="J88" s="9"/>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row>
    <row r="89" ht="15.75" customHeight="1">
      <c r="A89" s="6"/>
      <c r="B89" s="6"/>
      <c r="C89" s="6"/>
      <c r="D89" s="14"/>
      <c r="E89" s="10"/>
      <c r="F89" s="10"/>
      <c r="G89" s="10"/>
      <c r="H89" s="14"/>
      <c r="I89" s="14"/>
      <c r="J89" s="9"/>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row>
    <row r="90" ht="15.75" customHeight="1">
      <c r="A90" s="6"/>
      <c r="B90" s="6"/>
      <c r="C90" s="6"/>
      <c r="D90" s="14"/>
      <c r="E90" s="10"/>
      <c r="F90" s="10"/>
      <c r="G90" s="10"/>
      <c r="H90" s="14"/>
      <c r="I90" s="14"/>
      <c r="J90" s="9"/>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row>
    <row r="91" ht="15.75" customHeight="1">
      <c r="A91" s="6"/>
      <c r="B91" s="6"/>
      <c r="C91" s="6"/>
      <c r="D91" s="14"/>
      <c r="E91" s="10"/>
      <c r="F91" s="10"/>
      <c r="G91" s="10"/>
      <c r="H91" s="14"/>
      <c r="I91" s="14"/>
      <c r="J91" s="9"/>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row>
    <row r="92" ht="15.75" customHeight="1">
      <c r="A92" s="6"/>
      <c r="B92" s="6"/>
      <c r="C92" s="6"/>
      <c r="D92" s="14"/>
      <c r="E92" s="10"/>
      <c r="F92" s="10"/>
      <c r="G92" s="10"/>
      <c r="H92" s="14"/>
      <c r="I92" s="14"/>
      <c r="J92" s="9"/>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row>
    <row r="93" ht="15.75" customHeight="1">
      <c r="A93" s="6"/>
      <c r="B93" s="6"/>
      <c r="C93" s="6"/>
      <c r="D93" s="14"/>
      <c r="E93" s="10"/>
      <c r="F93" s="10"/>
      <c r="G93" s="10"/>
      <c r="H93" s="14"/>
      <c r="I93" s="14"/>
      <c r="J93" s="9"/>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row>
    <row r="94" ht="15.75" customHeight="1">
      <c r="A94" s="6"/>
      <c r="B94" s="6"/>
      <c r="C94" s="6"/>
      <c r="D94" s="14"/>
      <c r="E94" s="10"/>
      <c r="F94" s="10"/>
      <c r="G94" s="10"/>
      <c r="H94" s="14"/>
      <c r="I94" s="14"/>
      <c r="J94" s="9"/>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row>
    <row r="95" ht="15.75" customHeight="1">
      <c r="A95" s="6"/>
      <c r="B95" s="6"/>
      <c r="C95" s="6"/>
      <c r="D95" s="14"/>
      <c r="E95" s="10"/>
      <c r="F95" s="10"/>
      <c r="G95" s="10"/>
      <c r="H95" s="14"/>
      <c r="I95" s="14"/>
      <c r="J95" s="9"/>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row>
    <row r="96" ht="15.75" customHeight="1">
      <c r="A96" s="6"/>
      <c r="B96" s="6"/>
      <c r="C96" s="6"/>
      <c r="D96" s="14"/>
      <c r="E96" s="10"/>
      <c r="F96" s="10"/>
      <c r="G96" s="10"/>
      <c r="H96" s="14"/>
      <c r="I96" s="14"/>
      <c r="J96" s="9"/>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row>
    <row r="97" ht="15.75" customHeight="1">
      <c r="A97" s="6"/>
      <c r="B97" s="6"/>
      <c r="C97" s="6"/>
      <c r="D97" s="14"/>
      <c r="E97" s="10"/>
      <c r="F97" s="10"/>
      <c r="G97" s="10"/>
      <c r="H97" s="14"/>
      <c r="I97" s="14"/>
      <c r="J97" s="9"/>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row>
    <row r="98" ht="15.75" customHeight="1">
      <c r="A98" s="6"/>
      <c r="B98" s="6"/>
      <c r="C98" s="6"/>
      <c r="D98" s="14"/>
      <c r="E98" s="10"/>
      <c r="F98" s="10"/>
      <c r="G98" s="10"/>
      <c r="H98" s="14"/>
      <c r="I98" s="14"/>
      <c r="J98" s="9"/>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row>
    <row r="99" ht="15.75" customHeight="1">
      <c r="A99" s="6"/>
      <c r="B99" s="6"/>
      <c r="C99" s="6"/>
      <c r="D99" s="14"/>
      <c r="E99" s="10"/>
      <c r="F99" s="10"/>
      <c r="G99" s="10"/>
      <c r="H99" s="14"/>
      <c r="I99" s="14"/>
      <c r="J99" s="9"/>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row>
    <row r="100" ht="15.75" customHeight="1">
      <c r="A100" s="6"/>
      <c r="B100" s="6"/>
      <c r="C100" s="6"/>
      <c r="D100" s="14"/>
      <c r="E100" s="10"/>
      <c r="F100" s="10"/>
      <c r="G100" s="10"/>
      <c r="H100" s="14"/>
      <c r="I100" s="14"/>
      <c r="J100" s="9"/>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row>
    <row r="101" ht="15.75" customHeight="1">
      <c r="A101" s="6"/>
      <c r="B101" s="6"/>
      <c r="C101" s="6"/>
      <c r="D101" s="14"/>
      <c r="E101" s="10"/>
      <c r="F101" s="10"/>
      <c r="G101" s="10"/>
      <c r="H101" s="14"/>
      <c r="I101" s="14"/>
      <c r="J101" s="9"/>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row>
    <row r="102" ht="15.75" customHeight="1">
      <c r="A102" s="6"/>
      <c r="B102" s="6"/>
      <c r="C102" s="6"/>
      <c r="D102" s="14"/>
      <c r="E102" s="10"/>
      <c r="F102" s="10"/>
      <c r="G102" s="10"/>
      <c r="H102" s="14"/>
      <c r="I102" s="14"/>
      <c r="J102" s="9"/>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row>
    <row r="103" ht="15.75" customHeight="1">
      <c r="A103" s="6"/>
      <c r="B103" s="6"/>
      <c r="C103" s="6"/>
      <c r="D103" s="14"/>
      <c r="E103" s="10"/>
      <c r="F103" s="10"/>
      <c r="G103" s="10"/>
      <c r="H103" s="14"/>
      <c r="I103" s="14"/>
      <c r="J103" s="9"/>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row>
    <row r="104" ht="15.75" customHeight="1">
      <c r="A104" s="6"/>
      <c r="B104" s="6"/>
      <c r="C104" s="6"/>
      <c r="D104" s="14"/>
      <c r="E104" s="10"/>
      <c r="F104" s="10"/>
      <c r="G104" s="10"/>
      <c r="H104" s="14"/>
      <c r="I104" s="14"/>
      <c r="J104" s="9"/>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row>
    <row r="105" ht="15.75" customHeight="1">
      <c r="A105" s="6"/>
      <c r="B105" s="6"/>
      <c r="C105" s="6"/>
      <c r="D105" s="14"/>
      <c r="E105" s="10"/>
      <c r="F105" s="10"/>
      <c r="G105" s="10"/>
      <c r="H105" s="14"/>
      <c r="I105" s="14"/>
      <c r="J105" s="9"/>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row>
    <row r="106" ht="15.75" customHeight="1">
      <c r="A106" s="6"/>
      <c r="B106" s="6"/>
      <c r="C106" s="6"/>
      <c r="D106" s="14"/>
      <c r="E106" s="10"/>
      <c r="F106" s="10"/>
      <c r="G106" s="10"/>
      <c r="H106" s="14"/>
      <c r="I106" s="14"/>
      <c r="J106" s="9"/>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row>
    <row r="107" ht="15.75" customHeight="1">
      <c r="A107" s="6"/>
      <c r="B107" s="6"/>
      <c r="C107" s="6"/>
      <c r="D107" s="14"/>
      <c r="E107" s="10"/>
      <c r="F107" s="10"/>
      <c r="G107" s="10"/>
      <c r="H107" s="14"/>
      <c r="I107" s="14"/>
      <c r="J107" s="9"/>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row>
    <row r="108" ht="15.75" customHeight="1">
      <c r="A108" s="6"/>
      <c r="B108" s="6"/>
      <c r="C108" s="6"/>
      <c r="D108" s="14"/>
      <c r="E108" s="10"/>
      <c r="F108" s="10"/>
      <c r="G108" s="10"/>
      <c r="H108" s="14"/>
      <c r="I108" s="14"/>
      <c r="J108" s="9"/>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row>
    <row r="109" ht="15.75" customHeight="1">
      <c r="A109" s="6"/>
      <c r="B109" s="6"/>
      <c r="C109" s="6"/>
      <c r="D109" s="14"/>
      <c r="E109" s="10"/>
      <c r="F109" s="10"/>
      <c r="G109" s="10"/>
      <c r="H109" s="14"/>
      <c r="I109" s="14"/>
      <c r="J109" s="9"/>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row>
    <row r="110" ht="15.75" customHeight="1">
      <c r="A110" s="6"/>
      <c r="B110" s="6"/>
      <c r="C110" s="6"/>
      <c r="D110" s="14"/>
      <c r="E110" s="10"/>
      <c r="F110" s="10"/>
      <c r="G110" s="10"/>
      <c r="H110" s="14"/>
      <c r="I110" s="14"/>
      <c r="J110" s="9"/>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row>
    <row r="111" ht="15.75" customHeight="1">
      <c r="A111" s="6"/>
      <c r="B111" s="6"/>
      <c r="C111" s="6"/>
      <c r="D111" s="14"/>
      <c r="E111" s="10"/>
      <c r="F111" s="10"/>
      <c r="G111" s="10"/>
      <c r="H111" s="14"/>
      <c r="I111" s="14"/>
      <c r="J111" s="9"/>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row>
    <row r="112" ht="15.75" customHeight="1">
      <c r="A112" s="6"/>
      <c r="B112" s="6"/>
      <c r="C112" s="6"/>
      <c r="D112" s="14"/>
      <c r="E112" s="10"/>
      <c r="F112" s="10"/>
      <c r="G112" s="10"/>
      <c r="H112" s="14"/>
      <c r="I112" s="14"/>
      <c r="J112" s="9"/>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row>
    <row r="113" ht="15.75" customHeight="1">
      <c r="A113" s="6"/>
      <c r="B113" s="6"/>
      <c r="C113" s="6"/>
      <c r="D113" s="14"/>
      <c r="E113" s="10"/>
      <c r="F113" s="10"/>
      <c r="G113" s="10"/>
      <c r="H113" s="14"/>
      <c r="I113" s="14"/>
      <c r="J113" s="9"/>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row>
    <row r="114" ht="15.75" customHeight="1">
      <c r="A114" s="6"/>
      <c r="B114" s="6"/>
      <c r="C114" s="6"/>
      <c r="D114" s="14"/>
      <c r="E114" s="10"/>
      <c r="F114" s="10"/>
      <c r="G114" s="10"/>
      <c r="H114" s="14"/>
      <c r="I114" s="14"/>
      <c r="J114" s="9"/>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row>
    <row r="115" ht="15.75" customHeight="1">
      <c r="A115" s="6"/>
      <c r="B115" s="6"/>
      <c r="C115" s="6"/>
      <c r="D115" s="14"/>
      <c r="E115" s="10"/>
      <c r="F115" s="10"/>
      <c r="G115" s="10"/>
      <c r="H115" s="14"/>
      <c r="I115" s="14"/>
      <c r="J115" s="9"/>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row>
    <row r="116" ht="15.75" customHeight="1">
      <c r="A116" s="6"/>
      <c r="B116" s="6"/>
      <c r="C116" s="6"/>
      <c r="D116" s="14"/>
      <c r="E116" s="10"/>
      <c r="F116" s="10"/>
      <c r="G116" s="10"/>
      <c r="H116" s="14"/>
      <c r="I116" s="14"/>
      <c r="J116" s="9"/>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row>
    <row r="117" ht="15.75" customHeight="1">
      <c r="A117" s="6"/>
      <c r="B117" s="6"/>
      <c r="C117" s="6"/>
      <c r="D117" s="14"/>
      <c r="E117" s="10"/>
      <c r="F117" s="10"/>
      <c r="G117" s="10"/>
      <c r="H117" s="14"/>
      <c r="I117" s="14"/>
      <c r="J117" s="9"/>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row>
    <row r="118" ht="15.75" customHeight="1">
      <c r="A118" s="6"/>
      <c r="B118" s="6"/>
      <c r="C118" s="6"/>
      <c r="D118" s="14"/>
      <c r="E118" s="10"/>
      <c r="F118" s="10"/>
      <c r="G118" s="10"/>
      <c r="H118" s="14"/>
      <c r="I118" s="14"/>
      <c r="J118" s="9"/>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row>
    <row r="119" ht="15.75" customHeight="1">
      <c r="A119" s="6"/>
      <c r="B119" s="6"/>
      <c r="C119" s="6"/>
      <c r="D119" s="14"/>
      <c r="E119" s="10"/>
      <c r="F119" s="10"/>
      <c r="G119" s="10"/>
      <c r="H119" s="14"/>
      <c r="I119" s="14"/>
      <c r="J119" s="9"/>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row>
    <row r="120" ht="15.75" customHeight="1">
      <c r="A120" s="6"/>
      <c r="B120" s="6"/>
      <c r="C120" s="6"/>
      <c r="D120" s="14"/>
      <c r="E120" s="10"/>
      <c r="F120" s="10"/>
      <c r="G120" s="10"/>
      <c r="H120" s="14"/>
      <c r="I120" s="14"/>
      <c r="J120" s="9"/>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row>
    <row r="121" ht="15.75" customHeight="1">
      <c r="A121" s="6"/>
      <c r="B121" s="6"/>
      <c r="C121" s="6"/>
      <c r="D121" s="14"/>
      <c r="E121" s="10"/>
      <c r="F121" s="10"/>
      <c r="G121" s="10"/>
      <c r="H121" s="14"/>
      <c r="I121" s="14"/>
      <c r="J121" s="9"/>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row>
    <row r="122" ht="15.75" customHeight="1">
      <c r="A122" s="6"/>
      <c r="B122" s="6"/>
      <c r="C122" s="6"/>
      <c r="D122" s="14"/>
      <c r="E122" s="10"/>
      <c r="F122" s="10"/>
      <c r="G122" s="10"/>
      <c r="H122" s="14"/>
      <c r="I122" s="14"/>
      <c r="J122" s="9"/>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row>
    <row r="123" ht="15.75" customHeight="1">
      <c r="A123" s="6"/>
      <c r="B123" s="6"/>
      <c r="C123" s="6"/>
      <c r="D123" s="14"/>
      <c r="E123" s="10"/>
      <c r="F123" s="10"/>
      <c r="G123" s="10"/>
      <c r="H123" s="14"/>
      <c r="I123" s="14"/>
      <c r="J123" s="9"/>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row>
    <row r="124" ht="15.75" customHeight="1">
      <c r="A124" s="6"/>
      <c r="B124" s="6"/>
      <c r="C124" s="6"/>
      <c r="D124" s="14"/>
      <c r="E124" s="10"/>
      <c r="F124" s="10"/>
      <c r="G124" s="10"/>
      <c r="H124" s="14"/>
      <c r="I124" s="14"/>
      <c r="J124" s="9"/>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row>
    <row r="125" ht="15.75" customHeight="1">
      <c r="A125" s="6"/>
      <c r="B125" s="6"/>
      <c r="C125" s="6"/>
      <c r="D125" s="14"/>
      <c r="E125" s="10"/>
      <c r="F125" s="10"/>
      <c r="G125" s="10"/>
      <c r="H125" s="14"/>
      <c r="I125" s="14"/>
      <c r="J125" s="9"/>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row>
    <row r="126" ht="15.75" customHeight="1">
      <c r="A126" s="6"/>
      <c r="B126" s="6"/>
      <c r="C126" s="6"/>
      <c r="D126" s="14"/>
      <c r="E126" s="10"/>
      <c r="F126" s="10"/>
      <c r="G126" s="10"/>
      <c r="H126" s="14"/>
      <c r="I126" s="14"/>
      <c r="J126" s="9"/>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row>
    <row r="127" ht="15.75" customHeight="1">
      <c r="A127" s="6"/>
      <c r="B127" s="6"/>
      <c r="C127" s="6"/>
      <c r="D127" s="14"/>
      <c r="E127" s="10"/>
      <c r="F127" s="10"/>
      <c r="G127" s="10"/>
      <c r="H127" s="14"/>
      <c r="I127" s="14"/>
      <c r="J127" s="9"/>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row>
    <row r="128" ht="15.75" customHeight="1">
      <c r="A128" s="6"/>
      <c r="B128" s="6"/>
      <c r="C128" s="6"/>
      <c r="D128" s="14"/>
      <c r="E128" s="10"/>
      <c r="F128" s="10"/>
      <c r="G128" s="10"/>
      <c r="H128" s="14"/>
      <c r="I128" s="14"/>
      <c r="J128" s="9"/>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row>
    <row r="129" ht="15.75" customHeight="1">
      <c r="A129" s="6"/>
      <c r="B129" s="6"/>
      <c r="C129" s="6"/>
      <c r="D129" s="14"/>
      <c r="E129" s="10"/>
      <c r="F129" s="10"/>
      <c r="G129" s="10"/>
      <c r="H129" s="14"/>
      <c r="I129" s="14"/>
      <c r="J129" s="9"/>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row>
    <row r="130" ht="15.75" customHeight="1">
      <c r="A130" s="6"/>
      <c r="B130" s="6"/>
      <c r="C130" s="6"/>
      <c r="D130" s="14"/>
      <c r="E130" s="10"/>
      <c r="F130" s="10"/>
      <c r="G130" s="10"/>
      <c r="H130" s="14"/>
      <c r="I130" s="14"/>
      <c r="J130" s="9"/>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row>
    <row r="131" ht="15.75" customHeight="1">
      <c r="A131" s="6"/>
      <c r="B131" s="6"/>
      <c r="C131" s="6"/>
      <c r="D131" s="14"/>
      <c r="E131" s="10"/>
      <c r="F131" s="10"/>
      <c r="G131" s="10"/>
      <c r="H131" s="14"/>
      <c r="I131" s="14"/>
      <c r="J131" s="9"/>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row>
    <row r="132" ht="15.75" customHeight="1">
      <c r="A132" s="6"/>
      <c r="B132" s="6"/>
      <c r="C132" s="6"/>
      <c r="D132" s="14"/>
      <c r="E132" s="10"/>
      <c r="F132" s="10"/>
      <c r="G132" s="10"/>
      <c r="H132" s="14"/>
      <c r="I132" s="14"/>
      <c r="J132" s="9"/>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row>
    <row r="133" ht="15.75" customHeight="1">
      <c r="A133" s="6"/>
      <c r="B133" s="6"/>
      <c r="C133" s="6"/>
      <c r="D133" s="14"/>
      <c r="E133" s="10"/>
      <c r="F133" s="10"/>
      <c r="G133" s="10"/>
      <c r="H133" s="14"/>
      <c r="I133" s="14"/>
      <c r="J133" s="9"/>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row>
    <row r="134" ht="15.75" customHeight="1">
      <c r="A134" s="6"/>
      <c r="B134" s="6"/>
      <c r="C134" s="6"/>
      <c r="D134" s="14"/>
      <c r="E134" s="10"/>
      <c r="F134" s="10"/>
      <c r="G134" s="10"/>
      <c r="H134" s="14"/>
      <c r="I134" s="14"/>
      <c r="J134" s="9"/>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row>
    <row r="135" ht="15.75" customHeight="1">
      <c r="A135" s="6"/>
      <c r="B135" s="6"/>
      <c r="C135" s="6"/>
      <c r="D135" s="14"/>
      <c r="E135" s="10"/>
      <c r="F135" s="10"/>
      <c r="G135" s="10"/>
      <c r="H135" s="14"/>
      <c r="I135" s="14"/>
      <c r="J135" s="9"/>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row>
    <row r="136" ht="15.75" customHeight="1">
      <c r="A136" s="6"/>
      <c r="B136" s="6"/>
      <c r="C136" s="6"/>
      <c r="D136" s="14"/>
      <c r="E136" s="10"/>
      <c r="F136" s="10"/>
      <c r="G136" s="10"/>
      <c r="H136" s="14"/>
      <c r="I136" s="14"/>
      <c r="J136" s="9"/>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row>
    <row r="137" ht="15.75" customHeight="1">
      <c r="A137" s="6"/>
      <c r="B137" s="6"/>
      <c r="C137" s="6"/>
      <c r="D137" s="14"/>
      <c r="E137" s="10"/>
      <c r="F137" s="10"/>
      <c r="G137" s="10"/>
      <c r="H137" s="14"/>
      <c r="I137" s="14"/>
      <c r="J137" s="9"/>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row>
    <row r="138" ht="15.75" customHeight="1">
      <c r="A138" s="6"/>
      <c r="B138" s="6"/>
      <c r="C138" s="6"/>
      <c r="D138" s="14"/>
      <c r="E138" s="10"/>
      <c r="F138" s="10"/>
      <c r="G138" s="10"/>
      <c r="H138" s="14"/>
      <c r="I138" s="14"/>
      <c r="J138" s="9"/>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row>
    <row r="139" ht="15.75" customHeight="1">
      <c r="A139" s="6"/>
      <c r="B139" s="6"/>
      <c r="C139" s="6"/>
      <c r="D139" s="14"/>
      <c r="E139" s="10"/>
      <c r="F139" s="10"/>
      <c r="G139" s="10"/>
      <c r="H139" s="14"/>
      <c r="I139" s="14"/>
      <c r="J139" s="9"/>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row>
    <row r="140" ht="15.75" customHeight="1">
      <c r="A140" s="6"/>
      <c r="B140" s="6"/>
      <c r="C140" s="6"/>
      <c r="D140" s="14"/>
      <c r="E140" s="10"/>
      <c r="F140" s="10"/>
      <c r="G140" s="10"/>
      <c r="H140" s="14"/>
      <c r="I140" s="14"/>
      <c r="J140" s="9"/>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row>
    <row r="141" ht="15.75" customHeight="1">
      <c r="A141" s="6"/>
      <c r="B141" s="6"/>
      <c r="C141" s="6"/>
      <c r="D141" s="14"/>
      <c r="E141" s="10"/>
      <c r="F141" s="10"/>
      <c r="G141" s="10"/>
      <c r="H141" s="14"/>
      <c r="I141" s="14"/>
      <c r="J141" s="9"/>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row>
    <row r="142" ht="15.75" customHeight="1">
      <c r="A142" s="6"/>
      <c r="B142" s="6"/>
      <c r="C142" s="6"/>
      <c r="D142" s="14"/>
      <c r="E142" s="10"/>
      <c r="F142" s="10"/>
      <c r="G142" s="10"/>
      <c r="H142" s="14"/>
      <c r="I142" s="14"/>
      <c r="J142" s="9"/>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row>
    <row r="143" ht="15.75" customHeight="1">
      <c r="A143" s="6"/>
      <c r="B143" s="6"/>
      <c r="C143" s="6"/>
      <c r="D143" s="14"/>
      <c r="E143" s="10"/>
      <c r="F143" s="10"/>
      <c r="G143" s="10"/>
      <c r="H143" s="14"/>
      <c r="I143" s="14"/>
      <c r="J143" s="9"/>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row>
    <row r="144" ht="15.75" customHeight="1">
      <c r="A144" s="6"/>
      <c r="B144" s="6"/>
      <c r="C144" s="6"/>
      <c r="D144" s="14"/>
      <c r="E144" s="10"/>
      <c r="F144" s="10"/>
      <c r="G144" s="10"/>
      <c r="H144" s="14"/>
      <c r="I144" s="14"/>
      <c r="J144" s="9"/>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row>
    <row r="145" ht="15.75" customHeight="1">
      <c r="A145" s="6"/>
      <c r="B145" s="6"/>
      <c r="C145" s="6"/>
      <c r="D145" s="14"/>
      <c r="E145" s="10"/>
      <c r="F145" s="10"/>
      <c r="G145" s="10"/>
      <c r="H145" s="14"/>
      <c r="I145" s="14"/>
      <c r="J145" s="9"/>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row>
    <row r="146" ht="15.75" customHeight="1">
      <c r="A146" s="6"/>
      <c r="B146" s="6"/>
      <c r="C146" s="6"/>
      <c r="D146" s="14"/>
      <c r="E146" s="10"/>
      <c r="F146" s="10"/>
      <c r="G146" s="10"/>
      <c r="H146" s="14"/>
      <c r="I146" s="14"/>
      <c r="J146" s="9"/>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row>
    <row r="147" ht="15.75" customHeight="1">
      <c r="A147" s="6"/>
      <c r="B147" s="6"/>
      <c r="C147" s="6"/>
      <c r="D147" s="14"/>
      <c r="E147" s="10"/>
      <c r="F147" s="10"/>
      <c r="G147" s="10"/>
      <c r="H147" s="14"/>
      <c r="I147" s="14"/>
      <c r="J147" s="9"/>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row>
    <row r="148" ht="15.75" customHeight="1">
      <c r="A148" s="6"/>
      <c r="B148" s="6"/>
      <c r="C148" s="6"/>
      <c r="D148" s="14"/>
      <c r="E148" s="10"/>
      <c r="F148" s="10"/>
      <c r="G148" s="10"/>
      <c r="H148" s="14"/>
      <c r="I148" s="14"/>
      <c r="J148" s="9"/>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row>
    <row r="149" ht="15.75" customHeight="1">
      <c r="A149" s="6"/>
      <c r="B149" s="6"/>
      <c r="C149" s="6"/>
      <c r="D149" s="14"/>
      <c r="E149" s="10"/>
      <c r="F149" s="10"/>
      <c r="G149" s="10"/>
      <c r="H149" s="14"/>
      <c r="I149" s="14"/>
      <c r="J149" s="9"/>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row>
    <row r="150" ht="15.75" customHeight="1">
      <c r="A150" s="6"/>
      <c r="B150" s="6"/>
      <c r="C150" s="6"/>
      <c r="D150" s="14"/>
      <c r="E150" s="10"/>
      <c r="F150" s="10"/>
      <c r="G150" s="10"/>
      <c r="H150" s="14"/>
      <c r="I150" s="14"/>
      <c r="J150" s="9"/>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row>
    <row r="151" ht="15.75" customHeight="1">
      <c r="A151" s="6"/>
      <c r="B151" s="6"/>
      <c r="C151" s="6"/>
      <c r="D151" s="14"/>
      <c r="E151" s="10"/>
      <c r="F151" s="10"/>
      <c r="G151" s="10"/>
      <c r="H151" s="14"/>
      <c r="I151" s="14"/>
      <c r="J151" s="9"/>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row>
    <row r="152" ht="15.75" customHeight="1">
      <c r="A152" s="6"/>
      <c r="B152" s="6"/>
      <c r="C152" s="6"/>
      <c r="D152" s="14"/>
      <c r="E152" s="10"/>
      <c r="F152" s="10"/>
      <c r="G152" s="10"/>
      <c r="H152" s="14"/>
      <c r="I152" s="14"/>
      <c r="J152" s="9"/>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row>
    <row r="153" ht="15.75" customHeight="1">
      <c r="A153" s="6"/>
      <c r="B153" s="6"/>
      <c r="C153" s="6"/>
      <c r="D153" s="14"/>
      <c r="E153" s="10"/>
      <c r="F153" s="10"/>
      <c r="G153" s="10"/>
      <c r="H153" s="14"/>
      <c r="I153" s="14"/>
      <c r="J153" s="9"/>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row>
    <row r="154" ht="15.75" customHeight="1">
      <c r="A154" s="6"/>
      <c r="B154" s="6"/>
      <c r="C154" s="6"/>
      <c r="D154" s="14"/>
      <c r="E154" s="10"/>
      <c r="F154" s="10"/>
      <c r="G154" s="10"/>
      <c r="H154" s="14"/>
      <c r="I154" s="14"/>
      <c r="J154" s="9"/>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row>
    <row r="155" ht="15.75" customHeight="1">
      <c r="A155" s="6"/>
      <c r="B155" s="6"/>
      <c r="C155" s="6"/>
      <c r="D155" s="14"/>
      <c r="E155" s="10"/>
      <c r="F155" s="10"/>
      <c r="G155" s="10"/>
      <c r="H155" s="14"/>
      <c r="I155" s="14"/>
      <c r="J155" s="9"/>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row>
    <row r="156" ht="15.75" customHeight="1">
      <c r="A156" s="6"/>
      <c r="B156" s="6"/>
      <c r="C156" s="6"/>
      <c r="D156" s="14"/>
      <c r="E156" s="10"/>
      <c r="F156" s="10"/>
      <c r="G156" s="10"/>
      <c r="H156" s="14"/>
      <c r="I156" s="14"/>
      <c r="J156" s="9"/>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row>
    <row r="157" ht="15.75" customHeight="1">
      <c r="A157" s="6"/>
      <c r="B157" s="6"/>
      <c r="C157" s="6"/>
      <c r="D157" s="14"/>
      <c r="E157" s="10"/>
      <c r="F157" s="10"/>
      <c r="G157" s="10"/>
      <c r="H157" s="14"/>
      <c r="I157" s="14"/>
      <c r="J157" s="9"/>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row>
    <row r="158" ht="15.75" customHeight="1">
      <c r="A158" s="6"/>
      <c r="B158" s="6"/>
      <c r="C158" s="6"/>
      <c r="D158" s="14"/>
      <c r="E158" s="10"/>
      <c r="F158" s="10"/>
      <c r="G158" s="10"/>
      <c r="H158" s="14"/>
      <c r="I158" s="14"/>
      <c r="J158" s="9"/>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row>
    <row r="159" ht="15.75" customHeight="1">
      <c r="A159" s="6"/>
      <c r="B159" s="6"/>
      <c r="C159" s="6"/>
      <c r="D159" s="14"/>
      <c r="E159" s="10"/>
      <c r="F159" s="10"/>
      <c r="G159" s="10"/>
      <c r="H159" s="14"/>
      <c r="I159" s="14"/>
      <c r="J159" s="9"/>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row>
    <row r="160" ht="15.75" customHeight="1">
      <c r="A160" s="6"/>
      <c r="B160" s="6"/>
      <c r="C160" s="6"/>
      <c r="D160" s="14"/>
      <c r="E160" s="10"/>
      <c r="F160" s="10"/>
      <c r="G160" s="10"/>
      <c r="H160" s="14"/>
      <c r="I160" s="14"/>
      <c r="J160" s="9"/>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row>
    <row r="161" ht="15.75" customHeight="1">
      <c r="A161" s="6"/>
      <c r="B161" s="6"/>
      <c r="C161" s="6"/>
      <c r="D161" s="14"/>
      <c r="E161" s="10"/>
      <c r="F161" s="10"/>
      <c r="G161" s="10"/>
      <c r="H161" s="14"/>
      <c r="I161" s="14"/>
      <c r="J161" s="9"/>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row>
    <row r="162" ht="15.75" customHeight="1">
      <c r="A162" s="6"/>
      <c r="B162" s="6"/>
      <c r="C162" s="6"/>
      <c r="D162" s="14"/>
      <c r="E162" s="10"/>
      <c r="F162" s="10"/>
      <c r="G162" s="10"/>
      <c r="H162" s="14"/>
      <c r="I162" s="14"/>
      <c r="J162" s="9"/>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row>
    <row r="163" ht="15.75" customHeight="1">
      <c r="A163" s="6"/>
      <c r="B163" s="6"/>
      <c r="C163" s="6"/>
      <c r="D163" s="14"/>
      <c r="E163" s="10"/>
      <c r="F163" s="10"/>
      <c r="G163" s="10"/>
      <c r="H163" s="14"/>
      <c r="I163" s="14"/>
      <c r="J163" s="9"/>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row>
    <row r="164" ht="15.75" customHeight="1">
      <c r="A164" s="6"/>
      <c r="B164" s="6"/>
      <c r="C164" s="6"/>
      <c r="D164" s="14"/>
      <c r="E164" s="10"/>
      <c r="F164" s="10"/>
      <c r="G164" s="10"/>
      <c r="H164" s="14"/>
      <c r="I164" s="14"/>
      <c r="J164" s="9"/>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row>
    <row r="165" ht="15.75" customHeight="1">
      <c r="A165" s="6"/>
      <c r="B165" s="6"/>
      <c r="C165" s="6"/>
      <c r="D165" s="14"/>
      <c r="E165" s="10"/>
      <c r="F165" s="10"/>
      <c r="G165" s="10"/>
      <c r="H165" s="14"/>
      <c r="I165" s="14"/>
      <c r="J165" s="9"/>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row>
    <row r="166" ht="15.75" customHeight="1">
      <c r="A166" s="6"/>
      <c r="B166" s="6"/>
      <c r="C166" s="6"/>
      <c r="D166" s="14"/>
      <c r="E166" s="10"/>
      <c r="F166" s="10"/>
      <c r="G166" s="10"/>
      <c r="H166" s="14"/>
      <c r="I166" s="14"/>
      <c r="J166" s="9"/>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row>
    <row r="167" ht="15.75" customHeight="1">
      <c r="A167" s="6"/>
      <c r="B167" s="6"/>
      <c r="C167" s="6"/>
      <c r="D167" s="14"/>
      <c r="E167" s="10"/>
      <c r="F167" s="10"/>
      <c r="G167" s="10"/>
      <c r="H167" s="14"/>
      <c r="I167" s="14"/>
      <c r="J167" s="9"/>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row>
    <row r="168" ht="15.75" customHeight="1">
      <c r="A168" s="6"/>
      <c r="B168" s="6"/>
      <c r="C168" s="6"/>
      <c r="D168" s="14"/>
      <c r="E168" s="10"/>
      <c r="F168" s="10"/>
      <c r="G168" s="10"/>
      <c r="H168" s="14"/>
      <c r="I168" s="14"/>
      <c r="J168" s="9"/>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row>
    <row r="169" ht="15.75" customHeight="1">
      <c r="A169" s="6"/>
      <c r="B169" s="6"/>
      <c r="C169" s="6"/>
      <c r="D169" s="14"/>
      <c r="E169" s="10"/>
      <c r="F169" s="10"/>
      <c r="G169" s="10"/>
      <c r="H169" s="14"/>
      <c r="I169" s="14"/>
      <c r="J169" s="9"/>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row>
    <row r="170" ht="15.75" customHeight="1">
      <c r="A170" s="6"/>
      <c r="B170" s="6"/>
      <c r="C170" s="6"/>
      <c r="D170" s="14"/>
      <c r="E170" s="10"/>
      <c r="F170" s="10"/>
      <c r="G170" s="10"/>
      <c r="H170" s="14"/>
      <c r="I170" s="14"/>
      <c r="J170" s="9"/>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row>
    <row r="171" ht="15.75" customHeight="1">
      <c r="A171" s="6"/>
      <c r="B171" s="6"/>
      <c r="C171" s="6"/>
      <c r="D171" s="14"/>
      <c r="E171" s="10"/>
      <c r="F171" s="10"/>
      <c r="G171" s="10"/>
      <c r="H171" s="14"/>
      <c r="I171" s="14"/>
      <c r="J171" s="9"/>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row>
    <row r="172" ht="15.75" customHeight="1">
      <c r="A172" s="6"/>
      <c r="B172" s="6"/>
      <c r="C172" s="6"/>
      <c r="D172" s="14"/>
      <c r="E172" s="10"/>
      <c r="F172" s="10"/>
      <c r="G172" s="10"/>
      <c r="H172" s="14"/>
      <c r="I172" s="14"/>
      <c r="J172" s="9"/>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row>
    <row r="173" ht="15.75" customHeight="1">
      <c r="A173" s="6"/>
      <c r="B173" s="6"/>
      <c r="C173" s="6"/>
      <c r="D173" s="14"/>
      <c r="E173" s="10"/>
      <c r="F173" s="10"/>
      <c r="G173" s="10"/>
      <c r="H173" s="14"/>
      <c r="I173" s="14"/>
      <c r="J173" s="9"/>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row>
    <row r="174" ht="15.75" customHeight="1">
      <c r="A174" s="6"/>
      <c r="B174" s="6"/>
      <c r="C174" s="6"/>
      <c r="D174" s="14"/>
      <c r="E174" s="10"/>
      <c r="F174" s="10"/>
      <c r="G174" s="10"/>
      <c r="H174" s="14"/>
      <c r="I174" s="14"/>
      <c r="J174" s="9"/>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row>
    <row r="175" ht="15.75" customHeight="1">
      <c r="A175" s="6"/>
      <c r="B175" s="6"/>
      <c r="C175" s="6"/>
      <c r="D175" s="14"/>
      <c r="E175" s="10"/>
      <c r="F175" s="10"/>
      <c r="G175" s="10"/>
      <c r="H175" s="14"/>
      <c r="I175" s="14"/>
      <c r="J175" s="9"/>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row>
    <row r="176" ht="15.75" customHeight="1">
      <c r="A176" s="6"/>
      <c r="B176" s="6"/>
      <c r="C176" s="6"/>
      <c r="D176" s="14"/>
      <c r="E176" s="10"/>
      <c r="F176" s="10"/>
      <c r="G176" s="10"/>
      <c r="H176" s="14"/>
      <c r="I176" s="14"/>
      <c r="J176" s="9"/>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row>
    <row r="177" ht="15.75" customHeight="1">
      <c r="A177" s="6"/>
      <c r="B177" s="6"/>
      <c r="C177" s="6"/>
      <c r="D177" s="14"/>
      <c r="E177" s="10"/>
      <c r="F177" s="10"/>
      <c r="G177" s="10"/>
      <c r="H177" s="14"/>
      <c r="I177" s="14"/>
      <c r="J177" s="9"/>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row>
    <row r="178" ht="15.75" customHeight="1">
      <c r="A178" s="6"/>
      <c r="B178" s="6"/>
      <c r="C178" s="6"/>
      <c r="D178" s="14"/>
      <c r="E178" s="10"/>
      <c r="F178" s="10"/>
      <c r="G178" s="10"/>
      <c r="H178" s="14"/>
      <c r="I178" s="14"/>
      <c r="J178" s="9"/>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row>
    <row r="179" ht="15.75" customHeight="1">
      <c r="A179" s="6"/>
      <c r="B179" s="6"/>
      <c r="C179" s="6"/>
      <c r="D179" s="14"/>
      <c r="E179" s="10"/>
      <c r="F179" s="10"/>
      <c r="G179" s="10"/>
      <c r="H179" s="14"/>
      <c r="I179" s="14"/>
      <c r="J179" s="9"/>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row>
    <row r="180" ht="15.75" customHeight="1">
      <c r="A180" s="6"/>
      <c r="B180" s="6"/>
      <c r="C180" s="6"/>
      <c r="D180" s="14"/>
      <c r="E180" s="10"/>
      <c r="F180" s="10"/>
      <c r="G180" s="10"/>
      <c r="H180" s="14"/>
      <c r="I180" s="14"/>
      <c r="J180" s="9"/>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row>
    <row r="181" ht="15.75" customHeight="1">
      <c r="A181" s="6"/>
      <c r="B181" s="6"/>
      <c r="C181" s="6"/>
      <c r="D181" s="14"/>
      <c r="E181" s="10"/>
      <c r="F181" s="10"/>
      <c r="G181" s="10"/>
      <c r="H181" s="14"/>
      <c r="I181" s="14"/>
      <c r="J181" s="9"/>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row>
    <row r="182" ht="15.75" customHeight="1">
      <c r="A182" s="6"/>
      <c r="B182" s="6"/>
      <c r="C182" s="6"/>
      <c r="D182" s="14"/>
      <c r="E182" s="10"/>
      <c r="F182" s="10"/>
      <c r="G182" s="10"/>
      <c r="H182" s="14"/>
      <c r="I182" s="14"/>
      <c r="J182" s="9"/>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row>
    <row r="183" ht="15.75" customHeight="1">
      <c r="A183" s="6"/>
      <c r="B183" s="6"/>
      <c r="C183" s="6"/>
      <c r="D183" s="14"/>
      <c r="E183" s="10"/>
      <c r="F183" s="10"/>
      <c r="G183" s="10"/>
      <c r="H183" s="14"/>
      <c r="I183" s="14"/>
      <c r="J183" s="9"/>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row>
    <row r="184" ht="15.75" customHeight="1">
      <c r="A184" s="6"/>
      <c r="B184" s="6"/>
      <c r="C184" s="6"/>
      <c r="D184" s="14"/>
      <c r="E184" s="10"/>
      <c r="F184" s="10"/>
      <c r="G184" s="10"/>
      <c r="H184" s="14"/>
      <c r="I184" s="14"/>
      <c r="J184" s="9"/>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row>
    <row r="185" ht="15.75" customHeight="1">
      <c r="A185" s="6"/>
      <c r="B185" s="6"/>
      <c r="C185" s="6"/>
      <c r="D185" s="14"/>
      <c r="E185" s="10"/>
      <c r="F185" s="10"/>
      <c r="G185" s="10"/>
      <c r="H185" s="14"/>
      <c r="I185" s="14"/>
      <c r="J185" s="9"/>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row>
    <row r="186" ht="15.75" customHeight="1">
      <c r="A186" s="6"/>
      <c r="B186" s="6"/>
      <c r="C186" s="6"/>
      <c r="D186" s="14"/>
      <c r="E186" s="10"/>
      <c r="F186" s="10"/>
      <c r="G186" s="10"/>
      <c r="H186" s="14"/>
      <c r="I186" s="14"/>
      <c r="J186" s="9"/>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row>
    <row r="187" ht="15.75" customHeight="1">
      <c r="A187" s="6"/>
      <c r="B187" s="6"/>
      <c r="C187" s="6"/>
      <c r="D187" s="14"/>
      <c r="E187" s="10"/>
      <c r="F187" s="10"/>
      <c r="G187" s="10"/>
      <c r="H187" s="14"/>
      <c r="I187" s="14"/>
      <c r="J187" s="9"/>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row>
    <row r="188" ht="15.75" customHeight="1">
      <c r="A188" s="6"/>
      <c r="B188" s="6"/>
      <c r="C188" s="6"/>
      <c r="D188" s="14"/>
      <c r="E188" s="10"/>
      <c r="F188" s="10"/>
      <c r="G188" s="10"/>
      <c r="H188" s="14"/>
      <c r="I188" s="14"/>
      <c r="J188" s="9"/>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row>
    <row r="189" ht="15.75" customHeight="1">
      <c r="A189" s="6"/>
      <c r="B189" s="6"/>
      <c r="C189" s="6"/>
      <c r="D189" s="14"/>
      <c r="E189" s="10"/>
      <c r="F189" s="10"/>
      <c r="G189" s="10"/>
      <c r="H189" s="14"/>
      <c r="I189" s="14"/>
      <c r="J189" s="9"/>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row>
    <row r="190" ht="15.75" customHeight="1">
      <c r="A190" s="6"/>
      <c r="B190" s="6"/>
      <c r="C190" s="6"/>
      <c r="D190" s="14"/>
      <c r="E190" s="10"/>
      <c r="F190" s="10"/>
      <c r="G190" s="10"/>
      <c r="H190" s="14"/>
      <c r="I190" s="14"/>
      <c r="J190" s="9"/>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row>
    <row r="191" ht="15.75" customHeight="1">
      <c r="A191" s="6"/>
      <c r="B191" s="6"/>
      <c r="C191" s="6"/>
      <c r="D191" s="14"/>
      <c r="E191" s="10"/>
      <c r="F191" s="10"/>
      <c r="G191" s="10"/>
      <c r="H191" s="14"/>
      <c r="I191" s="14"/>
      <c r="J191" s="9"/>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row>
    <row r="192" ht="15.75" customHeight="1">
      <c r="A192" s="6"/>
      <c r="B192" s="6"/>
      <c r="C192" s="6"/>
      <c r="D192" s="14"/>
      <c r="E192" s="10"/>
      <c r="F192" s="10"/>
      <c r="G192" s="10"/>
      <c r="H192" s="14"/>
      <c r="I192" s="14"/>
      <c r="J192" s="9"/>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row>
    <row r="193" ht="15.75" customHeight="1">
      <c r="A193" s="6"/>
      <c r="B193" s="6"/>
      <c r="C193" s="6"/>
      <c r="D193" s="14"/>
      <c r="E193" s="10"/>
      <c r="F193" s="10"/>
      <c r="G193" s="10"/>
      <c r="H193" s="14"/>
      <c r="I193" s="14"/>
      <c r="J193" s="9"/>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row>
    <row r="194" ht="15.75" customHeight="1">
      <c r="A194" s="6"/>
      <c r="B194" s="6"/>
      <c r="C194" s="6"/>
      <c r="D194" s="14"/>
      <c r="E194" s="10"/>
      <c r="F194" s="10"/>
      <c r="G194" s="10"/>
      <c r="H194" s="14"/>
      <c r="I194" s="14"/>
      <c r="J194" s="9"/>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row>
    <row r="195" ht="15.75" customHeight="1">
      <c r="A195" s="6"/>
      <c r="B195" s="6"/>
      <c r="C195" s="6"/>
      <c r="D195" s="14"/>
      <c r="E195" s="10"/>
      <c r="F195" s="10"/>
      <c r="G195" s="10"/>
      <c r="H195" s="14"/>
      <c r="I195" s="14"/>
      <c r="J195" s="9"/>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row>
    <row r="196" ht="15.75" customHeight="1">
      <c r="A196" s="6"/>
      <c r="B196" s="6"/>
      <c r="C196" s="6"/>
      <c r="D196" s="14"/>
      <c r="E196" s="10"/>
      <c r="F196" s="10"/>
      <c r="G196" s="10"/>
      <c r="H196" s="14"/>
      <c r="I196" s="14"/>
      <c r="J196" s="9"/>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row>
    <row r="197" ht="15.75" customHeight="1">
      <c r="A197" s="6"/>
      <c r="B197" s="6"/>
      <c r="C197" s="6"/>
      <c r="D197" s="14"/>
      <c r="E197" s="10"/>
      <c r="F197" s="10"/>
      <c r="G197" s="10"/>
      <c r="H197" s="14"/>
      <c r="I197" s="14"/>
      <c r="J197" s="9"/>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row>
    <row r="198" ht="15.75" customHeight="1">
      <c r="A198" s="6"/>
      <c r="B198" s="6"/>
      <c r="C198" s="6"/>
      <c r="D198" s="14"/>
      <c r="E198" s="10"/>
      <c r="F198" s="10"/>
      <c r="G198" s="10"/>
      <c r="H198" s="14"/>
      <c r="I198" s="14"/>
      <c r="J198" s="9"/>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row>
    <row r="199" ht="15.75" customHeight="1">
      <c r="A199" s="6"/>
      <c r="B199" s="6"/>
      <c r="C199" s="6"/>
      <c r="D199" s="14"/>
      <c r="E199" s="10"/>
      <c r="F199" s="10"/>
      <c r="G199" s="10"/>
      <c r="H199" s="14"/>
      <c r="I199" s="14"/>
      <c r="J199" s="9"/>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row>
    <row r="200" ht="15.75" customHeight="1">
      <c r="A200" s="6"/>
      <c r="B200" s="6"/>
      <c r="C200" s="6"/>
      <c r="D200" s="14"/>
      <c r="E200" s="10"/>
      <c r="F200" s="10"/>
      <c r="G200" s="10"/>
      <c r="H200" s="14"/>
      <c r="I200" s="14"/>
      <c r="J200" s="9"/>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row>
    <row r="201" ht="15.75" customHeight="1">
      <c r="A201" s="6"/>
      <c r="B201" s="6"/>
      <c r="C201" s="6"/>
      <c r="D201" s="14"/>
      <c r="E201" s="10"/>
      <c r="F201" s="10"/>
      <c r="G201" s="10"/>
      <c r="H201" s="14"/>
      <c r="I201" s="14"/>
      <c r="J201" s="9"/>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row>
    <row r="202" ht="15.75" customHeight="1">
      <c r="A202" s="6"/>
      <c r="B202" s="6"/>
      <c r="C202" s="6"/>
      <c r="D202" s="14"/>
      <c r="E202" s="10"/>
      <c r="F202" s="10"/>
      <c r="G202" s="10"/>
      <c r="H202" s="14"/>
      <c r="I202" s="14"/>
      <c r="J202" s="9"/>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row>
    <row r="203" ht="15.75" customHeight="1">
      <c r="A203" s="6"/>
      <c r="B203" s="6"/>
      <c r="C203" s="6"/>
      <c r="D203" s="14"/>
      <c r="E203" s="10"/>
      <c r="F203" s="10"/>
      <c r="G203" s="10"/>
      <c r="H203" s="14"/>
      <c r="I203" s="14"/>
      <c r="J203" s="9"/>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row>
    <row r="204" ht="15.75" customHeight="1">
      <c r="A204" s="6"/>
      <c r="B204" s="6"/>
      <c r="C204" s="6"/>
      <c r="D204" s="14"/>
      <c r="E204" s="10"/>
      <c r="F204" s="10"/>
      <c r="G204" s="10"/>
      <c r="H204" s="14"/>
      <c r="I204" s="14"/>
      <c r="J204" s="9"/>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row>
    <row r="205" ht="15.75" customHeight="1">
      <c r="A205" s="6"/>
      <c r="B205" s="6"/>
      <c r="C205" s="6"/>
      <c r="D205" s="14"/>
      <c r="E205" s="10"/>
      <c r="F205" s="10"/>
      <c r="G205" s="10"/>
      <c r="H205" s="14"/>
      <c r="I205" s="14"/>
      <c r="J205" s="9"/>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row>
    <row r="206" ht="15.75" customHeight="1">
      <c r="A206" s="6"/>
      <c r="B206" s="6"/>
      <c r="C206" s="6"/>
      <c r="D206" s="14"/>
      <c r="E206" s="10"/>
      <c r="F206" s="10"/>
      <c r="G206" s="10"/>
      <c r="H206" s="14"/>
      <c r="I206" s="14"/>
      <c r="J206" s="9"/>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row>
    <row r="207" ht="15.75" customHeight="1">
      <c r="A207" s="6"/>
      <c r="B207" s="6"/>
      <c r="C207" s="6"/>
      <c r="D207" s="14"/>
      <c r="E207" s="10"/>
      <c r="F207" s="10"/>
      <c r="G207" s="10"/>
      <c r="H207" s="14"/>
      <c r="I207" s="14"/>
      <c r="J207" s="9"/>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row>
    <row r="208" ht="15.75" customHeight="1">
      <c r="A208" s="6"/>
      <c r="B208" s="6"/>
      <c r="C208" s="6"/>
      <c r="D208" s="14"/>
      <c r="E208" s="10"/>
      <c r="F208" s="10"/>
      <c r="G208" s="10"/>
      <c r="H208" s="14"/>
      <c r="I208" s="14"/>
      <c r="J208" s="9"/>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row>
    <row r="209" ht="15.75" customHeight="1">
      <c r="A209" s="6"/>
      <c r="B209" s="6"/>
      <c r="C209" s="6"/>
      <c r="D209" s="14"/>
      <c r="E209" s="10"/>
      <c r="F209" s="10"/>
      <c r="G209" s="10"/>
      <c r="H209" s="14"/>
      <c r="I209" s="14"/>
      <c r="J209" s="9"/>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row>
    <row r="210" ht="15.75" customHeight="1">
      <c r="A210" s="6"/>
      <c r="B210" s="6"/>
      <c r="C210" s="6"/>
      <c r="D210" s="14"/>
      <c r="E210" s="10"/>
      <c r="F210" s="10"/>
      <c r="G210" s="10"/>
      <c r="H210" s="14"/>
      <c r="I210" s="14"/>
      <c r="J210" s="9"/>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row>
    <row r="211" ht="15.75" customHeight="1">
      <c r="A211" s="6"/>
      <c r="B211" s="6"/>
      <c r="C211" s="6"/>
      <c r="D211" s="14"/>
      <c r="E211" s="10"/>
      <c r="F211" s="10"/>
      <c r="G211" s="10"/>
      <c r="H211" s="14"/>
      <c r="I211" s="14"/>
      <c r="J211" s="9"/>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row>
    <row r="212" ht="15.75" customHeight="1">
      <c r="A212" s="6"/>
      <c r="B212" s="6"/>
      <c r="C212" s="6"/>
      <c r="D212" s="14"/>
      <c r="E212" s="10"/>
      <c r="F212" s="10"/>
      <c r="G212" s="10"/>
      <c r="H212" s="14"/>
      <c r="I212" s="14"/>
      <c r="J212" s="9"/>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row>
    <row r="213" ht="15.75" customHeight="1">
      <c r="A213" s="6"/>
      <c r="B213" s="6"/>
      <c r="C213" s="6"/>
      <c r="D213" s="14"/>
      <c r="E213" s="10"/>
      <c r="F213" s="10"/>
      <c r="G213" s="10"/>
      <c r="H213" s="14"/>
      <c r="I213" s="14"/>
      <c r="J213" s="9"/>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row>
    <row r="214" ht="15.75" customHeight="1">
      <c r="A214" s="6"/>
      <c r="B214" s="6"/>
      <c r="C214" s="6"/>
      <c r="D214" s="14"/>
      <c r="E214" s="10"/>
      <c r="F214" s="10"/>
      <c r="G214" s="10"/>
      <c r="H214" s="14"/>
      <c r="I214" s="14"/>
      <c r="J214" s="9"/>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row>
    <row r="215" ht="15.75" customHeight="1">
      <c r="A215" s="6"/>
      <c r="B215" s="6"/>
      <c r="C215" s="6"/>
      <c r="D215" s="14"/>
      <c r="E215" s="10"/>
      <c r="F215" s="10"/>
      <c r="G215" s="10"/>
      <c r="H215" s="14"/>
      <c r="I215" s="14"/>
      <c r="J215" s="9"/>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row>
    <row r="216" ht="15.75" customHeight="1">
      <c r="A216" s="6"/>
      <c r="B216" s="6"/>
      <c r="C216" s="6"/>
      <c r="D216" s="14"/>
      <c r="E216" s="10"/>
      <c r="F216" s="10"/>
      <c r="G216" s="10"/>
      <c r="H216" s="14"/>
      <c r="I216" s="14"/>
      <c r="J216" s="9"/>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row>
    <row r="217" ht="15.75" customHeight="1">
      <c r="A217" s="6"/>
      <c r="B217" s="6"/>
      <c r="C217" s="6"/>
      <c r="D217" s="14"/>
      <c r="E217" s="10"/>
      <c r="F217" s="10"/>
      <c r="G217" s="10"/>
      <c r="H217" s="14"/>
      <c r="I217" s="14"/>
      <c r="J217" s="9"/>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row>
    <row r="218" ht="15.75" customHeight="1">
      <c r="A218" s="6"/>
      <c r="B218" s="6"/>
      <c r="C218" s="6"/>
      <c r="D218" s="14"/>
      <c r="E218" s="10"/>
      <c r="F218" s="10"/>
      <c r="G218" s="10"/>
      <c r="H218" s="14"/>
      <c r="I218" s="14"/>
      <c r="J218" s="9"/>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row>
    <row r="219" ht="15.75" customHeight="1">
      <c r="A219" s="6"/>
      <c r="B219" s="6"/>
      <c r="C219" s="6"/>
      <c r="D219" s="14"/>
      <c r="E219" s="10"/>
      <c r="F219" s="10"/>
      <c r="G219" s="10"/>
      <c r="H219" s="14"/>
      <c r="I219" s="14"/>
      <c r="J219" s="9"/>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row>
    <row r="220" ht="15.75" customHeight="1">
      <c r="A220" s="6"/>
      <c r="B220" s="6"/>
      <c r="C220" s="6"/>
      <c r="D220" s="14"/>
      <c r="E220" s="10"/>
      <c r="F220" s="10"/>
      <c r="G220" s="10"/>
      <c r="H220" s="14"/>
      <c r="I220" s="14"/>
      <c r="J220" s="9"/>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row>
    <row r="221" ht="15.75" customHeight="1">
      <c r="A221" s="6"/>
      <c r="B221" s="6"/>
      <c r="C221" s="6"/>
      <c r="D221" s="14"/>
      <c r="E221" s="10"/>
      <c r="F221" s="10"/>
      <c r="G221" s="10"/>
      <c r="H221" s="14"/>
      <c r="I221" s="14"/>
      <c r="J221" s="9"/>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row>
    <row r="222" ht="15.75" customHeight="1">
      <c r="A222" s="6"/>
      <c r="B222" s="6"/>
      <c r="C222" s="6"/>
      <c r="D222" s="14"/>
      <c r="E222" s="10"/>
      <c r="F222" s="10"/>
      <c r="G222" s="10"/>
      <c r="H222" s="14"/>
      <c r="I222" s="14"/>
      <c r="J222" s="9"/>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row>
    <row r="223" ht="15.75" customHeight="1">
      <c r="A223" s="6"/>
      <c r="B223" s="6"/>
      <c r="C223" s="6"/>
      <c r="D223" s="14"/>
      <c r="E223" s="10"/>
      <c r="F223" s="10"/>
      <c r="G223" s="10"/>
      <c r="H223" s="14"/>
      <c r="I223" s="14"/>
      <c r="J223" s="9"/>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row>
    <row r="224" ht="15.75" customHeight="1">
      <c r="A224" s="6"/>
      <c r="B224" s="6"/>
      <c r="C224" s="6"/>
      <c r="D224" s="14"/>
      <c r="E224" s="10"/>
      <c r="F224" s="10"/>
      <c r="G224" s="10"/>
      <c r="H224" s="14"/>
      <c r="I224" s="14"/>
      <c r="J224" s="9"/>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row>
    <row r="225" ht="15.75" customHeight="1">
      <c r="A225" s="6"/>
      <c r="B225" s="6"/>
      <c r="C225" s="6"/>
      <c r="D225" s="14"/>
      <c r="E225" s="10"/>
      <c r="F225" s="10"/>
      <c r="G225" s="10"/>
      <c r="H225" s="14"/>
      <c r="I225" s="14"/>
      <c r="J225" s="9"/>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row>
    <row r="226" ht="15.75" customHeight="1">
      <c r="A226" s="6"/>
      <c r="B226" s="6"/>
      <c r="C226" s="6"/>
      <c r="D226" s="14"/>
      <c r="E226" s="10"/>
      <c r="F226" s="10"/>
      <c r="G226" s="10"/>
      <c r="H226" s="14"/>
      <c r="I226" s="14"/>
      <c r="J226" s="9"/>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row>
    <row r="227" ht="15.75" customHeight="1">
      <c r="A227" s="6"/>
      <c r="B227" s="6"/>
      <c r="C227" s="6"/>
      <c r="D227" s="14"/>
      <c r="E227" s="10"/>
      <c r="F227" s="10"/>
      <c r="G227" s="10"/>
      <c r="H227" s="14"/>
      <c r="I227" s="14"/>
      <c r="J227" s="9"/>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row>
    <row r="228" ht="15.75" customHeight="1">
      <c r="A228" s="6"/>
      <c r="B228" s="6"/>
      <c r="C228" s="6"/>
      <c r="D228" s="14"/>
      <c r="E228" s="10"/>
      <c r="F228" s="10"/>
      <c r="G228" s="10"/>
      <c r="H228" s="14"/>
      <c r="I228" s="14"/>
      <c r="J228" s="9"/>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row>
  </sheetData>
  <hyperlinks>
    <hyperlink r:id="rId1" ref="AQ3"/>
    <hyperlink r:id="rId2" ref="AW6"/>
    <hyperlink r:id="rId3" ref="AQ7"/>
    <hyperlink r:id="rId4" ref="AW12"/>
    <hyperlink r:id="rId5" ref="AW14"/>
    <hyperlink r:id="rId6" ref="AW15"/>
    <hyperlink r:id="rId7" ref="AQ16"/>
    <hyperlink r:id="rId8" ref="AW16"/>
    <hyperlink r:id="rId9" ref="AQ21"/>
    <hyperlink r:id="rId10" ref="AQ22"/>
    <hyperlink r:id="rId11" ref="AW24"/>
    <hyperlink r:id="rId12" ref="AW25"/>
    <hyperlink r:id="rId13" ref="AW27"/>
  </hyperlinks>
  <printOptions/>
  <pageMargins bottom="0.75" footer="0.0" header="0.0" left="0.7" right="0.7" top="0.75"/>
  <pageSetup orientation="landscape"/>
  <drawing r:id="rId1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2025-12-22T13:39:27Z</dcterms:created>
  <dc:creator>syed.muazzam@bigbasket.com</dc:creator>
</cp:coreProperties>
</file>