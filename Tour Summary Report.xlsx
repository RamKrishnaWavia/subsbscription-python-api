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ur Summary Report" sheetId="1" r:id="rId4"/>
  </sheets>
  <externalReferences>
    <externalReference r:id="rId5"/>
    <externalReference r:id="rId6"/>
  </externalReferences>
  <definedNames>
    <definedName name="City_Name">'[2]Migrated Societies Data'!$B$2:$B$999</definedName>
  </definedNames>
  <calcPr/>
  <extLst>
    <ext uri="GoogleSheetsCustomDataVersion2">
      <go:sheetsCustomData xmlns:go="http://customooxmlschemas.google.com/" r:id="rId7" roundtripDataChecksum="S4NdBf1dbkslkdcfV4tK/MGsYUZBp69BcRSC0K1OI0M="/>
    </ext>
  </extLst>
</workbook>
</file>

<file path=xl/sharedStrings.xml><?xml version="1.0" encoding="utf-8"?>
<sst xmlns="http://schemas.openxmlformats.org/spreadsheetml/2006/main" count="264" uniqueCount="66">
  <si>
    <t>City Name</t>
  </si>
  <si>
    <t>Store Name</t>
  </si>
  <si>
    <t>Date</t>
  </si>
  <si>
    <t>Week Num</t>
  </si>
  <si>
    <t>Month</t>
  </si>
  <si>
    <t>FOT</t>
  </si>
  <si>
    <t>LOT</t>
  </si>
  <si>
    <t>Delivery Duration</t>
  </si>
  <si>
    <t>Time/Order</t>
  </si>
  <si>
    <t>Route Concat</t>
  </si>
  <si>
    <t>CEE concat</t>
  </si>
  <si>
    <t>delivery_date</t>
  </si>
  <si>
    <t>sa_name</t>
  </si>
  <si>
    <t>dm_name</t>
  </si>
  <si>
    <t>routing_batch_id</t>
  </si>
  <si>
    <t>vehicle_type_id</t>
  </si>
  <si>
    <t>vehicle_type</t>
  </si>
  <si>
    <t>unique_route_id</t>
  </si>
  <si>
    <t>route_id</t>
  </si>
  <si>
    <t>order_count</t>
  </si>
  <si>
    <t>addon_order</t>
  </si>
  <si>
    <t>unique_orders</t>
  </si>
  <si>
    <t>slot</t>
  </si>
  <si>
    <t>volume_capacity</t>
  </si>
  <si>
    <t>crate_capacity</t>
  </si>
  <si>
    <t>total_expected_distance</t>
  </si>
  <si>
    <t>dispatch_time</t>
  </si>
  <si>
    <t>end_time</t>
  </si>
  <si>
    <t>total_planned_time</t>
  </si>
  <si>
    <t>provider_id</t>
  </si>
  <si>
    <t>total_order_weight_in_kgs</t>
  </si>
  <si>
    <t>cee_id</t>
  </si>
  <si>
    <t>CEE_username</t>
  </si>
  <si>
    <t>assignment_time</t>
  </si>
  <si>
    <t>trip_start_time</t>
  </si>
  <si>
    <t>trip_complete_time</t>
  </si>
  <si>
    <t>total_executed_time</t>
  </si>
  <si>
    <t>container_count</t>
  </si>
  <si>
    <t>volume_consumed</t>
  </si>
  <si>
    <t>BBD-BLR-Chinappalay-T1</t>
  </si>
  <si>
    <t>BIKE</t>
  </si>
  <si>
    <t>Bike</t>
  </si>
  <si>
    <t>S-route-0</t>
  </si>
  <si>
    <t>SD12</t>
  </si>
  <si>
    <t>BBD-BLR-Jakkasandra-T1</t>
  </si>
  <si>
    <t>BBD-BLR-Devanahalli-T1</t>
  </si>
  <si>
    <t>BBD-BLR-Lingarajapu-T1</t>
  </si>
  <si>
    <t>BBD-BLR-Kallahalli-T1</t>
  </si>
  <si>
    <t>BBD-BLR-Jigani-T1</t>
  </si>
  <si>
    <t>BBD-BLR-BellahalliRoad-T1</t>
  </si>
  <si>
    <t>BBD-BLR-Nagondanahalli-T1</t>
  </si>
  <si>
    <t>BBD-BLR-Jalahalli-T1</t>
  </si>
  <si>
    <t>BBD-BLR-HRBR-044-T1</t>
  </si>
  <si>
    <t>BBD-BLR-PeenyaPhase3-T1</t>
  </si>
  <si>
    <t>BBD-BLR-HAL-T1</t>
  </si>
  <si>
    <t>BBD-BLR-Attibele-T1</t>
  </si>
  <si>
    <t>BBD-BLR-BensonTown-T1</t>
  </si>
  <si>
    <t>BBD-BLR-Chikkasandra-T1</t>
  </si>
  <si>
    <t>BBD-BLR-Budhigere-T1</t>
  </si>
  <si>
    <t>S-route-1</t>
  </si>
  <si>
    <t>S-route-2</t>
  </si>
  <si>
    <t>S-route-3</t>
  </si>
  <si>
    <t>S-route-4</t>
  </si>
  <si>
    <t>S-route-5</t>
  </si>
  <si>
    <t>S-route-6</t>
  </si>
  <si>
    <t>S-route-7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</si>
</sst>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\-mm\-dd"/>
    <numFmt numFmtId="165" formatCode="d\-m\-yyyy\ hh:mm"/>
    <numFmt numFmtId="166" formatCode="yyyy\-mm\-dd\ hh:mm:ss"/>
  </numFmts>
  <fonts count="3">
    <font>
      <sz val="10.0"/>
      <color theme="1"/>
      <name val="Aptos Narrow"/>
      <scheme val="minor"/>
    </font>
    <font>
      <sz val="10.0"/>
      <color theme="1"/>
      <name val="Arial"/>
    </font>
    <font>
      <sz val="10.0"/>
      <color theme="1"/>
      <name val="Aptos Narrow"/>
    </font>
  </fonts>
  <fills count="4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horizontal="center"/>
    </xf>
    <xf borderId="0" fillId="3" fontId="2" numFmtId="0" xfId="0" applyFill="1" applyFont="1"/>
    <xf borderId="0" fillId="0" fontId="2" numFmtId="0" xfId="0" applyFont="1"/>
    <xf borderId="0" fillId="3" fontId="1" numFmtId="0" xfId="0" applyFont="1"/>
    <xf borderId="0" fillId="0" fontId="2" numFmtId="2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4" xfId="0" applyFont="1" applyNumberFormat="1"/>
    <xf borderId="0" fillId="0" fontId="2" numFmtId="2" xfId="0" applyAlignment="1" applyFont="1" applyNumberFormat="1">
      <alignment horizontal="left"/>
    </xf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schemas.openxmlformats.org/officeDocument/2006/relationships/externalLink" Target="externalLinks/externalLink2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expressOrderReport.xlsx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Syed%20Muazzam/Downloads/Subscription_Pilot_Metrics_Tracker%20(1)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expressOrderReport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Dashboard"/>
      <sheetName val="OTD + FR + CX Complaints"/>
      <sheetName val="Testing"/>
      <sheetName val="Seshu Sir Data"/>
      <sheetName val="Day wise type 2"/>
      <sheetName val="Day wise Format"/>
      <sheetName val="Fill Rate Impacted SKU Details"/>
      <sheetName val="Lookup Data"/>
      <sheetName val="Quicksight Prerequisite"/>
      <sheetName val="S&amp;M Dashboard"/>
      <sheetName val="Migrated Societies Data"/>
      <sheetName val="FO Data"/>
      <sheetName val="Reports"/>
      <sheetName val="order_sku_sales_bb2_report"/>
      <sheetName val="order_Report_SA_ID_BB2.0"/>
      <sheetName val="subscription_order_detail_daily"/>
      <sheetName val="bb2-ud-rca-report"/>
      <sheetName val="Complaints"/>
      <sheetName val="B2B_ORDER_pICK"/>
      <sheetName val="interfc_2.0_fillrate"/>
      <sheetName val="OTA"/>
      <sheetName val="Orders Summary"/>
      <sheetName val="Summary"/>
      <sheetName val="Sales + Marketing"/>
      <sheetName val="iot-rate-card-iot_orderwise_rep"/>
      <sheetName val="UD-SKU"/>
      <sheetName val="Aug Societies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2" width="14.43"/>
    <col customWidth="1" min="3" max="3" width="10.86"/>
    <col customWidth="1" min="4" max="4" width="14.43"/>
    <col customWidth="1" min="5" max="5" width="9.71"/>
    <col customWidth="1" min="6" max="6" width="14.43"/>
    <col customWidth="1" min="7" max="7" width="11.57"/>
    <col customWidth="1" min="8" max="8" width="15.71"/>
    <col customWidth="1" min="10" max="10" width="35.14"/>
    <col customWidth="1" min="11" max="11" width="32.43"/>
    <col customWidth="1" min="12" max="12" width="16.14"/>
    <col customWidth="1" min="13" max="13" width="26.14"/>
    <col customWidth="1" min="15" max="15" width="19.43"/>
    <col customWidth="1" min="16" max="16" width="14.29"/>
    <col customWidth="1" min="18" max="18" width="14.86"/>
    <col customWidth="1" min="26" max="26" width="26.14"/>
    <col customWidth="1" min="27" max="28" width="18.86"/>
    <col customWidth="1" min="34" max="34" width="19.57"/>
    <col customWidth="1" min="35" max="35" width="17.29"/>
    <col customWidth="1" min="36" max="36" width="21.43"/>
    <col customWidth="1" min="37" max="37" width="22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5" t="s">
        <v>17</v>
      </c>
      <c r="S1" s="4" t="s">
        <v>18</v>
      </c>
      <c r="T1" s="4" t="s">
        <v>19</v>
      </c>
      <c r="U1" s="4" t="s">
        <v>20</v>
      </c>
      <c r="V1" s="3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3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3" t="s">
        <v>36</v>
      </c>
      <c r="AL1" s="4" t="s">
        <v>37</v>
      </c>
      <c r="AM1" s="4" t="s">
        <v>38</v>
      </c>
    </row>
    <row r="2" ht="15.75" customHeight="1">
      <c r="A2" s="4" t="str">
        <f t="array" ref="A2">_xludf.XLOOKUP(M2,'[2]Migrated Societies Data'!D:D,'[2]Migrated Societies Data'!B:B)</f>
        <v>#NAME?</v>
      </c>
      <c r="B2" s="4" t="str">
        <f t="array" ref="B2">_xludf.XLOOKUP(M2,'[2]Migrated Societies Data'!D:D,'[2]Migrated Societies Data'!E:E)</f>
        <v>#NAME?</v>
      </c>
      <c r="C2" s="4" t="str">
        <f t="shared" ref="C2:C46" si="1">TEXT(L2,"DD-MM-YYYY")</f>
        <v>22-12-2025</v>
      </c>
      <c r="D2" s="4">
        <f t="shared" ref="D2:D46" si="2">WEEKNUM(L2,11)</f>
        <v>52</v>
      </c>
      <c r="E2" s="4">
        <f t="shared" ref="E2:E46" si="3">MONTH(L2)</f>
        <v>12</v>
      </c>
      <c r="F2" s="6" t="str">
        <f>MOD(_xludf.MINIFS([1]expressOrderReport!$AS:$AS,[1]expressOrderReport!$Q:$Q,$M2198,[1]expressOrderReport!$G:$G,$C2198),1)</f>
        <v>#ERROR!</v>
      </c>
      <c r="G2" s="6" t="str">
        <f>MOD(_xludf.MAXIFS([1]expressOrderReport!$AS:$AS,[1]expressOrderReport!$Q:$Q,$M2198,[1]expressOrderReport!$G:$G,$C2198),1)</f>
        <v>#ERROR!</v>
      </c>
      <c r="H2" s="7" t="str">
        <f t="shared" ref="H2:H46" si="4">(G2-F2)*1440</f>
        <v>#ERROR!</v>
      </c>
      <c r="I2" s="8">
        <f t="shared" ref="I2:I46" si="5">AK2/V2</f>
        <v>1.428571429</v>
      </c>
      <c r="J2" s="9" t="str">
        <f t="shared" ref="J2:J46" si="6">M2&amp;R2</f>
        <v>BBD-BLR-Chinappalay-T1S-route-0</v>
      </c>
      <c r="K2" s="9" t="str">
        <f t="shared" ref="K2:K46" si="7">IF(AF2="","",C2&amp;AF2)</f>
        <v>22-12-2025875660</v>
      </c>
      <c r="L2" s="10">
        <v>46013.0</v>
      </c>
      <c r="M2" s="4" t="s">
        <v>39</v>
      </c>
      <c r="N2" s="4" t="s">
        <v>40</v>
      </c>
      <c r="O2" s="4">
        <v>2.94757461E8</v>
      </c>
      <c r="P2" s="4">
        <v>3.0</v>
      </c>
      <c r="Q2" s="4" t="s">
        <v>41</v>
      </c>
      <c r="R2" s="4" t="s">
        <v>42</v>
      </c>
      <c r="S2" s="4">
        <v>3.82016716E8</v>
      </c>
      <c r="T2" s="4">
        <v>35.0</v>
      </c>
      <c r="U2" s="4">
        <v>7.0</v>
      </c>
      <c r="V2" s="4">
        <v>28.0</v>
      </c>
      <c r="W2" s="4" t="s">
        <v>43</v>
      </c>
      <c r="X2" s="4">
        <v>152500.0</v>
      </c>
      <c r="Y2" s="4">
        <v>50.0</v>
      </c>
      <c r="Z2" s="4">
        <v>2.322</v>
      </c>
      <c r="AA2" s="11">
        <v>46013.1875</v>
      </c>
      <c r="AB2" s="11">
        <v>46013.20347222222</v>
      </c>
      <c r="AC2" s="4">
        <v>23.0</v>
      </c>
      <c r="AD2" s="4">
        <v>9.0</v>
      </c>
      <c r="AE2" s="4">
        <v>41.87</v>
      </c>
      <c r="AF2" s="4">
        <v>875660.0</v>
      </c>
      <c r="AG2" s="4">
        <v>875660.0</v>
      </c>
      <c r="AH2" s="12">
        <v>46013.165972222225</v>
      </c>
      <c r="AI2" s="12">
        <v>46013.165972222225</v>
      </c>
      <c r="AJ2" s="12">
        <v>46013.194444444445</v>
      </c>
      <c r="AK2" s="4">
        <v>40.0</v>
      </c>
    </row>
    <row r="3" ht="15.75" customHeight="1">
      <c r="A3" s="4" t="str">
        <f t="array" ref="A3">_xludf.XLOOKUP(M3,'[2]Migrated Societies Data'!D:D,'[2]Migrated Societies Data'!B:B)</f>
        <v>#NAME?</v>
      </c>
      <c r="B3" s="4" t="str">
        <f t="array" ref="B3">_xludf.XLOOKUP(M3,'[2]Migrated Societies Data'!D:D,'[2]Migrated Societies Data'!E:E)</f>
        <v>#NAME?</v>
      </c>
      <c r="C3" s="4" t="str">
        <f t="shared" si="1"/>
        <v>22-12-2025</v>
      </c>
      <c r="D3" s="4">
        <f t="shared" si="2"/>
        <v>52</v>
      </c>
      <c r="E3" s="4">
        <f t="shared" si="3"/>
        <v>12</v>
      </c>
      <c r="F3" s="6" t="str">
        <f>MOD(_xludf.MINIFS([1]expressOrderReport!$AS:$AS,[1]expressOrderReport!$Q:$Q,$M2199,[1]expressOrderReport!$G:$G,$C2199),1)</f>
        <v>#ERROR!</v>
      </c>
      <c r="G3" s="6" t="str">
        <f>MOD(_xludf.MAXIFS([1]expressOrderReport!$AS:$AS,[1]expressOrderReport!$Q:$Q,$M2199,[1]expressOrderReport!$G:$G,$C2199),1)</f>
        <v>#ERROR!</v>
      </c>
      <c r="H3" s="7" t="str">
        <f t="shared" si="4"/>
        <v>#ERROR!</v>
      </c>
      <c r="I3" s="8">
        <f t="shared" si="5"/>
        <v>2.612903226</v>
      </c>
      <c r="J3" s="9" t="str">
        <f t="shared" si="6"/>
        <v>BBD-BLR-Jakkasandra-T1S-route-0</v>
      </c>
      <c r="K3" s="9" t="str">
        <f t="shared" si="7"/>
        <v>22-12-2025883050</v>
      </c>
      <c r="L3" s="10">
        <v>46013.0</v>
      </c>
      <c r="M3" s="4" t="s">
        <v>44</v>
      </c>
      <c r="N3" s="4" t="s">
        <v>40</v>
      </c>
      <c r="O3" s="4">
        <v>2.9475747E8</v>
      </c>
      <c r="P3" s="4">
        <v>3.0</v>
      </c>
      <c r="Q3" s="4" t="s">
        <v>41</v>
      </c>
      <c r="R3" s="4" t="s">
        <v>42</v>
      </c>
      <c r="S3" s="4">
        <v>3.82016719E8</v>
      </c>
      <c r="T3" s="4">
        <v>32.0</v>
      </c>
      <c r="U3" s="4">
        <v>1.0</v>
      </c>
      <c r="V3" s="4">
        <v>31.0</v>
      </c>
      <c r="W3" s="4" t="s">
        <v>43</v>
      </c>
      <c r="X3" s="4">
        <v>152500.0</v>
      </c>
      <c r="Y3" s="4">
        <v>50.0</v>
      </c>
      <c r="Z3" s="4">
        <v>4.449</v>
      </c>
      <c r="AA3" s="11">
        <v>46013.1875</v>
      </c>
      <c r="AB3" s="11">
        <v>46013.21111111111</v>
      </c>
      <c r="AC3" s="4">
        <v>34.0</v>
      </c>
      <c r="AD3" s="4">
        <v>9.0</v>
      </c>
      <c r="AE3" s="4">
        <v>41.52</v>
      </c>
      <c r="AF3" s="4">
        <v>883050.0</v>
      </c>
      <c r="AG3" s="4">
        <v>883050.0</v>
      </c>
      <c r="AH3" s="12">
        <v>46013.16458333333</v>
      </c>
      <c r="AI3" s="12">
        <v>46013.16527777778</v>
      </c>
      <c r="AJ3" s="12">
        <v>46013.22152777778</v>
      </c>
      <c r="AK3" s="4">
        <v>81.0</v>
      </c>
    </row>
    <row r="4" ht="15.75" customHeight="1">
      <c r="A4" s="4" t="str">
        <f t="array" ref="A4">_xludf.XLOOKUP(M4,'[2]Migrated Societies Data'!D:D,'[2]Migrated Societies Data'!B:B)</f>
        <v>#NAME?</v>
      </c>
      <c r="B4" s="4" t="str">
        <f t="array" ref="B4">_xludf.XLOOKUP(M4,'[2]Migrated Societies Data'!D:D,'[2]Migrated Societies Data'!E:E)</f>
        <v>#NAME?</v>
      </c>
      <c r="C4" s="4" t="str">
        <f t="shared" si="1"/>
        <v>22-12-2025</v>
      </c>
      <c r="D4" s="4">
        <f t="shared" si="2"/>
        <v>52</v>
      </c>
      <c r="E4" s="4">
        <f t="shared" si="3"/>
        <v>12</v>
      </c>
      <c r="F4" s="6" t="str">
        <f>MOD(_xludf.MINIFS([1]expressOrderReport!$AS:$AS,[1]expressOrderReport!$Q:$Q,$M2200,[1]expressOrderReport!$G:$G,$C2200),1)</f>
        <v>#ERROR!</v>
      </c>
      <c r="G4" s="6" t="str">
        <f>MOD(_xludf.MAXIFS([1]expressOrderReport!$AS:$AS,[1]expressOrderReport!$Q:$Q,$M2200,[1]expressOrderReport!$G:$G,$C2200),1)</f>
        <v>#ERROR!</v>
      </c>
      <c r="H4" s="7" t="str">
        <f t="shared" si="4"/>
        <v>#ERROR!</v>
      </c>
      <c r="I4" s="8">
        <f t="shared" si="5"/>
        <v>1.933333333</v>
      </c>
      <c r="J4" s="9" t="str">
        <f t="shared" si="6"/>
        <v>BBD-BLR-Devanahalli-T1S-route-0</v>
      </c>
      <c r="K4" s="9" t="str">
        <f t="shared" si="7"/>
        <v>22-12-2025875273</v>
      </c>
      <c r="L4" s="10">
        <v>46013.0</v>
      </c>
      <c r="M4" s="4" t="s">
        <v>45</v>
      </c>
      <c r="N4" s="4" t="s">
        <v>40</v>
      </c>
      <c r="O4" s="4">
        <v>2.94757467E8</v>
      </c>
      <c r="P4" s="4">
        <v>3.0</v>
      </c>
      <c r="Q4" s="4" t="s">
        <v>41</v>
      </c>
      <c r="R4" s="4" t="s">
        <v>42</v>
      </c>
      <c r="S4" s="4">
        <v>3.82016731E8</v>
      </c>
      <c r="T4" s="4">
        <v>31.0</v>
      </c>
      <c r="U4" s="4">
        <v>1.0</v>
      </c>
      <c r="V4" s="4">
        <v>30.0</v>
      </c>
      <c r="W4" s="4" t="s">
        <v>43</v>
      </c>
      <c r="X4" s="4">
        <v>152500.0</v>
      </c>
      <c r="Y4" s="4">
        <v>50.0</v>
      </c>
      <c r="Z4" s="4">
        <v>8.244</v>
      </c>
      <c r="AA4" s="11">
        <v>46013.1875</v>
      </c>
      <c r="AB4" s="11">
        <v>46013.22152777778</v>
      </c>
      <c r="AC4" s="4">
        <v>49.0</v>
      </c>
      <c r="AD4" s="4">
        <v>9.0</v>
      </c>
      <c r="AE4" s="4">
        <v>32.36</v>
      </c>
      <c r="AF4" s="4">
        <v>875273.0</v>
      </c>
      <c r="AG4" s="4">
        <v>875273.0</v>
      </c>
      <c r="AH4" s="12">
        <v>46013.165972222225</v>
      </c>
      <c r="AI4" s="12">
        <v>46013.166666666664</v>
      </c>
      <c r="AJ4" s="12">
        <v>46013.20694444444</v>
      </c>
      <c r="AK4" s="4">
        <v>58.0</v>
      </c>
    </row>
    <row r="5" ht="15.75" customHeight="1">
      <c r="A5" s="4" t="str">
        <f t="array" ref="A5">_xludf.XLOOKUP(M5,'[2]Migrated Societies Data'!D:D,'[2]Migrated Societies Data'!B:B)</f>
        <v>#NAME?</v>
      </c>
      <c r="B5" s="4" t="str">
        <f t="array" ref="B5">_xludf.XLOOKUP(M5,'[2]Migrated Societies Data'!D:D,'[2]Migrated Societies Data'!E:E)</f>
        <v>#NAME?</v>
      </c>
      <c r="C5" s="4" t="str">
        <f t="shared" si="1"/>
        <v>22-12-2025</v>
      </c>
      <c r="D5" s="4">
        <f t="shared" si="2"/>
        <v>52</v>
      </c>
      <c r="E5" s="4">
        <f t="shared" si="3"/>
        <v>12</v>
      </c>
      <c r="F5" s="6" t="str">
        <f>MOD(_xludf.MINIFS([1]expressOrderReport!$AS:$AS,[1]expressOrderReport!$Q:$Q,$M2201,[1]expressOrderReport!$G:$G,$C2201),1)</f>
        <v>#ERROR!</v>
      </c>
      <c r="G5" s="6" t="str">
        <f>MOD(_xludf.MAXIFS([1]expressOrderReport!$AS:$AS,[1]expressOrderReport!$Q:$Q,$M2201,[1]expressOrderReport!$G:$G,$C2201),1)</f>
        <v>#ERROR!</v>
      </c>
      <c r="H5" s="7" t="str">
        <f t="shared" si="4"/>
        <v>#ERROR!</v>
      </c>
      <c r="I5" s="8">
        <f t="shared" si="5"/>
        <v>5.263157895</v>
      </c>
      <c r="J5" s="9" t="str">
        <f t="shared" si="6"/>
        <v>BBD-BLR-Lingarajapu-T1S-route-0</v>
      </c>
      <c r="K5" s="9" t="str">
        <f t="shared" si="7"/>
        <v>22-12-2025882481</v>
      </c>
      <c r="L5" s="10">
        <v>46013.0</v>
      </c>
      <c r="M5" s="4" t="s">
        <v>46</v>
      </c>
      <c r="N5" s="4" t="s">
        <v>40</v>
      </c>
      <c r="O5" s="4">
        <v>2.94757475E8</v>
      </c>
      <c r="P5" s="4">
        <v>3.0</v>
      </c>
      <c r="Q5" s="4" t="s">
        <v>41</v>
      </c>
      <c r="R5" s="4" t="s">
        <v>42</v>
      </c>
      <c r="S5" s="4">
        <v>3.82016735E8</v>
      </c>
      <c r="T5" s="4">
        <v>21.0</v>
      </c>
      <c r="U5" s="4">
        <v>2.0</v>
      </c>
      <c r="V5" s="4">
        <v>19.0</v>
      </c>
      <c r="W5" s="4" t="s">
        <v>43</v>
      </c>
      <c r="X5" s="4">
        <v>152500.0</v>
      </c>
      <c r="Y5" s="4">
        <v>50.0</v>
      </c>
      <c r="Z5" s="4">
        <v>5.412</v>
      </c>
      <c r="AA5" s="11">
        <v>46013.1875</v>
      </c>
      <c r="AB5" s="11">
        <v>46013.21111111111</v>
      </c>
      <c r="AC5" s="4">
        <v>34.0</v>
      </c>
      <c r="AD5" s="4">
        <v>9.0</v>
      </c>
      <c r="AE5" s="4">
        <v>35.55</v>
      </c>
      <c r="AF5" s="4">
        <v>882481.0</v>
      </c>
      <c r="AG5" s="4">
        <v>882481.0</v>
      </c>
      <c r="AH5" s="12">
        <v>46013.21111111111</v>
      </c>
      <c r="AI5" s="12">
        <v>46013.211805555555</v>
      </c>
      <c r="AJ5" s="12">
        <v>46013.28194444445</v>
      </c>
      <c r="AK5" s="4">
        <v>100.0</v>
      </c>
    </row>
    <row r="6" ht="15.75" customHeight="1">
      <c r="A6" s="4" t="str">
        <f t="array" ref="A6">_xludf.XLOOKUP(M6,'[2]Migrated Societies Data'!D:D,'[2]Migrated Societies Data'!B:B)</f>
        <v>#NAME?</v>
      </c>
      <c r="B6" s="4" t="str">
        <f t="array" ref="B6">_xludf.XLOOKUP(M6,'[2]Migrated Societies Data'!D:D,'[2]Migrated Societies Data'!E:E)</f>
        <v>#NAME?</v>
      </c>
      <c r="C6" s="4" t="str">
        <f t="shared" si="1"/>
        <v>22-12-2025</v>
      </c>
      <c r="D6" s="4">
        <f t="shared" si="2"/>
        <v>52</v>
      </c>
      <c r="E6" s="4">
        <f t="shared" si="3"/>
        <v>12</v>
      </c>
      <c r="F6" s="6" t="str">
        <f>MOD(_xludf.MINIFS([1]expressOrderReport!$AS:$AS,[1]expressOrderReport!$Q:$Q,$M2202,[1]expressOrderReport!$G:$G,$C2202),1)</f>
        <v>#ERROR!</v>
      </c>
      <c r="G6" s="6" t="str">
        <f>MOD(_xludf.MAXIFS([1]expressOrderReport!$AS:$AS,[1]expressOrderReport!$Q:$Q,$M2202,[1]expressOrderReport!$G:$G,$C2202),1)</f>
        <v>#ERROR!</v>
      </c>
      <c r="H6" s="7" t="str">
        <f t="shared" si="4"/>
        <v>#ERROR!</v>
      </c>
      <c r="I6" s="8">
        <f t="shared" si="5"/>
        <v>2.9</v>
      </c>
      <c r="J6" s="9" t="str">
        <f t="shared" si="6"/>
        <v>BBD-BLR-Kallahalli-T1S-route-0</v>
      </c>
      <c r="K6" s="9" t="str">
        <f t="shared" si="7"/>
        <v>22-12-2025891546</v>
      </c>
      <c r="L6" s="10">
        <v>46013.0</v>
      </c>
      <c r="M6" s="4" t="s">
        <v>47</v>
      </c>
      <c r="N6" s="4" t="s">
        <v>40</v>
      </c>
      <c r="O6" s="4">
        <v>2.94757458E8</v>
      </c>
      <c r="P6" s="4">
        <v>3.0</v>
      </c>
      <c r="Q6" s="4" t="s">
        <v>41</v>
      </c>
      <c r="R6" s="4" t="s">
        <v>42</v>
      </c>
      <c r="S6" s="4">
        <v>3.82016741E8</v>
      </c>
      <c r="T6" s="4">
        <v>31.0</v>
      </c>
      <c r="U6" s="4">
        <v>1.0</v>
      </c>
      <c r="V6" s="4">
        <v>30.0</v>
      </c>
      <c r="W6" s="4" t="s">
        <v>43</v>
      </c>
      <c r="X6" s="4">
        <v>152500.0</v>
      </c>
      <c r="Y6" s="4">
        <v>50.0</v>
      </c>
      <c r="Z6" s="4">
        <v>8.268</v>
      </c>
      <c r="AA6" s="11">
        <v>46013.1875</v>
      </c>
      <c r="AB6" s="11">
        <v>46013.22222222222</v>
      </c>
      <c r="AC6" s="4">
        <v>50.0</v>
      </c>
      <c r="AD6" s="4">
        <v>9.0</v>
      </c>
      <c r="AE6" s="4">
        <v>41.56</v>
      </c>
      <c r="AF6" s="4">
        <v>891546.0</v>
      </c>
      <c r="AG6" s="4">
        <v>891546.0</v>
      </c>
      <c r="AH6" s="12">
        <v>46013.23333333333</v>
      </c>
      <c r="AI6" s="12">
        <v>46013.23333333333</v>
      </c>
      <c r="AJ6" s="12">
        <v>46013.29375</v>
      </c>
      <c r="AK6" s="4">
        <v>87.0</v>
      </c>
    </row>
    <row r="7" ht="15.75" customHeight="1">
      <c r="A7" s="4" t="str">
        <f t="array" ref="A7">_xludf.XLOOKUP(M7,'[2]Migrated Societies Data'!D:D,'[2]Migrated Societies Data'!B:B)</f>
        <v>#NAME?</v>
      </c>
      <c r="B7" s="4" t="str">
        <f t="array" ref="B7">_xludf.XLOOKUP(M7,'[2]Migrated Societies Data'!D:D,'[2]Migrated Societies Data'!E:E)</f>
        <v>#NAME?</v>
      </c>
      <c r="C7" s="4" t="str">
        <f t="shared" si="1"/>
        <v>22-12-2025</v>
      </c>
      <c r="D7" s="4">
        <f t="shared" si="2"/>
        <v>52</v>
      </c>
      <c r="E7" s="4">
        <f t="shared" si="3"/>
        <v>12</v>
      </c>
      <c r="F7" s="6" t="str">
        <f>MOD(_xludf.MINIFS([1]expressOrderReport!$AS:$AS,[1]expressOrderReport!$Q:$Q,$M2203,[1]expressOrderReport!$G:$G,$C2203),1)</f>
        <v>#ERROR!</v>
      </c>
      <c r="G7" s="6" t="str">
        <f>MOD(_xludf.MAXIFS([1]expressOrderReport!$AS:$AS,[1]expressOrderReport!$Q:$Q,$M2203,[1]expressOrderReport!$G:$G,$C2203),1)</f>
        <v>#ERROR!</v>
      </c>
      <c r="H7" s="7" t="str">
        <f t="shared" si="4"/>
        <v>#ERROR!</v>
      </c>
      <c r="I7" s="8">
        <f t="shared" si="5"/>
        <v>2.076923077</v>
      </c>
      <c r="J7" s="9" t="str">
        <f t="shared" si="6"/>
        <v>BBD-BLR-Jigani-T1S-route-0</v>
      </c>
      <c r="K7" s="9" t="str">
        <f t="shared" si="7"/>
        <v>22-12-2025883539</v>
      </c>
      <c r="L7" s="10">
        <v>46013.0</v>
      </c>
      <c r="M7" s="4" t="s">
        <v>48</v>
      </c>
      <c r="N7" s="4" t="s">
        <v>40</v>
      </c>
      <c r="O7" s="4">
        <v>2.94757484E8</v>
      </c>
      <c r="P7" s="4">
        <v>3.0</v>
      </c>
      <c r="Q7" s="4" t="s">
        <v>41</v>
      </c>
      <c r="R7" s="4" t="s">
        <v>42</v>
      </c>
      <c r="S7" s="4">
        <v>3.82016743E8</v>
      </c>
      <c r="T7" s="4">
        <v>33.0</v>
      </c>
      <c r="U7" s="4">
        <v>7.0</v>
      </c>
      <c r="V7" s="4">
        <v>26.0</v>
      </c>
      <c r="W7" s="4" t="s">
        <v>43</v>
      </c>
      <c r="X7" s="4">
        <v>152500.0</v>
      </c>
      <c r="Y7" s="4">
        <v>50.0</v>
      </c>
      <c r="Z7" s="4">
        <v>1.427</v>
      </c>
      <c r="AA7" s="11">
        <v>46013.1875</v>
      </c>
      <c r="AB7" s="11">
        <v>46013.20486111111</v>
      </c>
      <c r="AC7" s="4">
        <v>25.0</v>
      </c>
      <c r="AD7" s="4">
        <v>9.0</v>
      </c>
      <c r="AE7" s="4">
        <v>41.98</v>
      </c>
      <c r="AF7" s="4">
        <v>883539.0</v>
      </c>
      <c r="AG7" s="4">
        <v>883539.0</v>
      </c>
      <c r="AH7" s="12">
        <v>46013.163194444445</v>
      </c>
      <c r="AI7" s="12">
        <v>46013.163194444445</v>
      </c>
      <c r="AJ7" s="12">
        <v>46013.20138888889</v>
      </c>
      <c r="AK7" s="4">
        <v>54.0</v>
      </c>
    </row>
    <row r="8" ht="15.75" customHeight="1">
      <c r="A8" s="4" t="str">
        <f t="array" ref="A8">_xludf.XLOOKUP(M8,'[2]Migrated Societies Data'!D:D,'[2]Migrated Societies Data'!B:B)</f>
        <v>#NAME?</v>
      </c>
      <c r="B8" s="4" t="str">
        <f t="array" ref="B8">_xludf.XLOOKUP(M8,'[2]Migrated Societies Data'!D:D,'[2]Migrated Societies Data'!E:E)</f>
        <v>#NAME?</v>
      </c>
      <c r="C8" s="4" t="str">
        <f t="shared" si="1"/>
        <v>22-12-2025</v>
      </c>
      <c r="D8" s="4">
        <f t="shared" si="2"/>
        <v>52</v>
      </c>
      <c r="E8" s="4">
        <f t="shared" si="3"/>
        <v>12</v>
      </c>
      <c r="F8" s="6" t="str">
        <f>MOD(_xludf.MINIFS([1]expressOrderReport!$AS:$AS,[1]expressOrderReport!$Q:$Q,$M2204,[1]expressOrderReport!$G:$G,$C2204),1)</f>
        <v>#ERROR!</v>
      </c>
      <c r="G8" s="6" t="str">
        <f>MOD(_xludf.MAXIFS([1]expressOrderReport!$AS:$AS,[1]expressOrderReport!$Q:$Q,$M2204,[1]expressOrderReport!$G:$G,$C2204),1)</f>
        <v>#ERROR!</v>
      </c>
      <c r="H8" s="7" t="str">
        <f t="shared" si="4"/>
        <v>#ERROR!</v>
      </c>
      <c r="I8" s="8">
        <f t="shared" si="5"/>
        <v>1.461538462</v>
      </c>
      <c r="J8" s="9" t="str">
        <f t="shared" si="6"/>
        <v>BBD-BLR-BellahalliRoad-T1S-route-0</v>
      </c>
      <c r="K8" s="9" t="str">
        <f t="shared" si="7"/>
        <v>22-12-2025882535</v>
      </c>
      <c r="L8" s="10">
        <v>46013.0</v>
      </c>
      <c r="M8" s="4" t="s">
        <v>49</v>
      </c>
      <c r="N8" s="4" t="s">
        <v>40</v>
      </c>
      <c r="O8" s="4">
        <v>2.94757464E8</v>
      </c>
      <c r="P8" s="4">
        <v>3.0</v>
      </c>
      <c r="Q8" s="4" t="s">
        <v>41</v>
      </c>
      <c r="R8" s="4" t="s">
        <v>42</v>
      </c>
      <c r="S8" s="4">
        <v>3.82016749E8</v>
      </c>
      <c r="T8" s="4">
        <v>39.0</v>
      </c>
      <c r="U8" s="4">
        <v>0.0</v>
      </c>
      <c r="V8" s="4">
        <v>39.0</v>
      </c>
      <c r="W8" s="4" t="s">
        <v>43</v>
      </c>
      <c r="X8" s="4">
        <v>152500.0</v>
      </c>
      <c r="Y8" s="4">
        <v>50.0</v>
      </c>
      <c r="Z8" s="4">
        <v>4.085</v>
      </c>
      <c r="AA8" s="11">
        <v>46013.1875</v>
      </c>
      <c r="AB8" s="11">
        <v>46013.211805555555</v>
      </c>
      <c r="AC8" s="4">
        <v>35.0</v>
      </c>
      <c r="AD8" s="4">
        <v>9.0</v>
      </c>
      <c r="AE8" s="4">
        <v>40.02</v>
      </c>
      <c r="AF8" s="4">
        <v>882535.0</v>
      </c>
      <c r="AG8" s="4">
        <v>882535.0</v>
      </c>
      <c r="AH8" s="12">
        <v>46013.16805555556</v>
      </c>
      <c r="AI8" s="12">
        <v>46013.16805555556</v>
      </c>
      <c r="AJ8" s="12">
        <v>46013.208333333336</v>
      </c>
      <c r="AK8" s="4">
        <v>57.0</v>
      </c>
    </row>
    <row r="9" ht="15.75" customHeight="1">
      <c r="A9" s="4" t="str">
        <f t="array" ref="A9">_xludf.XLOOKUP(M9,'[2]Migrated Societies Data'!D:D,'[2]Migrated Societies Data'!B:B)</f>
        <v>#NAME?</v>
      </c>
      <c r="B9" s="4" t="str">
        <f t="array" ref="B9">_xludf.XLOOKUP(M9,'[2]Migrated Societies Data'!D:D,'[2]Migrated Societies Data'!E:E)</f>
        <v>#NAME?</v>
      </c>
      <c r="C9" s="4" t="str">
        <f t="shared" si="1"/>
        <v>22-12-2025</v>
      </c>
      <c r="D9" s="4">
        <f t="shared" si="2"/>
        <v>52</v>
      </c>
      <c r="E9" s="4">
        <f t="shared" si="3"/>
        <v>12</v>
      </c>
      <c r="F9" s="6" t="str">
        <f>MOD(_xludf.MINIFS([1]expressOrderReport!$AS:$AS,[1]expressOrderReport!$Q:$Q,$M2205,[1]expressOrderReport!$G:$G,$C2205),1)</f>
        <v>#ERROR!</v>
      </c>
      <c r="G9" s="6" t="str">
        <f>MOD(_xludf.MAXIFS([1]expressOrderReport!$AS:$AS,[1]expressOrderReport!$Q:$Q,$M2205,[1]expressOrderReport!$G:$G,$C2205),1)</f>
        <v>#ERROR!</v>
      </c>
      <c r="H9" s="7" t="str">
        <f t="shared" si="4"/>
        <v>#ERROR!</v>
      </c>
      <c r="I9" s="8">
        <f t="shared" si="5"/>
        <v>3.195121951</v>
      </c>
      <c r="J9" s="9" t="str">
        <f t="shared" si="6"/>
        <v>BBD-BLR-Nagondanahalli-T1S-route-0</v>
      </c>
      <c r="K9" s="9" t="str">
        <f t="shared" si="7"/>
        <v>22-12-2025861283</v>
      </c>
      <c r="L9" s="10">
        <v>46013.0</v>
      </c>
      <c r="M9" s="4" t="s">
        <v>50</v>
      </c>
      <c r="N9" s="4" t="s">
        <v>40</v>
      </c>
      <c r="O9" s="4">
        <v>2.94757469E8</v>
      </c>
      <c r="P9" s="4">
        <v>3.0</v>
      </c>
      <c r="Q9" s="4" t="s">
        <v>41</v>
      </c>
      <c r="R9" s="4" t="s">
        <v>42</v>
      </c>
      <c r="S9" s="4">
        <v>3.82016756E8</v>
      </c>
      <c r="T9" s="4">
        <v>42.0</v>
      </c>
      <c r="U9" s="4">
        <v>1.0</v>
      </c>
      <c r="V9" s="4">
        <v>41.0</v>
      </c>
      <c r="W9" s="4" t="s">
        <v>43</v>
      </c>
      <c r="X9" s="4">
        <v>152500.0</v>
      </c>
      <c r="Y9" s="4">
        <v>50.0</v>
      </c>
      <c r="Z9" s="4">
        <v>4.003</v>
      </c>
      <c r="AA9" s="11">
        <v>46013.1875</v>
      </c>
      <c r="AB9" s="11">
        <v>46013.217361111114</v>
      </c>
      <c r="AC9" s="4">
        <v>43.0</v>
      </c>
      <c r="AD9" s="4">
        <v>9.0</v>
      </c>
      <c r="AE9" s="4">
        <v>41.99</v>
      </c>
      <c r="AF9" s="4">
        <v>861283.0</v>
      </c>
      <c r="AG9" s="4">
        <v>861283.0</v>
      </c>
      <c r="AH9" s="12">
        <v>46013.17083333333</v>
      </c>
      <c r="AI9" s="12">
        <v>46013.17083333333</v>
      </c>
      <c r="AJ9" s="12">
        <v>46013.2625</v>
      </c>
      <c r="AK9" s="4">
        <v>131.0</v>
      </c>
    </row>
    <row r="10" ht="15.75" customHeight="1">
      <c r="A10" s="4" t="str">
        <f t="array" ref="A10">_xludf.XLOOKUP(M10,'[2]Migrated Societies Data'!D:D,'[2]Migrated Societies Data'!B:B)</f>
        <v>#NAME?</v>
      </c>
      <c r="B10" s="4" t="str">
        <f t="array" ref="B10">_xludf.XLOOKUP(M10,'[2]Migrated Societies Data'!D:D,'[2]Migrated Societies Data'!E:E)</f>
        <v>#NAME?</v>
      </c>
      <c r="C10" s="4" t="str">
        <f t="shared" si="1"/>
        <v>22-12-2025</v>
      </c>
      <c r="D10" s="4">
        <f t="shared" si="2"/>
        <v>52</v>
      </c>
      <c r="E10" s="4">
        <f t="shared" si="3"/>
        <v>12</v>
      </c>
      <c r="F10" s="6" t="str">
        <f>MOD(_xludf.MINIFS([1]expressOrderReport!$AS:$AS,[1]expressOrderReport!$Q:$Q,$M2206,[1]expressOrderReport!$G:$G,$C2206),1)</f>
        <v>#ERROR!</v>
      </c>
      <c r="G10" s="6" t="str">
        <f>MOD(_xludf.MAXIFS([1]expressOrderReport!$AS:$AS,[1]expressOrderReport!$Q:$Q,$M2206,[1]expressOrderReport!$G:$G,$C2206),1)</f>
        <v>#ERROR!</v>
      </c>
      <c r="H10" s="7" t="str">
        <f t="shared" si="4"/>
        <v>#ERROR!</v>
      </c>
      <c r="I10" s="8">
        <f t="shared" si="5"/>
        <v>2.4375</v>
      </c>
      <c r="J10" s="9" t="str">
        <f t="shared" si="6"/>
        <v>BBD-BLR-Jalahalli-T1S-route-0</v>
      </c>
      <c r="K10" s="9" t="str">
        <f t="shared" si="7"/>
        <v>22-12-2025882511</v>
      </c>
      <c r="L10" s="10">
        <v>46013.0</v>
      </c>
      <c r="M10" s="4" t="s">
        <v>51</v>
      </c>
      <c r="N10" s="4" t="s">
        <v>40</v>
      </c>
      <c r="O10" s="4">
        <v>2.94757488E8</v>
      </c>
      <c r="P10" s="4">
        <v>3.0</v>
      </c>
      <c r="Q10" s="4" t="s">
        <v>41</v>
      </c>
      <c r="R10" s="4" t="s">
        <v>42</v>
      </c>
      <c r="S10" s="4">
        <v>3.82016761E8</v>
      </c>
      <c r="T10" s="4">
        <v>32.0</v>
      </c>
      <c r="U10" s="4">
        <v>0.0</v>
      </c>
      <c r="V10" s="4">
        <v>32.0</v>
      </c>
      <c r="W10" s="4" t="s">
        <v>43</v>
      </c>
      <c r="X10" s="4">
        <v>152500.0</v>
      </c>
      <c r="Y10" s="4">
        <v>50.0</v>
      </c>
      <c r="Z10" s="4">
        <v>8.156</v>
      </c>
      <c r="AA10" s="11">
        <v>46013.1875</v>
      </c>
      <c r="AB10" s="11">
        <v>46013.222916666666</v>
      </c>
      <c r="AC10" s="4">
        <v>51.0</v>
      </c>
      <c r="AD10" s="4">
        <v>9.0</v>
      </c>
      <c r="AE10" s="4">
        <v>41.8</v>
      </c>
      <c r="AF10" s="4">
        <v>882511.0</v>
      </c>
      <c r="AG10" s="4">
        <v>882511.0</v>
      </c>
      <c r="AH10" s="12">
        <v>46013.16736111111</v>
      </c>
      <c r="AI10" s="12">
        <v>46013.16736111111</v>
      </c>
      <c r="AJ10" s="12">
        <v>46013.22152777778</v>
      </c>
      <c r="AK10" s="4">
        <v>78.0</v>
      </c>
    </row>
    <row r="11" ht="15.75" customHeight="1">
      <c r="A11" s="4" t="str">
        <f t="array" ref="A11">_xludf.XLOOKUP(M11,'[2]Migrated Societies Data'!D:D,'[2]Migrated Societies Data'!B:B)</f>
        <v>#NAME?</v>
      </c>
      <c r="B11" s="4" t="str">
        <f t="array" ref="B11">_xludf.XLOOKUP(M11,'[2]Migrated Societies Data'!D:D,'[2]Migrated Societies Data'!E:E)</f>
        <v>#NAME?</v>
      </c>
      <c r="C11" s="4" t="str">
        <f t="shared" si="1"/>
        <v>22-12-2025</v>
      </c>
      <c r="D11" s="4">
        <f t="shared" si="2"/>
        <v>52</v>
      </c>
      <c r="E11" s="4">
        <f t="shared" si="3"/>
        <v>12</v>
      </c>
      <c r="F11" s="6" t="str">
        <f>MOD(_xludf.MINIFS([1]expressOrderReport!$AS:$AS,[1]expressOrderReport!$Q:$Q,$M2207,[1]expressOrderReport!$G:$G,$C2207),1)</f>
        <v>#ERROR!</v>
      </c>
      <c r="G11" s="6" t="str">
        <f>MOD(_xludf.MAXIFS([1]expressOrderReport!$AS:$AS,[1]expressOrderReport!$Q:$Q,$M2207,[1]expressOrderReport!$G:$G,$C2207),1)</f>
        <v>#ERROR!</v>
      </c>
      <c r="H11" s="7" t="str">
        <f t="shared" si="4"/>
        <v>#ERROR!</v>
      </c>
      <c r="I11" s="8">
        <f t="shared" si="5"/>
        <v>3.342857143</v>
      </c>
      <c r="J11" s="9" t="str">
        <f t="shared" si="6"/>
        <v>BBD-BLR-HRBR-044-T1S-route-0</v>
      </c>
      <c r="K11" s="9" t="str">
        <f t="shared" si="7"/>
        <v>22-12-2025882537</v>
      </c>
      <c r="L11" s="10">
        <v>46013.0</v>
      </c>
      <c r="M11" s="4" t="s">
        <v>52</v>
      </c>
      <c r="N11" s="4" t="s">
        <v>40</v>
      </c>
      <c r="O11" s="4">
        <v>2.94757487E8</v>
      </c>
      <c r="P11" s="4">
        <v>3.0</v>
      </c>
      <c r="Q11" s="4" t="s">
        <v>41</v>
      </c>
      <c r="R11" s="4" t="s">
        <v>42</v>
      </c>
      <c r="S11" s="4">
        <v>3.82016765E8</v>
      </c>
      <c r="T11" s="4">
        <v>40.0</v>
      </c>
      <c r="U11" s="4">
        <v>5.0</v>
      </c>
      <c r="V11" s="4">
        <v>35.0</v>
      </c>
      <c r="W11" s="4" t="s">
        <v>43</v>
      </c>
      <c r="X11" s="4">
        <v>152500.0</v>
      </c>
      <c r="Y11" s="4">
        <v>50.0</v>
      </c>
      <c r="Z11" s="4">
        <v>15.221</v>
      </c>
      <c r="AA11" s="11">
        <v>46013.1875</v>
      </c>
      <c r="AB11" s="11">
        <v>46013.248611111114</v>
      </c>
      <c r="AC11" s="4">
        <v>88.0</v>
      </c>
      <c r="AD11" s="4">
        <v>9.0</v>
      </c>
      <c r="AE11" s="4">
        <v>41.33</v>
      </c>
      <c r="AF11" s="4">
        <v>882537.0</v>
      </c>
      <c r="AG11" s="4">
        <v>882537.0</v>
      </c>
      <c r="AH11" s="12">
        <v>46013.17291666667</v>
      </c>
      <c r="AI11" s="12">
        <v>46013.17291666667</v>
      </c>
      <c r="AJ11" s="12">
        <v>46013.25486111111</v>
      </c>
      <c r="AK11" s="4">
        <v>117.0</v>
      </c>
    </row>
    <row r="12" ht="15.75" customHeight="1">
      <c r="A12" s="4" t="str">
        <f t="array" ref="A12">_xludf.XLOOKUP(M12,'[2]Migrated Societies Data'!D:D,'[2]Migrated Societies Data'!B:B)</f>
        <v>#NAME?</v>
      </c>
      <c r="B12" s="4" t="str">
        <f t="array" ref="B12">_xludf.XLOOKUP(M12,'[2]Migrated Societies Data'!D:D,'[2]Migrated Societies Data'!E:E)</f>
        <v>#NAME?</v>
      </c>
      <c r="C12" s="4" t="str">
        <f t="shared" si="1"/>
        <v>22-12-2025</v>
      </c>
      <c r="D12" s="4">
        <f t="shared" si="2"/>
        <v>52</v>
      </c>
      <c r="E12" s="4">
        <f t="shared" si="3"/>
        <v>12</v>
      </c>
      <c r="F12" s="6" t="str">
        <f>MOD(_xludf.MINIFS([1]expressOrderReport!$AS:$AS,[1]expressOrderReport!$Q:$Q,$M2208,[1]expressOrderReport!$G:$G,$C2208),1)</f>
        <v>#ERROR!</v>
      </c>
      <c r="G12" s="6" t="str">
        <f>MOD(_xludf.MAXIFS([1]expressOrderReport!$AS:$AS,[1]expressOrderReport!$Q:$Q,$M2208,[1]expressOrderReport!$G:$G,$C2208),1)</f>
        <v>#ERROR!</v>
      </c>
      <c r="H12" s="7" t="str">
        <f t="shared" si="4"/>
        <v>#ERROR!</v>
      </c>
      <c r="I12" s="8">
        <f t="shared" si="5"/>
        <v>2.853658537</v>
      </c>
      <c r="J12" s="9" t="str">
        <f t="shared" si="6"/>
        <v>BBD-BLR-PeenyaPhase3-T1S-route-0</v>
      </c>
      <c r="K12" s="9" t="str">
        <f t="shared" si="7"/>
        <v>22-12-2025851687</v>
      </c>
      <c r="L12" s="10">
        <v>46013.0</v>
      </c>
      <c r="M12" s="4" t="s">
        <v>53</v>
      </c>
      <c r="N12" s="4" t="s">
        <v>40</v>
      </c>
      <c r="O12" s="4">
        <v>2.94757498E8</v>
      </c>
      <c r="P12" s="4">
        <v>3.0</v>
      </c>
      <c r="Q12" s="4" t="s">
        <v>41</v>
      </c>
      <c r="R12" s="4" t="s">
        <v>42</v>
      </c>
      <c r="S12" s="4">
        <v>3.82016805E8</v>
      </c>
      <c r="T12" s="4">
        <v>44.0</v>
      </c>
      <c r="U12" s="4">
        <v>3.0</v>
      </c>
      <c r="V12" s="4">
        <v>41.0</v>
      </c>
      <c r="W12" s="4" t="s">
        <v>43</v>
      </c>
      <c r="X12" s="4">
        <v>152500.0</v>
      </c>
      <c r="Y12" s="4">
        <v>50.0</v>
      </c>
      <c r="Z12" s="4">
        <v>5.367</v>
      </c>
      <c r="AA12" s="11">
        <v>46013.1875</v>
      </c>
      <c r="AB12" s="11">
        <v>46013.220138888886</v>
      </c>
      <c r="AC12" s="4">
        <v>47.0</v>
      </c>
      <c r="AD12" s="4">
        <v>9.0</v>
      </c>
      <c r="AE12" s="4">
        <v>41.61</v>
      </c>
      <c r="AF12" s="4">
        <v>851687.0</v>
      </c>
      <c r="AG12" s="4">
        <v>851687.0</v>
      </c>
      <c r="AH12" s="12">
        <v>46013.18263888889</v>
      </c>
      <c r="AI12" s="12">
        <v>46013.183333333334</v>
      </c>
      <c r="AJ12" s="12">
        <v>46013.26458333333</v>
      </c>
      <c r="AK12" s="4">
        <v>117.0</v>
      </c>
    </row>
    <row r="13" ht="15.75" customHeight="1">
      <c r="A13" s="4" t="str">
        <f t="array" ref="A13">_xludf.XLOOKUP(M13,'[2]Migrated Societies Data'!D:D,'[2]Migrated Societies Data'!B:B)</f>
        <v>#NAME?</v>
      </c>
      <c r="B13" s="4" t="str">
        <f t="array" ref="B13">_xludf.XLOOKUP(M13,'[2]Migrated Societies Data'!D:D,'[2]Migrated Societies Data'!E:E)</f>
        <v>#NAME?</v>
      </c>
      <c r="C13" s="4" t="str">
        <f t="shared" si="1"/>
        <v>22-12-2025</v>
      </c>
      <c r="D13" s="4">
        <f t="shared" si="2"/>
        <v>52</v>
      </c>
      <c r="E13" s="4">
        <f t="shared" si="3"/>
        <v>12</v>
      </c>
      <c r="F13" s="6" t="str">
        <f>MOD(_xludf.MINIFS([1]expressOrderReport!$AS:$AS,[1]expressOrderReport!$Q:$Q,$M2209,[1]expressOrderReport!$G:$G,$C2209),1)</f>
        <v>#ERROR!</v>
      </c>
      <c r="G13" s="6" t="str">
        <f>MOD(_xludf.MAXIFS([1]expressOrderReport!$AS:$AS,[1]expressOrderReport!$Q:$Q,$M2209,[1]expressOrderReport!$G:$G,$C2209),1)</f>
        <v>#ERROR!</v>
      </c>
      <c r="H13" s="7" t="str">
        <f t="shared" si="4"/>
        <v>#ERROR!</v>
      </c>
      <c r="I13" s="8">
        <f t="shared" si="5"/>
        <v>1.384615385</v>
      </c>
      <c r="J13" s="9" t="str">
        <f t="shared" si="6"/>
        <v>BBD-BLR-HAL-T1S-route-0</v>
      </c>
      <c r="K13" s="9" t="str">
        <f t="shared" si="7"/>
        <v>22-12-2025883056</v>
      </c>
      <c r="L13" s="10">
        <v>46013.0</v>
      </c>
      <c r="M13" s="4" t="s">
        <v>54</v>
      </c>
      <c r="N13" s="4" t="s">
        <v>40</v>
      </c>
      <c r="O13" s="4">
        <v>2.94757501E8</v>
      </c>
      <c r="P13" s="4">
        <v>3.0</v>
      </c>
      <c r="Q13" s="4" t="s">
        <v>41</v>
      </c>
      <c r="R13" s="4" t="s">
        <v>42</v>
      </c>
      <c r="S13" s="4">
        <v>3.82016812E8</v>
      </c>
      <c r="T13" s="4">
        <v>40.0</v>
      </c>
      <c r="U13" s="4">
        <v>1.0</v>
      </c>
      <c r="V13" s="4">
        <v>39.0</v>
      </c>
      <c r="W13" s="4" t="s">
        <v>43</v>
      </c>
      <c r="X13" s="4">
        <v>152500.0</v>
      </c>
      <c r="Y13" s="4">
        <v>50.0</v>
      </c>
      <c r="Z13" s="4">
        <v>2.573</v>
      </c>
      <c r="AA13" s="11">
        <v>46013.1875</v>
      </c>
      <c r="AB13" s="11">
        <v>46013.2125</v>
      </c>
      <c r="AC13" s="4">
        <v>36.0</v>
      </c>
      <c r="AD13" s="4">
        <v>9.0</v>
      </c>
      <c r="AE13" s="4">
        <v>41.63</v>
      </c>
      <c r="AF13" s="4">
        <v>883056.0</v>
      </c>
      <c r="AG13" s="4">
        <v>883056.0</v>
      </c>
      <c r="AH13" s="12">
        <v>46013.194444444445</v>
      </c>
      <c r="AI13" s="12">
        <v>46013.194444444445</v>
      </c>
      <c r="AJ13" s="12">
        <v>46013.23263888889</v>
      </c>
      <c r="AK13" s="4">
        <v>54.0</v>
      </c>
    </row>
    <row r="14" ht="15.75" customHeight="1">
      <c r="A14" s="4" t="str">
        <f t="array" ref="A14">_xludf.XLOOKUP(M14,'[2]Migrated Societies Data'!D:D,'[2]Migrated Societies Data'!B:B)</f>
        <v>#NAME?</v>
      </c>
      <c r="B14" s="4" t="str">
        <f t="array" ref="B14">_xludf.XLOOKUP(M14,'[2]Migrated Societies Data'!D:D,'[2]Migrated Societies Data'!E:E)</f>
        <v>#NAME?</v>
      </c>
      <c r="C14" s="4" t="str">
        <f t="shared" si="1"/>
        <v>22-12-2025</v>
      </c>
      <c r="D14" s="4">
        <f t="shared" si="2"/>
        <v>52</v>
      </c>
      <c r="E14" s="4">
        <f t="shared" si="3"/>
        <v>12</v>
      </c>
      <c r="F14" s="6" t="str">
        <f>MOD(_xludf.MINIFS([1]expressOrderReport!$AS:$AS,[1]expressOrderReport!$Q:$Q,$M2210,[1]expressOrderReport!$G:$G,$C2210),1)</f>
        <v>#ERROR!</v>
      </c>
      <c r="G14" s="6" t="str">
        <f>MOD(_xludf.MAXIFS([1]expressOrderReport!$AS:$AS,[1]expressOrderReport!$Q:$Q,$M2210,[1]expressOrderReport!$G:$G,$C2210),1)</f>
        <v>#ERROR!</v>
      </c>
      <c r="H14" s="7" t="str">
        <f t="shared" si="4"/>
        <v>#ERROR!</v>
      </c>
      <c r="I14" s="8">
        <f t="shared" si="5"/>
        <v>1.918918919</v>
      </c>
      <c r="J14" s="9" t="str">
        <f t="shared" si="6"/>
        <v>BBD-BLR-Attibele-T1S-route-0</v>
      </c>
      <c r="K14" s="9" t="str">
        <f t="shared" si="7"/>
        <v>22-12-2025875162</v>
      </c>
      <c r="L14" s="10">
        <v>46013.0</v>
      </c>
      <c r="M14" s="4" t="s">
        <v>55</v>
      </c>
      <c r="N14" s="4" t="s">
        <v>40</v>
      </c>
      <c r="O14" s="4">
        <v>2.94757502E8</v>
      </c>
      <c r="P14" s="4">
        <v>3.0</v>
      </c>
      <c r="Q14" s="4" t="s">
        <v>41</v>
      </c>
      <c r="R14" s="4" t="s">
        <v>42</v>
      </c>
      <c r="S14" s="4">
        <v>3.82016814E8</v>
      </c>
      <c r="T14" s="4">
        <v>38.0</v>
      </c>
      <c r="U14" s="4">
        <v>1.0</v>
      </c>
      <c r="V14" s="4">
        <v>37.0</v>
      </c>
      <c r="W14" s="4" t="s">
        <v>43</v>
      </c>
      <c r="X14" s="4">
        <v>152500.0</v>
      </c>
      <c r="Y14" s="4">
        <v>50.0</v>
      </c>
      <c r="Z14" s="4">
        <v>7.293</v>
      </c>
      <c r="AA14" s="11">
        <v>46013.1875</v>
      </c>
      <c r="AB14" s="11">
        <v>46013.22638888889</v>
      </c>
      <c r="AC14" s="4">
        <v>56.0</v>
      </c>
      <c r="AD14" s="4">
        <v>9.0</v>
      </c>
      <c r="AE14" s="4">
        <v>41.98</v>
      </c>
      <c r="AF14" s="4">
        <v>875162.0</v>
      </c>
      <c r="AG14" s="4">
        <v>875162.0</v>
      </c>
      <c r="AH14" s="12">
        <v>46013.26944444444</v>
      </c>
      <c r="AI14" s="12">
        <v>46013.26944444444</v>
      </c>
      <c r="AJ14" s="12">
        <v>46013.319444444445</v>
      </c>
      <c r="AK14" s="4">
        <v>71.0</v>
      </c>
    </row>
    <row r="15" ht="15.75" customHeight="1">
      <c r="A15" s="4" t="str">
        <f t="array" ref="A15">_xludf.XLOOKUP(M15,'[2]Migrated Societies Data'!D:D,'[2]Migrated Societies Data'!B:B)</f>
        <v>#NAME?</v>
      </c>
      <c r="B15" s="4" t="str">
        <f t="array" ref="B15">_xludf.XLOOKUP(M15,'[2]Migrated Societies Data'!D:D,'[2]Migrated Societies Data'!E:E)</f>
        <v>#NAME?</v>
      </c>
      <c r="C15" s="4" t="str">
        <f t="shared" si="1"/>
        <v>22-12-2025</v>
      </c>
      <c r="D15" s="4">
        <f t="shared" si="2"/>
        <v>52</v>
      </c>
      <c r="E15" s="4">
        <f t="shared" si="3"/>
        <v>12</v>
      </c>
      <c r="F15" s="6" t="str">
        <f>MOD(_xludf.MINIFS([1]expressOrderReport!$AS:$AS,[1]expressOrderReport!$Q:$Q,$M2211,[1]expressOrderReport!$G:$G,$C2211),1)</f>
        <v>#ERROR!</v>
      </c>
      <c r="G15" s="6" t="str">
        <f>MOD(_xludf.MAXIFS([1]expressOrderReport!$AS:$AS,[1]expressOrderReport!$Q:$Q,$M2211,[1]expressOrderReport!$G:$G,$C2211),1)</f>
        <v>#ERROR!</v>
      </c>
      <c r="H15" s="7" t="str">
        <f t="shared" si="4"/>
        <v>#ERROR!</v>
      </c>
      <c r="I15" s="8">
        <f t="shared" si="5"/>
        <v>4.454545455</v>
      </c>
      <c r="J15" s="9" t="str">
        <f t="shared" si="6"/>
        <v>BBD-BLR-BensonTown-T1S-route-0</v>
      </c>
      <c r="K15" s="9" t="str">
        <f t="shared" si="7"/>
        <v>22-12-2025882391</v>
      </c>
      <c r="L15" s="10">
        <v>46013.0</v>
      </c>
      <c r="M15" s="4" t="s">
        <v>56</v>
      </c>
      <c r="N15" s="4" t="s">
        <v>40</v>
      </c>
      <c r="O15" s="4">
        <v>2.94757506E8</v>
      </c>
      <c r="P15" s="4">
        <v>3.0</v>
      </c>
      <c r="Q15" s="4" t="s">
        <v>41</v>
      </c>
      <c r="R15" s="4" t="s">
        <v>42</v>
      </c>
      <c r="S15" s="4">
        <v>3.82016815E8</v>
      </c>
      <c r="T15" s="4">
        <v>12.0</v>
      </c>
      <c r="U15" s="4">
        <v>1.0</v>
      </c>
      <c r="V15" s="4">
        <v>11.0</v>
      </c>
      <c r="W15" s="4" t="s">
        <v>43</v>
      </c>
      <c r="X15" s="4">
        <v>152500.0</v>
      </c>
      <c r="Y15" s="4">
        <v>50.0</v>
      </c>
      <c r="Z15" s="4">
        <v>7.709</v>
      </c>
      <c r="AA15" s="11">
        <v>46013.1875</v>
      </c>
      <c r="AB15" s="11">
        <v>46013.2125</v>
      </c>
      <c r="AC15" s="4">
        <v>36.0</v>
      </c>
      <c r="AD15" s="4">
        <v>9.0</v>
      </c>
      <c r="AE15" s="4">
        <v>15.75</v>
      </c>
      <c r="AF15" s="4">
        <v>882391.0</v>
      </c>
      <c r="AG15" s="4">
        <v>882391.0</v>
      </c>
      <c r="AH15" s="12">
        <v>46013.24375</v>
      </c>
      <c r="AI15" s="12">
        <v>46013.24375</v>
      </c>
      <c r="AJ15" s="12">
        <v>46013.27847222222</v>
      </c>
      <c r="AK15" s="4">
        <v>49.0</v>
      </c>
    </row>
    <row r="16" ht="15.75" customHeight="1">
      <c r="A16" s="4" t="str">
        <f t="array" ref="A16">_xludf.XLOOKUP(M16,'[2]Migrated Societies Data'!D:D,'[2]Migrated Societies Data'!B:B)</f>
        <v>#NAME?</v>
      </c>
      <c r="B16" s="4" t="str">
        <f t="array" ref="B16">_xludf.XLOOKUP(M16,'[2]Migrated Societies Data'!D:D,'[2]Migrated Societies Data'!E:E)</f>
        <v>#NAME?</v>
      </c>
      <c r="C16" s="4" t="str">
        <f t="shared" si="1"/>
        <v>22-12-2025</v>
      </c>
      <c r="D16" s="4">
        <f t="shared" si="2"/>
        <v>52</v>
      </c>
      <c r="E16" s="4">
        <f t="shared" si="3"/>
        <v>12</v>
      </c>
      <c r="F16" s="6" t="str">
        <f>MOD(_xludf.MINIFS([1]expressOrderReport!$AS:$AS,[1]expressOrderReport!$Q:$Q,$M2212,[1]expressOrderReport!$G:$G,$C2212),1)</f>
        <v>#ERROR!</v>
      </c>
      <c r="G16" s="6" t="str">
        <f>MOD(_xludf.MAXIFS([1]expressOrderReport!$AS:$AS,[1]expressOrderReport!$Q:$Q,$M2212,[1]expressOrderReport!$G:$G,$C2212),1)</f>
        <v>#ERROR!</v>
      </c>
      <c r="H16" s="7" t="str">
        <f t="shared" si="4"/>
        <v>#ERROR!</v>
      </c>
      <c r="I16" s="8">
        <f t="shared" si="5"/>
        <v>1.513513514</v>
      </c>
      <c r="J16" s="9" t="str">
        <f t="shared" si="6"/>
        <v>BBD-BLR-Chikkasandra-T1S-route-0</v>
      </c>
      <c r="K16" s="9" t="str">
        <f t="shared" si="7"/>
        <v>22-12-2025875282</v>
      </c>
      <c r="L16" s="10">
        <v>46013.0</v>
      </c>
      <c r="M16" s="4" t="s">
        <v>57</v>
      </c>
      <c r="N16" s="4" t="s">
        <v>40</v>
      </c>
      <c r="O16" s="4">
        <v>2.94757508E8</v>
      </c>
      <c r="P16" s="4">
        <v>3.0</v>
      </c>
      <c r="Q16" s="4" t="s">
        <v>41</v>
      </c>
      <c r="R16" s="4" t="s">
        <v>42</v>
      </c>
      <c r="S16" s="4">
        <v>3.82016816E8</v>
      </c>
      <c r="T16" s="4">
        <v>38.0</v>
      </c>
      <c r="U16" s="4">
        <v>1.0</v>
      </c>
      <c r="V16" s="4">
        <v>37.0</v>
      </c>
      <c r="W16" s="4" t="s">
        <v>43</v>
      </c>
      <c r="X16" s="4">
        <v>152500.0</v>
      </c>
      <c r="Y16" s="4">
        <v>50.0</v>
      </c>
      <c r="Z16" s="4">
        <v>3.957</v>
      </c>
      <c r="AA16" s="11">
        <v>46013.1875</v>
      </c>
      <c r="AB16" s="11">
        <v>46013.21319444444</v>
      </c>
      <c r="AC16" s="4">
        <v>37.0</v>
      </c>
      <c r="AD16" s="4">
        <v>9.0</v>
      </c>
      <c r="AE16" s="4">
        <v>40.72</v>
      </c>
      <c r="AF16" s="4">
        <v>875282.0</v>
      </c>
      <c r="AG16" s="4">
        <v>875282.0</v>
      </c>
      <c r="AH16" s="12">
        <v>46013.17916666667</v>
      </c>
      <c r="AI16" s="12">
        <v>46013.17916666667</v>
      </c>
      <c r="AJ16" s="12">
        <v>46013.21875</v>
      </c>
      <c r="AK16" s="4">
        <v>56.0</v>
      </c>
    </row>
    <row r="17" ht="15.75" customHeight="1">
      <c r="A17" s="4" t="str">
        <f t="array" ref="A17">_xludf.XLOOKUP(M17,'[2]Migrated Societies Data'!D:D,'[2]Migrated Societies Data'!B:B)</f>
        <v>#NAME?</v>
      </c>
      <c r="B17" s="4" t="str">
        <f t="array" ref="B17">_xludf.XLOOKUP(M17,'[2]Migrated Societies Data'!D:D,'[2]Migrated Societies Data'!E:E)</f>
        <v>#NAME?</v>
      </c>
      <c r="C17" s="4" t="str">
        <f t="shared" si="1"/>
        <v>22-12-2025</v>
      </c>
      <c r="D17" s="4">
        <f t="shared" si="2"/>
        <v>52</v>
      </c>
      <c r="E17" s="4">
        <f t="shared" si="3"/>
        <v>12</v>
      </c>
      <c r="F17" s="6" t="str">
        <f>MOD(_xludf.MINIFS([1]expressOrderReport!$AS:$AS,[1]expressOrderReport!$Q:$Q,$M2213,[1]expressOrderReport!$G:$G,$C2213),1)</f>
        <v>#ERROR!</v>
      </c>
      <c r="G17" s="6" t="str">
        <f>MOD(_xludf.MAXIFS([1]expressOrderReport!$AS:$AS,[1]expressOrderReport!$Q:$Q,$M2213,[1]expressOrderReport!$G:$G,$C2213),1)</f>
        <v>#ERROR!</v>
      </c>
      <c r="H17" s="7" t="str">
        <f t="shared" si="4"/>
        <v>#ERROR!</v>
      </c>
      <c r="I17" s="8">
        <f t="shared" si="5"/>
        <v>1.451612903</v>
      </c>
      <c r="J17" s="9" t="str">
        <f t="shared" si="6"/>
        <v>BBD-BLR-Budhigere-T1S-route-0</v>
      </c>
      <c r="K17" s="9" t="str">
        <f t="shared" si="7"/>
        <v>22-12-2025861883</v>
      </c>
      <c r="L17" s="10">
        <v>46013.0</v>
      </c>
      <c r="M17" s="4" t="s">
        <v>58</v>
      </c>
      <c r="N17" s="4" t="s">
        <v>40</v>
      </c>
      <c r="O17" s="4">
        <v>2.947575E8</v>
      </c>
      <c r="P17" s="4">
        <v>3.0</v>
      </c>
      <c r="Q17" s="4" t="s">
        <v>41</v>
      </c>
      <c r="R17" s="4" t="s">
        <v>42</v>
      </c>
      <c r="S17" s="4">
        <v>3.82016824E8</v>
      </c>
      <c r="T17" s="4">
        <v>31.0</v>
      </c>
      <c r="U17" s="4">
        <v>0.0</v>
      </c>
      <c r="V17" s="4">
        <v>31.0</v>
      </c>
      <c r="W17" s="4" t="s">
        <v>43</v>
      </c>
      <c r="X17" s="4">
        <v>152500.0</v>
      </c>
      <c r="Y17" s="4">
        <v>50.0</v>
      </c>
      <c r="Z17" s="4">
        <v>3.966</v>
      </c>
      <c r="AA17" s="11">
        <v>46013.1875</v>
      </c>
      <c r="AB17" s="11">
        <v>46013.20763888889</v>
      </c>
      <c r="AC17" s="4">
        <v>29.0</v>
      </c>
      <c r="AD17" s="4">
        <v>9.0</v>
      </c>
      <c r="AE17" s="4">
        <v>40.44</v>
      </c>
      <c r="AF17" s="4">
        <v>861883.0</v>
      </c>
      <c r="AG17" s="4">
        <v>861883.0</v>
      </c>
      <c r="AH17" s="12">
        <v>46013.21666666667</v>
      </c>
      <c r="AI17" s="12">
        <v>46013.21666666667</v>
      </c>
      <c r="AJ17" s="12">
        <v>46013.248611111114</v>
      </c>
      <c r="AK17" s="4">
        <v>45.0</v>
      </c>
    </row>
    <row r="18" ht="15.75" customHeight="1">
      <c r="A18" s="4" t="str">
        <f t="array" ref="A18">_xludf.XLOOKUP(M18,'[2]Migrated Societies Data'!D:D,'[2]Migrated Societies Data'!B:B)</f>
        <v>#NAME?</v>
      </c>
      <c r="B18" s="4" t="str">
        <f t="array" ref="B18">_xludf.XLOOKUP(M18,'[2]Migrated Societies Data'!D:D,'[2]Migrated Societies Data'!E:E)</f>
        <v>#NAME?</v>
      </c>
      <c r="C18" s="4" t="str">
        <f t="shared" si="1"/>
        <v>22-12-2025</v>
      </c>
      <c r="D18" s="4">
        <f t="shared" si="2"/>
        <v>52</v>
      </c>
      <c r="E18" s="4">
        <f t="shared" si="3"/>
        <v>12</v>
      </c>
      <c r="F18" s="6" t="str">
        <f>MOD(_xludf.MINIFS([1]expressOrderReport!$AS:$AS,[1]expressOrderReport!$Q:$Q,$M2214,[1]expressOrderReport!$G:$G,$C2214),1)</f>
        <v>#ERROR!</v>
      </c>
      <c r="G18" s="6" t="str">
        <f>MOD(_xludf.MAXIFS([1]expressOrderReport!$AS:$AS,[1]expressOrderReport!$Q:$Q,$M2214,[1]expressOrderReport!$G:$G,$C2214),1)</f>
        <v>#ERROR!</v>
      </c>
      <c r="H18" s="7" t="str">
        <f t="shared" si="4"/>
        <v>#ERROR!</v>
      </c>
      <c r="I18" s="8">
        <f t="shared" si="5"/>
        <v>2.945945946</v>
      </c>
      <c r="J18" s="9" t="str">
        <f t="shared" si="6"/>
        <v>BBD-BLR-Chinappalay-T1S-route-1</v>
      </c>
      <c r="K18" s="9" t="str">
        <f t="shared" si="7"/>
        <v>22-12-2025875672</v>
      </c>
      <c r="L18" s="10">
        <v>46013.0</v>
      </c>
      <c r="M18" s="4" t="s">
        <v>39</v>
      </c>
      <c r="N18" s="4" t="s">
        <v>40</v>
      </c>
      <c r="O18" s="4">
        <v>2.94757461E8</v>
      </c>
      <c r="P18" s="4">
        <v>3.0</v>
      </c>
      <c r="Q18" s="4" t="s">
        <v>41</v>
      </c>
      <c r="R18" s="4" t="s">
        <v>59</v>
      </c>
      <c r="S18" s="4">
        <v>3.82016717E8</v>
      </c>
      <c r="T18" s="4">
        <v>37.0</v>
      </c>
      <c r="U18" s="4">
        <v>0.0</v>
      </c>
      <c r="V18" s="4">
        <v>37.0</v>
      </c>
      <c r="W18" s="4" t="s">
        <v>43</v>
      </c>
      <c r="X18" s="4">
        <v>152500.0</v>
      </c>
      <c r="Y18" s="4">
        <v>50.0</v>
      </c>
      <c r="Z18" s="4">
        <v>9.893</v>
      </c>
      <c r="AA18" s="11">
        <v>46013.1875</v>
      </c>
      <c r="AB18" s="11">
        <v>46013.231944444444</v>
      </c>
      <c r="AC18" s="4">
        <v>64.0</v>
      </c>
      <c r="AD18" s="4">
        <v>9.0</v>
      </c>
      <c r="AE18" s="4">
        <v>37.2</v>
      </c>
      <c r="AF18" s="4">
        <v>875672.0</v>
      </c>
      <c r="AG18" s="4">
        <v>875672.0</v>
      </c>
      <c r="AH18" s="12">
        <v>46013.188888888886</v>
      </c>
      <c r="AI18" s="12">
        <v>46013.18958333333</v>
      </c>
      <c r="AJ18" s="12">
        <v>46013.26597222222</v>
      </c>
      <c r="AK18" s="4">
        <v>109.0</v>
      </c>
    </row>
    <row r="19" ht="15.75" customHeight="1">
      <c r="A19" s="4" t="str">
        <f t="array" ref="A19">_xludf.XLOOKUP(M19,'[2]Migrated Societies Data'!D:D,'[2]Migrated Societies Data'!B:B)</f>
        <v>#NAME?</v>
      </c>
      <c r="B19" s="4" t="str">
        <f t="array" ref="B19">_xludf.XLOOKUP(M19,'[2]Migrated Societies Data'!D:D,'[2]Migrated Societies Data'!E:E)</f>
        <v>#NAME?</v>
      </c>
      <c r="C19" s="4" t="str">
        <f t="shared" si="1"/>
        <v>22-12-2025</v>
      </c>
      <c r="D19" s="4">
        <f t="shared" si="2"/>
        <v>52</v>
      </c>
      <c r="E19" s="4">
        <f t="shared" si="3"/>
        <v>12</v>
      </c>
      <c r="F19" s="6" t="str">
        <f>MOD(_xludf.MINIFS([1]expressOrderReport!$AS:$AS,[1]expressOrderReport!$Q:$Q,$M2215,[1]expressOrderReport!$G:$G,$C2215),1)</f>
        <v>#ERROR!</v>
      </c>
      <c r="G19" s="6" t="str">
        <f>MOD(_xludf.MAXIFS([1]expressOrderReport!$AS:$AS,[1]expressOrderReport!$Q:$Q,$M2215,[1]expressOrderReport!$G:$G,$C2215),1)</f>
        <v>#ERROR!</v>
      </c>
      <c r="H19" s="7" t="str">
        <f t="shared" si="4"/>
        <v>#ERROR!</v>
      </c>
      <c r="I19" s="8">
        <f t="shared" si="5"/>
        <v>1.527777778</v>
      </c>
      <c r="J19" s="9" t="str">
        <f t="shared" si="6"/>
        <v>BBD-BLR-Jakkasandra-T1S-route-1</v>
      </c>
      <c r="K19" s="9" t="str">
        <f t="shared" si="7"/>
        <v>22-12-2025883050</v>
      </c>
      <c r="L19" s="10">
        <v>46013.0</v>
      </c>
      <c r="M19" s="4" t="s">
        <v>44</v>
      </c>
      <c r="N19" s="4" t="s">
        <v>40</v>
      </c>
      <c r="O19" s="4">
        <v>2.9475747E8</v>
      </c>
      <c r="P19" s="4">
        <v>3.0</v>
      </c>
      <c r="Q19" s="4" t="s">
        <v>41</v>
      </c>
      <c r="R19" s="4" t="s">
        <v>59</v>
      </c>
      <c r="S19" s="4">
        <v>3.82016721E8</v>
      </c>
      <c r="T19" s="4">
        <v>37.0</v>
      </c>
      <c r="U19" s="4">
        <v>1.0</v>
      </c>
      <c r="V19" s="4">
        <v>36.0</v>
      </c>
      <c r="W19" s="4" t="s">
        <v>43</v>
      </c>
      <c r="X19" s="4">
        <v>152500.0</v>
      </c>
      <c r="Y19" s="4">
        <v>50.0</v>
      </c>
      <c r="Z19" s="4">
        <v>6.798</v>
      </c>
      <c r="AA19" s="11">
        <v>46013.1875</v>
      </c>
      <c r="AB19" s="11">
        <v>46013.225694444445</v>
      </c>
      <c r="AC19" s="4">
        <v>55.0</v>
      </c>
      <c r="AD19" s="4">
        <v>9.0</v>
      </c>
      <c r="AE19" s="4">
        <v>41.17</v>
      </c>
      <c r="AF19" s="4">
        <v>883050.0</v>
      </c>
      <c r="AG19" s="4">
        <v>883050.0</v>
      </c>
      <c r="AH19" s="12">
        <v>46013.225</v>
      </c>
      <c r="AI19" s="12">
        <v>46013.225</v>
      </c>
      <c r="AJ19" s="12">
        <v>46013.263194444444</v>
      </c>
      <c r="AK19" s="4">
        <v>55.0</v>
      </c>
    </row>
    <row r="20" ht="15.75" customHeight="1">
      <c r="A20" s="4" t="str">
        <f t="array" ref="A20">_xludf.XLOOKUP(M20,'[2]Migrated Societies Data'!D:D,'[2]Migrated Societies Data'!B:B)</f>
        <v>#NAME?</v>
      </c>
      <c r="B20" s="4" t="str">
        <f t="array" ref="B20">_xludf.XLOOKUP(M20,'[2]Migrated Societies Data'!D:D,'[2]Migrated Societies Data'!E:E)</f>
        <v>#NAME?</v>
      </c>
      <c r="C20" s="4" t="str">
        <f t="shared" si="1"/>
        <v>22-12-2025</v>
      </c>
      <c r="D20" s="4">
        <f t="shared" si="2"/>
        <v>52</v>
      </c>
      <c r="E20" s="4">
        <f t="shared" si="3"/>
        <v>12</v>
      </c>
      <c r="F20" s="6" t="str">
        <f>MOD(_xludf.MINIFS([1]expressOrderReport!$AS:$AS,[1]expressOrderReport!$Q:$Q,$M2216,[1]expressOrderReport!$G:$G,$C2216),1)</f>
        <v>#ERROR!</v>
      </c>
      <c r="G20" s="6" t="str">
        <f>MOD(_xludf.MAXIFS([1]expressOrderReport!$AS:$AS,[1]expressOrderReport!$Q:$Q,$M2216,[1]expressOrderReport!$G:$G,$C2216),1)</f>
        <v>#ERROR!</v>
      </c>
      <c r="H20" s="7" t="str">
        <f t="shared" si="4"/>
        <v>#ERROR!</v>
      </c>
      <c r="I20" s="8">
        <f t="shared" si="5"/>
        <v>3</v>
      </c>
      <c r="J20" s="9" t="str">
        <f t="shared" si="6"/>
        <v>BBD-BLR-Kallahalli-T1S-route-1</v>
      </c>
      <c r="K20" s="9" t="str">
        <f t="shared" si="7"/>
        <v>22-12-2025891431</v>
      </c>
      <c r="L20" s="10">
        <v>46013.0</v>
      </c>
      <c r="M20" s="4" t="s">
        <v>47</v>
      </c>
      <c r="N20" s="4" t="s">
        <v>40</v>
      </c>
      <c r="O20" s="4">
        <v>2.94757458E8</v>
      </c>
      <c r="P20" s="4">
        <v>3.0</v>
      </c>
      <c r="Q20" s="4" t="s">
        <v>41</v>
      </c>
      <c r="R20" s="4" t="s">
        <v>59</v>
      </c>
      <c r="S20" s="4">
        <v>3.8201674E8</v>
      </c>
      <c r="T20" s="4">
        <v>3.0</v>
      </c>
      <c r="U20" s="4">
        <v>0.0</v>
      </c>
      <c r="V20" s="4">
        <v>3.0</v>
      </c>
      <c r="W20" s="4" t="s">
        <v>43</v>
      </c>
      <c r="X20" s="4">
        <v>152500.0</v>
      </c>
      <c r="Y20" s="4">
        <v>50.0</v>
      </c>
      <c r="Z20" s="4">
        <v>1.06</v>
      </c>
      <c r="AA20" s="11">
        <v>46013.1875</v>
      </c>
      <c r="AB20" s="11">
        <v>46013.19027777778</v>
      </c>
      <c r="AC20" s="4">
        <v>4.0</v>
      </c>
      <c r="AD20" s="4">
        <v>9.0</v>
      </c>
      <c r="AE20" s="4">
        <v>2.54</v>
      </c>
      <c r="AF20" s="4">
        <v>891431.0</v>
      </c>
      <c r="AG20" s="4">
        <v>891431.0</v>
      </c>
      <c r="AH20" s="12">
        <v>46013.23472222222</v>
      </c>
      <c r="AI20" s="12">
        <v>46013.23541666667</v>
      </c>
      <c r="AJ20" s="12">
        <v>46013.24166666667</v>
      </c>
      <c r="AK20" s="4">
        <v>9.0</v>
      </c>
    </row>
    <row r="21" ht="15.75" customHeight="1">
      <c r="A21" s="4" t="str">
        <f t="array" ref="A21">_xludf.XLOOKUP(M21,'[2]Migrated Societies Data'!D:D,'[2]Migrated Societies Data'!B:B)</f>
        <v>#NAME?</v>
      </c>
      <c r="B21" s="4" t="str">
        <f t="array" ref="B21">_xludf.XLOOKUP(M21,'[2]Migrated Societies Data'!D:D,'[2]Migrated Societies Data'!E:E)</f>
        <v>#NAME?</v>
      </c>
      <c r="C21" s="4" t="str">
        <f t="shared" si="1"/>
        <v>22-12-2025</v>
      </c>
      <c r="D21" s="4">
        <f t="shared" si="2"/>
        <v>52</v>
      </c>
      <c r="E21" s="4">
        <f t="shared" si="3"/>
        <v>12</v>
      </c>
      <c r="F21" s="6" t="str">
        <f>MOD(_xludf.MINIFS([1]expressOrderReport!$AS:$AS,[1]expressOrderReport!$Q:$Q,$M2217,[1]expressOrderReport!$G:$G,$C2217),1)</f>
        <v>#ERROR!</v>
      </c>
      <c r="G21" s="6" t="str">
        <f>MOD(_xludf.MAXIFS([1]expressOrderReport!$AS:$AS,[1]expressOrderReport!$Q:$Q,$M2217,[1]expressOrderReport!$G:$G,$C2217),1)</f>
        <v>#ERROR!</v>
      </c>
      <c r="H21" s="7" t="str">
        <f t="shared" si="4"/>
        <v>#ERROR!</v>
      </c>
      <c r="I21" s="8">
        <f t="shared" si="5"/>
        <v>2.416666667</v>
      </c>
      <c r="J21" s="9" t="str">
        <f t="shared" si="6"/>
        <v>BBD-BLR-Jigani-T1S-route-1</v>
      </c>
      <c r="K21" s="9" t="str">
        <f t="shared" si="7"/>
        <v>22-12-2025882551</v>
      </c>
      <c r="L21" s="10">
        <v>46013.0</v>
      </c>
      <c r="M21" s="4" t="s">
        <v>48</v>
      </c>
      <c r="N21" s="4" t="s">
        <v>40</v>
      </c>
      <c r="O21" s="4">
        <v>2.94757484E8</v>
      </c>
      <c r="P21" s="4">
        <v>3.0</v>
      </c>
      <c r="Q21" s="4" t="s">
        <v>41</v>
      </c>
      <c r="R21" s="4" t="s">
        <v>59</v>
      </c>
      <c r="S21" s="4">
        <v>3.82016745E8</v>
      </c>
      <c r="T21" s="4">
        <v>37.0</v>
      </c>
      <c r="U21" s="4">
        <v>1.0</v>
      </c>
      <c r="V21" s="4">
        <v>36.0</v>
      </c>
      <c r="W21" s="4" t="s">
        <v>43</v>
      </c>
      <c r="X21" s="4">
        <v>152500.0</v>
      </c>
      <c r="Y21" s="4">
        <v>50.0</v>
      </c>
      <c r="Z21" s="4">
        <v>1.467</v>
      </c>
      <c r="AA21" s="11">
        <v>46013.1875</v>
      </c>
      <c r="AB21" s="11">
        <v>46013.21041666667</v>
      </c>
      <c r="AC21" s="4">
        <v>33.0</v>
      </c>
      <c r="AD21" s="4">
        <v>9.0</v>
      </c>
      <c r="AE21" s="4">
        <v>41.56</v>
      </c>
      <c r="AF21" s="4">
        <v>882551.0</v>
      </c>
      <c r="AG21" s="4">
        <v>882551.0</v>
      </c>
      <c r="AH21" s="12">
        <v>46013.163194444445</v>
      </c>
      <c r="AI21" s="12">
        <v>46013.163194444445</v>
      </c>
      <c r="AJ21" s="12">
        <v>46013.22430555556</v>
      </c>
      <c r="AK21" s="4">
        <v>87.0</v>
      </c>
    </row>
    <row r="22" ht="15.75" customHeight="1">
      <c r="A22" s="4" t="str">
        <f t="array" ref="A22">_xludf.XLOOKUP(M22,'[2]Migrated Societies Data'!D:D,'[2]Migrated Societies Data'!B:B)</f>
        <v>#NAME?</v>
      </c>
      <c r="B22" s="4" t="str">
        <f t="array" ref="B22">_xludf.XLOOKUP(M22,'[2]Migrated Societies Data'!D:D,'[2]Migrated Societies Data'!E:E)</f>
        <v>#NAME?</v>
      </c>
      <c r="C22" s="4" t="str">
        <f t="shared" si="1"/>
        <v>22-12-2025</v>
      </c>
      <c r="D22" s="4">
        <f t="shared" si="2"/>
        <v>52</v>
      </c>
      <c r="E22" s="4">
        <f t="shared" si="3"/>
        <v>12</v>
      </c>
      <c r="F22" s="6" t="str">
        <f>MOD(_xludf.MINIFS([1]expressOrderReport!$AS:$AS,[1]expressOrderReport!$Q:$Q,$M2218,[1]expressOrderReport!$G:$G,$C2218),1)</f>
        <v>#ERROR!</v>
      </c>
      <c r="G22" s="6" t="str">
        <f>MOD(_xludf.MAXIFS([1]expressOrderReport!$AS:$AS,[1]expressOrderReport!$Q:$Q,$M2218,[1]expressOrderReport!$G:$G,$C2218),1)</f>
        <v>#ERROR!</v>
      </c>
      <c r="H22" s="7" t="str">
        <f t="shared" si="4"/>
        <v>#ERROR!</v>
      </c>
      <c r="I22" s="8">
        <f t="shared" si="5"/>
        <v>2.696969697</v>
      </c>
      <c r="J22" s="9" t="str">
        <f t="shared" si="6"/>
        <v>BBD-BLR-BellahalliRoad-T1S-route-1</v>
      </c>
      <c r="K22" s="9" t="str">
        <f t="shared" si="7"/>
        <v>22-12-2025884268</v>
      </c>
      <c r="L22" s="10">
        <v>46013.0</v>
      </c>
      <c r="M22" s="4" t="s">
        <v>49</v>
      </c>
      <c r="N22" s="4" t="s">
        <v>40</v>
      </c>
      <c r="O22" s="4">
        <v>2.94757464E8</v>
      </c>
      <c r="P22" s="4">
        <v>3.0</v>
      </c>
      <c r="Q22" s="4" t="s">
        <v>41</v>
      </c>
      <c r="R22" s="4" t="s">
        <v>59</v>
      </c>
      <c r="S22" s="4">
        <v>3.82016747E8</v>
      </c>
      <c r="T22" s="4">
        <v>33.0</v>
      </c>
      <c r="U22" s="4">
        <v>0.0</v>
      </c>
      <c r="V22" s="4">
        <v>33.0</v>
      </c>
      <c r="W22" s="4" t="s">
        <v>43</v>
      </c>
      <c r="X22" s="4">
        <v>152500.0</v>
      </c>
      <c r="Y22" s="4">
        <v>50.0</v>
      </c>
      <c r="Z22" s="4">
        <v>7.177</v>
      </c>
      <c r="AA22" s="11">
        <v>46013.1875</v>
      </c>
      <c r="AB22" s="11">
        <v>46013.21944444445</v>
      </c>
      <c r="AC22" s="4">
        <v>46.0</v>
      </c>
      <c r="AD22" s="4">
        <v>9.0</v>
      </c>
      <c r="AE22" s="4">
        <v>41.53</v>
      </c>
      <c r="AF22" s="4">
        <v>884268.0</v>
      </c>
      <c r="AG22" s="4">
        <v>884268.0</v>
      </c>
      <c r="AH22" s="12">
        <v>46013.177777777775</v>
      </c>
      <c r="AI22" s="12">
        <v>46013.177777777775</v>
      </c>
      <c r="AJ22" s="12">
        <v>46013.240277777775</v>
      </c>
      <c r="AK22" s="4">
        <v>89.0</v>
      </c>
    </row>
    <row r="23" ht="15.75" customHeight="1">
      <c r="A23" s="4" t="str">
        <f t="array" ref="A23">_xludf.XLOOKUP(M23,'[2]Migrated Societies Data'!D:D,'[2]Migrated Societies Data'!B:B)</f>
        <v>#NAME?</v>
      </c>
      <c r="B23" s="4" t="str">
        <f t="array" ref="B23">_xludf.XLOOKUP(M23,'[2]Migrated Societies Data'!D:D,'[2]Migrated Societies Data'!E:E)</f>
        <v>#NAME?</v>
      </c>
      <c r="C23" s="4" t="str">
        <f t="shared" si="1"/>
        <v>22-12-2025</v>
      </c>
      <c r="D23" s="4">
        <f t="shared" si="2"/>
        <v>52</v>
      </c>
      <c r="E23" s="4">
        <f t="shared" si="3"/>
        <v>12</v>
      </c>
      <c r="F23" s="6" t="str">
        <f>MOD(_xludf.MINIFS([1]expressOrderReport!$AS:$AS,[1]expressOrderReport!$Q:$Q,$M2219,[1]expressOrderReport!$G:$G,$C2219),1)</f>
        <v>#ERROR!</v>
      </c>
      <c r="G23" s="6" t="str">
        <f>MOD(_xludf.MAXIFS([1]expressOrderReport!$AS:$AS,[1]expressOrderReport!$Q:$Q,$M2219,[1]expressOrderReport!$G:$G,$C2219),1)</f>
        <v>#ERROR!</v>
      </c>
      <c r="H23" s="7" t="str">
        <f t="shared" si="4"/>
        <v>#ERROR!</v>
      </c>
      <c r="I23" s="8">
        <f t="shared" si="5"/>
        <v>3.870967742</v>
      </c>
      <c r="J23" s="9" t="str">
        <f t="shared" si="6"/>
        <v>BBD-BLR-Nagondanahalli-T1S-route-1</v>
      </c>
      <c r="K23" s="9" t="str">
        <f t="shared" si="7"/>
        <v>22-12-2025861284</v>
      </c>
      <c r="L23" s="10">
        <v>46013.0</v>
      </c>
      <c r="M23" s="4" t="s">
        <v>50</v>
      </c>
      <c r="N23" s="4" t="s">
        <v>40</v>
      </c>
      <c r="O23" s="4">
        <v>2.94757469E8</v>
      </c>
      <c r="P23" s="4">
        <v>3.0</v>
      </c>
      <c r="Q23" s="4" t="s">
        <v>41</v>
      </c>
      <c r="R23" s="4" t="s">
        <v>59</v>
      </c>
      <c r="S23" s="4">
        <v>3.82016753E8</v>
      </c>
      <c r="T23" s="4">
        <v>31.0</v>
      </c>
      <c r="U23" s="4">
        <v>0.0</v>
      </c>
      <c r="V23" s="4">
        <v>31.0</v>
      </c>
      <c r="W23" s="4" t="s">
        <v>43</v>
      </c>
      <c r="X23" s="4">
        <v>152500.0</v>
      </c>
      <c r="Y23" s="4">
        <v>50.0</v>
      </c>
      <c r="Z23" s="4">
        <v>1.295</v>
      </c>
      <c r="AA23" s="11">
        <v>46013.1875</v>
      </c>
      <c r="AB23" s="11">
        <v>46013.200694444444</v>
      </c>
      <c r="AC23" s="4">
        <v>19.0</v>
      </c>
      <c r="AD23" s="4">
        <v>9.0</v>
      </c>
      <c r="AE23" s="4">
        <v>41.09</v>
      </c>
      <c r="AF23" s="4">
        <v>861284.0</v>
      </c>
      <c r="AG23" s="4">
        <v>861284.0</v>
      </c>
      <c r="AH23" s="12">
        <v>46013.180555555555</v>
      </c>
      <c r="AI23" s="12">
        <v>46013.18125</v>
      </c>
      <c r="AJ23" s="12">
        <v>46013.26458333333</v>
      </c>
      <c r="AK23" s="4">
        <v>120.0</v>
      </c>
    </row>
    <row r="24" ht="15.75" customHeight="1">
      <c r="A24" s="4" t="str">
        <f t="array" ref="A24">_xludf.XLOOKUP(M24,'[2]Migrated Societies Data'!D:D,'[2]Migrated Societies Data'!B:B)</f>
        <v>#NAME?</v>
      </c>
      <c r="B24" s="4" t="str">
        <f t="array" ref="B24">_xludf.XLOOKUP(M24,'[2]Migrated Societies Data'!D:D,'[2]Migrated Societies Data'!E:E)</f>
        <v>#NAME?</v>
      </c>
      <c r="C24" s="4" t="str">
        <f t="shared" si="1"/>
        <v>22-12-2025</v>
      </c>
      <c r="D24" s="4">
        <f t="shared" si="2"/>
        <v>52</v>
      </c>
      <c r="E24" s="4">
        <f t="shared" si="3"/>
        <v>12</v>
      </c>
      <c r="F24" s="6" t="str">
        <f>MOD(_xludf.MINIFS([1]expressOrderReport!$AS:$AS,[1]expressOrderReport!$Q:$Q,$M2220,[1]expressOrderReport!$G:$G,$C2220),1)</f>
        <v>#ERROR!</v>
      </c>
      <c r="G24" s="6" t="str">
        <f>MOD(_xludf.MAXIFS([1]expressOrderReport!$AS:$AS,[1]expressOrderReport!$Q:$Q,$M2220,[1]expressOrderReport!$G:$G,$C2220),1)</f>
        <v>#ERROR!</v>
      </c>
      <c r="H24" s="7" t="str">
        <f t="shared" si="4"/>
        <v>#ERROR!</v>
      </c>
      <c r="I24" s="8">
        <f t="shared" si="5"/>
        <v>3.571428571</v>
      </c>
      <c r="J24" s="9" t="str">
        <f t="shared" si="6"/>
        <v>BBD-BLR-Jalahalli-T1S-route-1</v>
      </c>
      <c r="K24" s="9" t="str">
        <f t="shared" si="7"/>
        <v>22-12-2025890544</v>
      </c>
      <c r="L24" s="10">
        <v>46013.0</v>
      </c>
      <c r="M24" s="4" t="s">
        <v>51</v>
      </c>
      <c r="N24" s="4" t="s">
        <v>40</v>
      </c>
      <c r="O24" s="4">
        <v>2.94757488E8</v>
      </c>
      <c r="P24" s="4">
        <v>3.0</v>
      </c>
      <c r="Q24" s="4" t="s">
        <v>41</v>
      </c>
      <c r="R24" s="4" t="s">
        <v>59</v>
      </c>
      <c r="S24" s="4">
        <v>3.8201676E8</v>
      </c>
      <c r="T24" s="4">
        <v>21.0</v>
      </c>
      <c r="U24" s="4">
        <v>0.0</v>
      </c>
      <c r="V24" s="4">
        <v>21.0</v>
      </c>
      <c r="W24" s="4" t="s">
        <v>43</v>
      </c>
      <c r="X24" s="4">
        <v>152500.0</v>
      </c>
      <c r="Y24" s="4">
        <v>50.0</v>
      </c>
      <c r="Z24" s="4">
        <v>5.099</v>
      </c>
      <c r="AA24" s="11">
        <v>46013.1875</v>
      </c>
      <c r="AB24" s="11">
        <v>46013.20972222222</v>
      </c>
      <c r="AC24" s="4">
        <v>32.0</v>
      </c>
      <c r="AD24" s="4">
        <v>9.0</v>
      </c>
      <c r="AE24" s="4">
        <v>25.68</v>
      </c>
      <c r="AF24" s="4">
        <v>890544.0</v>
      </c>
      <c r="AG24" s="4">
        <v>890544.0</v>
      </c>
      <c r="AH24" s="12">
        <v>46013.20277777778</v>
      </c>
      <c r="AI24" s="12">
        <v>46013.20347222222</v>
      </c>
      <c r="AJ24" s="12">
        <v>46013.25625</v>
      </c>
      <c r="AK24" s="4">
        <v>75.0</v>
      </c>
    </row>
    <row r="25" ht="15.75" customHeight="1">
      <c r="A25" s="4" t="str">
        <f t="array" ref="A25">_xludf.XLOOKUP(M25,'[2]Migrated Societies Data'!D:D,'[2]Migrated Societies Data'!B:B)</f>
        <v>#NAME?</v>
      </c>
      <c r="B25" s="4" t="str">
        <f t="array" ref="B25">_xludf.XLOOKUP(M25,'[2]Migrated Societies Data'!D:D,'[2]Migrated Societies Data'!E:E)</f>
        <v>#NAME?</v>
      </c>
      <c r="C25" s="4" t="str">
        <f t="shared" si="1"/>
        <v>22-12-2025</v>
      </c>
      <c r="D25" s="4">
        <f t="shared" si="2"/>
        <v>52</v>
      </c>
      <c r="E25" s="4">
        <f t="shared" si="3"/>
        <v>12</v>
      </c>
      <c r="F25" s="6" t="str">
        <f>MOD(_xludf.MINIFS([1]expressOrderReport!$AS:$AS,[1]expressOrderReport!$Q:$Q,$M2221,[1]expressOrderReport!$G:$G,$C2221),1)</f>
        <v>#ERROR!</v>
      </c>
      <c r="G25" s="6" t="str">
        <f>MOD(_xludf.MAXIFS([1]expressOrderReport!$AS:$AS,[1]expressOrderReport!$Q:$Q,$M2221,[1]expressOrderReport!$G:$G,$C2221),1)</f>
        <v>#ERROR!</v>
      </c>
      <c r="H25" s="7" t="str">
        <f t="shared" si="4"/>
        <v>#ERROR!</v>
      </c>
      <c r="I25" s="8">
        <f t="shared" si="5"/>
        <v>4.222222222</v>
      </c>
      <c r="J25" s="9" t="str">
        <f t="shared" si="6"/>
        <v>BBD-BLR-HRBR-044-T1S-route-1</v>
      </c>
      <c r="K25" s="9" t="str">
        <f t="shared" si="7"/>
        <v>22-12-2025883616</v>
      </c>
      <c r="L25" s="10">
        <v>46013.0</v>
      </c>
      <c r="M25" s="4" t="s">
        <v>52</v>
      </c>
      <c r="N25" s="4" t="s">
        <v>40</v>
      </c>
      <c r="O25" s="4">
        <v>2.94757487E8</v>
      </c>
      <c r="P25" s="4">
        <v>3.0</v>
      </c>
      <c r="Q25" s="4" t="s">
        <v>41</v>
      </c>
      <c r="R25" s="4" t="s">
        <v>59</v>
      </c>
      <c r="S25" s="4">
        <v>3.82016764E8</v>
      </c>
      <c r="T25" s="4">
        <v>10.0</v>
      </c>
      <c r="U25" s="4">
        <v>1.0</v>
      </c>
      <c r="V25" s="4">
        <v>9.0</v>
      </c>
      <c r="W25" s="4" t="s">
        <v>43</v>
      </c>
      <c r="X25" s="4">
        <v>152500.0</v>
      </c>
      <c r="Y25" s="4">
        <v>50.0</v>
      </c>
      <c r="Z25" s="4">
        <v>3.802</v>
      </c>
      <c r="AA25" s="11">
        <v>46013.1875</v>
      </c>
      <c r="AB25" s="11">
        <v>46013.20138888889</v>
      </c>
      <c r="AC25" s="4">
        <v>20.0</v>
      </c>
      <c r="AD25" s="4">
        <v>9.0</v>
      </c>
      <c r="AE25" s="4">
        <v>17.12</v>
      </c>
      <c r="AF25" s="4">
        <v>883616.0</v>
      </c>
      <c r="AG25" s="4">
        <v>883616.0</v>
      </c>
      <c r="AH25" s="12">
        <v>46013.169444444444</v>
      </c>
      <c r="AI25" s="12">
        <v>46013.17013888889</v>
      </c>
      <c r="AJ25" s="12">
        <v>46013.19652777778</v>
      </c>
      <c r="AK25" s="4">
        <v>38.0</v>
      </c>
    </row>
    <row r="26" ht="15.75" customHeight="1">
      <c r="A26" s="4" t="str">
        <f t="array" ref="A26">_xludf.XLOOKUP(M26,'[2]Migrated Societies Data'!D:D,'[2]Migrated Societies Data'!B:B)</f>
        <v>#NAME?</v>
      </c>
      <c r="B26" s="4" t="str">
        <f t="array" ref="B26">_xludf.XLOOKUP(M26,'[2]Migrated Societies Data'!D:D,'[2]Migrated Societies Data'!E:E)</f>
        <v>#NAME?</v>
      </c>
      <c r="C26" s="4" t="str">
        <f t="shared" si="1"/>
        <v>22-12-2025</v>
      </c>
      <c r="D26" s="4">
        <f t="shared" si="2"/>
        <v>52</v>
      </c>
      <c r="E26" s="4">
        <f t="shared" si="3"/>
        <v>12</v>
      </c>
      <c r="F26" s="6" t="str">
        <f>MOD(_xludf.MINIFS([1]expressOrderReport!$AS:$AS,[1]expressOrderReport!$Q:$Q,$M2222,[1]expressOrderReport!$G:$G,$C2222),1)</f>
        <v>#ERROR!</v>
      </c>
      <c r="G26" s="6" t="str">
        <f>MOD(_xludf.MAXIFS([1]expressOrderReport!$AS:$AS,[1]expressOrderReport!$Q:$Q,$M2222,[1]expressOrderReport!$G:$G,$C2222),1)</f>
        <v>#ERROR!</v>
      </c>
      <c r="H26" s="7" t="str">
        <f t="shared" si="4"/>
        <v>#ERROR!</v>
      </c>
      <c r="I26" s="8">
        <f t="shared" si="5"/>
        <v>1.575757576</v>
      </c>
      <c r="J26" s="9" t="str">
        <f t="shared" si="6"/>
        <v>BBD-BLR-PeenyaPhase3-T1S-route-1</v>
      </c>
      <c r="K26" s="9" t="str">
        <f t="shared" si="7"/>
        <v>22-12-2025835425</v>
      </c>
      <c r="L26" s="10">
        <v>46013.0</v>
      </c>
      <c r="M26" s="4" t="s">
        <v>53</v>
      </c>
      <c r="N26" s="4" t="s">
        <v>40</v>
      </c>
      <c r="O26" s="4">
        <v>2.94757498E8</v>
      </c>
      <c r="P26" s="4">
        <v>3.0</v>
      </c>
      <c r="Q26" s="4" t="s">
        <v>41</v>
      </c>
      <c r="R26" s="4" t="s">
        <v>59</v>
      </c>
      <c r="S26" s="4">
        <v>3.82016804E8</v>
      </c>
      <c r="T26" s="4">
        <v>38.0</v>
      </c>
      <c r="U26" s="4">
        <v>5.0</v>
      </c>
      <c r="V26" s="4">
        <v>33.0</v>
      </c>
      <c r="W26" s="4" t="s">
        <v>43</v>
      </c>
      <c r="X26" s="4">
        <v>152500.0</v>
      </c>
      <c r="Y26" s="4">
        <v>50.0</v>
      </c>
      <c r="Z26" s="4">
        <v>4.196</v>
      </c>
      <c r="AA26" s="11">
        <v>46013.1875</v>
      </c>
      <c r="AB26" s="11">
        <v>46013.21111111111</v>
      </c>
      <c r="AC26" s="4">
        <v>34.0</v>
      </c>
      <c r="AD26" s="4">
        <v>9.0</v>
      </c>
      <c r="AE26" s="4">
        <v>41.54</v>
      </c>
      <c r="AF26" s="4">
        <v>835425.0</v>
      </c>
      <c r="AG26" s="4">
        <v>835425.0</v>
      </c>
      <c r="AH26" s="12">
        <v>46013.18472222222</v>
      </c>
      <c r="AI26" s="12">
        <v>46013.18541666667</v>
      </c>
      <c r="AJ26" s="12">
        <v>46013.22152777778</v>
      </c>
      <c r="AK26" s="4">
        <v>52.0</v>
      </c>
    </row>
    <row r="27" ht="15.75" customHeight="1">
      <c r="A27" s="4" t="str">
        <f t="array" ref="A27">_xludf.XLOOKUP(M27,'[2]Migrated Societies Data'!D:D,'[2]Migrated Societies Data'!B:B)</f>
        <v>#NAME?</v>
      </c>
      <c r="B27" s="4" t="str">
        <f t="array" ref="B27">_xludf.XLOOKUP(M27,'[2]Migrated Societies Data'!D:D,'[2]Migrated Societies Data'!E:E)</f>
        <v>#NAME?</v>
      </c>
      <c r="C27" s="4" t="str">
        <f t="shared" si="1"/>
        <v>22-12-2025</v>
      </c>
      <c r="D27" s="4">
        <f t="shared" si="2"/>
        <v>52</v>
      </c>
      <c r="E27" s="4">
        <f t="shared" si="3"/>
        <v>12</v>
      </c>
      <c r="F27" s="6" t="str">
        <f>MOD(_xludf.MINIFS([1]expressOrderReport!$AS:$AS,[1]expressOrderReport!$Q:$Q,$M2223,[1]expressOrderReport!$G:$G,$C2223),1)</f>
        <v>#ERROR!</v>
      </c>
      <c r="G27" s="6" t="str">
        <f>MOD(_xludf.MAXIFS([1]expressOrderReport!$AS:$AS,[1]expressOrderReport!$Q:$Q,$M2223,[1]expressOrderReport!$G:$G,$C2223),1)</f>
        <v>#ERROR!</v>
      </c>
      <c r="H27" s="7" t="str">
        <f t="shared" si="4"/>
        <v>#ERROR!</v>
      </c>
      <c r="I27" s="8">
        <f t="shared" si="5"/>
        <v>2.642857143</v>
      </c>
      <c r="J27" s="9" t="str">
        <f t="shared" si="6"/>
        <v>BBD-BLR-HAL-T1S-route-1</v>
      </c>
      <c r="K27" s="9" t="str">
        <f t="shared" si="7"/>
        <v>22-12-2025885706</v>
      </c>
      <c r="L27" s="10">
        <v>46013.0</v>
      </c>
      <c r="M27" s="4" t="s">
        <v>54</v>
      </c>
      <c r="N27" s="4" t="s">
        <v>40</v>
      </c>
      <c r="O27" s="4">
        <v>2.94757501E8</v>
      </c>
      <c r="P27" s="4">
        <v>3.0</v>
      </c>
      <c r="Q27" s="4" t="s">
        <v>41</v>
      </c>
      <c r="R27" s="4" t="s">
        <v>59</v>
      </c>
      <c r="S27" s="4">
        <v>3.82016811E8</v>
      </c>
      <c r="T27" s="4">
        <v>16.0</v>
      </c>
      <c r="U27" s="4">
        <v>2.0</v>
      </c>
      <c r="V27" s="4">
        <v>14.0</v>
      </c>
      <c r="W27" s="4" t="s">
        <v>43</v>
      </c>
      <c r="X27" s="4">
        <v>152500.0</v>
      </c>
      <c r="Y27" s="4">
        <v>50.0</v>
      </c>
      <c r="Z27" s="4">
        <v>1.784</v>
      </c>
      <c r="AA27" s="11">
        <v>46013.1875</v>
      </c>
      <c r="AB27" s="11">
        <v>46013.200694444444</v>
      </c>
      <c r="AC27" s="4">
        <v>19.0</v>
      </c>
      <c r="AD27" s="4">
        <v>9.0</v>
      </c>
      <c r="AE27" s="4">
        <v>19.43</v>
      </c>
      <c r="AF27" s="4">
        <v>885706.0</v>
      </c>
      <c r="AG27" s="4">
        <v>885706.0</v>
      </c>
      <c r="AH27" s="12">
        <v>46013.194444444445</v>
      </c>
      <c r="AI27" s="12">
        <v>46013.194444444445</v>
      </c>
      <c r="AJ27" s="12">
        <v>46013.220138888886</v>
      </c>
      <c r="AK27" s="4">
        <v>37.0</v>
      </c>
    </row>
    <row r="28" ht="15.75" customHeight="1">
      <c r="A28" s="4" t="str">
        <f t="array" ref="A28">_xludf.XLOOKUP(M28,'[2]Migrated Societies Data'!D:D,'[2]Migrated Societies Data'!B:B)</f>
        <v>#NAME?</v>
      </c>
      <c r="B28" s="4" t="str">
        <f t="array" ref="B28">_xludf.XLOOKUP(M28,'[2]Migrated Societies Data'!D:D,'[2]Migrated Societies Data'!E:E)</f>
        <v>#NAME?</v>
      </c>
      <c r="C28" s="4" t="str">
        <f t="shared" si="1"/>
        <v>22-12-2025</v>
      </c>
      <c r="D28" s="4">
        <f t="shared" si="2"/>
        <v>52</v>
      </c>
      <c r="E28" s="4">
        <f t="shared" si="3"/>
        <v>12</v>
      </c>
      <c r="F28" s="6" t="str">
        <f>MOD(_xludf.MINIFS([1]expressOrderReport!$AS:$AS,[1]expressOrderReport!$Q:$Q,$M2224,[1]expressOrderReport!$G:$G,$C2224),1)</f>
        <v>#ERROR!</v>
      </c>
      <c r="G28" s="6" t="str">
        <f>MOD(_xludf.MAXIFS([1]expressOrderReport!$AS:$AS,[1]expressOrderReport!$Q:$Q,$M2224,[1]expressOrderReport!$G:$G,$C2224),1)</f>
        <v>#ERROR!</v>
      </c>
      <c r="H28" s="7" t="str">
        <f t="shared" si="4"/>
        <v>#ERROR!</v>
      </c>
      <c r="I28" s="8">
        <f t="shared" si="5"/>
        <v>2.107142857</v>
      </c>
      <c r="J28" s="9" t="str">
        <f t="shared" si="6"/>
        <v>BBD-BLR-Attibele-T1S-route-1</v>
      </c>
      <c r="K28" s="9" t="str">
        <f t="shared" si="7"/>
        <v>22-12-2025875214</v>
      </c>
      <c r="L28" s="10">
        <v>46013.0</v>
      </c>
      <c r="M28" s="4" t="s">
        <v>55</v>
      </c>
      <c r="N28" s="4" t="s">
        <v>40</v>
      </c>
      <c r="O28" s="4">
        <v>2.94757502E8</v>
      </c>
      <c r="P28" s="4">
        <v>3.0</v>
      </c>
      <c r="Q28" s="4" t="s">
        <v>41</v>
      </c>
      <c r="R28" s="4" t="s">
        <v>59</v>
      </c>
      <c r="S28" s="4">
        <v>3.82016813E8</v>
      </c>
      <c r="T28" s="4">
        <v>28.0</v>
      </c>
      <c r="U28" s="4">
        <v>0.0</v>
      </c>
      <c r="V28" s="4">
        <v>28.0</v>
      </c>
      <c r="W28" s="4" t="s">
        <v>43</v>
      </c>
      <c r="X28" s="4">
        <v>152500.0</v>
      </c>
      <c r="Y28" s="4">
        <v>50.0</v>
      </c>
      <c r="Z28" s="4">
        <v>2.993</v>
      </c>
      <c r="AA28" s="11">
        <v>46013.1875</v>
      </c>
      <c r="AB28" s="11">
        <v>46013.20972222222</v>
      </c>
      <c r="AC28" s="4">
        <v>32.0</v>
      </c>
      <c r="AD28" s="4">
        <v>9.0</v>
      </c>
      <c r="AE28" s="4">
        <v>35.13</v>
      </c>
      <c r="AF28" s="4">
        <v>875214.0</v>
      </c>
      <c r="AG28" s="4">
        <v>875214.0</v>
      </c>
      <c r="AH28" s="12">
        <v>46013.22638888889</v>
      </c>
      <c r="AI28" s="12">
        <v>46013.22638888889</v>
      </c>
      <c r="AJ28" s="12">
        <v>46013.268055555556</v>
      </c>
      <c r="AK28" s="4">
        <v>59.0</v>
      </c>
    </row>
    <row r="29" ht="15.75" customHeight="1">
      <c r="A29" s="4" t="str">
        <f t="array" ref="A29">_xludf.XLOOKUP(M29,'[2]Migrated Societies Data'!D:D,'[2]Migrated Societies Data'!B:B)</f>
        <v>#NAME?</v>
      </c>
      <c r="B29" s="4" t="str">
        <f t="array" ref="B29">_xludf.XLOOKUP(M29,'[2]Migrated Societies Data'!D:D,'[2]Migrated Societies Data'!E:E)</f>
        <v>#NAME?</v>
      </c>
      <c r="C29" s="4" t="str">
        <f t="shared" si="1"/>
        <v>22-12-2025</v>
      </c>
      <c r="D29" s="4">
        <f t="shared" si="2"/>
        <v>52</v>
      </c>
      <c r="E29" s="4">
        <f t="shared" si="3"/>
        <v>12</v>
      </c>
      <c r="F29" s="6" t="str">
        <f>MOD(_xludf.MINIFS([1]expressOrderReport!$AS:$AS,[1]expressOrderReport!$Q:$Q,$M2225,[1]expressOrderReport!$G:$G,$C2225),1)</f>
        <v>#ERROR!</v>
      </c>
      <c r="G29" s="6" t="str">
        <f>MOD(_xludf.MAXIFS([1]expressOrderReport!$AS:$AS,[1]expressOrderReport!$Q:$Q,$M2225,[1]expressOrderReport!$G:$G,$C2225),1)</f>
        <v>#ERROR!</v>
      </c>
      <c r="H29" s="7" t="str">
        <f t="shared" si="4"/>
        <v>#ERROR!</v>
      </c>
      <c r="I29" s="8">
        <f t="shared" si="5"/>
        <v>3.03125</v>
      </c>
      <c r="J29" s="9" t="str">
        <f t="shared" si="6"/>
        <v>BBD-BLR-Chikkasandra-T1S-route-1</v>
      </c>
      <c r="K29" s="9" t="str">
        <f t="shared" si="7"/>
        <v>22-12-2025875275</v>
      </c>
      <c r="L29" s="10">
        <v>46013.0</v>
      </c>
      <c r="M29" s="4" t="s">
        <v>57</v>
      </c>
      <c r="N29" s="4" t="s">
        <v>40</v>
      </c>
      <c r="O29" s="4">
        <v>2.94757508E8</v>
      </c>
      <c r="P29" s="4">
        <v>3.0</v>
      </c>
      <c r="Q29" s="4" t="s">
        <v>41</v>
      </c>
      <c r="R29" s="4" t="s">
        <v>59</v>
      </c>
      <c r="S29" s="4">
        <v>3.82016817E8</v>
      </c>
      <c r="T29" s="4">
        <v>36.0</v>
      </c>
      <c r="U29" s="4">
        <v>4.0</v>
      </c>
      <c r="V29" s="4">
        <v>32.0</v>
      </c>
      <c r="W29" s="4" t="s">
        <v>43</v>
      </c>
      <c r="X29" s="4">
        <v>152500.0</v>
      </c>
      <c r="Y29" s="4">
        <v>50.0</v>
      </c>
      <c r="Z29" s="4">
        <v>6.283</v>
      </c>
      <c r="AA29" s="11">
        <v>46013.1875</v>
      </c>
      <c r="AB29" s="11">
        <v>46013.22430555556</v>
      </c>
      <c r="AC29" s="4">
        <v>53.0</v>
      </c>
      <c r="AD29" s="4">
        <v>9.0</v>
      </c>
      <c r="AE29" s="4">
        <v>41.93</v>
      </c>
      <c r="AF29" s="4">
        <v>875275.0</v>
      </c>
      <c r="AG29" s="4">
        <v>875275.0</v>
      </c>
      <c r="AH29" s="12">
        <v>46013.166666666664</v>
      </c>
      <c r="AI29" s="12">
        <v>46013.16736111111</v>
      </c>
      <c r="AJ29" s="12">
        <v>46013.23472222222</v>
      </c>
      <c r="AK29" s="4">
        <v>97.0</v>
      </c>
    </row>
    <row r="30" ht="15.75" customHeight="1">
      <c r="A30" s="4" t="str">
        <f t="array" ref="A30">_xludf.XLOOKUP(M30,'[2]Migrated Societies Data'!D:D,'[2]Migrated Societies Data'!B:B)</f>
        <v>#NAME?</v>
      </c>
      <c r="B30" s="4" t="str">
        <f t="array" ref="B30">_xludf.XLOOKUP(M30,'[2]Migrated Societies Data'!D:D,'[2]Migrated Societies Data'!E:E)</f>
        <v>#NAME?</v>
      </c>
      <c r="C30" s="4" t="str">
        <f t="shared" si="1"/>
        <v>22-12-2025</v>
      </c>
      <c r="D30" s="4">
        <f t="shared" si="2"/>
        <v>52</v>
      </c>
      <c r="E30" s="4">
        <f t="shared" si="3"/>
        <v>12</v>
      </c>
      <c r="F30" s="6" t="str">
        <f>MOD(_xludf.MINIFS([1]expressOrderReport!$AS:$AS,[1]expressOrderReport!$Q:$Q,$M2226,[1]expressOrderReport!$G:$G,$C2226),1)</f>
        <v>#ERROR!</v>
      </c>
      <c r="G30" s="6" t="str">
        <f>MOD(_xludf.MAXIFS([1]expressOrderReport!$AS:$AS,[1]expressOrderReport!$Q:$Q,$M2226,[1]expressOrderReport!$G:$G,$C2226),1)</f>
        <v>#ERROR!</v>
      </c>
      <c r="H30" s="7" t="str">
        <f t="shared" si="4"/>
        <v>#ERROR!</v>
      </c>
      <c r="I30" s="8">
        <f t="shared" si="5"/>
        <v>2.380952381</v>
      </c>
      <c r="J30" s="9" t="str">
        <f t="shared" si="6"/>
        <v>BBD-BLR-Budhigere-T1S-route-1</v>
      </c>
      <c r="K30" s="9" t="str">
        <f t="shared" si="7"/>
        <v>22-12-2025879200</v>
      </c>
      <c r="L30" s="10">
        <v>46013.0</v>
      </c>
      <c r="M30" s="4" t="s">
        <v>58</v>
      </c>
      <c r="N30" s="4" t="s">
        <v>40</v>
      </c>
      <c r="O30" s="4">
        <v>2.947575E8</v>
      </c>
      <c r="P30" s="4">
        <v>3.0</v>
      </c>
      <c r="Q30" s="4" t="s">
        <v>41</v>
      </c>
      <c r="R30" s="4" t="s">
        <v>59</v>
      </c>
      <c r="S30" s="4">
        <v>3.82016823E8</v>
      </c>
      <c r="T30" s="4">
        <v>42.0</v>
      </c>
      <c r="U30" s="4">
        <v>0.0</v>
      </c>
      <c r="V30" s="4">
        <v>42.0</v>
      </c>
      <c r="W30" s="4" t="s">
        <v>43</v>
      </c>
      <c r="X30" s="4">
        <v>152500.0</v>
      </c>
      <c r="Y30" s="4">
        <v>50.0</v>
      </c>
      <c r="Z30" s="4">
        <v>5.201</v>
      </c>
      <c r="AA30" s="11">
        <v>46013.1875</v>
      </c>
      <c r="AB30" s="11">
        <v>46013.21805555555</v>
      </c>
      <c r="AC30" s="4">
        <v>44.0</v>
      </c>
      <c r="AD30" s="4">
        <v>9.0</v>
      </c>
      <c r="AE30" s="4">
        <v>41.54</v>
      </c>
      <c r="AF30" s="4">
        <v>879200.0</v>
      </c>
      <c r="AG30" s="4">
        <v>879200.0</v>
      </c>
      <c r="AH30" s="12">
        <v>46013.22152777778</v>
      </c>
      <c r="AI30" s="12">
        <v>46013.222916666666</v>
      </c>
      <c r="AJ30" s="12">
        <v>46013.29305555556</v>
      </c>
      <c r="AK30" s="4">
        <v>100.0</v>
      </c>
    </row>
    <row r="31" ht="15.75" customHeight="1">
      <c r="A31" s="4" t="str">
        <f t="array" ref="A31">_xludf.XLOOKUP(M31,'[2]Migrated Societies Data'!D:D,'[2]Migrated Societies Data'!B:B)</f>
        <v>#NAME?</v>
      </c>
      <c r="B31" s="4" t="str">
        <f t="array" ref="B31">_xludf.XLOOKUP(M31,'[2]Migrated Societies Data'!D:D,'[2]Migrated Societies Data'!E:E)</f>
        <v>#NAME?</v>
      </c>
      <c r="C31" s="4" t="str">
        <f t="shared" si="1"/>
        <v>22-12-2025</v>
      </c>
      <c r="D31" s="4">
        <f t="shared" si="2"/>
        <v>52</v>
      </c>
      <c r="E31" s="4">
        <f t="shared" si="3"/>
        <v>12</v>
      </c>
      <c r="F31" s="6" t="str">
        <f>MOD(_xludf.MINIFS([1]expressOrderReport!$AS:$AS,[1]expressOrderReport!$Q:$Q,$M2227,[1]expressOrderReport!$G:$G,$C2227),1)</f>
        <v>#ERROR!</v>
      </c>
      <c r="G31" s="6" t="str">
        <f>MOD(_xludf.MAXIFS([1]expressOrderReport!$AS:$AS,[1]expressOrderReport!$Q:$Q,$M2227,[1]expressOrderReport!$G:$G,$C2227),1)</f>
        <v>#ERROR!</v>
      </c>
      <c r="H31" s="7" t="str">
        <f t="shared" si="4"/>
        <v>#ERROR!</v>
      </c>
      <c r="I31" s="8">
        <f t="shared" si="5"/>
        <v>1.428571429</v>
      </c>
      <c r="J31" s="9" t="str">
        <f t="shared" si="6"/>
        <v>BBD-BLR-Jakkasandra-T1S-route-2</v>
      </c>
      <c r="K31" s="9" t="str">
        <f t="shared" si="7"/>
        <v>22-12-2025883051</v>
      </c>
      <c r="L31" s="10">
        <v>46013.0</v>
      </c>
      <c r="M31" s="4" t="s">
        <v>44</v>
      </c>
      <c r="N31" s="4" t="s">
        <v>40</v>
      </c>
      <c r="O31" s="4">
        <v>2.9475747E8</v>
      </c>
      <c r="P31" s="4">
        <v>3.0</v>
      </c>
      <c r="Q31" s="4" t="s">
        <v>41</v>
      </c>
      <c r="R31" s="4" t="s">
        <v>60</v>
      </c>
      <c r="S31" s="4">
        <v>3.8201672E8</v>
      </c>
      <c r="T31" s="4">
        <v>24.0</v>
      </c>
      <c r="U31" s="4">
        <v>3.0</v>
      </c>
      <c r="V31" s="4">
        <v>21.0</v>
      </c>
      <c r="W31" s="4" t="s">
        <v>43</v>
      </c>
      <c r="X31" s="4">
        <v>152500.0</v>
      </c>
      <c r="Y31" s="4">
        <v>50.0</v>
      </c>
      <c r="Z31" s="4">
        <v>6.108</v>
      </c>
      <c r="AA31" s="11">
        <v>46013.1875</v>
      </c>
      <c r="AB31" s="11">
        <v>46013.214583333334</v>
      </c>
      <c r="AC31" s="4">
        <v>39.0</v>
      </c>
      <c r="AD31" s="4">
        <v>9.0</v>
      </c>
      <c r="AE31" s="4">
        <v>25.25</v>
      </c>
      <c r="AF31" s="4">
        <v>883051.0</v>
      </c>
      <c r="AG31" s="4">
        <v>883051.0</v>
      </c>
      <c r="AH31" s="12">
        <v>46013.16527777778</v>
      </c>
      <c r="AI31" s="12">
        <v>46013.16527777778</v>
      </c>
      <c r="AJ31" s="12">
        <v>46013.186111111114</v>
      </c>
      <c r="AK31" s="4">
        <v>30.0</v>
      </c>
    </row>
    <row r="32" ht="15.75" customHeight="1">
      <c r="A32" s="4" t="str">
        <f t="array" ref="A32">_xludf.XLOOKUP(M32,'[2]Migrated Societies Data'!D:D,'[2]Migrated Societies Data'!B:B)</f>
        <v>#NAME?</v>
      </c>
      <c r="B32" s="4" t="str">
        <f t="array" ref="B32">_xludf.XLOOKUP(M32,'[2]Migrated Societies Data'!D:D,'[2]Migrated Societies Data'!E:E)</f>
        <v>#NAME?</v>
      </c>
      <c r="C32" s="4" t="str">
        <f t="shared" si="1"/>
        <v>22-12-2025</v>
      </c>
      <c r="D32" s="4">
        <f t="shared" si="2"/>
        <v>52</v>
      </c>
      <c r="E32" s="4">
        <f t="shared" si="3"/>
        <v>12</v>
      </c>
      <c r="F32" s="6" t="str">
        <f>MOD(_xludf.MINIFS([1]expressOrderReport!$AS:$AS,[1]expressOrderReport!$Q:$Q,$M2228,[1]expressOrderReport!$G:$G,$C2228),1)</f>
        <v>#ERROR!</v>
      </c>
      <c r="G32" s="6" t="str">
        <f>MOD(_xludf.MAXIFS([1]expressOrderReport!$AS:$AS,[1]expressOrderReport!$Q:$Q,$M2228,[1]expressOrderReport!$G:$G,$C2228),1)</f>
        <v>#ERROR!</v>
      </c>
      <c r="H32" s="7" t="str">
        <f t="shared" si="4"/>
        <v>#ERROR!</v>
      </c>
      <c r="I32" s="8">
        <f t="shared" si="5"/>
        <v>2.294117647</v>
      </c>
      <c r="J32" s="9" t="str">
        <f t="shared" si="6"/>
        <v>BBD-BLR-Jigani-T1S-route-2</v>
      </c>
      <c r="K32" s="9" t="str">
        <f t="shared" si="7"/>
        <v>22-12-2025884708</v>
      </c>
      <c r="L32" s="10">
        <v>46013.0</v>
      </c>
      <c r="M32" s="4" t="s">
        <v>48</v>
      </c>
      <c r="N32" s="4" t="s">
        <v>40</v>
      </c>
      <c r="O32" s="4">
        <v>2.94757484E8</v>
      </c>
      <c r="P32" s="4">
        <v>3.0</v>
      </c>
      <c r="Q32" s="4" t="s">
        <v>41</v>
      </c>
      <c r="R32" s="4" t="s">
        <v>60</v>
      </c>
      <c r="S32" s="4">
        <v>3.82016744E8</v>
      </c>
      <c r="T32" s="4">
        <v>18.0</v>
      </c>
      <c r="U32" s="4">
        <v>1.0</v>
      </c>
      <c r="V32" s="4">
        <v>17.0</v>
      </c>
      <c r="W32" s="4" t="s">
        <v>43</v>
      </c>
      <c r="X32" s="4">
        <v>152500.0</v>
      </c>
      <c r="Y32" s="4">
        <v>50.0</v>
      </c>
      <c r="Z32" s="4">
        <v>6.92</v>
      </c>
      <c r="AA32" s="11">
        <v>46013.1875</v>
      </c>
      <c r="AB32" s="11">
        <v>46013.21527777778</v>
      </c>
      <c r="AC32" s="4">
        <v>40.0</v>
      </c>
      <c r="AD32" s="4">
        <v>9.0</v>
      </c>
      <c r="AE32" s="4">
        <v>17.6</v>
      </c>
      <c r="AF32" s="4">
        <v>884708.0</v>
      </c>
      <c r="AG32" s="4">
        <v>884708.0</v>
      </c>
      <c r="AH32" s="12">
        <v>46013.163194444445</v>
      </c>
      <c r="AI32" s="12">
        <v>46013.163194444445</v>
      </c>
      <c r="AJ32" s="12">
        <v>46013.19027777778</v>
      </c>
      <c r="AK32" s="4">
        <v>39.0</v>
      </c>
    </row>
    <row r="33" ht="15.75" customHeight="1">
      <c r="A33" s="4" t="str">
        <f t="array" ref="A33">_xludf.XLOOKUP(M33,'[2]Migrated Societies Data'!D:D,'[2]Migrated Societies Data'!B:B)</f>
        <v>#NAME?</v>
      </c>
      <c r="B33" s="4" t="str">
        <f t="array" ref="B33">_xludf.XLOOKUP(M33,'[2]Migrated Societies Data'!D:D,'[2]Migrated Societies Data'!E:E)</f>
        <v>#NAME?</v>
      </c>
      <c r="C33" s="4" t="str">
        <f t="shared" si="1"/>
        <v>22-12-2025</v>
      </c>
      <c r="D33" s="4">
        <f t="shared" si="2"/>
        <v>52</v>
      </c>
      <c r="E33" s="4">
        <f t="shared" si="3"/>
        <v>12</v>
      </c>
      <c r="F33" s="6" t="str">
        <f>MOD(_xludf.MINIFS([1]expressOrderReport!$AS:$AS,[1]expressOrderReport!$Q:$Q,$M2229,[1]expressOrderReport!$G:$G,$C2229),1)</f>
        <v>#ERROR!</v>
      </c>
      <c r="G33" s="6" t="str">
        <f>MOD(_xludf.MAXIFS([1]expressOrderReport!$AS:$AS,[1]expressOrderReport!$Q:$Q,$M2229,[1]expressOrderReport!$G:$G,$C2229),1)</f>
        <v>#ERROR!</v>
      </c>
      <c r="H33" s="7" t="str">
        <f t="shared" si="4"/>
        <v>#ERROR!</v>
      </c>
      <c r="I33" s="8">
        <f t="shared" si="5"/>
        <v>2.333333333</v>
      </c>
      <c r="J33" s="9" t="str">
        <f t="shared" si="6"/>
        <v>BBD-BLR-BellahalliRoad-T1S-route-2</v>
      </c>
      <c r="K33" s="9" t="str">
        <f t="shared" si="7"/>
        <v>22-12-2025882531</v>
      </c>
      <c r="L33" s="10">
        <v>46013.0</v>
      </c>
      <c r="M33" s="4" t="s">
        <v>49</v>
      </c>
      <c r="N33" s="4" t="s">
        <v>40</v>
      </c>
      <c r="O33" s="4">
        <v>2.94757464E8</v>
      </c>
      <c r="P33" s="4">
        <v>3.0</v>
      </c>
      <c r="Q33" s="4" t="s">
        <v>41</v>
      </c>
      <c r="R33" s="4" t="s">
        <v>60</v>
      </c>
      <c r="S33" s="4">
        <v>3.82016748E8</v>
      </c>
      <c r="T33" s="4">
        <v>40.0</v>
      </c>
      <c r="U33" s="4">
        <v>1.0</v>
      </c>
      <c r="V33" s="4">
        <v>39.0</v>
      </c>
      <c r="W33" s="4" t="s">
        <v>43</v>
      </c>
      <c r="X33" s="4">
        <v>152500.0</v>
      </c>
      <c r="Y33" s="4">
        <v>50.0</v>
      </c>
      <c r="Z33" s="4">
        <v>7.189</v>
      </c>
      <c r="AA33" s="11">
        <v>46013.1875</v>
      </c>
      <c r="AB33" s="11">
        <v>46013.22777777778</v>
      </c>
      <c r="AC33" s="4">
        <v>58.0</v>
      </c>
      <c r="AD33" s="4">
        <v>9.0</v>
      </c>
      <c r="AE33" s="4">
        <v>41.52</v>
      </c>
      <c r="AF33" s="4">
        <v>882531.0</v>
      </c>
      <c r="AG33" s="4">
        <v>882531.0</v>
      </c>
      <c r="AH33" s="12">
        <v>46013.165972222225</v>
      </c>
      <c r="AI33" s="12">
        <v>46013.165972222225</v>
      </c>
      <c r="AJ33" s="12">
        <v>46013.22986111111</v>
      </c>
      <c r="AK33" s="4">
        <v>91.0</v>
      </c>
    </row>
    <row r="34" ht="15.75" customHeight="1">
      <c r="A34" s="4" t="str">
        <f t="array" ref="A34">_xludf.XLOOKUP(M34,'[2]Migrated Societies Data'!D:D,'[2]Migrated Societies Data'!B:B)</f>
        <v>#NAME?</v>
      </c>
      <c r="B34" s="4" t="str">
        <f t="array" ref="B34">_xludf.XLOOKUP(M34,'[2]Migrated Societies Data'!D:D,'[2]Migrated Societies Data'!E:E)</f>
        <v>#NAME?</v>
      </c>
      <c r="C34" s="4" t="str">
        <f t="shared" si="1"/>
        <v>22-12-2025</v>
      </c>
      <c r="D34" s="4">
        <f t="shared" si="2"/>
        <v>52</v>
      </c>
      <c r="E34" s="4">
        <f t="shared" si="3"/>
        <v>12</v>
      </c>
      <c r="F34" s="6" t="str">
        <f>MOD(_xludf.MINIFS([1]expressOrderReport!$AS:$AS,[1]expressOrderReport!$Q:$Q,$M2230,[1]expressOrderReport!$G:$G,$C2230),1)</f>
        <v>#ERROR!</v>
      </c>
      <c r="G34" s="6" t="str">
        <f>MOD(_xludf.MAXIFS([1]expressOrderReport!$AS:$AS,[1]expressOrderReport!$Q:$Q,$M2230,[1]expressOrderReport!$G:$G,$C2230),1)</f>
        <v>#ERROR!</v>
      </c>
      <c r="H34" s="7" t="str">
        <f t="shared" si="4"/>
        <v>#ERROR!</v>
      </c>
      <c r="I34" s="8">
        <f t="shared" si="5"/>
        <v>2.025</v>
      </c>
      <c r="J34" s="9" t="str">
        <f t="shared" si="6"/>
        <v>BBD-BLR-Nagondanahalli-T1S-route-2</v>
      </c>
      <c r="K34" s="9" t="str">
        <f t="shared" si="7"/>
        <v>22-12-2025887086</v>
      </c>
      <c r="L34" s="10">
        <v>46013.0</v>
      </c>
      <c r="M34" s="4" t="s">
        <v>50</v>
      </c>
      <c r="N34" s="4" t="s">
        <v>40</v>
      </c>
      <c r="O34" s="4">
        <v>2.94757469E8</v>
      </c>
      <c r="P34" s="4">
        <v>3.0</v>
      </c>
      <c r="Q34" s="4" t="s">
        <v>41</v>
      </c>
      <c r="R34" s="4" t="s">
        <v>60</v>
      </c>
      <c r="S34" s="4">
        <v>3.82016752E8</v>
      </c>
      <c r="T34" s="4">
        <v>41.0</v>
      </c>
      <c r="U34" s="4">
        <v>1.0</v>
      </c>
      <c r="V34" s="4">
        <v>40.0</v>
      </c>
      <c r="W34" s="4" t="s">
        <v>43</v>
      </c>
      <c r="X34" s="4">
        <v>152500.0</v>
      </c>
      <c r="Y34" s="4">
        <v>50.0</v>
      </c>
      <c r="Z34" s="4">
        <v>2.193</v>
      </c>
      <c r="AA34" s="11">
        <v>46013.1875</v>
      </c>
      <c r="AB34" s="11">
        <v>46013.20625</v>
      </c>
      <c r="AC34" s="4">
        <v>27.0</v>
      </c>
      <c r="AD34" s="4">
        <v>9.0</v>
      </c>
      <c r="AE34" s="4">
        <v>39.86</v>
      </c>
      <c r="AF34" s="4">
        <v>887086.0</v>
      </c>
      <c r="AG34" s="4">
        <v>887086.0</v>
      </c>
      <c r="AH34" s="12">
        <v>46013.16736111111</v>
      </c>
      <c r="AI34" s="12">
        <v>46013.16805555556</v>
      </c>
      <c r="AJ34" s="12">
        <v>46013.22430555556</v>
      </c>
      <c r="AK34" s="4">
        <v>81.0</v>
      </c>
    </row>
    <row r="35" ht="15.75" customHeight="1">
      <c r="A35" s="4" t="str">
        <f t="array" ref="A35">_xludf.XLOOKUP(M35,'[2]Migrated Societies Data'!D:D,'[2]Migrated Societies Data'!B:B)</f>
        <v>#NAME?</v>
      </c>
      <c r="B35" s="4" t="str">
        <f t="array" ref="B35">_xludf.XLOOKUP(M35,'[2]Migrated Societies Data'!D:D,'[2]Migrated Societies Data'!E:E)</f>
        <v>#NAME?</v>
      </c>
      <c r="C35" s="4" t="str">
        <f t="shared" si="1"/>
        <v>22-12-2025</v>
      </c>
      <c r="D35" s="4">
        <f t="shared" si="2"/>
        <v>52</v>
      </c>
      <c r="E35" s="4">
        <f t="shared" si="3"/>
        <v>12</v>
      </c>
      <c r="F35" s="6" t="str">
        <f>MOD(_xludf.MINIFS([1]expressOrderReport!$AS:$AS,[1]expressOrderReport!$Q:$Q,$M2231,[1]expressOrderReport!$G:$G,$C2231),1)</f>
        <v>#ERROR!</v>
      </c>
      <c r="G35" s="6" t="str">
        <f>MOD(_xludf.MAXIFS([1]expressOrderReport!$AS:$AS,[1]expressOrderReport!$Q:$Q,$M2231,[1]expressOrderReport!$G:$G,$C2231),1)</f>
        <v>#ERROR!</v>
      </c>
      <c r="H35" s="7" t="str">
        <f t="shared" si="4"/>
        <v>#ERROR!</v>
      </c>
      <c r="I35" s="8">
        <f t="shared" si="5"/>
        <v>1.769230769</v>
      </c>
      <c r="J35" s="9" t="str">
        <f t="shared" si="6"/>
        <v>BBD-BLR-PeenyaPhase3-T1S-route-2</v>
      </c>
      <c r="K35" s="9" t="str">
        <f t="shared" si="7"/>
        <v>22-12-2025835426</v>
      </c>
      <c r="L35" s="10">
        <v>46013.0</v>
      </c>
      <c r="M35" s="4" t="s">
        <v>53</v>
      </c>
      <c r="N35" s="4" t="s">
        <v>40</v>
      </c>
      <c r="O35" s="4">
        <v>2.94757498E8</v>
      </c>
      <c r="P35" s="4">
        <v>3.0</v>
      </c>
      <c r="Q35" s="4" t="s">
        <v>41</v>
      </c>
      <c r="R35" s="4" t="s">
        <v>60</v>
      </c>
      <c r="S35" s="4">
        <v>3.82016806E8</v>
      </c>
      <c r="T35" s="4">
        <v>26.0</v>
      </c>
      <c r="U35" s="4">
        <v>0.0</v>
      </c>
      <c r="V35" s="4">
        <v>26.0</v>
      </c>
      <c r="W35" s="4" t="s">
        <v>43</v>
      </c>
      <c r="X35" s="4">
        <v>152500.0</v>
      </c>
      <c r="Y35" s="4">
        <v>50.0</v>
      </c>
      <c r="Z35" s="4">
        <v>4.521</v>
      </c>
      <c r="AA35" s="11">
        <v>46013.1875</v>
      </c>
      <c r="AB35" s="11">
        <v>46013.21041666667</v>
      </c>
      <c r="AC35" s="4">
        <v>33.0</v>
      </c>
      <c r="AD35" s="4">
        <v>9.0</v>
      </c>
      <c r="AE35" s="4">
        <v>28.39</v>
      </c>
      <c r="AF35" s="4">
        <v>835426.0</v>
      </c>
      <c r="AG35" s="4">
        <v>835426.0</v>
      </c>
      <c r="AH35" s="12">
        <v>46013.18541666667</v>
      </c>
      <c r="AI35" s="12">
        <v>46013.18541666667</v>
      </c>
      <c r="AJ35" s="12">
        <v>46013.21805555555</v>
      </c>
      <c r="AK35" s="4">
        <v>46.0</v>
      </c>
    </row>
    <row r="36" ht="15.75" customHeight="1">
      <c r="A36" s="4" t="str">
        <f t="array" ref="A36">_xludf.XLOOKUP(M36,'[2]Migrated Societies Data'!D:D,'[2]Migrated Societies Data'!B:B)</f>
        <v>#NAME?</v>
      </c>
      <c r="B36" s="4" t="str">
        <f t="array" ref="B36">_xludf.XLOOKUP(M36,'[2]Migrated Societies Data'!D:D,'[2]Migrated Societies Data'!E:E)</f>
        <v>#NAME?</v>
      </c>
      <c r="C36" s="4" t="str">
        <f t="shared" si="1"/>
        <v>22-12-2025</v>
      </c>
      <c r="D36" s="4">
        <f t="shared" si="2"/>
        <v>52</v>
      </c>
      <c r="E36" s="4">
        <f t="shared" si="3"/>
        <v>12</v>
      </c>
      <c r="F36" s="6" t="str">
        <f>MOD(_xludf.MINIFS([1]expressOrderReport!$AS:$AS,[1]expressOrderReport!$Q:$Q,$M2232,[1]expressOrderReport!$G:$G,$C2232),1)</f>
        <v>#ERROR!</v>
      </c>
      <c r="G36" s="6" t="str">
        <f>MOD(_xludf.MAXIFS([1]expressOrderReport!$AS:$AS,[1]expressOrderReport!$Q:$Q,$M2232,[1]expressOrderReport!$G:$G,$C2232),1)</f>
        <v>#ERROR!</v>
      </c>
      <c r="H36" s="7" t="str">
        <f t="shared" si="4"/>
        <v>#ERROR!</v>
      </c>
      <c r="I36" s="8">
        <f t="shared" si="5"/>
        <v>4.117647059</v>
      </c>
      <c r="J36" s="9" t="str">
        <f t="shared" si="6"/>
        <v>BBD-BLR-Chikkasandra-T1S-route-2</v>
      </c>
      <c r="K36" s="9" t="str">
        <f t="shared" si="7"/>
        <v>22-12-2025875275</v>
      </c>
      <c r="L36" s="10">
        <v>46013.0</v>
      </c>
      <c r="M36" s="4" t="s">
        <v>57</v>
      </c>
      <c r="N36" s="4" t="s">
        <v>40</v>
      </c>
      <c r="O36" s="4">
        <v>2.94757508E8</v>
      </c>
      <c r="P36" s="4">
        <v>3.0</v>
      </c>
      <c r="Q36" s="4" t="s">
        <v>41</v>
      </c>
      <c r="R36" s="4" t="s">
        <v>60</v>
      </c>
      <c r="S36" s="4">
        <v>3.82016818E8</v>
      </c>
      <c r="T36" s="4">
        <v>17.0</v>
      </c>
      <c r="U36" s="4">
        <v>0.0</v>
      </c>
      <c r="V36" s="4">
        <v>17.0</v>
      </c>
      <c r="W36" s="4" t="s">
        <v>43</v>
      </c>
      <c r="X36" s="4">
        <v>152500.0</v>
      </c>
      <c r="Y36" s="4">
        <v>50.0</v>
      </c>
      <c r="Z36" s="4">
        <v>10.288</v>
      </c>
      <c r="AA36" s="11">
        <v>46013.1875</v>
      </c>
      <c r="AB36" s="11">
        <v>46013.225</v>
      </c>
      <c r="AC36" s="4">
        <v>54.0</v>
      </c>
      <c r="AD36" s="4">
        <v>9.0</v>
      </c>
      <c r="AE36" s="4">
        <v>15.42</v>
      </c>
      <c r="AF36" s="4">
        <v>875275.0</v>
      </c>
      <c r="AG36" s="4">
        <v>875275.0</v>
      </c>
      <c r="AH36" s="12">
        <v>46013.24097222222</v>
      </c>
      <c r="AI36" s="12">
        <v>46013.24097222222</v>
      </c>
      <c r="AJ36" s="12">
        <v>46013.28958333333</v>
      </c>
      <c r="AK36" s="4">
        <v>70.0</v>
      </c>
    </row>
    <row r="37" ht="15.75" customHeight="1">
      <c r="A37" s="4" t="str">
        <f t="array" ref="A37">_xludf.XLOOKUP(M37,'[2]Migrated Societies Data'!D:D,'[2]Migrated Societies Data'!B:B)</f>
        <v>#NAME?</v>
      </c>
      <c r="B37" s="4" t="str">
        <f t="array" ref="B37">_xludf.XLOOKUP(M37,'[2]Migrated Societies Data'!D:D,'[2]Migrated Societies Data'!E:E)</f>
        <v>#NAME?</v>
      </c>
      <c r="C37" s="4" t="str">
        <f t="shared" si="1"/>
        <v>22-12-2025</v>
      </c>
      <c r="D37" s="4">
        <f t="shared" si="2"/>
        <v>52</v>
      </c>
      <c r="E37" s="4">
        <f t="shared" si="3"/>
        <v>12</v>
      </c>
      <c r="F37" s="6" t="str">
        <f>MOD(_xludf.MINIFS([1]expressOrderReport!$AS:$AS,[1]expressOrderReport!$Q:$Q,$M2233,[1]expressOrderReport!$G:$G,$C2233),1)</f>
        <v>#ERROR!</v>
      </c>
      <c r="G37" s="6" t="str">
        <f>MOD(_xludf.MAXIFS([1]expressOrderReport!$AS:$AS,[1]expressOrderReport!$Q:$Q,$M2233,[1]expressOrderReport!$G:$G,$C2233),1)</f>
        <v>#ERROR!</v>
      </c>
      <c r="H37" s="7" t="str">
        <f t="shared" si="4"/>
        <v>#ERROR!</v>
      </c>
      <c r="I37" s="8">
        <f t="shared" si="5"/>
        <v>1.513513514</v>
      </c>
      <c r="J37" s="9" t="str">
        <f t="shared" si="6"/>
        <v>BBD-BLR-Budhigere-T1S-route-2</v>
      </c>
      <c r="K37" s="9" t="str">
        <f t="shared" si="7"/>
        <v>22-12-2025861799</v>
      </c>
      <c r="L37" s="10">
        <v>46013.0</v>
      </c>
      <c r="M37" s="4" t="s">
        <v>58</v>
      </c>
      <c r="N37" s="4" t="s">
        <v>40</v>
      </c>
      <c r="O37" s="4">
        <v>2.947575E8</v>
      </c>
      <c r="P37" s="4">
        <v>3.0</v>
      </c>
      <c r="Q37" s="4" t="s">
        <v>41</v>
      </c>
      <c r="R37" s="4" t="s">
        <v>60</v>
      </c>
      <c r="S37" s="4">
        <v>3.82016826E8</v>
      </c>
      <c r="T37" s="4">
        <v>38.0</v>
      </c>
      <c r="U37" s="4">
        <v>1.0</v>
      </c>
      <c r="V37" s="4">
        <v>37.0</v>
      </c>
      <c r="W37" s="4" t="s">
        <v>43</v>
      </c>
      <c r="X37" s="4">
        <v>152500.0</v>
      </c>
      <c r="Y37" s="4">
        <v>50.0</v>
      </c>
      <c r="Z37" s="4">
        <v>1.365</v>
      </c>
      <c r="AA37" s="11">
        <v>46013.1875</v>
      </c>
      <c r="AB37" s="11">
        <v>46013.20486111111</v>
      </c>
      <c r="AC37" s="4">
        <v>25.0</v>
      </c>
      <c r="AD37" s="4">
        <v>9.0</v>
      </c>
      <c r="AE37" s="4">
        <v>40.56</v>
      </c>
      <c r="AF37" s="4">
        <v>861799.0</v>
      </c>
      <c r="AG37" s="4">
        <v>861799.0</v>
      </c>
      <c r="AH37" s="12">
        <v>46013.21597222222</v>
      </c>
      <c r="AI37" s="12">
        <v>46013.217361111114</v>
      </c>
      <c r="AJ37" s="12">
        <v>46013.25625</v>
      </c>
      <c r="AK37" s="4">
        <v>56.0</v>
      </c>
    </row>
    <row r="38" ht="15.75" customHeight="1">
      <c r="A38" s="4" t="str">
        <f t="array" ref="A38">_xludf.XLOOKUP(M38,'[2]Migrated Societies Data'!D:D,'[2]Migrated Societies Data'!B:B)</f>
        <v>#NAME?</v>
      </c>
      <c r="B38" s="4" t="str">
        <f t="array" ref="B38">_xludf.XLOOKUP(M38,'[2]Migrated Societies Data'!D:D,'[2]Migrated Societies Data'!E:E)</f>
        <v>#NAME?</v>
      </c>
      <c r="C38" s="4" t="str">
        <f t="shared" si="1"/>
        <v>22-12-2025</v>
      </c>
      <c r="D38" s="4">
        <f t="shared" si="2"/>
        <v>52</v>
      </c>
      <c r="E38" s="4">
        <f t="shared" si="3"/>
        <v>12</v>
      </c>
      <c r="F38" s="6" t="str">
        <f>MOD(_xludf.MINIFS([1]expressOrderReport!$AS:$AS,[1]expressOrderReport!$Q:$Q,$M2234,[1]expressOrderReport!$G:$G,$C2234),1)</f>
        <v>#ERROR!</v>
      </c>
      <c r="G38" s="6" t="str">
        <f>MOD(_xludf.MAXIFS([1]expressOrderReport!$AS:$AS,[1]expressOrderReport!$Q:$Q,$M2234,[1]expressOrderReport!$G:$G,$C2234),1)</f>
        <v>#ERROR!</v>
      </c>
      <c r="H38" s="7" t="str">
        <f t="shared" si="4"/>
        <v>#ERROR!</v>
      </c>
      <c r="I38" s="8">
        <f t="shared" si="5"/>
        <v>3.230769231</v>
      </c>
      <c r="J38" s="9" t="str">
        <f t="shared" si="6"/>
        <v>BBD-BLR-BellahalliRoad-T1S-route-3</v>
      </c>
      <c r="K38" s="9" t="str">
        <f t="shared" si="7"/>
        <v>22-12-2025891898</v>
      </c>
      <c r="L38" s="10">
        <v>46013.0</v>
      </c>
      <c r="M38" s="4" t="s">
        <v>49</v>
      </c>
      <c r="N38" s="4" t="s">
        <v>40</v>
      </c>
      <c r="O38" s="4">
        <v>2.94757464E8</v>
      </c>
      <c r="P38" s="4">
        <v>3.0</v>
      </c>
      <c r="Q38" s="4" t="s">
        <v>41</v>
      </c>
      <c r="R38" s="4" t="s">
        <v>61</v>
      </c>
      <c r="S38" s="4">
        <v>3.82016746E8</v>
      </c>
      <c r="T38" s="4">
        <v>13.0</v>
      </c>
      <c r="U38" s="4">
        <v>0.0</v>
      </c>
      <c r="V38" s="4">
        <v>13.0</v>
      </c>
      <c r="W38" s="4" t="s">
        <v>43</v>
      </c>
      <c r="X38" s="4">
        <v>152500.0</v>
      </c>
      <c r="Y38" s="4">
        <v>50.0</v>
      </c>
      <c r="Z38" s="4">
        <v>2.512</v>
      </c>
      <c r="AA38" s="11">
        <v>46013.1875</v>
      </c>
      <c r="AB38" s="11">
        <v>46013.20208333333</v>
      </c>
      <c r="AC38" s="4">
        <v>21.0</v>
      </c>
      <c r="AD38" s="4">
        <v>9.0</v>
      </c>
      <c r="AE38" s="4">
        <v>14.91</v>
      </c>
      <c r="AF38" s="4">
        <v>891898.0</v>
      </c>
      <c r="AG38" s="4">
        <v>891898.0</v>
      </c>
      <c r="AH38" s="12">
        <v>46013.17152777778</v>
      </c>
      <c r="AI38" s="12">
        <v>46013.17152777778</v>
      </c>
      <c r="AJ38" s="12">
        <v>46013.20138888889</v>
      </c>
      <c r="AK38" s="4">
        <v>42.0</v>
      </c>
    </row>
    <row r="39" ht="15.75" customHeight="1">
      <c r="A39" s="4" t="str">
        <f t="array" ref="A39">_xludf.XLOOKUP(M39,'[2]Migrated Societies Data'!D:D,'[2]Migrated Societies Data'!B:B)</f>
        <v>#NAME?</v>
      </c>
      <c r="B39" s="4" t="str">
        <f t="array" ref="B39">_xludf.XLOOKUP(M39,'[2]Migrated Societies Data'!D:D,'[2]Migrated Societies Data'!E:E)</f>
        <v>#NAME?</v>
      </c>
      <c r="C39" s="4" t="str">
        <f t="shared" si="1"/>
        <v>22-12-2025</v>
      </c>
      <c r="D39" s="4">
        <f t="shared" si="2"/>
        <v>52</v>
      </c>
      <c r="E39" s="4">
        <f t="shared" si="3"/>
        <v>12</v>
      </c>
      <c r="F39" s="6" t="str">
        <f>MOD(_xludf.MINIFS([1]expressOrderReport!$AS:$AS,[1]expressOrderReport!$Q:$Q,$M2235,[1]expressOrderReport!$G:$G,$C2235),1)</f>
        <v>#ERROR!</v>
      </c>
      <c r="G39" s="6" t="str">
        <f>MOD(_xludf.MAXIFS([1]expressOrderReport!$AS:$AS,[1]expressOrderReport!$Q:$Q,$M2235,[1]expressOrderReport!$G:$G,$C2235),1)</f>
        <v>#ERROR!</v>
      </c>
      <c r="H39" s="7" t="str">
        <f t="shared" si="4"/>
        <v>#ERROR!</v>
      </c>
      <c r="I39" s="8">
        <f t="shared" si="5"/>
        <v>3.135135135</v>
      </c>
      <c r="J39" s="9" t="str">
        <f t="shared" si="6"/>
        <v>BBD-BLR-Nagondanahalli-T1S-route-3</v>
      </c>
      <c r="K39" s="9" t="str">
        <f t="shared" si="7"/>
        <v>22-12-2025867028</v>
      </c>
      <c r="L39" s="10">
        <v>46013.0</v>
      </c>
      <c r="M39" s="4" t="s">
        <v>50</v>
      </c>
      <c r="N39" s="4" t="s">
        <v>40</v>
      </c>
      <c r="O39" s="4">
        <v>2.94757469E8</v>
      </c>
      <c r="P39" s="4">
        <v>3.0</v>
      </c>
      <c r="Q39" s="4" t="s">
        <v>41</v>
      </c>
      <c r="R39" s="4" t="s">
        <v>61</v>
      </c>
      <c r="S39" s="4">
        <v>3.82016755E8</v>
      </c>
      <c r="T39" s="4">
        <v>37.0</v>
      </c>
      <c r="U39" s="4">
        <v>0.0</v>
      </c>
      <c r="V39" s="4">
        <v>37.0</v>
      </c>
      <c r="W39" s="4" t="s">
        <v>43</v>
      </c>
      <c r="X39" s="4">
        <v>152500.0</v>
      </c>
      <c r="Y39" s="4">
        <v>50.0</v>
      </c>
      <c r="Z39" s="4">
        <v>4.034</v>
      </c>
      <c r="AA39" s="11">
        <v>46013.1875</v>
      </c>
      <c r="AB39" s="11">
        <v>46013.214583333334</v>
      </c>
      <c r="AC39" s="4">
        <v>39.0</v>
      </c>
      <c r="AD39" s="4">
        <v>9.0</v>
      </c>
      <c r="AE39" s="4">
        <v>41.17</v>
      </c>
      <c r="AF39" s="4">
        <v>867028.0</v>
      </c>
      <c r="AG39" s="4">
        <v>867028.0</v>
      </c>
      <c r="AH39" s="12">
        <v>46013.16736111111</v>
      </c>
      <c r="AI39" s="12">
        <v>46013.16805555556</v>
      </c>
      <c r="AJ39" s="12">
        <v>46013.248611111114</v>
      </c>
      <c r="AK39" s="4">
        <v>116.0</v>
      </c>
    </row>
    <row r="40" ht="15.75" customHeight="1">
      <c r="A40" s="4" t="str">
        <f t="array" ref="A40">_xludf.XLOOKUP(M40,'[2]Migrated Societies Data'!D:D,'[2]Migrated Societies Data'!B:B)</f>
        <v>#NAME?</v>
      </c>
      <c r="B40" s="4" t="str">
        <f t="array" ref="B40">_xludf.XLOOKUP(M40,'[2]Migrated Societies Data'!D:D,'[2]Migrated Societies Data'!E:E)</f>
        <v>#NAME?</v>
      </c>
      <c r="C40" s="4" t="str">
        <f t="shared" si="1"/>
        <v>22-12-2025</v>
      </c>
      <c r="D40" s="4">
        <f t="shared" si="2"/>
        <v>52</v>
      </c>
      <c r="E40" s="4">
        <f t="shared" si="3"/>
        <v>12</v>
      </c>
      <c r="F40" s="6" t="str">
        <f>MOD(_xludf.MINIFS([1]expressOrderReport!$AS:$AS,[1]expressOrderReport!$Q:$Q,$M2236,[1]expressOrderReport!$G:$G,$C2236),1)</f>
        <v>#ERROR!</v>
      </c>
      <c r="G40" s="6" t="str">
        <f>MOD(_xludf.MAXIFS([1]expressOrderReport!$AS:$AS,[1]expressOrderReport!$Q:$Q,$M2236,[1]expressOrderReport!$G:$G,$C2236),1)</f>
        <v>#ERROR!</v>
      </c>
      <c r="H40" s="7" t="str">
        <f t="shared" si="4"/>
        <v>#ERROR!</v>
      </c>
      <c r="I40" s="8">
        <f t="shared" si="5"/>
        <v>1.419354839</v>
      </c>
      <c r="J40" s="9" t="str">
        <f t="shared" si="6"/>
        <v>BBD-BLR-Budhigere-T1S-route-3</v>
      </c>
      <c r="K40" s="9" t="str">
        <f t="shared" si="7"/>
        <v>22-12-2025861793</v>
      </c>
      <c r="L40" s="10">
        <v>46013.0</v>
      </c>
      <c r="M40" s="4" t="s">
        <v>58</v>
      </c>
      <c r="N40" s="4" t="s">
        <v>40</v>
      </c>
      <c r="O40" s="4">
        <v>2.947575E8</v>
      </c>
      <c r="P40" s="4">
        <v>3.0</v>
      </c>
      <c r="Q40" s="4" t="s">
        <v>41</v>
      </c>
      <c r="R40" s="4" t="s">
        <v>61</v>
      </c>
      <c r="S40" s="4">
        <v>3.82016827E8</v>
      </c>
      <c r="T40" s="4">
        <v>31.0</v>
      </c>
      <c r="U40" s="4">
        <v>0.0</v>
      </c>
      <c r="V40" s="4">
        <v>31.0</v>
      </c>
      <c r="W40" s="4" t="s">
        <v>43</v>
      </c>
      <c r="X40" s="4">
        <v>152500.0</v>
      </c>
      <c r="Y40" s="4">
        <v>50.0</v>
      </c>
      <c r="Z40" s="4">
        <v>1.365</v>
      </c>
      <c r="AA40" s="11">
        <v>46013.1875</v>
      </c>
      <c r="AB40" s="11">
        <v>46013.20277777778</v>
      </c>
      <c r="AC40" s="4">
        <v>22.0</v>
      </c>
      <c r="AD40" s="4">
        <v>9.0</v>
      </c>
      <c r="AE40" s="4">
        <v>41.27</v>
      </c>
      <c r="AF40" s="4">
        <v>861793.0</v>
      </c>
      <c r="AG40" s="4">
        <v>861793.0</v>
      </c>
      <c r="AH40" s="12">
        <v>46013.22430555556</v>
      </c>
      <c r="AI40" s="12">
        <v>46013.22708333333</v>
      </c>
      <c r="AJ40" s="12">
        <v>46013.25763888889</v>
      </c>
      <c r="AK40" s="4">
        <v>44.0</v>
      </c>
    </row>
    <row r="41" ht="15.75" customHeight="1">
      <c r="A41" s="4" t="str">
        <f t="array" ref="A41">_xludf.XLOOKUP(M41,'[2]Migrated Societies Data'!D:D,'[2]Migrated Societies Data'!B:B)</f>
        <v>#NAME?</v>
      </c>
      <c r="B41" s="4" t="str">
        <f t="array" ref="B41">_xludf.XLOOKUP(M41,'[2]Migrated Societies Data'!D:D,'[2]Migrated Societies Data'!E:E)</f>
        <v>#NAME?</v>
      </c>
      <c r="C41" s="4" t="str">
        <f t="shared" si="1"/>
        <v>22-12-2025</v>
      </c>
      <c r="D41" s="4">
        <f t="shared" si="2"/>
        <v>52</v>
      </c>
      <c r="E41" s="4">
        <f t="shared" si="3"/>
        <v>12</v>
      </c>
      <c r="F41" s="6" t="str">
        <f>MOD(_xludf.MINIFS([1]expressOrderReport!$AS:$AS,[1]expressOrderReport!$Q:$Q,$M2237,[1]expressOrderReport!$G:$G,$C2237),1)</f>
        <v>#ERROR!</v>
      </c>
      <c r="G41" s="6" t="str">
        <f>MOD(_xludf.MAXIFS([1]expressOrderReport!$AS:$AS,[1]expressOrderReport!$Q:$Q,$M2237,[1]expressOrderReport!$G:$G,$C2237),1)</f>
        <v>#ERROR!</v>
      </c>
      <c r="H41" s="7" t="str">
        <f t="shared" si="4"/>
        <v>#ERROR!</v>
      </c>
      <c r="I41" s="8">
        <f t="shared" si="5"/>
        <v>2.458333333</v>
      </c>
      <c r="J41" s="9" t="str">
        <f t="shared" si="6"/>
        <v>BBD-BLR-Nagondanahalli-T1S-route-4</v>
      </c>
      <c r="K41" s="9" t="str">
        <f t="shared" si="7"/>
        <v>22-12-2025864231</v>
      </c>
      <c r="L41" s="10">
        <v>46013.0</v>
      </c>
      <c r="M41" s="4" t="s">
        <v>50</v>
      </c>
      <c r="N41" s="4" t="s">
        <v>40</v>
      </c>
      <c r="O41" s="4">
        <v>2.94757469E8</v>
      </c>
      <c r="P41" s="4">
        <v>3.0</v>
      </c>
      <c r="Q41" s="4" t="s">
        <v>41</v>
      </c>
      <c r="R41" s="4" t="s">
        <v>62</v>
      </c>
      <c r="S41" s="4">
        <v>3.82016757E8</v>
      </c>
      <c r="T41" s="4">
        <v>27.0</v>
      </c>
      <c r="U41" s="4">
        <v>3.0</v>
      </c>
      <c r="V41" s="4">
        <v>24.0</v>
      </c>
      <c r="W41" s="4" t="s">
        <v>43</v>
      </c>
      <c r="X41" s="4">
        <v>152500.0</v>
      </c>
      <c r="Y41" s="4">
        <v>50.0</v>
      </c>
      <c r="Z41" s="4">
        <v>3.027</v>
      </c>
      <c r="AA41" s="11">
        <v>46013.1875</v>
      </c>
      <c r="AB41" s="11">
        <v>46013.20416666667</v>
      </c>
      <c r="AC41" s="4">
        <v>24.0</v>
      </c>
      <c r="AD41" s="4">
        <v>9.0</v>
      </c>
      <c r="AE41" s="4">
        <v>40.78</v>
      </c>
      <c r="AF41" s="4">
        <v>864231.0</v>
      </c>
      <c r="AG41" s="4">
        <v>864231.0</v>
      </c>
      <c r="AH41" s="12">
        <v>46013.16458333333</v>
      </c>
      <c r="AI41" s="12">
        <v>46013.16527777778</v>
      </c>
      <c r="AJ41" s="12">
        <v>46013.20625</v>
      </c>
      <c r="AK41" s="4">
        <v>59.0</v>
      </c>
    </row>
    <row r="42" ht="15.75" customHeight="1">
      <c r="A42" s="4" t="str">
        <f t="array" ref="A42">_xludf.XLOOKUP(M42,'[2]Migrated Societies Data'!D:D,'[2]Migrated Societies Data'!B:B)</f>
        <v>#NAME?</v>
      </c>
      <c r="B42" s="4" t="str">
        <f t="array" ref="B42">_xludf.XLOOKUP(M42,'[2]Migrated Societies Data'!D:D,'[2]Migrated Societies Data'!E:E)</f>
        <v>#NAME?</v>
      </c>
      <c r="C42" s="4" t="str">
        <f t="shared" si="1"/>
        <v>22-12-2025</v>
      </c>
      <c r="D42" s="4">
        <f t="shared" si="2"/>
        <v>52</v>
      </c>
      <c r="E42" s="4">
        <f t="shared" si="3"/>
        <v>12</v>
      </c>
      <c r="F42" s="6" t="str">
        <f>MOD(_xludf.MINIFS([1]expressOrderReport!$AS:$AS,[1]expressOrderReport!$Q:$Q,$M2238,[1]expressOrderReport!$G:$G,$C2238),1)</f>
        <v>#ERROR!</v>
      </c>
      <c r="G42" s="6" t="str">
        <f>MOD(_xludf.MAXIFS([1]expressOrderReport!$AS:$AS,[1]expressOrderReport!$Q:$Q,$M2238,[1]expressOrderReport!$G:$G,$C2238),1)</f>
        <v>#ERROR!</v>
      </c>
      <c r="H42" s="7" t="str">
        <f t="shared" si="4"/>
        <v>#ERROR!</v>
      </c>
      <c r="I42" s="8">
        <f t="shared" si="5"/>
        <v>1.5</v>
      </c>
      <c r="J42" s="9" t="str">
        <f t="shared" si="6"/>
        <v>BBD-BLR-Budhigere-T1S-route-4</v>
      </c>
      <c r="K42" s="9" t="str">
        <f t="shared" si="7"/>
        <v>22-12-2025861911</v>
      </c>
      <c r="L42" s="10">
        <v>46013.0</v>
      </c>
      <c r="M42" s="4" t="s">
        <v>58</v>
      </c>
      <c r="N42" s="4" t="s">
        <v>40</v>
      </c>
      <c r="O42" s="4">
        <v>2.947575E8</v>
      </c>
      <c r="P42" s="4">
        <v>3.0</v>
      </c>
      <c r="Q42" s="4" t="s">
        <v>41</v>
      </c>
      <c r="R42" s="4" t="s">
        <v>62</v>
      </c>
      <c r="S42" s="4">
        <v>3.82016825E8</v>
      </c>
      <c r="T42" s="4">
        <v>30.0</v>
      </c>
      <c r="U42" s="4">
        <v>0.0</v>
      </c>
      <c r="V42" s="4">
        <v>30.0</v>
      </c>
      <c r="W42" s="4" t="s">
        <v>43</v>
      </c>
      <c r="X42" s="4">
        <v>152500.0</v>
      </c>
      <c r="Y42" s="4">
        <v>50.0</v>
      </c>
      <c r="Z42" s="4">
        <v>1.365</v>
      </c>
      <c r="AA42" s="11">
        <v>46013.1875</v>
      </c>
      <c r="AB42" s="11">
        <v>46013.200694444444</v>
      </c>
      <c r="AC42" s="4">
        <v>19.0</v>
      </c>
      <c r="AD42" s="4">
        <v>9.0</v>
      </c>
      <c r="AE42" s="4">
        <v>41.56</v>
      </c>
      <c r="AF42" s="4">
        <v>861911.0</v>
      </c>
      <c r="AG42" s="4">
        <v>861911.0</v>
      </c>
      <c r="AH42" s="12">
        <v>46013.20277777778</v>
      </c>
      <c r="AI42" s="12">
        <v>46013.20277777778</v>
      </c>
      <c r="AJ42" s="12">
        <v>46013.23472222222</v>
      </c>
      <c r="AK42" s="4">
        <v>45.0</v>
      </c>
    </row>
    <row r="43" ht="15.75" customHeight="1">
      <c r="A43" s="4" t="str">
        <f t="array" ref="A43">_xludf.XLOOKUP(M43,'[2]Migrated Societies Data'!D:D,'[2]Migrated Societies Data'!B:B)</f>
        <v>#NAME?</v>
      </c>
      <c r="B43" s="4" t="str">
        <f t="array" ref="B43">_xludf.XLOOKUP(M43,'[2]Migrated Societies Data'!D:D,'[2]Migrated Societies Data'!E:E)</f>
        <v>#NAME?</v>
      </c>
      <c r="C43" s="4" t="str">
        <f t="shared" si="1"/>
        <v>22-12-2025</v>
      </c>
      <c r="D43" s="4">
        <f t="shared" si="2"/>
        <v>52</v>
      </c>
      <c r="E43" s="4">
        <f t="shared" si="3"/>
        <v>12</v>
      </c>
      <c r="F43" s="6" t="str">
        <f>MOD(_xludf.MINIFS([1]expressOrderReport!$AS:$AS,[1]expressOrderReport!$Q:$Q,$M2239,[1]expressOrderReport!$G:$G,$C2239),1)</f>
        <v>#ERROR!</v>
      </c>
      <c r="G43" s="6" t="str">
        <f>MOD(_xludf.MAXIFS([1]expressOrderReport!$AS:$AS,[1]expressOrderReport!$Q:$Q,$M2239,[1]expressOrderReport!$G:$G,$C2239),1)</f>
        <v>#ERROR!</v>
      </c>
      <c r="H43" s="7" t="str">
        <f t="shared" si="4"/>
        <v>#ERROR!</v>
      </c>
      <c r="I43" s="8">
        <f t="shared" si="5"/>
        <v>2.057142857</v>
      </c>
      <c r="J43" s="9" t="str">
        <f t="shared" si="6"/>
        <v>BBD-BLR-Nagondanahalli-T1S-route-5</v>
      </c>
      <c r="K43" s="9" t="str">
        <f t="shared" si="7"/>
        <v>22-12-2025854738</v>
      </c>
      <c r="L43" s="10">
        <v>46013.0</v>
      </c>
      <c r="M43" s="4" t="s">
        <v>50</v>
      </c>
      <c r="N43" s="4" t="s">
        <v>40</v>
      </c>
      <c r="O43" s="4">
        <v>2.94757469E8</v>
      </c>
      <c r="P43" s="4">
        <v>3.0</v>
      </c>
      <c r="Q43" s="4" t="s">
        <v>41</v>
      </c>
      <c r="R43" s="4" t="s">
        <v>63</v>
      </c>
      <c r="S43" s="4">
        <v>3.82016758E8</v>
      </c>
      <c r="T43" s="4">
        <v>37.0</v>
      </c>
      <c r="U43" s="4">
        <v>2.0</v>
      </c>
      <c r="V43" s="4">
        <v>35.0</v>
      </c>
      <c r="W43" s="4" t="s">
        <v>43</v>
      </c>
      <c r="X43" s="4">
        <v>152500.0</v>
      </c>
      <c r="Y43" s="4">
        <v>50.0</v>
      </c>
      <c r="Z43" s="4">
        <v>4.651</v>
      </c>
      <c r="AA43" s="11">
        <v>46013.1875</v>
      </c>
      <c r="AB43" s="11">
        <v>46013.2125</v>
      </c>
      <c r="AC43" s="4">
        <v>36.0</v>
      </c>
      <c r="AD43" s="4">
        <v>9.0</v>
      </c>
      <c r="AE43" s="4">
        <v>41.08</v>
      </c>
      <c r="AF43" s="4">
        <v>854738.0</v>
      </c>
      <c r="AG43" s="4">
        <v>854738.0</v>
      </c>
      <c r="AH43" s="12">
        <v>46013.17013888889</v>
      </c>
      <c r="AI43" s="12">
        <v>46013.17013888889</v>
      </c>
      <c r="AJ43" s="12">
        <v>46013.220138888886</v>
      </c>
      <c r="AK43" s="4">
        <v>72.0</v>
      </c>
    </row>
    <row r="44" ht="15.75" customHeight="1">
      <c r="A44" s="4" t="str">
        <f t="array" ref="A44">_xludf.XLOOKUP(M44,'[2]Migrated Societies Data'!D:D,'[2]Migrated Societies Data'!B:B)</f>
        <v>#NAME?</v>
      </c>
      <c r="B44" s="4" t="str">
        <f t="array" ref="B44">_xludf.XLOOKUP(M44,'[2]Migrated Societies Data'!D:D,'[2]Migrated Societies Data'!E:E)</f>
        <v>#NAME?</v>
      </c>
      <c r="C44" s="4" t="str">
        <f t="shared" si="1"/>
        <v>22-12-2025</v>
      </c>
      <c r="D44" s="4">
        <f t="shared" si="2"/>
        <v>52</v>
      </c>
      <c r="E44" s="4">
        <f t="shared" si="3"/>
        <v>12</v>
      </c>
      <c r="F44" s="6" t="str">
        <f>MOD(_xludf.MINIFS([1]expressOrderReport!$AS:$AS,[1]expressOrderReport!$Q:$Q,$M2240,[1]expressOrderReport!$G:$G,$C2240),1)</f>
        <v>#ERROR!</v>
      </c>
      <c r="G44" s="6" t="str">
        <f>MOD(_xludf.MAXIFS([1]expressOrderReport!$AS:$AS,[1]expressOrderReport!$Q:$Q,$M2240,[1]expressOrderReport!$G:$G,$C2240),1)</f>
        <v>#ERROR!</v>
      </c>
      <c r="H44" s="7" t="str">
        <f t="shared" si="4"/>
        <v>#ERROR!</v>
      </c>
      <c r="I44" s="8">
        <f t="shared" si="5"/>
        <v>3.25</v>
      </c>
      <c r="J44" s="9" t="str">
        <f t="shared" si="6"/>
        <v>BBD-BLR-Budhigere-T1S-route-5</v>
      </c>
      <c r="K44" s="9" t="str">
        <f t="shared" si="7"/>
        <v>22-12-2025861879</v>
      </c>
      <c r="L44" s="10">
        <v>46013.0</v>
      </c>
      <c r="M44" s="4" t="s">
        <v>58</v>
      </c>
      <c r="N44" s="4" t="s">
        <v>40</v>
      </c>
      <c r="O44" s="4">
        <v>2.947575E8</v>
      </c>
      <c r="P44" s="4">
        <v>3.0</v>
      </c>
      <c r="Q44" s="4" t="s">
        <v>41</v>
      </c>
      <c r="R44" s="4" t="s">
        <v>63</v>
      </c>
      <c r="S44" s="4">
        <v>3.82016822E8</v>
      </c>
      <c r="T44" s="4">
        <v>4.0</v>
      </c>
      <c r="U44" s="4">
        <v>0.0</v>
      </c>
      <c r="V44" s="4">
        <v>4.0</v>
      </c>
      <c r="W44" s="4" t="s">
        <v>43</v>
      </c>
      <c r="X44" s="4">
        <v>152500.0</v>
      </c>
      <c r="Y44" s="4">
        <v>50.0</v>
      </c>
      <c r="Z44" s="4">
        <v>1.365</v>
      </c>
      <c r="AA44" s="11">
        <v>46013.1875</v>
      </c>
      <c r="AB44" s="11">
        <v>46013.19305555556</v>
      </c>
      <c r="AC44" s="4">
        <v>8.0</v>
      </c>
      <c r="AD44" s="4">
        <v>9.0</v>
      </c>
      <c r="AE44" s="4">
        <v>4.57</v>
      </c>
      <c r="AF44" s="4">
        <v>861879.0</v>
      </c>
      <c r="AG44" s="4">
        <v>861879.0</v>
      </c>
      <c r="AH44" s="12">
        <v>46013.22777777778</v>
      </c>
      <c r="AI44" s="12">
        <v>46013.22777777778</v>
      </c>
      <c r="AJ44" s="12">
        <v>46013.2375</v>
      </c>
      <c r="AK44" s="4">
        <v>13.0</v>
      </c>
    </row>
    <row r="45" ht="15.75" customHeight="1">
      <c r="A45" s="4" t="str">
        <f t="array" ref="A45">_xludf.XLOOKUP(M45,'[2]Migrated Societies Data'!D:D,'[2]Migrated Societies Data'!B:B)</f>
        <v>#NAME?</v>
      </c>
      <c r="B45" s="4" t="str">
        <f t="array" ref="B45">_xludf.XLOOKUP(M45,'[2]Migrated Societies Data'!D:D,'[2]Migrated Societies Data'!E:E)</f>
        <v>#NAME?</v>
      </c>
      <c r="C45" s="4" t="str">
        <f t="shared" si="1"/>
        <v>22-12-2025</v>
      </c>
      <c r="D45" s="4">
        <f t="shared" si="2"/>
        <v>52</v>
      </c>
      <c r="E45" s="4">
        <f t="shared" si="3"/>
        <v>12</v>
      </c>
      <c r="F45" s="6" t="str">
        <f>MOD(_xludf.MINIFS([1]expressOrderReport!$AS:$AS,[1]expressOrderReport!$Q:$Q,$M2241,[1]expressOrderReport!$G:$G,$C2241),1)</f>
        <v>#ERROR!</v>
      </c>
      <c r="G45" s="6" t="str">
        <f>MOD(_xludf.MAXIFS([1]expressOrderReport!$AS:$AS,[1]expressOrderReport!$Q:$Q,$M2241,[1]expressOrderReport!$G:$G,$C2241),1)</f>
        <v>#ERROR!</v>
      </c>
      <c r="H45" s="7" t="str">
        <f t="shared" si="4"/>
        <v>#ERROR!</v>
      </c>
      <c r="I45" s="8">
        <f t="shared" si="5"/>
        <v>3.945945946</v>
      </c>
      <c r="J45" s="9" t="str">
        <f t="shared" si="6"/>
        <v>BBD-BLR-Nagondanahalli-T1S-route-6</v>
      </c>
      <c r="K45" s="9" t="str">
        <f t="shared" si="7"/>
        <v>22-12-2025865184</v>
      </c>
      <c r="L45" s="10">
        <v>46013.0</v>
      </c>
      <c r="M45" s="4" t="s">
        <v>50</v>
      </c>
      <c r="N45" s="4" t="s">
        <v>40</v>
      </c>
      <c r="O45" s="4">
        <v>2.94757469E8</v>
      </c>
      <c r="P45" s="4">
        <v>3.0</v>
      </c>
      <c r="Q45" s="4" t="s">
        <v>41</v>
      </c>
      <c r="R45" s="4" t="s">
        <v>64</v>
      </c>
      <c r="S45" s="4">
        <v>3.82016759E8</v>
      </c>
      <c r="T45" s="4">
        <v>37.0</v>
      </c>
      <c r="U45" s="4">
        <v>0.0</v>
      </c>
      <c r="V45" s="4">
        <v>37.0</v>
      </c>
      <c r="W45" s="4" t="s">
        <v>43</v>
      </c>
      <c r="X45" s="4">
        <v>152500.0</v>
      </c>
      <c r="Y45" s="4">
        <v>50.0</v>
      </c>
      <c r="Z45" s="4">
        <v>3.183</v>
      </c>
      <c r="AA45" s="11">
        <v>46013.1875</v>
      </c>
      <c r="AB45" s="11">
        <v>46013.20972222222</v>
      </c>
      <c r="AC45" s="4">
        <v>32.0</v>
      </c>
      <c r="AD45" s="4">
        <v>9.0</v>
      </c>
      <c r="AE45" s="4">
        <v>40.72</v>
      </c>
      <c r="AF45" s="4">
        <v>865184.0</v>
      </c>
      <c r="AG45" s="4">
        <v>865184.0</v>
      </c>
      <c r="AH45" s="12">
        <v>46013.17152777778</v>
      </c>
      <c r="AI45" s="12">
        <v>46013.17222222222</v>
      </c>
      <c r="AJ45" s="12">
        <v>46013.27361111111</v>
      </c>
      <c r="AK45" s="4">
        <v>146.0</v>
      </c>
    </row>
    <row r="46" ht="15.75" customHeight="1">
      <c r="A46" s="4" t="str">
        <f t="array" ref="A46">_xludf.XLOOKUP(M46,'[2]Migrated Societies Data'!D:D,'[2]Migrated Societies Data'!B:B)</f>
        <v>#NAME?</v>
      </c>
      <c r="B46" s="4" t="str">
        <f t="array" ref="B46">_xludf.XLOOKUP(M46,'[2]Migrated Societies Data'!D:D,'[2]Migrated Societies Data'!E:E)</f>
        <v>#NAME?</v>
      </c>
      <c r="C46" s="4" t="str">
        <f t="shared" si="1"/>
        <v>22-12-2025</v>
      </c>
      <c r="D46" s="4">
        <f t="shared" si="2"/>
        <v>52</v>
      </c>
      <c r="E46" s="4">
        <f t="shared" si="3"/>
        <v>12</v>
      </c>
      <c r="F46" s="6" t="str">
        <f>MOD(_xludf.MINIFS([1]expressOrderReport!$AS:$AS,[1]expressOrderReport!$Q:$Q,$M2242,[1]expressOrderReport!$G:$G,$C2242),1)</f>
        <v>#ERROR!</v>
      </c>
      <c r="G46" s="6" t="str">
        <f>MOD(_xludf.MAXIFS([1]expressOrderReport!$AS:$AS,[1]expressOrderReport!$Q:$Q,$M2242,[1]expressOrderReport!$G:$G,$C2242),1)</f>
        <v>#ERROR!</v>
      </c>
      <c r="H46" s="7" t="str">
        <f t="shared" si="4"/>
        <v>#ERROR!</v>
      </c>
      <c r="I46" s="8">
        <f t="shared" si="5"/>
        <v>3.95</v>
      </c>
      <c r="J46" s="9" t="str">
        <f t="shared" si="6"/>
        <v>BBD-BLR-Nagondanahalli-T1S-route-7</v>
      </c>
      <c r="K46" s="9" t="str">
        <f t="shared" si="7"/>
        <v>22-12-2025887366</v>
      </c>
      <c r="L46" s="10">
        <v>46013.0</v>
      </c>
      <c r="M46" s="4" t="s">
        <v>50</v>
      </c>
      <c r="N46" s="4" t="s">
        <v>40</v>
      </c>
      <c r="O46" s="4">
        <v>2.94757469E8</v>
      </c>
      <c r="P46" s="4">
        <v>3.0</v>
      </c>
      <c r="Q46" s="4" t="s">
        <v>41</v>
      </c>
      <c r="R46" s="4" t="s">
        <v>65</v>
      </c>
      <c r="S46" s="4">
        <v>3.82016754E8</v>
      </c>
      <c r="T46" s="4">
        <v>20.0</v>
      </c>
      <c r="U46" s="4">
        <v>0.0</v>
      </c>
      <c r="V46" s="4">
        <v>20.0</v>
      </c>
      <c r="W46" s="4" t="s">
        <v>43</v>
      </c>
      <c r="X46" s="4">
        <v>152500.0</v>
      </c>
      <c r="Y46" s="4">
        <v>50.0</v>
      </c>
      <c r="Z46" s="4">
        <v>2.032</v>
      </c>
      <c r="AA46" s="11">
        <v>46013.1875</v>
      </c>
      <c r="AB46" s="11">
        <v>46013.200694444444</v>
      </c>
      <c r="AC46" s="4">
        <v>19.0</v>
      </c>
      <c r="AD46" s="4">
        <v>9.0</v>
      </c>
      <c r="AE46" s="4">
        <v>22.06</v>
      </c>
      <c r="AF46" s="4">
        <v>887366.0</v>
      </c>
      <c r="AG46" s="4">
        <v>887366.0</v>
      </c>
      <c r="AH46" s="12">
        <v>46013.16736111111</v>
      </c>
      <c r="AI46" s="12">
        <v>46013.16805555556</v>
      </c>
      <c r="AJ46" s="12">
        <v>46013.222916666666</v>
      </c>
      <c r="AK46" s="4">
        <v>79.0</v>
      </c>
    </row>
    <row r="47" ht="15.75" customHeight="1">
      <c r="F47" s="6"/>
      <c r="G47" s="6"/>
      <c r="H47" s="7"/>
      <c r="I47" s="8"/>
      <c r="J47" s="9"/>
      <c r="K47" s="9"/>
      <c r="L47" s="10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11"/>
      <c r="AB47" s="11"/>
      <c r="AC47" s="4"/>
      <c r="AD47" s="4"/>
      <c r="AE47" s="4"/>
      <c r="AF47" s="4"/>
      <c r="AG47" s="4"/>
      <c r="AH47" s="12"/>
      <c r="AI47" s="12"/>
      <c r="AJ47" s="12"/>
      <c r="AK47" s="4"/>
    </row>
    <row r="48" ht="15.75" customHeight="1">
      <c r="F48" s="6"/>
      <c r="G48" s="6"/>
      <c r="H48" s="7"/>
      <c r="I48" s="8"/>
      <c r="J48" s="9"/>
      <c r="K48" s="9"/>
      <c r="L48" s="10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11"/>
      <c r="AB48" s="11"/>
      <c r="AC48" s="4"/>
      <c r="AD48" s="4"/>
      <c r="AE48" s="4"/>
      <c r="AF48" s="4"/>
      <c r="AG48" s="4"/>
      <c r="AH48" s="12"/>
      <c r="AI48" s="12"/>
      <c r="AJ48" s="12"/>
      <c r="AK48" s="4"/>
    </row>
    <row r="49" ht="15.75" customHeight="1">
      <c r="F49" s="6"/>
      <c r="G49" s="6"/>
      <c r="H49" s="7"/>
      <c r="I49" s="8"/>
      <c r="J49" s="9"/>
      <c r="K49" s="9"/>
      <c r="L49" s="10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11"/>
      <c r="AB49" s="11"/>
      <c r="AC49" s="4"/>
      <c r="AD49" s="4"/>
      <c r="AE49" s="4"/>
      <c r="AF49" s="4"/>
      <c r="AG49" s="4"/>
      <c r="AH49" s="12"/>
      <c r="AI49" s="12"/>
      <c r="AJ49" s="12"/>
      <c r="AK49" s="4"/>
    </row>
    <row r="50" ht="15.75" customHeight="1">
      <c r="F50" s="6"/>
      <c r="G50" s="6"/>
      <c r="H50" s="7"/>
      <c r="I50" s="8"/>
      <c r="J50" s="9"/>
      <c r="K50" s="9"/>
      <c r="L50" s="10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11"/>
      <c r="AB50" s="11"/>
      <c r="AC50" s="4"/>
      <c r="AD50" s="4"/>
      <c r="AE50" s="4"/>
      <c r="AF50" s="4"/>
      <c r="AG50" s="4"/>
      <c r="AH50" s="12"/>
      <c r="AI50" s="12"/>
      <c r="AJ50" s="12"/>
      <c r="AK50" s="4"/>
    </row>
    <row r="51" ht="15.75" customHeight="1">
      <c r="F51" s="6"/>
      <c r="G51" s="6"/>
      <c r="H51" s="7"/>
      <c r="I51" s="8"/>
      <c r="J51" s="9"/>
      <c r="K51" s="9"/>
      <c r="L51" s="10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11"/>
      <c r="AB51" s="11"/>
      <c r="AC51" s="4"/>
      <c r="AD51" s="4"/>
      <c r="AE51" s="4"/>
      <c r="AF51" s="4"/>
      <c r="AG51" s="4"/>
      <c r="AH51" s="12"/>
      <c r="AI51" s="12"/>
      <c r="AJ51" s="12"/>
      <c r="AK51" s="4"/>
    </row>
    <row r="52" ht="15.75" customHeight="1">
      <c r="F52" s="6"/>
      <c r="G52" s="6"/>
      <c r="H52" s="7"/>
      <c r="I52" s="8"/>
      <c r="J52" s="9"/>
      <c r="K52" s="9"/>
      <c r="L52" s="10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11"/>
      <c r="AB52" s="11"/>
      <c r="AC52" s="4"/>
      <c r="AD52" s="4"/>
      <c r="AE52" s="4"/>
      <c r="AF52" s="4"/>
      <c r="AG52" s="4"/>
      <c r="AH52" s="12"/>
      <c r="AI52" s="12"/>
      <c r="AJ52" s="12"/>
      <c r="AK52" s="4"/>
    </row>
    <row r="53" ht="15.75" customHeight="1">
      <c r="F53" s="6"/>
      <c r="G53" s="6"/>
      <c r="H53" s="7"/>
      <c r="I53" s="8"/>
      <c r="J53" s="9"/>
      <c r="K53" s="9"/>
      <c r="L53" s="10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11"/>
      <c r="AB53" s="11"/>
      <c r="AC53" s="4"/>
      <c r="AD53" s="4"/>
      <c r="AE53" s="4"/>
      <c r="AF53" s="4"/>
      <c r="AG53" s="4"/>
      <c r="AH53" s="12"/>
      <c r="AI53" s="12"/>
      <c r="AJ53" s="12"/>
      <c r="AK53" s="4"/>
    </row>
    <row r="54" ht="15.75" customHeight="1">
      <c r="F54" s="6"/>
      <c r="G54" s="6"/>
      <c r="H54" s="7"/>
      <c r="I54" s="8"/>
      <c r="J54" s="9"/>
      <c r="K54" s="9"/>
      <c r="L54" s="10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11"/>
      <c r="AB54" s="11"/>
      <c r="AC54" s="4"/>
      <c r="AD54" s="4"/>
      <c r="AE54" s="4"/>
      <c r="AF54" s="4"/>
      <c r="AG54" s="4"/>
      <c r="AH54" s="12"/>
      <c r="AI54" s="12"/>
      <c r="AJ54" s="12"/>
      <c r="AK54" s="4"/>
    </row>
    <row r="55" ht="15.75" customHeight="1">
      <c r="F55" s="6"/>
      <c r="G55" s="6"/>
      <c r="H55" s="7"/>
      <c r="I55" s="8"/>
      <c r="J55" s="9"/>
      <c r="K55" s="9"/>
      <c r="L55" s="10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11"/>
      <c r="AB55" s="11"/>
      <c r="AC55" s="4"/>
      <c r="AD55" s="4"/>
      <c r="AE55" s="4"/>
      <c r="AF55" s="4"/>
      <c r="AG55" s="4"/>
      <c r="AH55" s="12"/>
      <c r="AI55" s="12"/>
      <c r="AJ55" s="12"/>
      <c r="AK55" s="4"/>
    </row>
    <row r="56" ht="15.75" customHeight="1">
      <c r="F56" s="6"/>
      <c r="G56" s="6"/>
      <c r="H56" s="7"/>
      <c r="I56" s="8"/>
      <c r="J56" s="9"/>
      <c r="K56" s="9"/>
      <c r="L56" s="10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11"/>
      <c r="AB56" s="11"/>
      <c r="AC56" s="4"/>
      <c r="AD56" s="4"/>
      <c r="AE56" s="4"/>
      <c r="AF56" s="4"/>
      <c r="AG56" s="4"/>
      <c r="AH56" s="12"/>
      <c r="AI56" s="12"/>
      <c r="AJ56" s="12"/>
      <c r="AK56" s="4"/>
    </row>
    <row r="57" ht="15.75" customHeight="1">
      <c r="F57" s="6"/>
      <c r="G57" s="6"/>
      <c r="H57" s="7"/>
      <c r="I57" s="8"/>
      <c r="J57" s="9"/>
      <c r="K57" s="9"/>
      <c r="L57" s="10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11"/>
      <c r="AB57" s="11"/>
      <c r="AC57" s="4"/>
      <c r="AD57" s="4"/>
      <c r="AE57" s="4"/>
      <c r="AF57" s="4"/>
      <c r="AG57" s="4"/>
      <c r="AH57" s="12"/>
      <c r="AI57" s="12"/>
      <c r="AJ57" s="12"/>
      <c r="AK57" s="4"/>
    </row>
    <row r="58" ht="15.75" customHeight="1">
      <c r="F58" s="6"/>
      <c r="G58" s="6"/>
      <c r="H58" s="7"/>
      <c r="I58" s="8"/>
      <c r="J58" s="9"/>
      <c r="K58" s="9"/>
      <c r="L58" s="10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11"/>
      <c r="AB58" s="11"/>
      <c r="AC58" s="4"/>
      <c r="AD58" s="4"/>
      <c r="AE58" s="4"/>
      <c r="AF58" s="4"/>
      <c r="AG58" s="4"/>
      <c r="AH58" s="12"/>
      <c r="AI58" s="12"/>
      <c r="AJ58" s="12"/>
      <c r="AK58" s="4"/>
    </row>
    <row r="59" ht="15.75" customHeight="1">
      <c r="F59" s="6"/>
      <c r="G59" s="6"/>
      <c r="H59" s="7"/>
      <c r="I59" s="8"/>
      <c r="J59" s="9"/>
      <c r="K59" s="9"/>
      <c r="L59" s="10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11"/>
      <c r="AB59" s="11"/>
      <c r="AC59" s="4"/>
      <c r="AD59" s="4"/>
      <c r="AE59" s="4"/>
      <c r="AF59" s="4"/>
      <c r="AG59" s="4"/>
      <c r="AH59" s="12"/>
      <c r="AI59" s="12"/>
      <c r="AJ59" s="12"/>
      <c r="AK59" s="4"/>
    </row>
    <row r="60" ht="15.75" customHeight="1">
      <c r="F60" s="6"/>
      <c r="G60" s="6"/>
      <c r="H60" s="7"/>
      <c r="I60" s="8"/>
      <c r="J60" s="9"/>
      <c r="K60" s="9"/>
      <c r="L60" s="10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11"/>
      <c r="AB60" s="11"/>
      <c r="AC60" s="4"/>
      <c r="AD60" s="4"/>
      <c r="AE60" s="4"/>
      <c r="AF60" s="4"/>
      <c r="AG60" s="4"/>
      <c r="AH60" s="12"/>
      <c r="AI60" s="12"/>
      <c r="AJ60" s="12"/>
      <c r="AK60" s="4"/>
    </row>
    <row r="61" ht="15.75" customHeight="1">
      <c r="F61" s="6"/>
      <c r="G61" s="6"/>
      <c r="H61" s="7"/>
      <c r="I61" s="8"/>
      <c r="J61" s="9"/>
      <c r="K61" s="9"/>
      <c r="L61" s="10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11"/>
      <c r="AB61" s="11"/>
      <c r="AC61" s="4"/>
      <c r="AD61" s="4"/>
      <c r="AE61" s="4"/>
      <c r="AF61" s="4"/>
      <c r="AG61" s="4"/>
      <c r="AH61" s="12"/>
      <c r="AI61" s="12"/>
      <c r="AJ61" s="12"/>
      <c r="AK61" s="4"/>
    </row>
    <row r="62" ht="15.75" customHeight="1">
      <c r="F62" s="6"/>
      <c r="G62" s="6"/>
      <c r="H62" s="7"/>
      <c r="I62" s="8"/>
      <c r="J62" s="9"/>
      <c r="K62" s="9"/>
      <c r="L62" s="10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11"/>
      <c r="AB62" s="11"/>
      <c r="AC62" s="4"/>
      <c r="AD62" s="4"/>
      <c r="AE62" s="4"/>
      <c r="AF62" s="4"/>
      <c r="AG62" s="4"/>
      <c r="AH62" s="12"/>
      <c r="AI62" s="12"/>
      <c r="AJ62" s="12"/>
      <c r="AK62" s="4"/>
    </row>
    <row r="63" ht="15.75" customHeight="1">
      <c r="F63" s="6"/>
      <c r="G63" s="6"/>
      <c r="H63" s="7"/>
      <c r="I63" s="8"/>
      <c r="J63" s="9"/>
      <c r="K63" s="9"/>
      <c r="L63" s="10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11"/>
      <c r="AB63" s="11"/>
      <c r="AC63" s="4"/>
      <c r="AD63" s="4"/>
      <c r="AE63" s="4"/>
      <c r="AF63" s="4"/>
      <c r="AG63" s="4"/>
      <c r="AH63" s="12"/>
      <c r="AI63" s="12"/>
      <c r="AJ63" s="12"/>
      <c r="AK63" s="4"/>
    </row>
    <row r="64" ht="15.75" customHeight="1">
      <c r="F64" s="6"/>
      <c r="G64" s="6"/>
      <c r="H64" s="7"/>
      <c r="I64" s="8"/>
      <c r="J64" s="9"/>
      <c r="K64" s="9"/>
      <c r="L64" s="10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11"/>
      <c r="AB64" s="11"/>
      <c r="AC64" s="4"/>
      <c r="AD64" s="4"/>
      <c r="AE64" s="4"/>
      <c r="AF64" s="4"/>
      <c r="AG64" s="4"/>
      <c r="AH64" s="12"/>
      <c r="AI64" s="12"/>
      <c r="AJ64" s="12"/>
      <c r="AK64" s="4"/>
    </row>
    <row r="65" ht="15.75" customHeight="1">
      <c r="F65" s="6"/>
      <c r="G65" s="6"/>
      <c r="H65" s="7"/>
      <c r="I65" s="8"/>
      <c r="J65" s="9"/>
      <c r="K65" s="9"/>
      <c r="L65" s="10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11"/>
      <c r="AB65" s="11"/>
      <c r="AC65" s="4"/>
      <c r="AD65" s="4"/>
      <c r="AE65" s="4"/>
      <c r="AF65" s="4"/>
      <c r="AG65" s="4"/>
      <c r="AH65" s="12"/>
      <c r="AI65" s="12"/>
      <c r="AJ65" s="12"/>
      <c r="AK65" s="4"/>
    </row>
    <row r="66" ht="15.75" customHeight="1">
      <c r="F66" s="6"/>
      <c r="G66" s="6"/>
      <c r="H66" s="7"/>
      <c r="I66" s="8"/>
      <c r="J66" s="9"/>
      <c r="K66" s="9"/>
      <c r="L66" s="10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11"/>
      <c r="AB66" s="11"/>
      <c r="AC66" s="4"/>
      <c r="AD66" s="4"/>
      <c r="AE66" s="4"/>
      <c r="AF66" s="4"/>
      <c r="AG66" s="4"/>
      <c r="AH66" s="12"/>
      <c r="AI66" s="12"/>
      <c r="AJ66" s="12"/>
      <c r="AK66" s="4"/>
    </row>
    <row r="67" ht="15.75" customHeight="1">
      <c r="F67" s="6"/>
      <c r="G67" s="6"/>
      <c r="H67" s="7"/>
      <c r="I67" s="8"/>
      <c r="J67" s="9"/>
      <c r="K67" s="9"/>
      <c r="L67" s="10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11"/>
      <c r="AB67" s="11"/>
      <c r="AC67" s="4"/>
      <c r="AD67" s="4"/>
      <c r="AE67" s="4"/>
      <c r="AF67" s="4"/>
      <c r="AG67" s="4"/>
      <c r="AH67" s="12"/>
      <c r="AI67" s="12"/>
      <c r="AJ67" s="12"/>
      <c r="AK67" s="4"/>
    </row>
    <row r="68" ht="15.75" customHeight="1">
      <c r="F68" s="6"/>
      <c r="G68" s="6"/>
      <c r="H68" s="7"/>
      <c r="I68" s="8"/>
      <c r="J68" s="9"/>
      <c r="K68" s="9"/>
      <c r="L68" s="10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11"/>
      <c r="AB68" s="11"/>
      <c r="AC68" s="4"/>
      <c r="AD68" s="4"/>
      <c r="AE68" s="4"/>
      <c r="AF68" s="4"/>
      <c r="AG68" s="4"/>
      <c r="AH68" s="12"/>
      <c r="AI68" s="12"/>
      <c r="AJ68" s="12"/>
      <c r="AK68" s="4"/>
    </row>
    <row r="69" ht="15.75" customHeight="1">
      <c r="F69" s="6"/>
      <c r="G69" s="6"/>
      <c r="H69" s="7"/>
      <c r="I69" s="8"/>
      <c r="J69" s="9"/>
      <c r="K69" s="9"/>
      <c r="L69" s="10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11"/>
      <c r="AB69" s="11"/>
      <c r="AC69" s="4"/>
      <c r="AD69" s="4"/>
      <c r="AE69" s="4"/>
      <c r="AF69" s="4"/>
      <c r="AG69" s="4"/>
      <c r="AH69" s="12"/>
      <c r="AI69" s="12"/>
      <c r="AJ69" s="12"/>
      <c r="AK69" s="4"/>
    </row>
    <row r="70" ht="15.75" customHeight="1">
      <c r="F70" s="6"/>
      <c r="G70" s="6"/>
      <c r="H70" s="7"/>
      <c r="I70" s="8"/>
      <c r="J70" s="9"/>
      <c r="K70" s="9"/>
      <c r="L70" s="10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11"/>
      <c r="AB70" s="11"/>
      <c r="AC70" s="4"/>
      <c r="AD70" s="4"/>
      <c r="AE70" s="4"/>
      <c r="AF70" s="4"/>
      <c r="AG70" s="4"/>
      <c r="AH70" s="12"/>
      <c r="AI70" s="12"/>
      <c r="AJ70" s="12"/>
      <c r="AK70" s="4"/>
    </row>
    <row r="71" ht="15.75" customHeight="1">
      <c r="F71" s="6"/>
      <c r="G71" s="6"/>
      <c r="H71" s="7"/>
      <c r="I71" s="8"/>
      <c r="J71" s="9"/>
      <c r="K71" s="9"/>
      <c r="L71" s="10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11"/>
      <c r="AB71" s="11"/>
      <c r="AC71" s="4"/>
      <c r="AD71" s="4"/>
      <c r="AE71" s="4"/>
      <c r="AF71" s="4"/>
      <c r="AG71" s="4"/>
      <c r="AH71" s="12"/>
      <c r="AI71" s="12"/>
      <c r="AJ71" s="12"/>
      <c r="AK71" s="4"/>
    </row>
    <row r="72" ht="15.75" customHeight="1">
      <c r="F72" s="6"/>
      <c r="G72" s="6"/>
      <c r="H72" s="7"/>
      <c r="I72" s="8"/>
      <c r="J72" s="9"/>
      <c r="K72" s="9"/>
      <c r="L72" s="10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11"/>
      <c r="AB72" s="11"/>
      <c r="AC72" s="4"/>
      <c r="AD72" s="4"/>
      <c r="AE72" s="4"/>
      <c r="AF72" s="4"/>
      <c r="AG72" s="4"/>
      <c r="AH72" s="12"/>
      <c r="AI72" s="12"/>
      <c r="AJ72" s="12"/>
      <c r="AK72" s="4"/>
    </row>
    <row r="73" ht="15.75" customHeight="1">
      <c r="F73" s="6"/>
      <c r="G73" s="6"/>
      <c r="H73" s="7"/>
      <c r="I73" s="8"/>
      <c r="J73" s="9"/>
      <c r="K73" s="9"/>
      <c r="L73" s="10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11"/>
      <c r="AB73" s="11"/>
      <c r="AC73" s="4"/>
      <c r="AD73" s="4"/>
      <c r="AE73" s="4"/>
      <c r="AF73" s="4"/>
      <c r="AG73" s="4"/>
      <c r="AH73" s="12"/>
      <c r="AI73" s="12"/>
      <c r="AJ73" s="12"/>
      <c r="AK73" s="4"/>
    </row>
    <row r="74" ht="15.75" customHeight="1">
      <c r="F74" s="6"/>
      <c r="G74" s="6"/>
      <c r="H74" s="7"/>
      <c r="I74" s="8"/>
      <c r="J74" s="9"/>
      <c r="K74" s="9"/>
      <c r="L74" s="10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11"/>
      <c r="AB74" s="11"/>
      <c r="AC74" s="4"/>
      <c r="AD74" s="4"/>
      <c r="AE74" s="4"/>
      <c r="AF74" s="4"/>
      <c r="AG74" s="4"/>
      <c r="AH74" s="12"/>
      <c r="AI74" s="12"/>
      <c r="AJ74" s="12"/>
      <c r="AK74" s="4"/>
    </row>
    <row r="75" ht="15.75" customHeight="1">
      <c r="F75" s="6"/>
      <c r="G75" s="6"/>
      <c r="H75" s="7"/>
      <c r="I75" s="8"/>
      <c r="J75" s="9"/>
      <c r="K75" s="9"/>
      <c r="L75" s="10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11"/>
      <c r="AB75" s="11"/>
      <c r="AC75" s="4"/>
      <c r="AD75" s="4"/>
      <c r="AE75" s="4"/>
      <c r="AF75" s="4"/>
      <c r="AG75" s="4"/>
      <c r="AH75" s="12"/>
      <c r="AI75" s="12"/>
      <c r="AJ75" s="12"/>
      <c r="AK75" s="4"/>
    </row>
    <row r="76" ht="15.75" customHeight="1">
      <c r="F76" s="6"/>
      <c r="G76" s="6"/>
      <c r="H76" s="7"/>
      <c r="I76" s="8"/>
      <c r="J76" s="9"/>
      <c r="K76" s="9"/>
      <c r="L76" s="10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11"/>
      <c r="AB76" s="11"/>
      <c r="AC76" s="4"/>
      <c r="AD76" s="4"/>
      <c r="AE76" s="4"/>
      <c r="AF76" s="4"/>
      <c r="AG76" s="4"/>
      <c r="AH76" s="12"/>
      <c r="AI76" s="12"/>
      <c r="AJ76" s="12"/>
      <c r="AK76" s="4"/>
    </row>
    <row r="77" ht="15.75" customHeight="1">
      <c r="F77" s="6"/>
      <c r="G77" s="6"/>
      <c r="H77" s="7"/>
      <c r="I77" s="8"/>
      <c r="J77" s="9"/>
      <c r="K77" s="9"/>
      <c r="L77" s="10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11"/>
      <c r="AB77" s="11"/>
      <c r="AC77" s="4"/>
      <c r="AD77" s="4"/>
      <c r="AE77" s="4"/>
      <c r="AF77" s="4"/>
      <c r="AG77" s="4"/>
      <c r="AH77" s="12"/>
      <c r="AI77" s="12"/>
      <c r="AJ77" s="12"/>
      <c r="AK77" s="4"/>
    </row>
    <row r="78" ht="15.75" customHeight="1">
      <c r="F78" s="6"/>
      <c r="G78" s="6"/>
      <c r="H78" s="7"/>
      <c r="I78" s="8"/>
      <c r="J78" s="9"/>
      <c r="K78" s="9"/>
      <c r="L78" s="10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11"/>
      <c r="AB78" s="11"/>
      <c r="AC78" s="4"/>
      <c r="AD78" s="4"/>
      <c r="AE78" s="4"/>
      <c r="AF78" s="4"/>
      <c r="AG78" s="4"/>
      <c r="AH78" s="12"/>
      <c r="AI78" s="12"/>
      <c r="AJ78" s="12"/>
      <c r="AK78" s="4"/>
    </row>
    <row r="79" ht="15.75" customHeight="1">
      <c r="F79" s="6"/>
      <c r="G79" s="6"/>
      <c r="H79" s="7"/>
      <c r="I79" s="8"/>
      <c r="J79" s="9"/>
      <c r="K79" s="9"/>
      <c r="L79" s="10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11"/>
      <c r="AB79" s="11"/>
      <c r="AC79" s="4"/>
      <c r="AD79" s="4"/>
      <c r="AE79" s="4"/>
      <c r="AF79" s="4"/>
      <c r="AG79" s="4"/>
      <c r="AH79" s="12"/>
      <c r="AI79" s="12"/>
      <c r="AJ79" s="12"/>
      <c r="AK79" s="4"/>
    </row>
    <row r="80" ht="15.75" customHeight="1">
      <c r="F80" s="6"/>
      <c r="G80" s="6"/>
      <c r="H80" s="7"/>
      <c r="I80" s="8"/>
      <c r="J80" s="9"/>
      <c r="K80" s="9"/>
      <c r="L80" s="10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11"/>
      <c r="AB80" s="11"/>
      <c r="AC80" s="4"/>
      <c r="AD80" s="4"/>
      <c r="AE80" s="4"/>
      <c r="AF80" s="4"/>
      <c r="AG80" s="4"/>
      <c r="AH80" s="12"/>
      <c r="AI80" s="12"/>
      <c r="AJ80" s="12"/>
      <c r="AK80" s="4"/>
    </row>
    <row r="81" ht="15.75" customHeight="1">
      <c r="F81" s="6"/>
      <c r="G81" s="6"/>
      <c r="H81" s="7"/>
      <c r="I81" s="8"/>
      <c r="J81" s="9"/>
      <c r="K81" s="9"/>
      <c r="L81" s="10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11"/>
      <c r="AB81" s="11"/>
      <c r="AC81" s="4"/>
      <c r="AD81" s="4"/>
      <c r="AE81" s="4"/>
      <c r="AF81" s="4"/>
      <c r="AG81" s="4"/>
      <c r="AH81" s="12"/>
      <c r="AI81" s="12"/>
      <c r="AJ81" s="12"/>
      <c r="AK81" s="4"/>
    </row>
    <row r="82" ht="15.75" customHeight="1">
      <c r="F82" s="6"/>
      <c r="G82" s="6"/>
      <c r="H82" s="7"/>
      <c r="I82" s="8"/>
      <c r="J82" s="9"/>
      <c r="K82" s="9"/>
      <c r="L82" s="10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11"/>
      <c r="AB82" s="11"/>
      <c r="AC82" s="4"/>
      <c r="AD82" s="4"/>
      <c r="AE82" s="4"/>
      <c r="AF82" s="4"/>
      <c r="AG82" s="4"/>
      <c r="AH82" s="12"/>
      <c r="AI82" s="12"/>
      <c r="AJ82" s="12"/>
      <c r="AK82" s="4"/>
    </row>
    <row r="83" ht="15.75" customHeight="1">
      <c r="F83" s="6"/>
      <c r="G83" s="6"/>
      <c r="H83" s="7"/>
      <c r="I83" s="8"/>
      <c r="J83" s="9"/>
      <c r="K83" s="9"/>
      <c r="L83" s="10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11"/>
      <c r="AB83" s="11"/>
      <c r="AC83" s="4"/>
      <c r="AD83" s="4"/>
      <c r="AE83" s="4"/>
      <c r="AF83" s="4"/>
      <c r="AG83" s="4"/>
      <c r="AH83" s="12"/>
      <c r="AI83" s="12"/>
      <c r="AJ83" s="12"/>
      <c r="AK83" s="4"/>
    </row>
    <row r="84" ht="15.75" customHeight="1">
      <c r="F84" s="6"/>
      <c r="G84" s="6"/>
      <c r="H84" s="7"/>
      <c r="I84" s="8"/>
      <c r="J84" s="9"/>
      <c r="K84" s="9"/>
      <c r="L84" s="10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11"/>
      <c r="AB84" s="11"/>
      <c r="AC84" s="4"/>
      <c r="AD84" s="4"/>
      <c r="AE84" s="4"/>
      <c r="AF84" s="4"/>
      <c r="AG84" s="4"/>
      <c r="AH84" s="12"/>
      <c r="AI84" s="12"/>
      <c r="AJ84" s="12"/>
      <c r="AK84" s="4"/>
    </row>
    <row r="85" ht="15.75" customHeight="1">
      <c r="F85" s="6"/>
      <c r="G85" s="6"/>
      <c r="H85" s="7"/>
      <c r="I85" s="8"/>
      <c r="J85" s="9"/>
      <c r="K85" s="9"/>
      <c r="L85" s="10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11"/>
      <c r="AB85" s="11"/>
      <c r="AC85" s="4"/>
      <c r="AD85" s="4"/>
      <c r="AE85" s="4"/>
      <c r="AF85" s="4"/>
      <c r="AG85" s="4"/>
      <c r="AH85" s="12"/>
      <c r="AI85" s="12"/>
      <c r="AJ85" s="12"/>
      <c r="AK85" s="4"/>
    </row>
    <row r="86" ht="15.75" customHeight="1">
      <c r="F86" s="6"/>
      <c r="G86" s="6"/>
      <c r="H86" s="7"/>
      <c r="I86" s="8"/>
      <c r="J86" s="9"/>
      <c r="K86" s="9"/>
      <c r="L86" s="10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11"/>
      <c r="AB86" s="11"/>
      <c r="AC86" s="4"/>
      <c r="AD86" s="4"/>
      <c r="AE86" s="4"/>
      <c r="AF86" s="4"/>
      <c r="AG86" s="4"/>
      <c r="AH86" s="12"/>
      <c r="AI86" s="12"/>
      <c r="AJ86" s="12"/>
      <c r="AK86" s="4"/>
    </row>
    <row r="87" ht="15.75" customHeight="1">
      <c r="F87" s="6"/>
      <c r="G87" s="6"/>
      <c r="H87" s="7"/>
      <c r="I87" s="8"/>
      <c r="J87" s="9"/>
      <c r="K87" s="9"/>
      <c r="L87" s="10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11"/>
      <c r="AB87" s="11"/>
      <c r="AC87" s="4"/>
      <c r="AD87" s="4"/>
      <c r="AE87" s="4"/>
      <c r="AF87" s="4"/>
      <c r="AG87" s="4"/>
      <c r="AH87" s="12"/>
      <c r="AI87" s="12"/>
      <c r="AJ87" s="12"/>
      <c r="AK87" s="4"/>
    </row>
    <row r="88" ht="15.75" customHeight="1">
      <c r="F88" s="6"/>
      <c r="G88" s="6"/>
      <c r="H88" s="7"/>
      <c r="I88" s="8"/>
      <c r="J88" s="9"/>
      <c r="K88" s="9"/>
      <c r="L88" s="10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11"/>
      <c r="AB88" s="11"/>
      <c r="AC88" s="4"/>
      <c r="AD88" s="4"/>
      <c r="AE88" s="4"/>
      <c r="AF88" s="4"/>
      <c r="AG88" s="4"/>
      <c r="AH88" s="12"/>
      <c r="AI88" s="12"/>
      <c r="AJ88" s="12"/>
      <c r="AK88" s="4"/>
    </row>
    <row r="89" ht="15.75" customHeight="1">
      <c r="F89" s="6"/>
      <c r="G89" s="6"/>
      <c r="H89" s="7"/>
      <c r="I89" s="8"/>
      <c r="J89" s="9"/>
      <c r="K89" s="9"/>
      <c r="L89" s="10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11"/>
      <c r="AB89" s="11"/>
      <c r="AC89" s="4"/>
      <c r="AD89" s="4"/>
      <c r="AE89" s="4"/>
      <c r="AF89" s="4"/>
      <c r="AG89" s="4"/>
      <c r="AH89" s="12"/>
      <c r="AI89" s="12"/>
      <c r="AJ89" s="12"/>
      <c r="AK89" s="4"/>
    </row>
    <row r="90" ht="15.75" customHeight="1">
      <c r="F90" s="6"/>
      <c r="G90" s="6"/>
      <c r="H90" s="7"/>
      <c r="I90" s="8"/>
      <c r="J90" s="9"/>
      <c r="K90" s="9"/>
      <c r="L90" s="10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11"/>
      <c r="AB90" s="11"/>
      <c r="AC90" s="4"/>
      <c r="AD90" s="4"/>
      <c r="AE90" s="4"/>
      <c r="AF90" s="4"/>
      <c r="AG90" s="4"/>
      <c r="AH90" s="12"/>
      <c r="AI90" s="12"/>
      <c r="AJ90" s="12"/>
      <c r="AK90" s="4"/>
    </row>
    <row r="91" ht="15.75" customHeight="1">
      <c r="F91" s="6"/>
      <c r="G91" s="6"/>
      <c r="H91" s="7"/>
      <c r="I91" s="8"/>
      <c r="J91" s="9"/>
      <c r="K91" s="9"/>
      <c r="L91" s="10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11"/>
      <c r="AB91" s="11"/>
      <c r="AC91" s="4"/>
      <c r="AD91" s="4"/>
      <c r="AE91" s="4"/>
      <c r="AF91" s="4"/>
      <c r="AG91" s="4"/>
      <c r="AH91" s="12"/>
      <c r="AI91" s="12"/>
      <c r="AJ91" s="12"/>
      <c r="AK91" s="4"/>
    </row>
    <row r="92" ht="15.75" customHeight="1">
      <c r="F92" s="6"/>
      <c r="G92" s="6"/>
      <c r="H92" s="7"/>
      <c r="I92" s="8"/>
      <c r="J92" s="9"/>
      <c r="K92" s="9"/>
      <c r="L92" s="10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11"/>
      <c r="AB92" s="11"/>
      <c r="AC92" s="4"/>
      <c r="AD92" s="4"/>
      <c r="AE92" s="4"/>
      <c r="AF92" s="4"/>
      <c r="AG92" s="4"/>
      <c r="AH92" s="12"/>
      <c r="AI92" s="12"/>
      <c r="AJ92" s="12"/>
      <c r="AK92" s="4"/>
    </row>
    <row r="93" ht="15.75" customHeight="1">
      <c r="F93" s="6"/>
      <c r="G93" s="6"/>
      <c r="H93" s="7"/>
      <c r="I93" s="8"/>
      <c r="J93" s="9"/>
      <c r="K93" s="9"/>
      <c r="L93" s="10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11"/>
      <c r="AB93" s="11"/>
      <c r="AC93" s="4"/>
      <c r="AD93" s="4"/>
      <c r="AE93" s="4"/>
      <c r="AF93" s="4"/>
      <c r="AG93" s="4"/>
      <c r="AH93" s="12"/>
      <c r="AI93" s="12"/>
      <c r="AJ93" s="12"/>
      <c r="AK93" s="4"/>
    </row>
    <row r="94" ht="15.75" customHeight="1">
      <c r="F94" s="6"/>
      <c r="G94" s="6"/>
      <c r="H94" s="7"/>
      <c r="I94" s="8"/>
      <c r="J94" s="9"/>
      <c r="K94" s="9"/>
      <c r="L94" s="10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11"/>
      <c r="AB94" s="11"/>
      <c r="AC94" s="4"/>
      <c r="AD94" s="4"/>
      <c r="AE94" s="4"/>
      <c r="AF94" s="4"/>
      <c r="AG94" s="4"/>
      <c r="AH94" s="12"/>
      <c r="AI94" s="12"/>
      <c r="AJ94" s="12"/>
      <c r="AK94" s="4"/>
    </row>
    <row r="95" ht="15.75" customHeight="1">
      <c r="F95" s="6"/>
      <c r="G95" s="6"/>
      <c r="H95" s="7"/>
      <c r="I95" s="8"/>
      <c r="J95" s="9"/>
      <c r="K95" s="9"/>
      <c r="L95" s="10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11"/>
      <c r="AB95" s="11"/>
      <c r="AC95" s="4"/>
      <c r="AD95" s="4"/>
      <c r="AE95" s="4"/>
      <c r="AF95" s="4"/>
      <c r="AG95" s="4"/>
      <c r="AH95" s="12"/>
      <c r="AI95" s="12"/>
      <c r="AJ95" s="12"/>
      <c r="AK95" s="4"/>
    </row>
    <row r="96" ht="15.75" customHeight="1">
      <c r="F96" s="6"/>
      <c r="G96" s="6"/>
      <c r="H96" s="7"/>
      <c r="I96" s="8"/>
      <c r="J96" s="9"/>
      <c r="K96" s="9"/>
      <c r="L96" s="10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11"/>
      <c r="AB96" s="11"/>
      <c r="AC96" s="4"/>
      <c r="AD96" s="4"/>
      <c r="AE96" s="4"/>
      <c r="AF96" s="4"/>
      <c r="AG96" s="4"/>
      <c r="AH96" s="12"/>
      <c r="AI96" s="12"/>
      <c r="AJ96" s="12"/>
      <c r="AK96" s="4"/>
    </row>
    <row r="97" ht="15.75" customHeight="1">
      <c r="F97" s="6"/>
      <c r="G97" s="6"/>
      <c r="H97" s="7"/>
      <c r="I97" s="8"/>
      <c r="J97" s="9"/>
      <c r="K97" s="9"/>
      <c r="L97" s="10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11"/>
      <c r="AB97" s="11"/>
      <c r="AC97" s="4"/>
      <c r="AD97" s="4"/>
      <c r="AE97" s="4"/>
      <c r="AF97" s="4"/>
      <c r="AG97" s="4"/>
      <c r="AH97" s="12"/>
      <c r="AI97" s="12"/>
      <c r="AJ97" s="12"/>
      <c r="AK97" s="4"/>
    </row>
    <row r="98" ht="15.75" customHeight="1">
      <c r="F98" s="6"/>
      <c r="G98" s="6"/>
      <c r="H98" s="7"/>
      <c r="I98" s="8"/>
      <c r="J98" s="9"/>
      <c r="K98" s="9"/>
      <c r="L98" s="10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11"/>
      <c r="AB98" s="11"/>
      <c r="AC98" s="4"/>
      <c r="AD98" s="4"/>
      <c r="AE98" s="4"/>
      <c r="AF98" s="4"/>
      <c r="AG98" s="4"/>
      <c r="AH98" s="12"/>
      <c r="AI98" s="12"/>
      <c r="AJ98" s="12"/>
      <c r="AK98" s="4"/>
    </row>
    <row r="99" ht="15.75" customHeight="1">
      <c r="F99" s="6"/>
      <c r="G99" s="6"/>
      <c r="H99" s="7"/>
      <c r="I99" s="8"/>
      <c r="J99" s="9"/>
      <c r="K99" s="9"/>
      <c r="L99" s="10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11"/>
      <c r="AB99" s="11"/>
      <c r="AC99" s="4"/>
      <c r="AD99" s="4"/>
      <c r="AE99" s="4"/>
      <c r="AF99" s="4"/>
      <c r="AG99" s="4"/>
      <c r="AH99" s="12"/>
      <c r="AI99" s="12"/>
      <c r="AJ99" s="12"/>
      <c r="AK99" s="4"/>
    </row>
    <row r="100" ht="15.75" customHeight="1">
      <c r="F100" s="6"/>
      <c r="G100" s="6"/>
      <c r="H100" s="7"/>
      <c r="I100" s="8"/>
      <c r="J100" s="9"/>
      <c r="K100" s="9"/>
      <c r="L100" s="10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11"/>
      <c r="AB100" s="11"/>
      <c r="AC100" s="4"/>
      <c r="AD100" s="4"/>
      <c r="AE100" s="4"/>
      <c r="AF100" s="4"/>
      <c r="AG100" s="4"/>
      <c r="AH100" s="12"/>
      <c r="AI100" s="12"/>
      <c r="AJ100" s="12"/>
      <c r="AK100" s="4"/>
    </row>
    <row r="101" ht="15.75" customHeight="1">
      <c r="F101" s="6"/>
      <c r="G101" s="6"/>
      <c r="H101" s="7"/>
      <c r="I101" s="8"/>
      <c r="J101" s="9"/>
      <c r="K101" s="9"/>
      <c r="L101" s="10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11"/>
      <c r="AB101" s="11"/>
      <c r="AC101" s="4"/>
      <c r="AD101" s="4"/>
      <c r="AE101" s="4"/>
      <c r="AF101" s="4"/>
      <c r="AG101" s="4"/>
      <c r="AH101" s="12"/>
      <c r="AI101" s="12"/>
      <c r="AJ101" s="12"/>
      <c r="AK101" s="4"/>
    </row>
    <row r="102" ht="15.75" customHeight="1">
      <c r="F102" s="6"/>
      <c r="G102" s="6"/>
      <c r="H102" s="7"/>
      <c r="I102" s="8"/>
      <c r="J102" s="9"/>
      <c r="K102" s="9"/>
      <c r="L102" s="10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11"/>
      <c r="AB102" s="11"/>
      <c r="AC102" s="4"/>
      <c r="AD102" s="4"/>
      <c r="AE102" s="4"/>
      <c r="AF102" s="4"/>
      <c r="AG102" s="4"/>
      <c r="AH102" s="12"/>
      <c r="AI102" s="12"/>
      <c r="AJ102" s="12"/>
      <c r="AK102" s="4"/>
    </row>
    <row r="103" ht="15.75" customHeight="1">
      <c r="F103" s="6"/>
      <c r="G103" s="6"/>
      <c r="H103" s="7"/>
      <c r="I103" s="8"/>
      <c r="J103" s="9"/>
      <c r="K103" s="9"/>
      <c r="L103" s="10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11"/>
      <c r="AB103" s="11"/>
      <c r="AC103" s="4"/>
      <c r="AD103" s="4"/>
      <c r="AE103" s="4"/>
      <c r="AF103" s="4"/>
      <c r="AG103" s="4"/>
      <c r="AH103" s="12"/>
      <c r="AI103" s="12"/>
      <c r="AJ103" s="12"/>
      <c r="AK103" s="4"/>
    </row>
    <row r="104" ht="15.75" customHeight="1">
      <c r="F104" s="6"/>
      <c r="G104" s="6"/>
      <c r="H104" s="7"/>
      <c r="I104" s="8"/>
      <c r="J104" s="9"/>
      <c r="K104" s="9"/>
      <c r="L104" s="10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11"/>
      <c r="AB104" s="11"/>
      <c r="AC104" s="4"/>
      <c r="AD104" s="4"/>
      <c r="AE104" s="4"/>
      <c r="AF104" s="4"/>
      <c r="AG104" s="4"/>
      <c r="AH104" s="12"/>
      <c r="AI104" s="12"/>
      <c r="AJ104" s="12"/>
      <c r="AK104" s="4"/>
    </row>
    <row r="105" ht="15.75" customHeight="1">
      <c r="F105" s="6"/>
      <c r="G105" s="6"/>
      <c r="H105" s="7"/>
      <c r="I105" s="8"/>
      <c r="J105" s="9"/>
      <c r="K105" s="9"/>
      <c r="L105" s="10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11"/>
      <c r="AB105" s="11"/>
      <c r="AC105" s="4"/>
      <c r="AD105" s="4"/>
      <c r="AE105" s="4"/>
      <c r="AF105" s="4"/>
      <c r="AG105" s="4"/>
      <c r="AH105" s="12"/>
      <c r="AI105" s="12"/>
      <c r="AJ105" s="12"/>
      <c r="AK105" s="4"/>
    </row>
    <row r="106" ht="15.75" customHeight="1">
      <c r="F106" s="6"/>
      <c r="G106" s="6"/>
      <c r="H106" s="7"/>
      <c r="I106" s="8"/>
      <c r="J106" s="9"/>
      <c r="K106" s="9"/>
      <c r="L106" s="10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11"/>
      <c r="AB106" s="11"/>
      <c r="AC106" s="4"/>
      <c r="AD106" s="4"/>
      <c r="AE106" s="4"/>
      <c r="AF106" s="4"/>
      <c r="AG106" s="4"/>
      <c r="AH106" s="12"/>
      <c r="AI106" s="12"/>
      <c r="AJ106" s="12"/>
      <c r="AK106" s="4"/>
    </row>
    <row r="107" ht="15.75" customHeight="1">
      <c r="F107" s="6"/>
      <c r="G107" s="6"/>
      <c r="H107" s="7"/>
      <c r="I107" s="8"/>
      <c r="J107" s="9"/>
      <c r="K107" s="9"/>
      <c r="L107" s="10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11"/>
      <c r="AB107" s="11"/>
      <c r="AC107" s="4"/>
      <c r="AD107" s="4"/>
      <c r="AE107" s="4"/>
      <c r="AF107" s="4"/>
      <c r="AG107" s="4"/>
      <c r="AH107" s="12"/>
      <c r="AI107" s="12"/>
      <c r="AJ107" s="12"/>
      <c r="AK107" s="4"/>
    </row>
    <row r="108" ht="15.75" customHeight="1">
      <c r="F108" s="6"/>
      <c r="G108" s="6"/>
      <c r="H108" s="7"/>
      <c r="I108" s="8"/>
      <c r="J108" s="9"/>
      <c r="K108" s="9"/>
      <c r="L108" s="10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11"/>
      <c r="AB108" s="11"/>
      <c r="AC108" s="4"/>
      <c r="AD108" s="4"/>
      <c r="AE108" s="4"/>
      <c r="AF108" s="4"/>
      <c r="AG108" s="4"/>
      <c r="AH108" s="12"/>
      <c r="AI108" s="12"/>
      <c r="AJ108" s="12"/>
      <c r="AK108" s="4"/>
    </row>
    <row r="109" ht="15.75" customHeight="1">
      <c r="F109" s="6"/>
      <c r="G109" s="6"/>
      <c r="H109" s="7"/>
      <c r="I109" s="8"/>
      <c r="J109" s="9"/>
      <c r="K109" s="9"/>
      <c r="L109" s="10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11"/>
      <c r="AB109" s="11"/>
      <c r="AC109" s="4"/>
      <c r="AD109" s="4"/>
      <c r="AE109" s="4"/>
      <c r="AF109" s="4"/>
      <c r="AG109" s="4"/>
      <c r="AH109" s="12"/>
      <c r="AI109" s="12"/>
      <c r="AJ109" s="12"/>
      <c r="AK109" s="4"/>
    </row>
    <row r="110" ht="15.75" customHeight="1">
      <c r="F110" s="6"/>
      <c r="G110" s="6"/>
      <c r="H110" s="7"/>
      <c r="I110" s="8"/>
      <c r="J110" s="9"/>
      <c r="K110" s="9"/>
      <c r="L110" s="10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11"/>
      <c r="AB110" s="11"/>
      <c r="AC110" s="4"/>
      <c r="AD110" s="4"/>
      <c r="AE110" s="4"/>
      <c r="AF110" s="4"/>
      <c r="AG110" s="4"/>
      <c r="AH110" s="12"/>
      <c r="AI110" s="12"/>
      <c r="AJ110" s="12"/>
      <c r="AK110" s="4"/>
    </row>
    <row r="111" ht="15.75" customHeight="1">
      <c r="F111" s="6"/>
      <c r="G111" s="6"/>
      <c r="H111" s="7"/>
      <c r="I111" s="8"/>
      <c r="J111" s="9"/>
      <c r="K111" s="9"/>
      <c r="L111" s="10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11"/>
      <c r="AB111" s="11"/>
      <c r="AC111" s="4"/>
      <c r="AD111" s="4"/>
      <c r="AE111" s="4"/>
      <c r="AF111" s="4"/>
      <c r="AG111" s="4"/>
      <c r="AH111" s="12"/>
      <c r="AI111" s="12"/>
      <c r="AJ111" s="12"/>
      <c r="AK111" s="4"/>
    </row>
    <row r="112" ht="15.75" customHeight="1">
      <c r="F112" s="6"/>
      <c r="G112" s="6"/>
      <c r="H112" s="7"/>
      <c r="I112" s="8"/>
      <c r="J112" s="9"/>
      <c r="K112" s="9"/>
      <c r="L112" s="10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11"/>
      <c r="AB112" s="11"/>
      <c r="AC112" s="4"/>
      <c r="AD112" s="4"/>
      <c r="AE112" s="4"/>
      <c r="AF112" s="4"/>
      <c r="AG112" s="4"/>
      <c r="AH112" s="12"/>
      <c r="AI112" s="12"/>
      <c r="AJ112" s="12"/>
      <c r="AK112" s="4"/>
    </row>
    <row r="113" ht="15.75" customHeight="1">
      <c r="F113" s="6"/>
      <c r="G113" s="6"/>
      <c r="H113" s="7"/>
      <c r="I113" s="8"/>
      <c r="J113" s="9"/>
      <c r="K113" s="9"/>
      <c r="L113" s="10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11"/>
      <c r="AB113" s="11"/>
      <c r="AC113" s="4"/>
      <c r="AD113" s="4"/>
      <c r="AE113" s="4"/>
      <c r="AF113" s="4"/>
      <c r="AG113" s="4"/>
      <c r="AH113" s="12"/>
      <c r="AI113" s="12"/>
      <c r="AJ113" s="12"/>
      <c r="AK113" s="4"/>
    </row>
    <row r="114" ht="15.75" customHeight="1">
      <c r="F114" s="6"/>
      <c r="G114" s="6"/>
      <c r="H114" s="7"/>
      <c r="I114" s="8"/>
      <c r="J114" s="9"/>
      <c r="K114" s="9"/>
      <c r="L114" s="10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11"/>
      <c r="AB114" s="11"/>
      <c r="AC114" s="4"/>
      <c r="AD114" s="4"/>
      <c r="AE114" s="4"/>
      <c r="AF114" s="4"/>
      <c r="AG114" s="4"/>
      <c r="AH114" s="12"/>
      <c r="AI114" s="12"/>
      <c r="AJ114" s="12"/>
      <c r="AK114" s="4"/>
    </row>
    <row r="115" ht="15.75" customHeight="1">
      <c r="F115" s="6"/>
      <c r="G115" s="6"/>
      <c r="H115" s="7"/>
      <c r="I115" s="8"/>
      <c r="J115" s="9"/>
      <c r="K115" s="9"/>
      <c r="L115" s="10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11"/>
      <c r="AB115" s="11"/>
      <c r="AC115" s="4"/>
      <c r="AD115" s="4"/>
      <c r="AE115" s="4"/>
      <c r="AF115" s="4"/>
      <c r="AG115" s="4"/>
      <c r="AH115" s="12"/>
      <c r="AI115" s="12"/>
      <c r="AJ115" s="12"/>
      <c r="AK115" s="4"/>
    </row>
    <row r="116" ht="15.75" customHeight="1">
      <c r="F116" s="6"/>
      <c r="G116" s="6"/>
      <c r="H116" s="7"/>
      <c r="I116" s="8"/>
      <c r="J116" s="9"/>
      <c r="K116" s="9"/>
      <c r="L116" s="10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11"/>
      <c r="AB116" s="11"/>
      <c r="AC116" s="4"/>
      <c r="AD116" s="4"/>
      <c r="AE116" s="4"/>
      <c r="AF116" s="4"/>
      <c r="AG116" s="4"/>
      <c r="AH116" s="12"/>
      <c r="AI116" s="12"/>
      <c r="AJ116" s="12"/>
      <c r="AK116" s="4"/>
    </row>
    <row r="117" ht="15.75" customHeight="1">
      <c r="F117" s="6"/>
      <c r="G117" s="6"/>
      <c r="H117" s="7"/>
      <c r="I117" s="8"/>
      <c r="J117" s="9"/>
      <c r="K117" s="9"/>
      <c r="L117" s="10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11"/>
      <c r="AB117" s="11"/>
      <c r="AC117" s="4"/>
      <c r="AD117" s="4"/>
      <c r="AE117" s="4"/>
      <c r="AF117" s="4"/>
      <c r="AG117" s="4"/>
      <c r="AH117" s="12"/>
      <c r="AI117" s="12"/>
      <c r="AJ117" s="12"/>
      <c r="AK117" s="4"/>
    </row>
    <row r="118" ht="15.75" customHeight="1">
      <c r="F118" s="6"/>
      <c r="G118" s="6"/>
      <c r="H118" s="7"/>
      <c r="I118" s="8"/>
      <c r="J118" s="9"/>
      <c r="K118" s="9"/>
      <c r="L118" s="10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11"/>
      <c r="AB118" s="11"/>
      <c r="AC118" s="4"/>
      <c r="AD118" s="4"/>
      <c r="AE118" s="4"/>
      <c r="AF118" s="4"/>
      <c r="AG118" s="4"/>
      <c r="AH118" s="12"/>
      <c r="AI118" s="12"/>
      <c r="AJ118" s="12"/>
      <c r="AK118" s="4"/>
    </row>
    <row r="119" ht="15.75" customHeight="1">
      <c r="F119" s="6"/>
      <c r="G119" s="6"/>
      <c r="H119" s="7"/>
      <c r="I119" s="8"/>
      <c r="J119" s="9"/>
      <c r="K119" s="9"/>
      <c r="L119" s="10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11"/>
      <c r="AB119" s="11"/>
      <c r="AC119" s="4"/>
      <c r="AD119" s="4"/>
      <c r="AE119" s="4"/>
      <c r="AF119" s="4"/>
      <c r="AG119" s="4"/>
      <c r="AH119" s="12"/>
      <c r="AI119" s="12"/>
      <c r="AJ119" s="12"/>
      <c r="AK119" s="4"/>
    </row>
    <row r="120" ht="15.75" customHeight="1">
      <c r="F120" s="6"/>
      <c r="G120" s="6"/>
      <c r="H120" s="7"/>
      <c r="I120" s="8"/>
      <c r="J120" s="9"/>
      <c r="K120" s="9"/>
      <c r="L120" s="10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11"/>
      <c r="AB120" s="11"/>
      <c r="AC120" s="4"/>
      <c r="AD120" s="4"/>
      <c r="AE120" s="4"/>
      <c r="AF120" s="4"/>
      <c r="AG120" s="4"/>
      <c r="AH120" s="12"/>
      <c r="AI120" s="12"/>
      <c r="AJ120" s="12"/>
      <c r="AK120" s="4"/>
    </row>
    <row r="121" ht="15.75" customHeight="1">
      <c r="F121" s="6"/>
      <c r="G121" s="6"/>
      <c r="H121" s="7"/>
      <c r="I121" s="8"/>
      <c r="J121" s="9"/>
      <c r="K121" s="9"/>
      <c r="L121" s="10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11"/>
      <c r="AB121" s="11"/>
      <c r="AC121" s="4"/>
      <c r="AD121" s="4"/>
      <c r="AE121" s="4"/>
      <c r="AF121" s="4"/>
      <c r="AG121" s="4"/>
      <c r="AH121" s="12"/>
      <c r="AI121" s="12"/>
      <c r="AJ121" s="12"/>
      <c r="AK121" s="4"/>
    </row>
    <row r="122" ht="15.75" customHeight="1">
      <c r="F122" s="6"/>
      <c r="G122" s="6"/>
      <c r="H122" s="7"/>
      <c r="I122" s="8"/>
      <c r="J122" s="9"/>
      <c r="K122" s="9"/>
      <c r="L122" s="10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11"/>
      <c r="AB122" s="11"/>
      <c r="AC122" s="4"/>
      <c r="AD122" s="4"/>
      <c r="AE122" s="4"/>
      <c r="AF122" s="4"/>
      <c r="AG122" s="4"/>
      <c r="AH122" s="12"/>
      <c r="AI122" s="12"/>
      <c r="AJ122" s="12"/>
      <c r="AK122" s="4"/>
    </row>
    <row r="123" ht="15.75" customHeight="1">
      <c r="F123" s="6"/>
      <c r="G123" s="6"/>
      <c r="H123" s="7"/>
      <c r="I123" s="8"/>
      <c r="J123" s="9"/>
      <c r="K123" s="9"/>
      <c r="L123" s="10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11"/>
      <c r="AB123" s="11"/>
      <c r="AC123" s="4"/>
      <c r="AD123" s="4"/>
      <c r="AE123" s="4"/>
      <c r="AF123" s="4"/>
      <c r="AG123" s="4"/>
      <c r="AH123" s="12"/>
      <c r="AI123" s="12"/>
      <c r="AJ123" s="12"/>
      <c r="AK123" s="4"/>
    </row>
    <row r="124" ht="15.75" customHeight="1">
      <c r="F124" s="6"/>
      <c r="G124" s="6"/>
      <c r="H124" s="7"/>
      <c r="I124" s="8"/>
      <c r="J124" s="9"/>
      <c r="K124" s="9"/>
      <c r="L124" s="10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11"/>
      <c r="AB124" s="11"/>
      <c r="AC124" s="4"/>
      <c r="AD124" s="4"/>
      <c r="AE124" s="4"/>
      <c r="AF124" s="4"/>
      <c r="AG124" s="4"/>
      <c r="AH124" s="12"/>
      <c r="AI124" s="12"/>
      <c r="AJ124" s="12"/>
      <c r="AK124" s="4"/>
    </row>
    <row r="125" ht="15.75" customHeight="1">
      <c r="F125" s="6"/>
      <c r="G125" s="6"/>
      <c r="H125" s="7"/>
      <c r="I125" s="8"/>
      <c r="J125" s="9"/>
      <c r="K125" s="9"/>
      <c r="L125" s="10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11"/>
      <c r="AB125" s="11"/>
      <c r="AC125" s="4"/>
      <c r="AD125" s="4"/>
      <c r="AE125" s="4"/>
      <c r="AF125" s="4"/>
      <c r="AG125" s="4"/>
      <c r="AH125" s="12"/>
      <c r="AI125" s="12"/>
      <c r="AJ125" s="12"/>
      <c r="AK125" s="4"/>
    </row>
    <row r="126" ht="15.75" customHeight="1">
      <c r="F126" s="6"/>
      <c r="G126" s="6"/>
      <c r="H126" s="7"/>
      <c r="I126" s="8"/>
      <c r="J126" s="9"/>
      <c r="K126" s="9"/>
      <c r="L126" s="10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11"/>
      <c r="AB126" s="11"/>
      <c r="AC126" s="4"/>
      <c r="AD126" s="4"/>
      <c r="AE126" s="4"/>
      <c r="AF126" s="4"/>
      <c r="AG126" s="4"/>
      <c r="AH126" s="12"/>
      <c r="AI126" s="12"/>
      <c r="AJ126" s="12"/>
      <c r="AK126" s="4"/>
    </row>
    <row r="127" ht="15.75" customHeight="1">
      <c r="F127" s="6"/>
      <c r="G127" s="6"/>
      <c r="H127" s="7"/>
      <c r="I127" s="8"/>
      <c r="J127" s="9"/>
      <c r="K127" s="9"/>
      <c r="L127" s="10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11"/>
      <c r="AB127" s="11"/>
      <c r="AC127" s="4"/>
      <c r="AD127" s="4"/>
      <c r="AE127" s="4"/>
      <c r="AF127" s="4"/>
      <c r="AG127" s="4"/>
      <c r="AH127" s="12"/>
      <c r="AI127" s="12"/>
      <c r="AJ127" s="12"/>
      <c r="AK127" s="4"/>
    </row>
    <row r="128" ht="15.75" customHeight="1">
      <c r="F128" s="6"/>
      <c r="G128" s="6"/>
      <c r="H128" s="7"/>
      <c r="I128" s="8"/>
      <c r="J128" s="9"/>
      <c r="K128" s="9"/>
      <c r="L128" s="10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11"/>
      <c r="AB128" s="11"/>
      <c r="AC128" s="4"/>
      <c r="AD128" s="4"/>
      <c r="AE128" s="4"/>
      <c r="AF128" s="4"/>
      <c r="AG128" s="4"/>
      <c r="AH128" s="12"/>
      <c r="AI128" s="12"/>
      <c r="AJ128" s="12"/>
      <c r="AK128" s="4"/>
    </row>
    <row r="129" ht="15.75" customHeight="1">
      <c r="F129" s="6"/>
      <c r="G129" s="6"/>
      <c r="H129" s="7"/>
      <c r="I129" s="8"/>
      <c r="J129" s="9"/>
      <c r="K129" s="9"/>
      <c r="L129" s="10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11"/>
      <c r="AB129" s="11"/>
      <c r="AC129" s="4"/>
      <c r="AD129" s="4"/>
      <c r="AE129" s="4"/>
      <c r="AF129" s="4"/>
      <c r="AG129" s="4"/>
      <c r="AH129" s="12"/>
      <c r="AI129" s="12"/>
      <c r="AJ129" s="12"/>
      <c r="AK129" s="4"/>
    </row>
    <row r="130" ht="15.75" customHeight="1">
      <c r="F130" s="6"/>
      <c r="G130" s="6"/>
      <c r="H130" s="7"/>
      <c r="I130" s="8"/>
      <c r="J130" s="9"/>
      <c r="K130" s="9"/>
      <c r="L130" s="10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11"/>
      <c r="AB130" s="11"/>
      <c r="AC130" s="4"/>
      <c r="AD130" s="4"/>
      <c r="AE130" s="4"/>
      <c r="AF130" s="4"/>
      <c r="AG130" s="4"/>
      <c r="AH130" s="12"/>
      <c r="AI130" s="12"/>
      <c r="AJ130" s="12"/>
      <c r="AK130" s="4"/>
    </row>
    <row r="131" ht="15.75" customHeight="1">
      <c r="F131" s="6"/>
      <c r="G131" s="6"/>
      <c r="H131" s="7"/>
      <c r="I131" s="8"/>
      <c r="J131" s="9"/>
      <c r="K131" s="9"/>
      <c r="L131" s="10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11"/>
      <c r="AB131" s="11"/>
      <c r="AC131" s="4"/>
      <c r="AD131" s="4"/>
      <c r="AE131" s="4"/>
      <c r="AF131" s="4"/>
      <c r="AG131" s="4"/>
      <c r="AH131" s="12"/>
      <c r="AI131" s="12"/>
      <c r="AJ131" s="12"/>
      <c r="AK131" s="4"/>
    </row>
    <row r="132" ht="15.75" customHeight="1">
      <c r="F132" s="6"/>
      <c r="G132" s="6"/>
      <c r="H132" s="7"/>
      <c r="I132" s="8"/>
      <c r="J132" s="9"/>
      <c r="K132" s="9"/>
      <c r="L132" s="10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11"/>
      <c r="AB132" s="11"/>
      <c r="AC132" s="4"/>
      <c r="AD132" s="4"/>
      <c r="AE132" s="4"/>
      <c r="AF132" s="4"/>
      <c r="AG132" s="4"/>
      <c r="AH132" s="12"/>
      <c r="AI132" s="12"/>
      <c r="AJ132" s="12"/>
      <c r="AK132" s="4"/>
    </row>
    <row r="133" ht="15.75" customHeight="1">
      <c r="F133" s="6"/>
      <c r="G133" s="6"/>
      <c r="H133" s="7"/>
      <c r="I133" s="8"/>
      <c r="J133" s="9"/>
      <c r="K133" s="9"/>
      <c r="L133" s="10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11"/>
      <c r="AB133" s="11"/>
      <c r="AC133" s="4"/>
      <c r="AD133" s="4"/>
      <c r="AE133" s="4"/>
      <c r="AF133" s="4"/>
      <c r="AG133" s="4"/>
      <c r="AH133" s="12"/>
      <c r="AI133" s="12"/>
      <c r="AJ133" s="12"/>
      <c r="AK133" s="4"/>
    </row>
    <row r="134" ht="15.75" customHeight="1">
      <c r="F134" s="6"/>
      <c r="G134" s="6"/>
      <c r="H134" s="7"/>
      <c r="I134" s="8"/>
      <c r="J134" s="9"/>
      <c r="K134" s="9"/>
      <c r="L134" s="10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11"/>
      <c r="AB134" s="11"/>
      <c r="AC134" s="4"/>
      <c r="AD134" s="4"/>
      <c r="AE134" s="4"/>
      <c r="AF134" s="4"/>
      <c r="AG134" s="4"/>
      <c r="AH134" s="12"/>
      <c r="AI134" s="12"/>
      <c r="AJ134" s="12"/>
      <c r="AK134" s="4"/>
    </row>
    <row r="135" ht="15.75" customHeight="1">
      <c r="F135" s="6"/>
      <c r="G135" s="6"/>
      <c r="H135" s="7"/>
      <c r="I135" s="8"/>
      <c r="J135" s="9"/>
      <c r="K135" s="9"/>
      <c r="L135" s="10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11"/>
      <c r="AB135" s="11"/>
      <c r="AC135" s="4"/>
      <c r="AD135" s="4"/>
      <c r="AE135" s="4"/>
      <c r="AF135" s="4"/>
      <c r="AG135" s="4"/>
      <c r="AH135" s="12"/>
      <c r="AI135" s="12"/>
      <c r="AJ135" s="12"/>
      <c r="AK135" s="4"/>
    </row>
    <row r="136" ht="15.75" customHeight="1">
      <c r="F136" s="6"/>
      <c r="G136" s="6"/>
      <c r="H136" s="7"/>
      <c r="I136" s="8"/>
      <c r="J136" s="9"/>
      <c r="K136" s="9"/>
      <c r="L136" s="10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11"/>
      <c r="AB136" s="11"/>
      <c r="AC136" s="4"/>
      <c r="AD136" s="4"/>
      <c r="AE136" s="4"/>
      <c r="AF136" s="4"/>
      <c r="AG136" s="4"/>
      <c r="AH136" s="12"/>
      <c r="AI136" s="12"/>
      <c r="AJ136" s="12"/>
      <c r="AK136" s="4"/>
    </row>
    <row r="137" ht="15.75" customHeight="1">
      <c r="F137" s="6"/>
      <c r="G137" s="6"/>
      <c r="H137" s="7"/>
      <c r="I137" s="8"/>
      <c r="J137" s="9"/>
      <c r="K137" s="9"/>
      <c r="L137" s="10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11"/>
      <c r="AB137" s="11"/>
      <c r="AC137" s="4"/>
      <c r="AD137" s="4"/>
      <c r="AE137" s="4"/>
      <c r="AF137" s="4"/>
      <c r="AG137" s="4"/>
      <c r="AH137" s="12"/>
      <c r="AI137" s="12"/>
      <c r="AJ137" s="12"/>
      <c r="AK137" s="4"/>
    </row>
    <row r="138" ht="15.75" customHeight="1">
      <c r="F138" s="6"/>
      <c r="G138" s="6"/>
      <c r="H138" s="7"/>
      <c r="I138" s="8"/>
      <c r="J138" s="9"/>
      <c r="K138" s="9"/>
      <c r="L138" s="10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11"/>
      <c r="AB138" s="11"/>
      <c r="AC138" s="4"/>
      <c r="AD138" s="4"/>
      <c r="AE138" s="4"/>
      <c r="AF138" s="4"/>
      <c r="AG138" s="4"/>
      <c r="AH138" s="12"/>
      <c r="AI138" s="12"/>
      <c r="AJ138" s="12"/>
      <c r="AK138" s="4"/>
    </row>
    <row r="139" ht="15.75" customHeight="1">
      <c r="F139" s="6"/>
      <c r="G139" s="6"/>
      <c r="H139" s="7"/>
      <c r="I139" s="8"/>
      <c r="J139" s="9"/>
      <c r="K139" s="9"/>
      <c r="L139" s="10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11"/>
      <c r="AB139" s="11"/>
      <c r="AC139" s="4"/>
      <c r="AD139" s="4"/>
      <c r="AE139" s="4"/>
      <c r="AF139" s="4"/>
      <c r="AG139" s="4"/>
      <c r="AH139" s="12"/>
      <c r="AI139" s="12"/>
      <c r="AJ139" s="12"/>
      <c r="AK139" s="4"/>
    </row>
    <row r="140" ht="15.75" customHeight="1">
      <c r="F140" s="6"/>
      <c r="G140" s="6"/>
      <c r="H140" s="7"/>
      <c r="I140" s="8"/>
      <c r="J140" s="9"/>
      <c r="K140" s="9"/>
      <c r="L140" s="10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11"/>
      <c r="AB140" s="11"/>
      <c r="AC140" s="4"/>
      <c r="AD140" s="4"/>
      <c r="AE140" s="4"/>
      <c r="AF140" s="4"/>
      <c r="AG140" s="4"/>
      <c r="AH140" s="12"/>
      <c r="AI140" s="12"/>
      <c r="AJ140" s="12"/>
      <c r="AK140" s="4"/>
    </row>
    <row r="141" ht="15.75" customHeight="1">
      <c r="F141" s="6"/>
      <c r="G141" s="6"/>
      <c r="H141" s="7"/>
      <c r="I141" s="8"/>
      <c r="J141" s="9"/>
      <c r="K141" s="9"/>
      <c r="L141" s="10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11"/>
      <c r="AB141" s="11"/>
      <c r="AC141" s="4"/>
      <c r="AD141" s="4"/>
      <c r="AE141" s="4"/>
      <c r="AF141" s="4"/>
      <c r="AG141" s="4"/>
      <c r="AH141" s="12"/>
      <c r="AI141" s="12"/>
      <c r="AJ141" s="12"/>
      <c r="AK141" s="4"/>
    </row>
    <row r="142" ht="15.75" customHeight="1">
      <c r="F142" s="6"/>
      <c r="G142" s="6"/>
      <c r="H142" s="7"/>
      <c r="I142" s="8"/>
      <c r="J142" s="9"/>
      <c r="K142" s="9"/>
      <c r="L142" s="10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11"/>
      <c r="AB142" s="11"/>
      <c r="AC142" s="4"/>
      <c r="AD142" s="4"/>
      <c r="AE142" s="4"/>
      <c r="AF142" s="4"/>
      <c r="AG142" s="4"/>
      <c r="AH142" s="12"/>
      <c r="AI142" s="12"/>
      <c r="AJ142" s="12"/>
      <c r="AK142" s="4"/>
    </row>
    <row r="143" ht="15.75" customHeight="1">
      <c r="F143" s="6"/>
      <c r="G143" s="6"/>
      <c r="H143" s="7"/>
      <c r="I143" s="8"/>
      <c r="J143" s="9"/>
      <c r="K143" s="9"/>
      <c r="L143" s="10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11"/>
      <c r="AB143" s="11"/>
      <c r="AC143" s="4"/>
      <c r="AD143" s="4"/>
      <c r="AE143" s="4"/>
      <c r="AF143" s="4"/>
      <c r="AG143" s="4"/>
      <c r="AH143" s="12"/>
      <c r="AI143" s="12"/>
      <c r="AJ143" s="12"/>
      <c r="AK143" s="4"/>
    </row>
    <row r="144" ht="15.75" customHeight="1">
      <c r="F144" s="6"/>
      <c r="G144" s="6"/>
      <c r="H144" s="7"/>
      <c r="I144" s="8"/>
      <c r="J144" s="9"/>
      <c r="K144" s="9"/>
      <c r="L144" s="10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11"/>
      <c r="AB144" s="11"/>
      <c r="AC144" s="4"/>
      <c r="AD144" s="4"/>
      <c r="AE144" s="4"/>
      <c r="AF144" s="4"/>
      <c r="AG144" s="4"/>
      <c r="AH144" s="12"/>
      <c r="AI144" s="12"/>
      <c r="AJ144" s="12"/>
      <c r="AK144" s="4"/>
    </row>
    <row r="145" ht="15.75" customHeight="1">
      <c r="F145" s="6"/>
      <c r="G145" s="6"/>
      <c r="H145" s="7"/>
      <c r="I145" s="8"/>
      <c r="J145" s="9"/>
      <c r="K145" s="9"/>
      <c r="L145" s="10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11"/>
      <c r="AB145" s="11"/>
      <c r="AC145" s="4"/>
      <c r="AD145" s="4"/>
      <c r="AE145" s="4"/>
      <c r="AF145" s="4"/>
      <c r="AG145" s="4"/>
      <c r="AH145" s="12"/>
      <c r="AI145" s="12"/>
      <c r="AJ145" s="12"/>
      <c r="AK145" s="4"/>
    </row>
    <row r="146" ht="15.75" customHeight="1">
      <c r="F146" s="6"/>
      <c r="G146" s="6"/>
      <c r="H146" s="7"/>
      <c r="I146" s="8"/>
      <c r="J146" s="9"/>
      <c r="K146" s="9"/>
      <c r="L146" s="10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11"/>
      <c r="AB146" s="11"/>
      <c r="AC146" s="4"/>
      <c r="AD146" s="4"/>
      <c r="AE146" s="4"/>
      <c r="AF146" s="4"/>
      <c r="AG146" s="4"/>
      <c r="AH146" s="12"/>
      <c r="AI146" s="12"/>
      <c r="AJ146" s="12"/>
      <c r="AK146" s="4"/>
    </row>
    <row r="147" ht="15.75" customHeight="1">
      <c r="F147" s="6"/>
      <c r="G147" s="6"/>
      <c r="H147" s="7"/>
      <c r="I147" s="8"/>
      <c r="J147" s="9"/>
      <c r="K147" s="9"/>
      <c r="L147" s="10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11"/>
      <c r="AB147" s="11"/>
      <c r="AC147" s="4"/>
      <c r="AD147" s="4"/>
      <c r="AE147" s="4"/>
      <c r="AF147" s="4"/>
      <c r="AG147" s="4"/>
      <c r="AH147" s="12"/>
      <c r="AI147" s="12"/>
      <c r="AJ147" s="12"/>
      <c r="AK147" s="4"/>
    </row>
    <row r="148" ht="15.75" customHeight="1">
      <c r="F148" s="6"/>
      <c r="G148" s="6"/>
      <c r="H148" s="7"/>
      <c r="I148" s="8"/>
      <c r="J148" s="9"/>
      <c r="K148" s="9"/>
      <c r="L148" s="10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11"/>
      <c r="AB148" s="11"/>
      <c r="AC148" s="4"/>
      <c r="AD148" s="4"/>
      <c r="AE148" s="4"/>
      <c r="AF148" s="4"/>
      <c r="AG148" s="4"/>
      <c r="AH148" s="12"/>
      <c r="AI148" s="12"/>
      <c r="AJ148" s="12"/>
      <c r="AK148" s="4"/>
    </row>
    <row r="149" ht="15.75" customHeight="1">
      <c r="F149" s="6"/>
      <c r="G149" s="6"/>
      <c r="H149" s="7"/>
      <c r="I149" s="8"/>
      <c r="J149" s="9"/>
      <c r="K149" s="9"/>
      <c r="L149" s="10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11"/>
      <c r="AB149" s="11"/>
      <c r="AC149" s="4"/>
      <c r="AD149" s="4"/>
      <c r="AE149" s="4"/>
      <c r="AF149" s="4"/>
      <c r="AG149" s="4"/>
      <c r="AH149" s="12"/>
      <c r="AI149" s="12"/>
      <c r="AJ149" s="12"/>
      <c r="AK149" s="4"/>
    </row>
    <row r="150" ht="15.75" customHeight="1">
      <c r="F150" s="6"/>
      <c r="G150" s="6"/>
      <c r="H150" s="7"/>
      <c r="I150" s="8"/>
      <c r="J150" s="9"/>
      <c r="K150" s="9"/>
      <c r="L150" s="10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11"/>
      <c r="AB150" s="11"/>
      <c r="AC150" s="4"/>
      <c r="AD150" s="4"/>
      <c r="AE150" s="4"/>
      <c r="AF150" s="4"/>
      <c r="AG150" s="4"/>
      <c r="AH150" s="12"/>
      <c r="AI150" s="12"/>
      <c r="AJ150" s="12"/>
      <c r="AK150" s="4"/>
    </row>
    <row r="151" ht="15.75" customHeight="1">
      <c r="F151" s="6"/>
      <c r="G151" s="6"/>
      <c r="H151" s="7"/>
      <c r="I151" s="8"/>
      <c r="J151" s="9"/>
      <c r="K151" s="9"/>
      <c r="L151" s="10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11"/>
      <c r="AB151" s="11"/>
      <c r="AC151" s="4"/>
      <c r="AD151" s="4"/>
      <c r="AE151" s="4"/>
      <c r="AF151" s="4"/>
      <c r="AG151" s="4"/>
      <c r="AH151" s="12"/>
      <c r="AI151" s="12"/>
      <c r="AJ151" s="12"/>
      <c r="AK151" s="4"/>
    </row>
    <row r="152" ht="15.75" customHeight="1">
      <c r="F152" s="6"/>
      <c r="G152" s="6"/>
      <c r="H152" s="7"/>
      <c r="I152" s="8"/>
      <c r="J152" s="9"/>
      <c r="K152" s="9"/>
      <c r="L152" s="10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11"/>
      <c r="AB152" s="11"/>
      <c r="AC152" s="4"/>
      <c r="AD152" s="4"/>
      <c r="AE152" s="4"/>
      <c r="AF152" s="4"/>
      <c r="AG152" s="4"/>
      <c r="AH152" s="12"/>
      <c r="AI152" s="12"/>
      <c r="AJ152" s="12"/>
      <c r="AK152" s="4"/>
    </row>
    <row r="153" ht="15.75" customHeight="1">
      <c r="F153" s="6"/>
      <c r="G153" s="6"/>
      <c r="H153" s="7"/>
      <c r="I153" s="8"/>
      <c r="J153" s="9"/>
      <c r="K153" s="9"/>
      <c r="L153" s="10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11"/>
      <c r="AB153" s="11"/>
      <c r="AC153" s="4"/>
      <c r="AD153" s="4"/>
      <c r="AE153" s="4"/>
      <c r="AF153" s="4"/>
      <c r="AG153" s="4"/>
      <c r="AH153" s="12"/>
      <c r="AI153" s="12"/>
      <c r="AJ153" s="12"/>
      <c r="AK153" s="4"/>
    </row>
    <row r="154" ht="15.75" customHeight="1">
      <c r="F154" s="6"/>
      <c r="G154" s="6"/>
      <c r="H154" s="7"/>
      <c r="I154" s="8"/>
      <c r="J154" s="9"/>
      <c r="K154" s="9"/>
      <c r="L154" s="10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11"/>
      <c r="AB154" s="11"/>
      <c r="AC154" s="4"/>
      <c r="AD154" s="4"/>
      <c r="AE154" s="4"/>
      <c r="AF154" s="4"/>
      <c r="AG154" s="4"/>
      <c r="AH154" s="12"/>
      <c r="AI154" s="12"/>
      <c r="AJ154" s="12"/>
      <c r="AK154" s="4"/>
    </row>
    <row r="155" ht="15.75" customHeight="1">
      <c r="F155" s="6"/>
      <c r="G155" s="6"/>
      <c r="H155" s="7"/>
      <c r="I155" s="8"/>
      <c r="J155" s="9"/>
      <c r="K155" s="9"/>
      <c r="L155" s="10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11"/>
      <c r="AB155" s="11"/>
      <c r="AC155" s="4"/>
      <c r="AD155" s="4"/>
      <c r="AE155" s="4"/>
      <c r="AF155" s="4"/>
      <c r="AG155" s="4"/>
      <c r="AH155" s="12"/>
      <c r="AI155" s="12"/>
      <c r="AJ155" s="12"/>
      <c r="AK155" s="4"/>
    </row>
    <row r="156" ht="15.75" customHeight="1">
      <c r="F156" s="6"/>
      <c r="G156" s="6"/>
      <c r="H156" s="7"/>
      <c r="I156" s="8"/>
      <c r="J156" s="9"/>
      <c r="K156" s="9"/>
      <c r="L156" s="10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11"/>
      <c r="AB156" s="11"/>
      <c r="AC156" s="4"/>
      <c r="AD156" s="4"/>
      <c r="AE156" s="4"/>
      <c r="AF156" s="4"/>
      <c r="AG156" s="4"/>
      <c r="AH156" s="12"/>
      <c r="AI156" s="12"/>
      <c r="AJ156" s="12"/>
      <c r="AK156" s="4"/>
    </row>
    <row r="157" ht="15.75" customHeight="1">
      <c r="F157" s="6"/>
      <c r="G157" s="6"/>
      <c r="H157" s="7"/>
      <c r="I157" s="8"/>
      <c r="J157" s="9"/>
      <c r="K157" s="9"/>
      <c r="L157" s="10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1"/>
      <c r="AB157" s="11"/>
      <c r="AC157" s="4"/>
      <c r="AD157" s="4"/>
      <c r="AE157" s="4"/>
      <c r="AF157" s="4"/>
      <c r="AG157" s="4"/>
      <c r="AH157" s="12"/>
      <c r="AI157" s="12"/>
      <c r="AJ157" s="12"/>
      <c r="AK157" s="4"/>
    </row>
    <row r="158" ht="15.75" customHeight="1">
      <c r="F158" s="6"/>
      <c r="G158" s="6"/>
      <c r="H158" s="7"/>
      <c r="I158" s="8"/>
      <c r="J158" s="9"/>
      <c r="K158" s="9"/>
      <c r="L158" s="10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1"/>
      <c r="AB158" s="11"/>
      <c r="AC158" s="4"/>
      <c r="AD158" s="4"/>
      <c r="AE158" s="4"/>
      <c r="AF158" s="4"/>
      <c r="AG158" s="4"/>
      <c r="AH158" s="12"/>
      <c r="AI158" s="12"/>
      <c r="AJ158" s="12"/>
      <c r="AK158" s="4"/>
    </row>
    <row r="159" ht="15.75" customHeight="1">
      <c r="F159" s="6"/>
      <c r="G159" s="6"/>
      <c r="H159" s="7"/>
      <c r="I159" s="8"/>
      <c r="J159" s="9"/>
      <c r="K159" s="9"/>
      <c r="L159" s="10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1"/>
      <c r="AB159" s="11"/>
      <c r="AC159" s="4"/>
      <c r="AD159" s="4"/>
      <c r="AE159" s="4"/>
      <c r="AF159" s="4"/>
      <c r="AG159" s="4"/>
      <c r="AH159" s="12"/>
      <c r="AI159" s="12"/>
      <c r="AJ159" s="12"/>
      <c r="AK159" s="4"/>
    </row>
    <row r="160" ht="15.75" customHeight="1">
      <c r="F160" s="6"/>
      <c r="G160" s="6"/>
      <c r="H160" s="7"/>
      <c r="I160" s="8"/>
      <c r="J160" s="9"/>
      <c r="K160" s="9"/>
      <c r="L160" s="10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11"/>
      <c r="AB160" s="11"/>
      <c r="AC160" s="4"/>
      <c r="AD160" s="4"/>
      <c r="AE160" s="4"/>
      <c r="AF160" s="4"/>
      <c r="AG160" s="4"/>
      <c r="AH160" s="12"/>
      <c r="AI160" s="12"/>
      <c r="AJ160" s="12"/>
      <c r="AK160" s="4"/>
    </row>
    <row r="161" ht="15.75" customHeight="1">
      <c r="F161" s="6"/>
      <c r="G161" s="6"/>
      <c r="H161" s="7"/>
      <c r="I161" s="8"/>
      <c r="J161" s="9"/>
      <c r="K161" s="9"/>
      <c r="L161" s="10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11"/>
      <c r="AB161" s="11"/>
      <c r="AC161" s="4"/>
      <c r="AD161" s="4"/>
      <c r="AE161" s="4"/>
      <c r="AF161" s="4"/>
      <c r="AG161" s="4"/>
      <c r="AH161" s="12"/>
      <c r="AI161" s="12"/>
      <c r="AJ161" s="12"/>
      <c r="AK161" s="4"/>
    </row>
    <row r="162" ht="15.75" customHeight="1">
      <c r="F162" s="6"/>
      <c r="G162" s="6"/>
      <c r="H162" s="7"/>
      <c r="I162" s="8"/>
      <c r="J162" s="9"/>
      <c r="K162" s="9"/>
      <c r="L162" s="10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11"/>
      <c r="AB162" s="11"/>
      <c r="AC162" s="4"/>
      <c r="AD162" s="4"/>
      <c r="AE162" s="4"/>
      <c r="AF162" s="4"/>
      <c r="AG162" s="4"/>
      <c r="AH162" s="12"/>
      <c r="AI162" s="12"/>
      <c r="AJ162" s="12"/>
      <c r="AK162" s="4"/>
    </row>
    <row r="163" ht="15.75" customHeight="1">
      <c r="F163" s="6"/>
      <c r="G163" s="6"/>
      <c r="H163" s="7"/>
      <c r="I163" s="8"/>
      <c r="J163" s="9"/>
      <c r="K163" s="9"/>
      <c r="L163" s="10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11"/>
      <c r="AB163" s="11"/>
      <c r="AC163" s="4"/>
      <c r="AD163" s="4"/>
      <c r="AE163" s="4"/>
      <c r="AF163" s="4"/>
      <c r="AG163" s="4"/>
      <c r="AH163" s="12"/>
      <c r="AI163" s="12"/>
      <c r="AJ163" s="12"/>
      <c r="AK163" s="4"/>
    </row>
    <row r="164" ht="15.75" customHeight="1">
      <c r="F164" s="6"/>
      <c r="G164" s="6"/>
      <c r="H164" s="7"/>
      <c r="I164" s="8"/>
      <c r="J164" s="9"/>
      <c r="K164" s="9"/>
      <c r="L164" s="10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11"/>
      <c r="AB164" s="11"/>
      <c r="AC164" s="4"/>
      <c r="AD164" s="4"/>
      <c r="AE164" s="4"/>
      <c r="AF164" s="4"/>
      <c r="AG164" s="4"/>
      <c r="AH164" s="12"/>
      <c r="AI164" s="12"/>
      <c r="AJ164" s="12"/>
      <c r="AK164" s="4"/>
    </row>
    <row r="165" ht="15.75" customHeight="1">
      <c r="F165" s="6"/>
      <c r="G165" s="6"/>
      <c r="H165" s="7"/>
      <c r="I165" s="8"/>
      <c r="J165" s="9"/>
      <c r="K165" s="9"/>
      <c r="L165" s="10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11"/>
      <c r="AB165" s="11"/>
      <c r="AC165" s="4"/>
      <c r="AD165" s="4"/>
      <c r="AE165" s="4"/>
      <c r="AF165" s="4"/>
      <c r="AG165" s="4"/>
      <c r="AH165" s="12"/>
      <c r="AI165" s="12"/>
      <c r="AJ165" s="12"/>
      <c r="AK165" s="4"/>
    </row>
    <row r="166" ht="15.75" customHeight="1">
      <c r="F166" s="6"/>
      <c r="G166" s="6"/>
      <c r="H166" s="7"/>
      <c r="I166" s="8"/>
      <c r="J166" s="9"/>
      <c r="K166" s="9"/>
      <c r="L166" s="10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11"/>
      <c r="AB166" s="11"/>
      <c r="AC166" s="4"/>
      <c r="AD166" s="4"/>
      <c r="AE166" s="4"/>
      <c r="AF166" s="4"/>
      <c r="AG166" s="4"/>
      <c r="AH166" s="12"/>
      <c r="AI166" s="12"/>
      <c r="AJ166" s="12"/>
      <c r="AK166" s="4"/>
    </row>
    <row r="167" ht="15.75" customHeight="1">
      <c r="F167" s="6"/>
      <c r="G167" s="6"/>
      <c r="H167" s="7"/>
      <c r="I167" s="8"/>
      <c r="J167" s="9"/>
      <c r="K167" s="9"/>
      <c r="L167" s="10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11"/>
      <c r="AB167" s="11"/>
      <c r="AC167" s="4"/>
      <c r="AD167" s="4"/>
      <c r="AE167" s="4"/>
      <c r="AF167" s="4"/>
      <c r="AG167" s="4"/>
      <c r="AH167" s="12"/>
      <c r="AI167" s="12"/>
      <c r="AJ167" s="12"/>
      <c r="AK167" s="4"/>
    </row>
    <row r="168" ht="15.75" customHeight="1">
      <c r="F168" s="6"/>
      <c r="G168" s="6"/>
      <c r="H168" s="7"/>
      <c r="I168" s="8"/>
      <c r="J168" s="9"/>
      <c r="K168" s="9"/>
      <c r="L168" s="10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11"/>
      <c r="AB168" s="11"/>
      <c r="AC168" s="4"/>
      <c r="AD168" s="4"/>
      <c r="AE168" s="4"/>
      <c r="AF168" s="4"/>
      <c r="AG168" s="4"/>
      <c r="AH168" s="12"/>
      <c r="AI168" s="12"/>
      <c r="AJ168" s="12"/>
      <c r="AK168" s="4"/>
    </row>
    <row r="169" ht="15.75" customHeight="1">
      <c r="F169" s="6"/>
      <c r="G169" s="6"/>
      <c r="H169" s="7"/>
      <c r="I169" s="8"/>
      <c r="J169" s="9"/>
      <c r="K169" s="9"/>
      <c r="L169" s="10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11"/>
      <c r="AB169" s="11"/>
      <c r="AC169" s="4"/>
      <c r="AD169" s="4"/>
      <c r="AE169" s="4"/>
      <c r="AF169" s="4"/>
      <c r="AG169" s="4"/>
      <c r="AH169" s="12"/>
      <c r="AI169" s="12"/>
      <c r="AJ169" s="12"/>
      <c r="AK169" s="4"/>
    </row>
    <row r="170" ht="15.75" customHeight="1">
      <c r="F170" s="6"/>
      <c r="G170" s="6"/>
      <c r="H170" s="7"/>
      <c r="I170" s="8"/>
      <c r="J170" s="9"/>
      <c r="K170" s="9"/>
      <c r="L170" s="10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11"/>
      <c r="AB170" s="11"/>
      <c r="AC170" s="4"/>
      <c r="AD170" s="4"/>
      <c r="AE170" s="4"/>
      <c r="AF170" s="4"/>
      <c r="AG170" s="4"/>
      <c r="AH170" s="12"/>
      <c r="AI170" s="12"/>
      <c r="AJ170" s="12"/>
      <c r="AK170" s="4"/>
    </row>
    <row r="171" ht="15.75" customHeight="1">
      <c r="F171" s="6"/>
      <c r="G171" s="6"/>
      <c r="H171" s="7"/>
      <c r="I171" s="8"/>
      <c r="J171" s="9"/>
      <c r="K171" s="9"/>
      <c r="L171" s="10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11"/>
      <c r="AB171" s="11"/>
      <c r="AC171" s="4"/>
      <c r="AD171" s="4"/>
      <c r="AE171" s="4"/>
      <c r="AF171" s="4"/>
      <c r="AG171" s="4"/>
      <c r="AH171" s="12"/>
      <c r="AI171" s="12"/>
      <c r="AJ171" s="12"/>
      <c r="AK171" s="4"/>
    </row>
    <row r="172" ht="15.75" customHeight="1">
      <c r="F172" s="6"/>
      <c r="G172" s="6"/>
      <c r="H172" s="7"/>
      <c r="I172" s="8"/>
      <c r="J172" s="9"/>
      <c r="K172" s="9"/>
      <c r="L172" s="10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11"/>
      <c r="AB172" s="11"/>
      <c r="AC172" s="4"/>
      <c r="AD172" s="4"/>
      <c r="AE172" s="4"/>
      <c r="AF172" s="4"/>
      <c r="AG172" s="4"/>
      <c r="AH172" s="12"/>
      <c r="AI172" s="12"/>
      <c r="AJ172" s="12"/>
      <c r="AK172" s="4"/>
    </row>
    <row r="173" ht="15.75" customHeight="1">
      <c r="F173" s="6"/>
      <c r="G173" s="6"/>
      <c r="H173" s="7"/>
      <c r="I173" s="8"/>
      <c r="J173" s="9"/>
      <c r="K173" s="9"/>
      <c r="L173" s="10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11"/>
      <c r="AB173" s="11"/>
      <c r="AC173" s="4"/>
      <c r="AD173" s="4"/>
      <c r="AE173" s="4"/>
      <c r="AF173" s="4"/>
      <c r="AG173" s="4"/>
      <c r="AH173" s="12"/>
      <c r="AI173" s="12"/>
      <c r="AJ173" s="12"/>
      <c r="AK173" s="4"/>
    </row>
    <row r="174" ht="15.75" customHeight="1">
      <c r="F174" s="6"/>
      <c r="G174" s="6"/>
      <c r="H174" s="7"/>
      <c r="I174" s="8"/>
      <c r="J174" s="9"/>
      <c r="K174" s="9"/>
      <c r="L174" s="10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11"/>
      <c r="AB174" s="11"/>
      <c r="AC174" s="4"/>
      <c r="AD174" s="4"/>
      <c r="AE174" s="4"/>
      <c r="AF174" s="4"/>
      <c r="AG174" s="4"/>
      <c r="AH174" s="12"/>
      <c r="AI174" s="12"/>
      <c r="AJ174" s="12"/>
      <c r="AK174" s="4"/>
    </row>
    <row r="175" ht="15.75" customHeight="1">
      <c r="F175" s="6"/>
      <c r="G175" s="6"/>
      <c r="H175" s="7"/>
      <c r="I175" s="8"/>
      <c r="J175" s="9"/>
      <c r="K175" s="9"/>
      <c r="L175" s="10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11"/>
      <c r="AB175" s="11"/>
      <c r="AC175" s="4"/>
      <c r="AD175" s="4"/>
      <c r="AE175" s="4"/>
      <c r="AF175" s="4"/>
      <c r="AG175" s="4"/>
      <c r="AH175" s="12"/>
      <c r="AI175" s="12"/>
      <c r="AJ175" s="12"/>
      <c r="AK175" s="4"/>
    </row>
    <row r="176" ht="15.75" customHeight="1">
      <c r="F176" s="6"/>
      <c r="G176" s="6"/>
      <c r="H176" s="7"/>
      <c r="I176" s="8"/>
      <c r="J176" s="9"/>
      <c r="K176" s="9"/>
      <c r="L176" s="10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11"/>
      <c r="AB176" s="11"/>
      <c r="AC176" s="4"/>
      <c r="AD176" s="4"/>
      <c r="AE176" s="4"/>
      <c r="AF176" s="4"/>
      <c r="AG176" s="4"/>
      <c r="AH176" s="12"/>
      <c r="AI176" s="12"/>
      <c r="AJ176" s="12"/>
      <c r="AK176" s="4"/>
    </row>
    <row r="177" ht="15.75" customHeight="1">
      <c r="F177" s="6"/>
      <c r="G177" s="6"/>
      <c r="H177" s="7"/>
      <c r="I177" s="8"/>
      <c r="J177" s="9"/>
      <c r="K177" s="9"/>
      <c r="L177" s="10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11"/>
      <c r="AB177" s="11"/>
      <c r="AC177" s="4"/>
      <c r="AD177" s="4"/>
      <c r="AE177" s="4"/>
      <c r="AF177" s="4"/>
      <c r="AG177" s="4"/>
      <c r="AH177" s="12"/>
      <c r="AI177" s="12"/>
      <c r="AJ177" s="12"/>
      <c r="AK177" s="4"/>
    </row>
    <row r="178" ht="15.75" customHeight="1">
      <c r="F178" s="6"/>
      <c r="G178" s="6"/>
      <c r="H178" s="7"/>
      <c r="I178" s="8"/>
      <c r="J178" s="9"/>
      <c r="K178" s="9"/>
      <c r="L178" s="10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11"/>
      <c r="AB178" s="11"/>
      <c r="AC178" s="4"/>
      <c r="AD178" s="4"/>
      <c r="AE178" s="4"/>
      <c r="AF178" s="4"/>
      <c r="AG178" s="4"/>
      <c r="AH178" s="12"/>
      <c r="AI178" s="12"/>
      <c r="AJ178" s="12"/>
      <c r="AK178" s="4"/>
    </row>
    <row r="179" ht="15.75" customHeight="1">
      <c r="F179" s="6"/>
      <c r="G179" s="6"/>
      <c r="H179" s="7"/>
      <c r="I179" s="8"/>
      <c r="J179" s="9"/>
      <c r="K179" s="9"/>
      <c r="L179" s="10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11"/>
      <c r="AB179" s="11"/>
      <c r="AC179" s="4"/>
      <c r="AD179" s="4"/>
      <c r="AE179" s="4"/>
      <c r="AF179" s="4"/>
      <c r="AG179" s="4"/>
      <c r="AH179" s="12"/>
      <c r="AI179" s="12"/>
      <c r="AJ179" s="12"/>
      <c r="AK179" s="4"/>
    </row>
    <row r="180" ht="15.75" customHeight="1">
      <c r="F180" s="6"/>
      <c r="G180" s="6"/>
      <c r="H180" s="7"/>
      <c r="I180" s="8"/>
      <c r="J180" s="9"/>
      <c r="K180" s="9"/>
      <c r="L180" s="10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11"/>
      <c r="AB180" s="11"/>
      <c r="AC180" s="4"/>
      <c r="AD180" s="4"/>
      <c r="AE180" s="4"/>
      <c r="AF180" s="4"/>
      <c r="AG180" s="4"/>
      <c r="AH180" s="12"/>
      <c r="AI180" s="12"/>
      <c r="AJ180" s="12"/>
      <c r="AK180" s="4"/>
    </row>
    <row r="181" ht="15.75" customHeight="1">
      <c r="F181" s="6"/>
      <c r="G181" s="6"/>
      <c r="H181" s="7"/>
      <c r="I181" s="8"/>
      <c r="J181" s="9"/>
      <c r="K181" s="9"/>
      <c r="L181" s="10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11"/>
      <c r="AB181" s="11"/>
      <c r="AC181" s="4"/>
      <c r="AD181" s="4"/>
      <c r="AE181" s="4"/>
      <c r="AF181" s="4"/>
      <c r="AG181" s="4"/>
      <c r="AH181" s="12"/>
      <c r="AI181" s="12"/>
      <c r="AJ181" s="12"/>
      <c r="AK181" s="4"/>
    </row>
    <row r="182" ht="15.75" customHeight="1">
      <c r="F182" s="6"/>
      <c r="G182" s="6"/>
      <c r="H182" s="7"/>
      <c r="I182" s="8"/>
      <c r="J182" s="9"/>
      <c r="K182" s="9"/>
      <c r="L182" s="10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11"/>
      <c r="AB182" s="11"/>
      <c r="AC182" s="4"/>
      <c r="AD182" s="4"/>
      <c r="AE182" s="4"/>
      <c r="AF182" s="4"/>
      <c r="AG182" s="4"/>
      <c r="AH182" s="12"/>
      <c r="AI182" s="12"/>
      <c r="AJ182" s="12"/>
      <c r="AK182" s="4"/>
    </row>
    <row r="183" ht="15.75" customHeight="1">
      <c r="F183" s="6"/>
      <c r="G183" s="6"/>
      <c r="H183" s="7"/>
      <c r="I183" s="8"/>
      <c r="J183" s="9"/>
      <c r="K183" s="9"/>
      <c r="L183" s="10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11"/>
      <c r="AB183" s="11"/>
      <c r="AC183" s="4"/>
      <c r="AD183" s="4"/>
      <c r="AE183" s="4"/>
      <c r="AF183" s="4"/>
      <c r="AG183" s="4"/>
      <c r="AH183" s="12"/>
      <c r="AI183" s="12"/>
      <c r="AJ183" s="12"/>
      <c r="AK183" s="4"/>
    </row>
    <row r="184" ht="15.75" customHeight="1">
      <c r="F184" s="6"/>
      <c r="G184" s="6"/>
      <c r="H184" s="7"/>
      <c r="I184" s="8"/>
      <c r="J184" s="9"/>
      <c r="K184" s="9"/>
      <c r="L184" s="10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11"/>
      <c r="AB184" s="11"/>
      <c r="AC184" s="4"/>
      <c r="AD184" s="4"/>
      <c r="AE184" s="4"/>
      <c r="AF184" s="4"/>
      <c r="AG184" s="4"/>
      <c r="AH184" s="12"/>
      <c r="AI184" s="12"/>
      <c r="AJ184" s="12"/>
      <c r="AK184" s="4"/>
    </row>
    <row r="185" ht="15.75" customHeight="1">
      <c r="F185" s="6"/>
      <c r="G185" s="6"/>
      <c r="H185" s="7"/>
      <c r="I185" s="8"/>
      <c r="J185" s="9"/>
      <c r="K185" s="9"/>
      <c r="L185" s="10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11"/>
      <c r="AB185" s="11"/>
      <c r="AC185" s="4"/>
      <c r="AD185" s="4"/>
      <c r="AE185" s="4"/>
      <c r="AF185" s="4"/>
      <c r="AG185" s="4"/>
      <c r="AH185" s="12"/>
      <c r="AI185" s="12"/>
      <c r="AJ185" s="12"/>
      <c r="AK185" s="4"/>
    </row>
    <row r="186" ht="15.75" customHeight="1">
      <c r="F186" s="6"/>
      <c r="G186" s="6"/>
      <c r="H186" s="7"/>
      <c r="I186" s="8"/>
      <c r="J186" s="9"/>
      <c r="K186" s="9"/>
      <c r="L186" s="10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11"/>
      <c r="AB186" s="11"/>
      <c r="AC186" s="4"/>
      <c r="AD186" s="4"/>
      <c r="AE186" s="4"/>
      <c r="AF186" s="4"/>
      <c r="AG186" s="4"/>
      <c r="AH186" s="12"/>
      <c r="AI186" s="12"/>
      <c r="AJ186" s="12"/>
      <c r="AK186" s="4"/>
    </row>
    <row r="187" ht="15.75" customHeight="1">
      <c r="F187" s="6"/>
      <c r="G187" s="6"/>
      <c r="H187" s="7"/>
      <c r="I187" s="8"/>
      <c r="J187" s="9"/>
      <c r="K187" s="9"/>
      <c r="L187" s="10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11"/>
      <c r="AB187" s="11"/>
      <c r="AC187" s="4"/>
      <c r="AD187" s="4"/>
      <c r="AE187" s="4"/>
      <c r="AF187" s="4"/>
      <c r="AG187" s="4"/>
      <c r="AH187" s="12"/>
      <c r="AI187" s="12"/>
      <c r="AJ187" s="12"/>
      <c r="AK187" s="4"/>
    </row>
    <row r="188" ht="15.75" customHeight="1">
      <c r="F188" s="6"/>
      <c r="G188" s="6"/>
      <c r="H188" s="7"/>
      <c r="I188" s="8"/>
      <c r="J188" s="9"/>
      <c r="K188" s="9"/>
      <c r="L188" s="10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11"/>
      <c r="AB188" s="11"/>
      <c r="AC188" s="4"/>
      <c r="AD188" s="4"/>
      <c r="AE188" s="4"/>
      <c r="AF188" s="4"/>
      <c r="AG188" s="4"/>
      <c r="AH188" s="12"/>
      <c r="AI188" s="12"/>
      <c r="AJ188" s="12"/>
      <c r="AK188" s="4"/>
    </row>
    <row r="189" ht="15.75" customHeight="1">
      <c r="F189" s="6"/>
      <c r="G189" s="6"/>
      <c r="H189" s="7"/>
      <c r="I189" s="8"/>
      <c r="J189" s="9"/>
      <c r="K189" s="9"/>
      <c r="L189" s="10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11"/>
      <c r="AB189" s="11"/>
      <c r="AC189" s="4"/>
      <c r="AD189" s="4"/>
      <c r="AE189" s="4"/>
      <c r="AF189" s="4"/>
      <c r="AG189" s="4"/>
      <c r="AH189" s="12"/>
      <c r="AI189" s="12"/>
      <c r="AJ189" s="12"/>
      <c r="AK189" s="4"/>
    </row>
    <row r="190" ht="15.75" customHeight="1">
      <c r="F190" s="6"/>
      <c r="G190" s="6"/>
      <c r="H190" s="7"/>
      <c r="I190" s="8"/>
      <c r="J190" s="9"/>
      <c r="K190" s="9"/>
      <c r="L190" s="10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11"/>
      <c r="AB190" s="11"/>
      <c r="AC190" s="4"/>
      <c r="AD190" s="4"/>
      <c r="AE190" s="4"/>
      <c r="AF190" s="4"/>
      <c r="AG190" s="4"/>
      <c r="AH190" s="12"/>
      <c r="AI190" s="12"/>
      <c r="AJ190" s="12"/>
      <c r="AK190" s="4"/>
    </row>
    <row r="191" ht="15.75" customHeight="1">
      <c r="F191" s="6"/>
      <c r="G191" s="6"/>
      <c r="H191" s="7"/>
      <c r="I191" s="8"/>
      <c r="J191" s="9"/>
      <c r="K191" s="9"/>
      <c r="L191" s="10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11"/>
      <c r="AB191" s="11"/>
      <c r="AC191" s="4"/>
      <c r="AD191" s="4"/>
      <c r="AE191" s="4"/>
      <c r="AF191" s="4"/>
      <c r="AG191" s="4"/>
      <c r="AH191" s="12"/>
      <c r="AI191" s="12"/>
      <c r="AJ191" s="12"/>
      <c r="AK191" s="4"/>
    </row>
    <row r="192" ht="15.75" customHeight="1">
      <c r="F192" s="6"/>
      <c r="G192" s="6"/>
      <c r="H192" s="7"/>
      <c r="I192" s="8"/>
      <c r="J192" s="9"/>
      <c r="K192" s="9"/>
      <c r="L192" s="10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11"/>
      <c r="AB192" s="11"/>
      <c r="AC192" s="4"/>
      <c r="AD192" s="4"/>
      <c r="AE192" s="4"/>
      <c r="AF192" s="4"/>
      <c r="AG192" s="4"/>
      <c r="AH192" s="12"/>
      <c r="AI192" s="12"/>
      <c r="AJ192" s="12"/>
      <c r="AK192" s="4"/>
    </row>
    <row r="193" ht="15.75" customHeight="1">
      <c r="F193" s="6"/>
      <c r="G193" s="6"/>
      <c r="H193" s="7"/>
      <c r="I193" s="8"/>
      <c r="J193" s="9"/>
      <c r="K193" s="9"/>
      <c r="L193" s="10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11"/>
      <c r="AB193" s="11"/>
      <c r="AC193" s="4"/>
      <c r="AD193" s="4"/>
      <c r="AE193" s="4"/>
      <c r="AF193" s="4"/>
      <c r="AG193" s="4"/>
      <c r="AH193" s="12"/>
      <c r="AI193" s="12"/>
      <c r="AJ193" s="12"/>
      <c r="AK193" s="4"/>
    </row>
    <row r="194" ht="15.75" customHeight="1">
      <c r="F194" s="6"/>
      <c r="G194" s="6"/>
      <c r="H194" s="7"/>
      <c r="I194" s="8"/>
      <c r="J194" s="9"/>
      <c r="K194" s="9"/>
      <c r="L194" s="10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11"/>
      <c r="AB194" s="11"/>
      <c r="AC194" s="4"/>
      <c r="AD194" s="4"/>
      <c r="AE194" s="4"/>
      <c r="AF194" s="4"/>
      <c r="AG194" s="4"/>
      <c r="AH194" s="12"/>
      <c r="AI194" s="12"/>
      <c r="AJ194" s="12"/>
      <c r="AK194" s="4"/>
    </row>
    <row r="195" ht="15.75" customHeight="1">
      <c r="F195" s="6"/>
      <c r="G195" s="6"/>
      <c r="H195" s="7"/>
      <c r="I195" s="8"/>
      <c r="J195" s="9"/>
      <c r="K195" s="9"/>
      <c r="L195" s="10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11"/>
      <c r="AB195" s="11"/>
      <c r="AC195" s="4"/>
      <c r="AD195" s="4"/>
      <c r="AE195" s="4"/>
      <c r="AF195" s="4"/>
      <c r="AG195" s="4"/>
      <c r="AH195" s="12"/>
      <c r="AI195" s="12"/>
      <c r="AJ195" s="12"/>
      <c r="AK195" s="4"/>
    </row>
    <row r="196" ht="15.75" customHeight="1">
      <c r="F196" s="6"/>
      <c r="G196" s="6"/>
      <c r="H196" s="7"/>
      <c r="I196" s="8"/>
      <c r="J196" s="9"/>
      <c r="K196" s="9"/>
      <c r="L196" s="10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11"/>
      <c r="AB196" s="11"/>
      <c r="AC196" s="4"/>
      <c r="AD196" s="4"/>
      <c r="AE196" s="4"/>
      <c r="AF196" s="4"/>
      <c r="AG196" s="4"/>
      <c r="AH196" s="12"/>
      <c r="AI196" s="12"/>
      <c r="AJ196" s="12"/>
      <c r="AK196" s="4"/>
    </row>
    <row r="197" ht="15.75" customHeight="1">
      <c r="F197" s="6"/>
      <c r="G197" s="6"/>
      <c r="H197" s="7"/>
      <c r="I197" s="8"/>
      <c r="J197" s="9"/>
      <c r="K197" s="9"/>
      <c r="L197" s="10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11"/>
      <c r="AB197" s="11"/>
      <c r="AC197" s="4"/>
      <c r="AD197" s="4"/>
      <c r="AE197" s="4"/>
      <c r="AF197" s="4"/>
      <c r="AG197" s="4"/>
      <c r="AH197" s="12"/>
      <c r="AI197" s="12"/>
      <c r="AJ197" s="12"/>
      <c r="AK197" s="4"/>
    </row>
    <row r="198" ht="15.75" customHeight="1">
      <c r="F198" s="6"/>
      <c r="G198" s="6"/>
      <c r="H198" s="7"/>
      <c r="I198" s="8"/>
      <c r="J198" s="9"/>
      <c r="K198" s="9"/>
      <c r="L198" s="10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11"/>
      <c r="AB198" s="11"/>
      <c r="AC198" s="4"/>
      <c r="AD198" s="4"/>
      <c r="AE198" s="4"/>
      <c r="AF198" s="4"/>
      <c r="AG198" s="4"/>
      <c r="AH198" s="12"/>
      <c r="AI198" s="12"/>
      <c r="AJ198" s="12"/>
      <c r="AK198" s="4"/>
    </row>
    <row r="199" ht="15.75" customHeight="1">
      <c r="F199" s="6"/>
      <c r="G199" s="6"/>
      <c r="H199" s="7"/>
      <c r="I199" s="8"/>
      <c r="J199" s="9"/>
      <c r="K199" s="9"/>
      <c r="L199" s="10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11"/>
      <c r="AB199" s="11"/>
      <c r="AC199" s="4"/>
      <c r="AD199" s="4"/>
      <c r="AE199" s="4"/>
      <c r="AF199" s="4"/>
      <c r="AG199" s="4"/>
      <c r="AH199" s="12"/>
      <c r="AI199" s="12"/>
      <c r="AJ199" s="12"/>
      <c r="AK199" s="4"/>
    </row>
    <row r="200" ht="15.75" customHeight="1">
      <c r="F200" s="6"/>
      <c r="G200" s="6"/>
      <c r="H200" s="7"/>
      <c r="I200" s="8"/>
      <c r="J200" s="9"/>
      <c r="K200" s="9"/>
      <c r="L200" s="10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11"/>
      <c r="AB200" s="11"/>
      <c r="AC200" s="4"/>
      <c r="AD200" s="4"/>
      <c r="AE200" s="4"/>
      <c r="AF200" s="4"/>
      <c r="AG200" s="4"/>
      <c r="AH200" s="12"/>
      <c r="AI200" s="12"/>
      <c r="AJ200" s="12"/>
      <c r="AK200" s="4"/>
    </row>
    <row r="201" ht="15.75" customHeight="1">
      <c r="F201" s="6"/>
      <c r="G201" s="6"/>
      <c r="H201" s="7"/>
      <c r="I201" s="8"/>
      <c r="J201" s="9"/>
      <c r="K201" s="9"/>
      <c r="L201" s="10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11"/>
      <c r="AB201" s="11"/>
      <c r="AC201" s="4"/>
      <c r="AD201" s="4"/>
      <c r="AE201" s="4"/>
      <c r="AF201" s="4"/>
      <c r="AG201" s="4"/>
      <c r="AH201" s="12"/>
      <c r="AI201" s="12"/>
      <c r="AJ201" s="12"/>
      <c r="AK201" s="4"/>
    </row>
    <row r="202" ht="15.75" customHeight="1">
      <c r="F202" s="6"/>
      <c r="G202" s="6"/>
      <c r="H202" s="7"/>
      <c r="I202" s="8"/>
      <c r="J202" s="9"/>
      <c r="K202" s="9"/>
      <c r="L202" s="10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11"/>
      <c r="AB202" s="11"/>
      <c r="AC202" s="4"/>
      <c r="AD202" s="4"/>
      <c r="AE202" s="4"/>
      <c r="AF202" s="4"/>
      <c r="AG202" s="4"/>
      <c r="AH202" s="12"/>
      <c r="AI202" s="12"/>
      <c r="AJ202" s="12"/>
      <c r="AK202" s="4"/>
    </row>
    <row r="203" ht="15.75" customHeight="1">
      <c r="F203" s="6"/>
      <c r="G203" s="6"/>
      <c r="H203" s="7"/>
      <c r="I203" s="8"/>
      <c r="J203" s="9"/>
      <c r="K203" s="9"/>
      <c r="L203" s="10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11"/>
      <c r="AB203" s="11"/>
      <c r="AC203" s="4"/>
      <c r="AD203" s="4"/>
      <c r="AE203" s="4"/>
      <c r="AF203" s="4"/>
      <c r="AG203" s="4"/>
      <c r="AH203" s="12"/>
      <c r="AI203" s="12"/>
      <c r="AJ203" s="12"/>
      <c r="AK203" s="4"/>
    </row>
    <row r="204" ht="15.75" customHeight="1">
      <c r="F204" s="6"/>
      <c r="G204" s="6"/>
      <c r="H204" s="7"/>
      <c r="I204" s="8"/>
      <c r="J204" s="9"/>
      <c r="K204" s="9"/>
      <c r="L204" s="10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11"/>
      <c r="AB204" s="11"/>
      <c r="AC204" s="4"/>
      <c r="AD204" s="4"/>
      <c r="AE204" s="4"/>
      <c r="AF204" s="4"/>
      <c r="AG204" s="4"/>
      <c r="AH204" s="12"/>
      <c r="AI204" s="12"/>
      <c r="AJ204" s="12"/>
      <c r="AK204" s="4"/>
    </row>
    <row r="205" ht="15.75" customHeight="1">
      <c r="F205" s="6"/>
      <c r="G205" s="6"/>
      <c r="H205" s="7"/>
      <c r="I205" s="8"/>
      <c r="J205" s="9"/>
      <c r="K205" s="9"/>
      <c r="L205" s="10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11"/>
      <c r="AB205" s="11"/>
      <c r="AC205" s="4"/>
      <c r="AD205" s="4"/>
      <c r="AE205" s="4"/>
      <c r="AF205" s="4"/>
      <c r="AG205" s="4"/>
      <c r="AH205" s="12"/>
      <c r="AI205" s="12"/>
      <c r="AJ205" s="12"/>
      <c r="AK205" s="4"/>
    </row>
    <row r="206" ht="15.75" customHeight="1">
      <c r="F206" s="6"/>
      <c r="G206" s="6"/>
      <c r="H206" s="7"/>
      <c r="I206" s="8"/>
      <c r="J206" s="9"/>
      <c r="K206" s="9"/>
      <c r="L206" s="10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11"/>
      <c r="AB206" s="11"/>
      <c r="AC206" s="4"/>
      <c r="AD206" s="4"/>
      <c r="AE206" s="4"/>
      <c r="AF206" s="4"/>
      <c r="AG206" s="4"/>
      <c r="AH206" s="12"/>
      <c r="AI206" s="12"/>
      <c r="AJ206" s="12"/>
      <c r="AK206" s="4"/>
    </row>
    <row r="207" ht="15.75" customHeight="1">
      <c r="F207" s="6"/>
      <c r="G207" s="6"/>
      <c r="H207" s="7"/>
      <c r="I207" s="8"/>
      <c r="J207" s="9"/>
      <c r="K207" s="9"/>
      <c r="L207" s="10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11"/>
      <c r="AB207" s="11"/>
      <c r="AC207" s="4"/>
      <c r="AD207" s="4"/>
      <c r="AE207" s="4"/>
      <c r="AF207" s="4"/>
      <c r="AG207" s="4"/>
      <c r="AH207" s="12"/>
      <c r="AI207" s="12"/>
      <c r="AJ207" s="12"/>
      <c r="AK207" s="4"/>
    </row>
    <row r="208" ht="15.75" customHeight="1">
      <c r="F208" s="6"/>
      <c r="G208" s="6"/>
      <c r="H208" s="7"/>
      <c r="I208" s="8"/>
      <c r="J208" s="9"/>
      <c r="K208" s="9"/>
      <c r="L208" s="10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11"/>
      <c r="AB208" s="11"/>
      <c r="AC208" s="4"/>
      <c r="AD208" s="4"/>
      <c r="AE208" s="4"/>
      <c r="AF208" s="4"/>
      <c r="AG208" s="4"/>
      <c r="AH208" s="12"/>
      <c r="AI208" s="12"/>
      <c r="AJ208" s="12"/>
      <c r="AK208" s="4"/>
    </row>
    <row r="209" ht="15.75" customHeight="1">
      <c r="F209" s="6"/>
      <c r="G209" s="6"/>
      <c r="H209" s="7"/>
      <c r="I209" s="8"/>
      <c r="J209" s="9"/>
      <c r="K209" s="9"/>
      <c r="L209" s="10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11"/>
      <c r="AB209" s="11"/>
      <c r="AC209" s="4"/>
      <c r="AD209" s="4"/>
      <c r="AE209" s="4"/>
      <c r="AF209" s="4"/>
      <c r="AG209" s="4"/>
      <c r="AH209" s="12"/>
      <c r="AI209" s="12"/>
      <c r="AJ209" s="12"/>
      <c r="AK209" s="4"/>
    </row>
    <row r="210" ht="15.75" customHeight="1">
      <c r="F210" s="6"/>
      <c r="G210" s="6"/>
      <c r="H210" s="7"/>
      <c r="I210" s="8"/>
      <c r="J210" s="9"/>
      <c r="K210" s="9"/>
      <c r="L210" s="10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11"/>
      <c r="AB210" s="11"/>
      <c r="AC210" s="4"/>
      <c r="AD210" s="4"/>
      <c r="AE210" s="4"/>
      <c r="AF210" s="4"/>
      <c r="AG210" s="4"/>
      <c r="AH210" s="12"/>
      <c r="AI210" s="12"/>
      <c r="AJ210" s="12"/>
      <c r="AK210" s="4"/>
    </row>
    <row r="211" ht="15.75" customHeight="1">
      <c r="F211" s="6"/>
      <c r="G211" s="6"/>
      <c r="H211" s="7"/>
      <c r="I211" s="8"/>
      <c r="J211" s="9"/>
      <c r="K211" s="9"/>
      <c r="L211" s="10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11"/>
      <c r="AB211" s="11"/>
      <c r="AC211" s="4"/>
      <c r="AD211" s="4"/>
      <c r="AE211" s="4"/>
      <c r="AF211" s="4"/>
      <c r="AG211" s="4"/>
      <c r="AH211" s="12"/>
      <c r="AI211" s="12"/>
      <c r="AJ211" s="12"/>
      <c r="AK211" s="4"/>
    </row>
    <row r="212" ht="15.75" customHeight="1">
      <c r="F212" s="6"/>
      <c r="G212" s="6"/>
      <c r="H212" s="7"/>
      <c r="I212" s="8"/>
      <c r="J212" s="9"/>
      <c r="K212" s="9"/>
      <c r="L212" s="10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11"/>
      <c r="AB212" s="11"/>
      <c r="AC212" s="4"/>
      <c r="AD212" s="4"/>
      <c r="AE212" s="4"/>
      <c r="AF212" s="4"/>
      <c r="AG212" s="4"/>
      <c r="AH212" s="12"/>
      <c r="AI212" s="12"/>
      <c r="AJ212" s="12"/>
      <c r="AK212" s="4"/>
    </row>
    <row r="213" ht="15.75" customHeight="1">
      <c r="F213" s="6"/>
      <c r="G213" s="6"/>
      <c r="H213" s="7"/>
      <c r="I213" s="8"/>
      <c r="J213" s="9"/>
      <c r="K213" s="9"/>
      <c r="L213" s="10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11"/>
      <c r="AB213" s="11"/>
      <c r="AC213" s="4"/>
      <c r="AD213" s="4"/>
      <c r="AE213" s="4"/>
      <c r="AF213" s="4"/>
      <c r="AG213" s="4"/>
      <c r="AH213" s="12"/>
      <c r="AI213" s="12"/>
      <c r="AJ213" s="12"/>
      <c r="AK213" s="4"/>
    </row>
    <row r="214" ht="15.75" customHeight="1">
      <c r="F214" s="6"/>
      <c r="G214" s="6"/>
      <c r="H214" s="7"/>
      <c r="I214" s="8"/>
      <c r="J214" s="9"/>
      <c r="K214" s="9"/>
      <c r="L214" s="10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11"/>
      <c r="AB214" s="11"/>
      <c r="AC214" s="4"/>
      <c r="AD214" s="4"/>
      <c r="AE214" s="4"/>
      <c r="AF214" s="4"/>
      <c r="AG214" s="4"/>
      <c r="AH214" s="12"/>
      <c r="AI214" s="12"/>
      <c r="AJ214" s="12"/>
      <c r="AK214" s="4"/>
    </row>
    <row r="215" ht="15.75" customHeight="1">
      <c r="F215" s="6"/>
      <c r="G215" s="6"/>
      <c r="H215" s="7"/>
      <c r="I215" s="8"/>
      <c r="J215" s="9"/>
      <c r="K215" s="9"/>
      <c r="L215" s="10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11"/>
      <c r="AB215" s="11"/>
      <c r="AC215" s="4"/>
      <c r="AD215" s="4"/>
      <c r="AE215" s="4"/>
      <c r="AF215" s="4"/>
      <c r="AG215" s="4"/>
      <c r="AH215" s="12"/>
      <c r="AI215" s="12"/>
      <c r="AJ215" s="12"/>
      <c r="AK215" s="4"/>
    </row>
    <row r="216" ht="15.75" customHeight="1">
      <c r="F216" s="6"/>
      <c r="G216" s="6"/>
      <c r="H216" s="7"/>
      <c r="I216" s="8"/>
      <c r="J216" s="9"/>
      <c r="K216" s="9"/>
      <c r="L216" s="10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11"/>
      <c r="AB216" s="11"/>
      <c r="AC216" s="4"/>
      <c r="AD216" s="4"/>
      <c r="AE216" s="4"/>
      <c r="AF216" s="4"/>
      <c r="AG216" s="4"/>
      <c r="AH216" s="12"/>
      <c r="AI216" s="12"/>
      <c r="AJ216" s="12"/>
      <c r="AK216" s="4"/>
    </row>
    <row r="217" ht="15.75" customHeight="1">
      <c r="F217" s="6"/>
      <c r="G217" s="6"/>
      <c r="H217" s="7"/>
      <c r="I217" s="8"/>
      <c r="J217" s="9"/>
      <c r="K217" s="9"/>
      <c r="L217" s="10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11"/>
      <c r="AB217" s="11"/>
      <c r="AC217" s="4"/>
      <c r="AD217" s="4"/>
      <c r="AE217" s="4"/>
      <c r="AF217" s="4"/>
      <c r="AG217" s="4"/>
      <c r="AH217" s="12"/>
      <c r="AI217" s="12"/>
      <c r="AJ217" s="12"/>
      <c r="AK217" s="4"/>
    </row>
    <row r="218" ht="15.75" customHeight="1">
      <c r="F218" s="6"/>
      <c r="G218" s="6"/>
      <c r="H218" s="7"/>
      <c r="I218" s="8"/>
      <c r="J218" s="9"/>
      <c r="K218" s="9"/>
      <c r="L218" s="10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11"/>
      <c r="AB218" s="11"/>
      <c r="AC218" s="4"/>
      <c r="AD218" s="4"/>
      <c r="AE218" s="4"/>
      <c r="AF218" s="4"/>
      <c r="AG218" s="4"/>
      <c r="AH218" s="12"/>
      <c r="AI218" s="12"/>
      <c r="AJ218" s="12"/>
      <c r="AK218" s="4"/>
    </row>
    <row r="219" ht="15.75" customHeight="1">
      <c r="F219" s="6"/>
      <c r="G219" s="6"/>
      <c r="H219" s="7"/>
      <c r="I219" s="8"/>
      <c r="J219" s="9"/>
      <c r="K219" s="9"/>
      <c r="L219" s="10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11"/>
      <c r="AB219" s="11"/>
      <c r="AC219" s="4"/>
      <c r="AD219" s="4"/>
      <c r="AE219" s="4"/>
      <c r="AF219" s="4"/>
      <c r="AG219" s="4"/>
      <c r="AH219" s="12"/>
      <c r="AI219" s="12"/>
      <c r="AJ219" s="12"/>
      <c r="AK219" s="4"/>
    </row>
    <row r="220" ht="15.75" customHeight="1">
      <c r="F220" s="6"/>
      <c r="G220" s="6"/>
      <c r="H220" s="7"/>
      <c r="I220" s="8"/>
      <c r="J220" s="9"/>
      <c r="K220" s="9"/>
      <c r="L220" s="10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11"/>
      <c r="AB220" s="11"/>
      <c r="AC220" s="4"/>
      <c r="AD220" s="4"/>
      <c r="AE220" s="4"/>
      <c r="AF220" s="4"/>
      <c r="AG220" s="4"/>
      <c r="AH220" s="12"/>
      <c r="AI220" s="12"/>
      <c r="AJ220" s="12"/>
      <c r="AK220" s="4"/>
    </row>
    <row r="221" ht="15.75" customHeight="1">
      <c r="F221" s="6"/>
      <c r="G221" s="6"/>
      <c r="H221" s="7"/>
      <c r="I221" s="8"/>
      <c r="J221" s="9"/>
      <c r="K221" s="9"/>
      <c r="L221" s="10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11"/>
      <c r="AB221" s="11"/>
      <c r="AC221" s="4"/>
      <c r="AD221" s="4"/>
      <c r="AE221" s="4"/>
      <c r="AF221" s="4"/>
      <c r="AG221" s="4"/>
      <c r="AH221" s="12"/>
      <c r="AI221" s="12"/>
      <c r="AJ221" s="12"/>
      <c r="AK221" s="4"/>
    </row>
    <row r="222" ht="15.75" customHeight="1">
      <c r="F222" s="6"/>
      <c r="G222" s="6"/>
      <c r="H222" s="7"/>
      <c r="I222" s="8"/>
      <c r="J222" s="9"/>
      <c r="K222" s="9"/>
      <c r="L222" s="10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11"/>
      <c r="AB222" s="11"/>
      <c r="AC222" s="4"/>
      <c r="AD222" s="4"/>
      <c r="AE222" s="4"/>
      <c r="AF222" s="4"/>
      <c r="AG222" s="4"/>
      <c r="AH222" s="12"/>
      <c r="AI222" s="12"/>
      <c r="AJ222" s="12"/>
      <c r="AK222" s="4"/>
    </row>
    <row r="223" ht="15.75" customHeight="1">
      <c r="F223" s="6"/>
      <c r="G223" s="6"/>
      <c r="H223" s="7"/>
      <c r="I223" s="8"/>
      <c r="J223" s="9"/>
      <c r="K223" s="9"/>
      <c r="L223" s="10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11"/>
      <c r="AB223" s="11"/>
      <c r="AC223" s="4"/>
      <c r="AD223" s="4"/>
      <c r="AE223" s="4"/>
      <c r="AF223" s="4"/>
      <c r="AG223" s="4"/>
      <c r="AH223" s="12"/>
      <c r="AI223" s="12"/>
      <c r="AJ223" s="12"/>
      <c r="AK223" s="4"/>
    </row>
    <row r="224" ht="15.75" customHeight="1">
      <c r="F224" s="6"/>
      <c r="G224" s="6"/>
      <c r="H224" s="7"/>
      <c r="I224" s="8"/>
      <c r="J224" s="9"/>
      <c r="K224" s="9"/>
      <c r="L224" s="10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11"/>
      <c r="AB224" s="11"/>
      <c r="AC224" s="4"/>
      <c r="AD224" s="4"/>
      <c r="AE224" s="4"/>
      <c r="AF224" s="4"/>
      <c r="AG224" s="4"/>
      <c r="AH224" s="12"/>
      <c r="AI224" s="12"/>
      <c r="AJ224" s="12"/>
      <c r="AK224" s="4"/>
    </row>
    <row r="225" ht="15.75" customHeight="1">
      <c r="F225" s="6"/>
      <c r="G225" s="6"/>
      <c r="H225" s="7"/>
      <c r="I225" s="8"/>
      <c r="J225" s="9"/>
      <c r="K225" s="9"/>
      <c r="L225" s="10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11"/>
      <c r="AB225" s="11"/>
      <c r="AC225" s="4"/>
      <c r="AD225" s="4"/>
      <c r="AE225" s="4"/>
      <c r="AF225" s="4"/>
      <c r="AG225" s="4"/>
      <c r="AH225" s="12"/>
      <c r="AI225" s="12"/>
      <c r="AJ225" s="12"/>
      <c r="AK225" s="4"/>
    </row>
    <row r="226" ht="15.75" customHeight="1">
      <c r="F226" s="6"/>
      <c r="G226" s="6"/>
      <c r="H226" s="7"/>
      <c r="I226" s="8"/>
      <c r="J226" s="9"/>
      <c r="K226" s="9"/>
      <c r="L226" s="10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11"/>
      <c r="AB226" s="11"/>
      <c r="AC226" s="4"/>
      <c r="AD226" s="4"/>
      <c r="AE226" s="4"/>
      <c r="AF226" s="4"/>
      <c r="AG226" s="4"/>
      <c r="AH226" s="12"/>
      <c r="AI226" s="12"/>
      <c r="AJ226" s="12"/>
      <c r="AK226" s="4"/>
    </row>
    <row r="227" ht="15.75" customHeight="1">
      <c r="F227" s="6"/>
      <c r="G227" s="6"/>
      <c r="H227" s="7"/>
      <c r="I227" s="8"/>
      <c r="J227" s="9"/>
      <c r="K227" s="9"/>
      <c r="L227" s="10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11"/>
      <c r="AB227" s="11"/>
      <c r="AC227" s="4"/>
      <c r="AD227" s="4"/>
      <c r="AE227" s="4"/>
      <c r="AF227" s="4"/>
      <c r="AG227" s="4"/>
      <c r="AH227" s="12"/>
      <c r="AI227" s="12"/>
      <c r="AJ227" s="12"/>
      <c r="AK227" s="4"/>
    </row>
    <row r="228" ht="15.75" customHeight="1">
      <c r="F228" s="6"/>
      <c r="G228" s="6"/>
      <c r="H228" s="7"/>
      <c r="I228" s="8"/>
      <c r="J228" s="9"/>
      <c r="K228" s="9"/>
      <c r="L228" s="10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11"/>
      <c r="AB228" s="11"/>
      <c r="AC228" s="4"/>
      <c r="AD228" s="4"/>
      <c r="AE228" s="4"/>
      <c r="AF228" s="4"/>
      <c r="AG228" s="4"/>
      <c r="AH228" s="12"/>
      <c r="AI228" s="12"/>
      <c r="AJ228" s="12"/>
      <c r="AK228" s="4"/>
    </row>
    <row r="229" ht="15.75" customHeight="1">
      <c r="F229" s="6"/>
      <c r="G229" s="6"/>
      <c r="H229" s="7"/>
      <c r="I229" s="8"/>
      <c r="J229" s="9"/>
      <c r="K229" s="9"/>
      <c r="L229" s="10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11"/>
      <c r="AB229" s="11"/>
      <c r="AC229" s="4"/>
      <c r="AD229" s="4"/>
      <c r="AE229" s="4"/>
      <c r="AF229" s="4"/>
      <c r="AG229" s="4"/>
      <c r="AH229" s="12"/>
      <c r="AI229" s="12"/>
      <c r="AJ229" s="12"/>
      <c r="AK229" s="4"/>
    </row>
    <row r="230" ht="15.75" customHeight="1">
      <c r="F230" s="6"/>
      <c r="G230" s="6"/>
      <c r="H230" s="7"/>
      <c r="I230" s="8"/>
      <c r="J230" s="9"/>
      <c r="K230" s="9"/>
      <c r="L230" s="10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11"/>
      <c r="AB230" s="11"/>
      <c r="AC230" s="4"/>
      <c r="AD230" s="4"/>
      <c r="AE230" s="4"/>
      <c r="AF230" s="4"/>
      <c r="AG230" s="4"/>
      <c r="AH230" s="12"/>
      <c r="AI230" s="12"/>
      <c r="AJ230" s="12"/>
      <c r="AK230" s="4"/>
    </row>
    <row r="231" ht="15.75" customHeight="1">
      <c r="F231" s="6"/>
      <c r="G231" s="6"/>
      <c r="H231" s="7"/>
      <c r="I231" s="8"/>
      <c r="J231" s="9"/>
      <c r="K231" s="9"/>
      <c r="L231" s="10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11"/>
      <c r="AB231" s="11"/>
      <c r="AC231" s="4"/>
      <c r="AD231" s="4"/>
      <c r="AE231" s="4"/>
      <c r="AF231" s="4"/>
      <c r="AG231" s="4"/>
      <c r="AH231" s="12"/>
      <c r="AI231" s="12"/>
      <c r="AJ231" s="12"/>
      <c r="AK231" s="4"/>
    </row>
    <row r="232" ht="15.75" customHeight="1">
      <c r="F232" s="6"/>
      <c r="G232" s="6"/>
      <c r="H232" s="7"/>
      <c r="I232" s="8"/>
      <c r="J232" s="9"/>
      <c r="K232" s="9"/>
      <c r="L232" s="10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11"/>
      <c r="AB232" s="11"/>
      <c r="AC232" s="4"/>
      <c r="AD232" s="4"/>
      <c r="AE232" s="4"/>
      <c r="AF232" s="4"/>
      <c r="AG232" s="4"/>
      <c r="AH232" s="12"/>
      <c r="AI232" s="12"/>
      <c r="AJ232" s="12"/>
      <c r="AK232" s="4"/>
    </row>
    <row r="233" ht="15.75" customHeight="1">
      <c r="F233" s="6"/>
      <c r="G233" s="6"/>
      <c r="H233" s="7"/>
      <c r="I233" s="8"/>
      <c r="J233" s="9"/>
      <c r="K233" s="9"/>
      <c r="L233" s="10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11"/>
      <c r="AB233" s="11"/>
      <c r="AC233" s="4"/>
      <c r="AD233" s="4"/>
      <c r="AE233" s="4"/>
      <c r="AF233" s="4"/>
      <c r="AG233" s="4"/>
      <c r="AH233" s="12"/>
      <c r="AI233" s="12"/>
      <c r="AJ233" s="12"/>
      <c r="AK233" s="4"/>
    </row>
    <row r="234" ht="15.75" customHeight="1">
      <c r="F234" s="6"/>
      <c r="G234" s="6"/>
      <c r="H234" s="7"/>
      <c r="I234" s="8"/>
      <c r="J234" s="9"/>
      <c r="K234" s="9"/>
      <c r="L234" s="10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11"/>
      <c r="AB234" s="11"/>
      <c r="AC234" s="4"/>
      <c r="AD234" s="4"/>
      <c r="AE234" s="4"/>
      <c r="AF234" s="4"/>
      <c r="AG234" s="4"/>
      <c r="AH234" s="12"/>
      <c r="AI234" s="12"/>
      <c r="AJ234" s="12"/>
      <c r="AK234" s="4"/>
    </row>
    <row r="235" ht="15.75" customHeight="1">
      <c r="F235" s="6"/>
      <c r="G235" s="6"/>
      <c r="H235" s="7"/>
      <c r="I235" s="8"/>
      <c r="J235" s="9"/>
      <c r="K235" s="9"/>
      <c r="L235" s="10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11"/>
      <c r="AB235" s="11"/>
      <c r="AC235" s="4"/>
      <c r="AD235" s="4"/>
      <c r="AE235" s="4"/>
      <c r="AF235" s="4"/>
      <c r="AG235" s="4"/>
      <c r="AH235" s="12"/>
      <c r="AI235" s="12"/>
      <c r="AJ235" s="12"/>
      <c r="AK235" s="4"/>
    </row>
    <row r="236" ht="15.75" customHeight="1">
      <c r="F236" s="6"/>
      <c r="G236" s="6"/>
      <c r="H236" s="7"/>
      <c r="I236" s="8"/>
      <c r="J236" s="9"/>
      <c r="K236" s="9"/>
      <c r="L236" s="10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11"/>
      <c r="AB236" s="11"/>
      <c r="AC236" s="4"/>
      <c r="AD236" s="4"/>
      <c r="AE236" s="4"/>
      <c r="AF236" s="4"/>
      <c r="AG236" s="4"/>
      <c r="AH236" s="12"/>
      <c r="AI236" s="12"/>
      <c r="AJ236" s="12"/>
      <c r="AK236" s="4"/>
    </row>
    <row r="237" ht="15.75" customHeight="1">
      <c r="F237" s="6"/>
      <c r="G237" s="6"/>
      <c r="H237" s="7"/>
      <c r="I237" s="8"/>
      <c r="J237" s="9"/>
      <c r="K237" s="9"/>
      <c r="L237" s="10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11"/>
      <c r="AB237" s="11"/>
      <c r="AC237" s="4"/>
      <c r="AD237" s="4"/>
      <c r="AE237" s="4"/>
      <c r="AF237" s="4"/>
      <c r="AG237" s="4"/>
      <c r="AH237" s="12"/>
      <c r="AI237" s="12"/>
      <c r="AJ237" s="12"/>
      <c r="AK237" s="4"/>
    </row>
    <row r="238" ht="15.75" customHeight="1">
      <c r="F238" s="6"/>
      <c r="G238" s="6"/>
      <c r="H238" s="7"/>
      <c r="I238" s="8"/>
      <c r="J238" s="9"/>
      <c r="K238" s="9"/>
      <c r="L238" s="10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11"/>
      <c r="AB238" s="11"/>
      <c r="AC238" s="4"/>
      <c r="AD238" s="4"/>
      <c r="AE238" s="4"/>
      <c r="AF238" s="4"/>
      <c r="AG238" s="4"/>
      <c r="AH238" s="12"/>
      <c r="AI238" s="12"/>
      <c r="AJ238" s="12"/>
      <c r="AK238" s="4"/>
    </row>
    <row r="239" ht="15.75" customHeight="1">
      <c r="F239" s="6"/>
      <c r="G239" s="6"/>
      <c r="H239" s="7"/>
      <c r="I239" s="8"/>
      <c r="J239" s="9"/>
      <c r="K239" s="9"/>
      <c r="L239" s="10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11"/>
      <c r="AB239" s="11"/>
      <c r="AC239" s="4"/>
      <c r="AD239" s="4"/>
      <c r="AE239" s="4"/>
      <c r="AF239" s="4"/>
      <c r="AG239" s="4"/>
      <c r="AH239" s="12"/>
      <c r="AI239" s="12"/>
      <c r="AJ239" s="12"/>
      <c r="AK239" s="4"/>
    </row>
    <row r="240" ht="15.75" customHeight="1">
      <c r="F240" s="6"/>
      <c r="G240" s="6"/>
      <c r="H240" s="7"/>
      <c r="I240" s="8"/>
      <c r="J240" s="9"/>
      <c r="K240" s="9"/>
      <c r="L240" s="10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11"/>
      <c r="AB240" s="11"/>
      <c r="AC240" s="4"/>
      <c r="AD240" s="4"/>
      <c r="AE240" s="4"/>
      <c r="AF240" s="4"/>
      <c r="AG240" s="4"/>
      <c r="AH240" s="12"/>
      <c r="AI240" s="12"/>
      <c r="AJ240" s="12"/>
      <c r="AK240" s="4"/>
    </row>
    <row r="241" ht="15.75" customHeight="1">
      <c r="F241" s="6"/>
      <c r="G241" s="6"/>
      <c r="H241" s="7"/>
      <c r="I241" s="8"/>
      <c r="J241" s="9"/>
      <c r="K241" s="9"/>
      <c r="L241" s="10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11"/>
      <c r="AB241" s="11"/>
      <c r="AC241" s="4"/>
      <c r="AD241" s="4"/>
      <c r="AE241" s="4"/>
      <c r="AF241" s="4"/>
      <c r="AG241" s="4"/>
      <c r="AH241" s="12"/>
      <c r="AI241" s="12"/>
      <c r="AJ241" s="12"/>
      <c r="AK241" s="4"/>
    </row>
    <row r="242" ht="15.75" customHeight="1">
      <c r="F242" s="6"/>
      <c r="G242" s="6"/>
      <c r="H242" s="7"/>
      <c r="I242" s="8"/>
      <c r="J242" s="9"/>
      <c r="K242" s="9"/>
      <c r="L242" s="10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11"/>
      <c r="AB242" s="11"/>
      <c r="AC242" s="4"/>
      <c r="AD242" s="4"/>
      <c r="AE242" s="4"/>
      <c r="AF242" s="4"/>
      <c r="AG242" s="4"/>
      <c r="AH242" s="12"/>
      <c r="AI242" s="12"/>
      <c r="AJ242" s="12"/>
      <c r="AK242" s="4"/>
    </row>
    <row r="243" ht="15.75" customHeight="1">
      <c r="F243" s="6"/>
      <c r="G243" s="6"/>
      <c r="H243" s="7"/>
      <c r="I243" s="8"/>
      <c r="J243" s="9"/>
      <c r="K243" s="9"/>
      <c r="L243" s="10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11"/>
      <c r="AB243" s="11"/>
      <c r="AC243" s="4"/>
      <c r="AD243" s="4"/>
      <c r="AE243" s="4"/>
      <c r="AF243" s="4"/>
      <c r="AG243" s="4"/>
      <c r="AH243" s="12"/>
      <c r="AI243" s="12"/>
      <c r="AJ243" s="12"/>
      <c r="AK243" s="4"/>
    </row>
    <row r="244" ht="15.75" customHeight="1">
      <c r="F244" s="6"/>
      <c r="G244" s="6"/>
      <c r="H244" s="7"/>
      <c r="I244" s="8"/>
      <c r="J244" s="9"/>
      <c r="K244" s="9"/>
      <c r="L244" s="10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11"/>
      <c r="AB244" s="11"/>
      <c r="AC244" s="4"/>
      <c r="AD244" s="4"/>
      <c r="AE244" s="4"/>
      <c r="AF244" s="4"/>
      <c r="AG244" s="4"/>
      <c r="AH244" s="12"/>
      <c r="AI244" s="12"/>
      <c r="AJ244" s="12"/>
      <c r="AK244" s="4"/>
    </row>
    <row r="245" ht="15.75" customHeight="1">
      <c r="F245" s="6"/>
      <c r="G245" s="6"/>
      <c r="H245" s="7"/>
      <c r="I245" s="8"/>
      <c r="J245" s="9"/>
      <c r="K245" s="9"/>
      <c r="L245" s="10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11"/>
      <c r="AB245" s="11"/>
      <c r="AC245" s="4"/>
      <c r="AD245" s="4"/>
      <c r="AE245" s="4"/>
      <c r="AF245" s="4"/>
      <c r="AG245" s="4"/>
      <c r="AH245" s="12"/>
      <c r="AI245" s="12"/>
      <c r="AJ245" s="12"/>
      <c r="AK245" s="4"/>
    </row>
    <row r="246" ht="15.75" customHeight="1">
      <c r="F246" s="6"/>
      <c r="G246" s="6"/>
      <c r="H246" s="7"/>
      <c r="I246" s="8"/>
      <c r="J246" s="9"/>
      <c r="K246" s="9"/>
      <c r="L246" s="10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11"/>
      <c r="AB246" s="11"/>
      <c r="AC246" s="4"/>
      <c r="AD246" s="4"/>
      <c r="AE246" s="4"/>
      <c r="AF246" s="4"/>
      <c r="AG246" s="4"/>
      <c r="AH246" s="12"/>
      <c r="AI246" s="12"/>
      <c r="AJ246" s="12"/>
      <c r="AK246" s="4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2025-12-22T13:38:30Z</dcterms:created>
  <dc:creator>syed.muazzam@bigbasket.com</dc:creator>
</cp:coreProperties>
</file>