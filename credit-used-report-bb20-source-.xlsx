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dit-used-report-bb20-source-" sheetId="1" r:id="rId4"/>
  </sheets>
  <externalReferences>
    <externalReference r:id="rId5"/>
  </externalReferences>
  <definedNames>
    <definedName name="City_Name">'[1]Migrated Societies Data'!$B$2:$B$999</definedName>
  </definedNames>
  <calcPr/>
  <extLst>
    <ext uri="GoogleSheetsCustomDataVersion2">
      <go:sheetsCustomData xmlns:go="http://customooxmlschemas.google.com/" r:id="rId6" roundtripDataChecksum="jMaDsjDN73ERq+qwy/pMZxtM9POiJOeMUqSJkpEwlNA="/>
    </ext>
  </extLst>
</workbook>
</file>

<file path=xl/sharedStrings.xml><?xml version="1.0" encoding="utf-8"?>
<sst xmlns="http://schemas.openxmlformats.org/spreadsheetml/2006/main" count="1088" uniqueCount="261">
  <si>
    <t>Repeated</t>
  </si>
  <si>
    <t>City Name</t>
  </si>
  <si>
    <t>Store Name</t>
  </si>
  <si>
    <t>Order Type</t>
  </si>
  <si>
    <t>Week</t>
  </si>
  <si>
    <t>Month</t>
  </si>
  <si>
    <t>Category</t>
  </si>
  <si>
    <t>member_credit_log_id</t>
  </si>
  <si>
    <t>city_name</t>
  </si>
  <si>
    <t>member_id</t>
  </si>
  <si>
    <t>order_id</t>
  </si>
  <si>
    <t>source_name</t>
  </si>
  <si>
    <t>entry_context_id</t>
  </si>
  <si>
    <t>previous_balance</t>
  </si>
  <si>
    <t>credited</t>
  </si>
  <si>
    <t>balance</t>
  </si>
  <si>
    <t>final_balance</t>
  </si>
  <si>
    <t>primary_reason</t>
  </si>
  <si>
    <t>group_reason</t>
  </si>
  <si>
    <t>used_for</t>
  </si>
  <si>
    <t>reason</t>
  </si>
  <si>
    <t>completeOrderId</t>
  </si>
  <si>
    <t>createdByUsername</t>
  </si>
  <si>
    <t>credit_created_at</t>
  </si>
  <si>
    <t>member_name</t>
  </si>
  <si>
    <t>sa_name</t>
  </si>
  <si>
    <t>dm_name</t>
  </si>
  <si>
    <t>delivery_date</t>
  </si>
  <si>
    <t>Transaction_id</t>
  </si>
  <si>
    <t>amount</t>
  </si>
  <si>
    <t>pg_name</t>
  </si>
  <si>
    <t>Payment_Method_Slug</t>
  </si>
  <si>
    <t>Bangalore</t>
  </si>
  <si>
    <t>bbdaily-b2c</t>
  </si>
  <si>
    <t>Order Cancellation Refund (customer request)</t>
  </si>
  <si>
    <t>Wallet credited for Sales return</t>
  </si>
  <si>
    <t>Refund for Order Cancellation</t>
  </si>
  <si>
    <t>BBDN-1859166372-20251222</t>
  </si>
  <si>
    <t>Chaya H</t>
  </si>
  <si>
    <t>BBD-BLR-PeenyaPhase3-T1</t>
  </si>
  <si>
    <t>bike</t>
  </si>
  <si>
    <t>walletPrepaid</t>
  </si>
  <si>
    <t>Order Cancellation Refund (automatic, no products)</t>
  </si>
  <si>
    <t>Order cancellation for automatic cancellation due to no products to ship</t>
  </si>
  <si>
    <t>BBDN-1859165983-20251222</t>
  </si>
  <si>
    <t>Lakshmi J</t>
  </si>
  <si>
    <t>BBD-BLR-Budhigere-T1</t>
  </si>
  <si>
    <t>BBDN-1859167897-20251222</t>
  </si>
  <si>
    <t>Rahul Jain</t>
  </si>
  <si>
    <t>BBD-BLR-Lingarajapu-T1</t>
  </si>
  <si>
    <t>BBDN-1859166066-20251222</t>
  </si>
  <si>
    <t>Sanjeev Arya</t>
  </si>
  <si>
    <t>BBD-BLR-Kallahalli-T1</t>
  </si>
  <si>
    <t>BBDN-1859165863-20251222</t>
  </si>
  <si>
    <t>Rajnish S</t>
  </si>
  <si>
    <t>Order Modification (variable weight)</t>
  </si>
  <si>
    <t>other</t>
  </si>
  <si>
    <t>Variable weight related changes (meat and f&amp;v)</t>
  </si>
  <si>
    <t>Amount adjusted as per actual weight</t>
  </si>
  <si>
    <t>BBDN-1859029288-20251221</t>
  </si>
  <si>
    <t>Anit Banerjee</t>
  </si>
  <si>
    <t>BBD-BLR-Attibele-T1</t>
  </si>
  <si>
    <t>PAY</t>
  </si>
  <si>
    <t>BBDN-1859166003-20251222</t>
  </si>
  <si>
    <t>samar p</t>
  </si>
  <si>
    <t>BBD-BLR-Nagondanahalli-T1</t>
  </si>
  <si>
    <t>BBDN-1859165039-20251222</t>
  </si>
  <si>
    <t>Vinay Gupta</t>
  </si>
  <si>
    <t>BBDA-1859006409-20251221</t>
  </si>
  <si>
    <t>krishnasastry m</t>
  </si>
  <si>
    <t>BBD-BLR-Jigani-T1</t>
  </si>
  <si>
    <t>BBDA-1859018855-20251221</t>
  </si>
  <si>
    <t>BBDN-1859079205-20251221</t>
  </si>
  <si>
    <t>Customer .</t>
  </si>
  <si>
    <t>BBD-BLR-BellahalliRoad-T1</t>
  </si>
  <si>
    <t>BBDN-1859167695-20251222</t>
  </si>
  <si>
    <t>Sunil Aggarwal</t>
  </si>
  <si>
    <t>BBD-BLR-Chikkasandra-T1</t>
  </si>
  <si>
    <t>BBDN-1859167687-20251222</t>
  </si>
  <si>
    <t>pushpa R</t>
  </si>
  <si>
    <t>BBDN-1859167549-20251222</t>
  </si>
  <si>
    <t>Monika khare</t>
  </si>
  <si>
    <t>BBDN-1859166643-20251222</t>
  </si>
  <si>
    <t>Siddharth Shandilya</t>
  </si>
  <si>
    <t>BBD-BLR-Jalahalli-T1</t>
  </si>
  <si>
    <t>BBDN-1859166555-20251222</t>
  </si>
  <si>
    <t>Sarvesh Mittal</t>
  </si>
  <si>
    <t>BBDN-1859166936-20251222</t>
  </si>
  <si>
    <t>Smita Jha</t>
  </si>
  <si>
    <t>BBDN-1859164946-20251222</t>
  </si>
  <si>
    <t>John Joy</t>
  </si>
  <si>
    <t>BBDN-1859166973-20251222</t>
  </si>
  <si>
    <t>MuraliKrishna</t>
  </si>
  <si>
    <t>BBDN-1859165816-20251222</t>
  </si>
  <si>
    <t>Teja Allam</t>
  </si>
  <si>
    <t>BBDN-1859118124-20251221</t>
  </si>
  <si>
    <t>Sowmiya Govindarajan</t>
  </si>
  <si>
    <t>BBDN-1859167652-20251222</t>
  </si>
  <si>
    <t>Saravana Rajesh</t>
  </si>
  <si>
    <t>BBDN-1859165595-20251222</t>
  </si>
  <si>
    <t>gaurav gupta</t>
  </si>
  <si>
    <t>BBDN-1858965857-20251221</t>
  </si>
  <si>
    <t>Vishnupriya Subbiah</t>
  </si>
  <si>
    <t>BBDN-1859165555-20251222</t>
  </si>
  <si>
    <t>Ramyashree BR</t>
  </si>
  <si>
    <t>BBDN-1859166500-20251222</t>
  </si>
  <si>
    <t>Ritu shri</t>
  </si>
  <si>
    <t>BBDN-1859164889-20251222</t>
  </si>
  <si>
    <t>PALLAB KARMAKAR</t>
  </si>
  <si>
    <t>BBDN-1859165792-20251222</t>
  </si>
  <si>
    <t>Shailaja Sarma</t>
  </si>
  <si>
    <t>BBD-BLR-HRBR-044-T1</t>
  </si>
  <si>
    <t>BBDN-1859166430-20251222</t>
  </si>
  <si>
    <t>Nandini Pera</t>
  </si>
  <si>
    <t>BBDN-1859164728-20251222</t>
  </si>
  <si>
    <t>Pankaj Pandey</t>
  </si>
  <si>
    <t>BBDN-1859166961-20251222</t>
  </si>
  <si>
    <t>Shwetha Kumari</t>
  </si>
  <si>
    <t>BBDN-1858998421-20251221</t>
  </si>
  <si>
    <t>sriram s</t>
  </si>
  <si>
    <t>BBDN-1859166588-20251222</t>
  </si>
  <si>
    <t>Jacob Jose</t>
  </si>
  <si>
    <t>BBDN-1859166915-20251222</t>
  </si>
  <si>
    <t>Sharanagouda Biradar</t>
  </si>
  <si>
    <t>BBDN-1859166409-20251222</t>
  </si>
  <si>
    <t>Tanushree Acharya</t>
  </si>
  <si>
    <t>BBD-BLR-Jakkasandra-T1</t>
  </si>
  <si>
    <t>BBDN-1859079176-20251221</t>
  </si>
  <si>
    <t>Sreemathi Akhilesh</t>
  </si>
  <si>
    <t>BBDN-1859166146-20251222</t>
  </si>
  <si>
    <t>Samriti Guleria</t>
  </si>
  <si>
    <t>BBDN-1859167421-20251222</t>
  </si>
  <si>
    <t>BBDN-1859165456-20251222</t>
  </si>
  <si>
    <t>Jayanthi Baburao</t>
  </si>
  <si>
    <t>Order Modification during delivery</t>
  </si>
  <si>
    <t>Used for adding credit for Returned on delivery or IBND or Undelivered or Change quantity in an order</t>
  </si>
  <si>
    <t>Refund for Order Modification</t>
  </si>
  <si>
    <t>BBDN-1859166375-20251222</t>
  </si>
  <si>
    <t>RAJU H</t>
  </si>
  <si>
    <t>BBDN-1859166225-20251222</t>
  </si>
  <si>
    <t>Bajeed Shaik</t>
  </si>
  <si>
    <t>BBDN-1859165986-20251222</t>
  </si>
  <si>
    <t>Satyakam Vashistha</t>
  </si>
  <si>
    <t>BBDA-1859167045-20251222</t>
  </si>
  <si>
    <t>Priyamvada .</t>
  </si>
  <si>
    <t>BBDN-1859165037-20251222</t>
  </si>
  <si>
    <t>Sovan Mishra</t>
  </si>
  <si>
    <t>BBD-BLR-Chinappalay-T1</t>
  </si>
  <si>
    <t>BBDN-1859166721-20251222</t>
  </si>
  <si>
    <t>Ctinandeesh O</t>
  </si>
  <si>
    <t>BBD-BLR-Devanahalli-T1</t>
  </si>
  <si>
    <t>BBDN-1859165898-20251222</t>
  </si>
  <si>
    <t>Surendra Palappa</t>
  </si>
  <si>
    <t>BBDN-1859164862-20251222</t>
  </si>
  <si>
    <t>Dayajeet Singh</t>
  </si>
  <si>
    <t>BBDN-1859166457-20251222</t>
  </si>
  <si>
    <t>Tanmoy Dan</t>
  </si>
  <si>
    <t>BBDN-1859166109-20251222</t>
  </si>
  <si>
    <t>Bharat P</t>
  </si>
  <si>
    <t>BBDN-1859165476-20251222</t>
  </si>
  <si>
    <t>swathi srawan</t>
  </si>
  <si>
    <t>BBDN-1859164815-20251222</t>
  </si>
  <si>
    <t>Chethana T</t>
  </si>
  <si>
    <t>BBDN-1859165116-20251222</t>
  </si>
  <si>
    <t>Aryan Yadav</t>
  </si>
  <si>
    <t>BBDN-1859166408-20251222</t>
  </si>
  <si>
    <t>Prashantha T</t>
  </si>
  <si>
    <t>BBDN-1859165410-20251222</t>
  </si>
  <si>
    <t>Rajneesh Kumar</t>
  </si>
  <si>
    <t>BBD-BLR-HAL-T1</t>
  </si>
  <si>
    <t>BBDN-1859166750-20251222</t>
  </si>
  <si>
    <t>Prashant Chitrapur</t>
  </si>
  <si>
    <t>BBDN-1859166311-20251222</t>
  </si>
  <si>
    <t>Deepak Negi</t>
  </si>
  <si>
    <t>BBDN-1859166593-20251222</t>
  </si>
  <si>
    <t>Rohit Shah</t>
  </si>
  <si>
    <t>BBDN-1859165697-20251222</t>
  </si>
  <si>
    <t>Ayush Gorya</t>
  </si>
  <si>
    <t>BBDN-1859167581-20251222</t>
  </si>
  <si>
    <t>Krithee K</t>
  </si>
  <si>
    <t>Cashback credit for bbstar membership</t>
  </si>
  <si>
    <t>Cash back credited</t>
  </si>
  <si>
    <t>To give 5% cashback to bb employee</t>
  </si>
  <si>
    <t>Employee Cashback Earned</t>
  </si>
  <si>
    <t>BBDN-1859166276-20251222</t>
  </si>
  <si>
    <t>Parasuraman A</t>
  </si>
  <si>
    <t>BBDN-1859165875-20251222</t>
  </si>
  <si>
    <t>Rajeshkumar Bhatt</t>
  </si>
  <si>
    <t>BBDN-1859166158-20251222</t>
  </si>
  <si>
    <t>Girish Shabadimath</t>
  </si>
  <si>
    <t>BBDN-1859165237-20251222</t>
  </si>
  <si>
    <t>Ashwin Kumar</t>
  </si>
  <si>
    <t>BBDN-1859165700-20251222</t>
  </si>
  <si>
    <t>Bharat Bagri</t>
  </si>
  <si>
    <t>BBDN-1859165929-20251222</t>
  </si>
  <si>
    <t>Vedavathi Srinivas</t>
  </si>
  <si>
    <t>BBDN-1859167093-20251222</t>
  </si>
  <si>
    <t>Seetharamaraju I</t>
  </si>
  <si>
    <t>BBDN-1859165022-20251222</t>
  </si>
  <si>
    <t>Nirmal Sampathirao</t>
  </si>
  <si>
    <t>BBDN-1859165501-20251222</t>
  </si>
  <si>
    <t>BBDN-1859166319-20251222</t>
  </si>
  <si>
    <t>BigBasketeer Bigbasketeer</t>
  </si>
  <si>
    <t>BBDN-1859054675-20251221</t>
  </si>
  <si>
    <t>Archana Nandyala</t>
  </si>
  <si>
    <t>BBDA-1859165514-20251222</t>
  </si>
  <si>
    <t>vineet kumar</t>
  </si>
  <si>
    <t>BBDN-1859165511-20251222</t>
  </si>
  <si>
    <t>Krishan Saharan</t>
  </si>
  <si>
    <t>BBDN-1859165522-20251222</t>
  </si>
  <si>
    <t>Abhishek Mehrotra</t>
  </si>
  <si>
    <t>BBDN-1859165596-20251222</t>
  </si>
  <si>
    <t>Karuna Yg</t>
  </si>
  <si>
    <t>BBDN-1859165056-20251222</t>
  </si>
  <si>
    <t>Gautam Gaikwad</t>
  </si>
  <si>
    <t>BBDN-1859165153-20251222</t>
  </si>
  <si>
    <t>esha tanwar</t>
  </si>
  <si>
    <t>BBDA-1859167126-20251222</t>
  </si>
  <si>
    <t>Sachin Sharma</t>
  </si>
  <si>
    <t>BBDN-1859165625-20251222</t>
  </si>
  <si>
    <t>BBDN-1859166918-20251222</t>
  </si>
  <si>
    <t>Ranjana Sundaresan</t>
  </si>
  <si>
    <t>BBD-BLR-BensonTown-T1</t>
  </si>
  <si>
    <t>Quality Guarantee (post delivery)</t>
  </si>
  <si>
    <t>Used for quality reasons for return after delivery</t>
  </si>
  <si>
    <t>Refund for returned items</t>
  </si>
  <si>
    <t>BBDN-1859165722-20251222</t>
  </si>
  <si>
    <t>praveen.l@bigbasket.com</t>
  </si>
  <si>
    <t>Rajendra V Bhandiwad</t>
  </si>
  <si>
    <t>BBDN-1859164933-20251222</t>
  </si>
  <si>
    <t>Pushpa Venkat</t>
  </si>
  <si>
    <t>BBDN-1859164910-20251222</t>
  </si>
  <si>
    <t>monika kunwar</t>
  </si>
  <si>
    <t>BBDN-1859164963-20251222</t>
  </si>
  <si>
    <t>Divyarani R</t>
  </si>
  <si>
    <t>BBDN-1859167777-20251222</t>
  </si>
  <si>
    <t>Niveditha Hegde</t>
  </si>
  <si>
    <t>BBDN-1859165214-20251222</t>
  </si>
  <si>
    <t>Uma Paul Saha</t>
  </si>
  <si>
    <t>BBDN-1859166214-20251222</t>
  </si>
  <si>
    <t>ramyakrishnan.pk@bigbasket.com</t>
  </si>
  <si>
    <t>Hemasundar Paidi</t>
  </si>
  <si>
    <t>BBDN-1859164747-20251222</t>
  </si>
  <si>
    <t>narisettygirish.manikanta@bigbasket.com</t>
  </si>
  <si>
    <t>Abhishek Bajpai</t>
  </si>
  <si>
    <t>BBDN-1859165928-20251222</t>
  </si>
  <si>
    <t>saney.tamang@bigbasket.com</t>
  </si>
  <si>
    <t>Poornimaa Ajay</t>
  </si>
  <si>
    <t>BBDN-1859167414-20251222</t>
  </si>
  <si>
    <t>Sindhu Vi</t>
  </si>
  <si>
    <t>BBDN-1858971383-20251221</t>
  </si>
  <si>
    <t>Tulsi Das Arora</t>
  </si>
  <si>
    <t>BBDN-1859167478-20251222</t>
  </si>
  <si>
    <t>roopa.m1@bigbasket.com</t>
  </si>
  <si>
    <t>leena charles</t>
  </si>
  <si>
    <t>BBDN-1859164704-20251222</t>
  </si>
  <si>
    <t>shaikkhadar.basha@bigbasket.com</t>
  </si>
  <si>
    <t>Srinivas Achary</t>
  </si>
  <si>
    <t>BBDN-1859155795-20251221</t>
  </si>
  <si>
    <t>mohammed.ismail2@bigbasket.com</t>
  </si>
  <si>
    <t>Kalpana Annapragada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</si>
</sst>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\-yyyy\ hh:mm"/>
  </numFmts>
  <fonts count="4">
    <font>
      <sz val="10.0"/>
      <color theme="1"/>
      <name val="Aptos Narrow"/>
      <scheme val="minor"/>
    </font>
    <font>
      <b/>
      <sz val="10.0"/>
      <color theme="1"/>
      <name val="Arial"/>
    </font>
    <font>
      <b/>
      <sz val="11.0"/>
      <color rgb="FF000000"/>
      <name val="&quot;Aptos Narrow&quot;"/>
    </font>
    <font>
      <sz val="10.0"/>
      <color theme="1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3" fontId="2" numFmtId="0" xfId="0" applyFill="1" applyFont="1"/>
    <xf borderId="0" fillId="0" fontId="3" numFmtId="0" xfId="0" applyAlignment="1" applyFont="1">
      <alignment vertical="center"/>
    </xf>
    <xf borderId="0" fillId="0" fontId="3" numFmtId="0" xfId="0" applyFont="1"/>
    <xf borderId="0" fillId="0" fontId="3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Syed%20Muazzam/Downloads/Subscription_Pilot_Metrics_Tracker%20(1)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ashboard"/>
      <sheetName val="OTD + FR + CX Complaints"/>
      <sheetName val="Testing"/>
      <sheetName val="Seshu Sir Data"/>
      <sheetName val="Day wise type 2"/>
      <sheetName val="Day wise Format"/>
      <sheetName val="Fill Rate Impacted SKU Details"/>
      <sheetName val="Lookup Data"/>
      <sheetName val="Quicksight Prerequisite"/>
      <sheetName val="S&amp;M Dashboard"/>
      <sheetName val="Migrated Societies Data"/>
      <sheetName val="FO Data"/>
      <sheetName val="Reports"/>
      <sheetName val="order_sku_sales_bb2_report"/>
      <sheetName val="order_Report_SA_ID_BB2.0"/>
      <sheetName val="subscription_order_detail_daily"/>
      <sheetName val="bb2-ud-rca-report"/>
      <sheetName val="expressOrderReport"/>
      <sheetName val="Complaints"/>
      <sheetName val="Tour Summary Report"/>
      <sheetName val="B2B_ORDER_pICK"/>
      <sheetName val="interfc_2.0_fillrate"/>
      <sheetName val="OTA"/>
      <sheetName val="Orders Summary"/>
      <sheetName val="Summary"/>
      <sheetName val="Sales + Marketing"/>
      <sheetName val="iot-rate-card-iot_orderwise_rep"/>
      <sheetName val="UD-SKU"/>
      <sheetName val="Aug Societies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4" width="21.86"/>
    <col customWidth="1" min="5" max="6" width="14.0"/>
    <col customWidth="1" min="7" max="7" width="9.0"/>
    <col customWidth="1" min="8" max="8" width="9.71"/>
    <col customWidth="1" min="9" max="9" width="21.86"/>
    <col customWidth="1" min="10" max="10" width="26.29"/>
    <col customWidth="1" min="11" max="11" width="14.29"/>
    <col customWidth="1" min="12" max="12" width="15.14"/>
    <col customWidth="1" min="13" max="13" width="12.86"/>
    <col customWidth="1" min="14" max="14" width="17.57"/>
    <col customWidth="1" min="15" max="15" width="20.71"/>
    <col customWidth="1" min="16" max="16" width="21.71"/>
    <col customWidth="1" min="17" max="17" width="12.14"/>
    <col customWidth="1" min="18" max="18" width="11.86"/>
    <col customWidth="1" min="19" max="19" width="17.29"/>
    <col customWidth="1" min="20" max="20" width="49.14"/>
    <col customWidth="1" min="21" max="21" width="29.86"/>
    <col customWidth="1" min="22" max="22" width="75.14"/>
    <col customWidth="1" min="23" max="23" width="36.0"/>
    <col customWidth="1" min="24" max="24" width="29.29"/>
    <col customWidth="1" min="25" max="25" width="32.43"/>
    <col customWidth="1" min="26" max="26" width="21.29"/>
    <col customWidth="1" min="27" max="27" width="23.57"/>
    <col customWidth="1" min="28" max="28" width="28.29"/>
    <col customWidth="1" min="29" max="29" width="13.71"/>
    <col customWidth="1" min="30" max="30" width="17.43"/>
    <col customWidth="1" min="31" max="31" width="18.71"/>
    <col customWidth="1" min="32" max="32" width="11.57"/>
    <col customWidth="1" min="33" max="33" width="13.14"/>
    <col customWidth="1" min="34" max="35" width="27.0"/>
  </cols>
  <sheetData>
    <row r="1">
      <c r="A1" s="1" t="s">
        <v>0</v>
      </c>
      <c r="B1" s="1" t="s">
        <v>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" t="s">
        <v>7</v>
      </c>
      <c r="K1" s="2" t="s">
        <v>8</v>
      </c>
      <c r="L1" s="2" t="s">
        <v>9</v>
      </c>
      <c r="M1" s="3" t="s">
        <v>10</v>
      </c>
      <c r="N1" s="2" t="s">
        <v>11</v>
      </c>
      <c r="O1" s="2" t="s">
        <v>12</v>
      </c>
      <c r="P1" s="2" t="s">
        <v>13</v>
      </c>
      <c r="Q1" s="3" t="s">
        <v>14</v>
      </c>
      <c r="R1" s="3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3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2" t="s">
        <v>31</v>
      </c>
      <c r="AI1" s="2"/>
    </row>
    <row r="2" ht="15.75" customHeight="1">
      <c r="A2" s="4" t="str">
        <f t="shared" ref="A2:A96" si="1">IFERROR(IF(AND(VLOOKUP($L2,'[1]Lookup Data'!L:L,1,0)=$L2,VLOOKUP($L2,'[1]Lookup Data'!K:K,1,0)=$L2),"Sep-Aug",""),"")</f>
        <v/>
      </c>
      <c r="B2" s="4" t="str">
        <f t="shared" ref="B2:B96" si="2">IFERROR(IF(AND(VLOOKUP($L2,'[1]Lookup Data'!M:M,1,0)=$L2,VLOOKUP($L2,'[1]Lookup Data'!L:L,1,0)=$L2),"Oct-Sep",""),"")</f>
        <v/>
      </c>
      <c r="C2" s="4" t="str">
        <f t="shared" ref="C2:C96" si="3">IFERROR(IF(AND(VLOOKUP($L2,'[1]Lookup Data'!N:N,1,0)=$L2,VLOOKUP($L2,'[1]Lookup Data'!M:M,1,0)=$L2),"Nov-Oct",""),"")</f>
        <v/>
      </c>
      <c r="D2" s="5" t="str">
        <f t="array" ref="D2">_xludf.XLOOKUP(AB2,'[1]Migrated Societies Data'!D:D,'[1]Migrated Societies Data'!B:B)</f>
        <v>#NAME?</v>
      </c>
      <c r="E2" s="5" t="str">
        <f t="array" ref="E2">_xludf.XLOOKUP(AB2,'[1]Migrated Societies Data'!D:D,'[1]Migrated Societies Data'!E:E)</f>
        <v>#NAME?</v>
      </c>
      <c r="F2" s="5" t="str">
        <f>ARRAY_CONSTRAIN(ARRAYFORMULA(_xludf.XLOOKUP(M1641,[1]order_Report_SA_ID_BB2.0!Q:Q,[1]order_Report_SA_ID_BB2.0!H:H,"")), 1, 1)</f>
        <v>#ERROR!</v>
      </c>
      <c r="G2" s="5">
        <f t="shared" ref="G2:G96" si="4">WEEKNUM(AD2,11)</f>
        <v>52</v>
      </c>
      <c r="H2" s="5">
        <f t="shared" ref="H2:H96" si="5">MONTH(AD2)</f>
        <v>12</v>
      </c>
      <c r="I2" s="5" t="str">
        <f t="array" ref="I2">_xludf.XLOOKUP(T2,'[1]Lookup Data'!I:I,'[1]Lookup Data'!H:H,"")</f>
        <v>#NAME?</v>
      </c>
      <c r="J2" s="5">
        <v>1.186144205E9</v>
      </c>
      <c r="K2" s="5" t="s">
        <v>32</v>
      </c>
      <c r="L2" s="5">
        <v>2.4916872E7</v>
      </c>
      <c r="M2" s="5">
        <v>1.859166372E9</v>
      </c>
      <c r="N2" s="5" t="s">
        <v>33</v>
      </c>
      <c r="O2" s="5">
        <v>30.0</v>
      </c>
      <c r="P2" s="5">
        <v>422.6</v>
      </c>
      <c r="Q2" s="5">
        <v>27.0</v>
      </c>
      <c r="R2" s="5">
        <v>449.6</v>
      </c>
      <c r="S2" s="5">
        <v>27.0</v>
      </c>
      <c r="T2" s="5" t="s">
        <v>34</v>
      </c>
      <c r="U2" s="5" t="s">
        <v>35</v>
      </c>
      <c r="V2" s="5" t="s">
        <v>36</v>
      </c>
      <c r="W2" s="5" t="s">
        <v>36</v>
      </c>
      <c r="X2" s="5" t="s">
        <v>37</v>
      </c>
      <c r="Z2" s="6">
        <v>46013.03472222222</v>
      </c>
      <c r="AA2" s="5" t="s">
        <v>38</v>
      </c>
      <c r="AB2" s="5" t="s">
        <v>39</v>
      </c>
      <c r="AC2" s="5" t="s">
        <v>40</v>
      </c>
      <c r="AD2" s="6">
        <v>46013.0</v>
      </c>
      <c r="AH2" s="5" t="s">
        <v>41</v>
      </c>
    </row>
    <row r="3" ht="15.75" customHeight="1">
      <c r="A3" s="4" t="str">
        <f t="shared" si="1"/>
        <v/>
      </c>
      <c r="B3" s="4" t="str">
        <f t="shared" si="2"/>
        <v/>
      </c>
      <c r="C3" s="4" t="str">
        <f t="shared" si="3"/>
        <v/>
      </c>
      <c r="D3" s="5" t="str">
        <f t="array" ref="D3">_xludf.XLOOKUP(AB3,'[1]Migrated Societies Data'!D:D,'[1]Migrated Societies Data'!B:B)</f>
        <v>#NAME?</v>
      </c>
      <c r="E3" s="5" t="str">
        <f t="array" ref="E3">_xludf.XLOOKUP(AB3,'[1]Migrated Societies Data'!D:D,'[1]Migrated Societies Data'!E:E)</f>
        <v>#NAME?</v>
      </c>
      <c r="F3" s="5" t="str">
        <f>ARRAY_CONSTRAIN(ARRAYFORMULA(_xludf.XLOOKUP(M1642,[1]order_Report_SA_ID_BB2.0!Q:Q,[1]order_Report_SA_ID_BB2.0!H:H,"")), 1, 1)</f>
        <v>#ERROR!</v>
      </c>
      <c r="G3" s="5">
        <f t="shared" si="4"/>
        <v>52</v>
      </c>
      <c r="H3" s="5">
        <f t="shared" si="5"/>
        <v>12</v>
      </c>
      <c r="I3" s="5" t="str">
        <f t="array" ref="I3">_xludf.XLOOKUP(T3,'[1]Lookup Data'!I:I,'[1]Lookup Data'!H:H,"")</f>
        <v>#NAME?</v>
      </c>
      <c r="J3" s="5">
        <v>1.186162429E9</v>
      </c>
      <c r="K3" s="5" t="s">
        <v>32</v>
      </c>
      <c r="L3" s="5">
        <v>1.9705678E7</v>
      </c>
      <c r="M3" s="5">
        <v>1.859165983E9</v>
      </c>
      <c r="N3" s="5" t="s">
        <v>33</v>
      </c>
      <c r="O3" s="5">
        <v>30.0</v>
      </c>
      <c r="P3" s="5">
        <v>162.74</v>
      </c>
      <c r="Q3" s="5">
        <v>279.01</v>
      </c>
      <c r="R3" s="5">
        <v>441.75</v>
      </c>
      <c r="S3" s="5">
        <v>279.01</v>
      </c>
      <c r="T3" s="5" t="s">
        <v>42</v>
      </c>
      <c r="U3" s="5" t="s">
        <v>35</v>
      </c>
      <c r="V3" s="5" t="s">
        <v>43</v>
      </c>
      <c r="W3" s="5" t="s">
        <v>36</v>
      </c>
      <c r="X3" s="5" t="s">
        <v>44</v>
      </c>
      <c r="Z3" s="6">
        <v>46013.06319444445</v>
      </c>
      <c r="AA3" s="5" t="s">
        <v>45</v>
      </c>
      <c r="AB3" s="5" t="s">
        <v>46</v>
      </c>
      <c r="AC3" s="5" t="s">
        <v>40</v>
      </c>
      <c r="AD3" s="6">
        <v>46013.0</v>
      </c>
      <c r="AH3" s="5" t="s">
        <v>41</v>
      </c>
    </row>
    <row r="4" ht="15.75" customHeight="1">
      <c r="A4" s="4" t="str">
        <f t="shared" si="1"/>
        <v/>
      </c>
      <c r="B4" s="4" t="str">
        <f t="shared" si="2"/>
        <v/>
      </c>
      <c r="C4" s="4" t="str">
        <f t="shared" si="3"/>
        <v/>
      </c>
      <c r="D4" s="5" t="str">
        <f t="array" ref="D4">_xludf.XLOOKUP(AB4,'[1]Migrated Societies Data'!D:D,'[1]Migrated Societies Data'!B:B)</f>
        <v>#NAME?</v>
      </c>
      <c r="E4" s="5" t="str">
        <f t="array" ref="E4">_xludf.XLOOKUP(AB4,'[1]Migrated Societies Data'!D:D,'[1]Migrated Societies Data'!E:E)</f>
        <v>#NAME?</v>
      </c>
      <c r="F4" s="5" t="str">
        <f>ARRAY_CONSTRAIN(ARRAYFORMULA(_xludf.XLOOKUP(M1643,[1]order_Report_SA_ID_BB2.0!Q:Q,[1]order_Report_SA_ID_BB2.0!H:H,"")), 1, 1)</f>
        <v>#ERROR!</v>
      </c>
      <c r="G4" s="5">
        <f t="shared" si="4"/>
        <v>52</v>
      </c>
      <c r="H4" s="5">
        <f t="shared" si="5"/>
        <v>12</v>
      </c>
      <c r="I4" s="5" t="str">
        <f t="array" ref="I4">_xludf.XLOOKUP(T4,'[1]Lookup Data'!I:I,'[1]Lookup Data'!H:H,"")</f>
        <v>#NAME?</v>
      </c>
      <c r="J4" s="5">
        <v>1.186165847E9</v>
      </c>
      <c r="K4" s="5" t="s">
        <v>32</v>
      </c>
      <c r="L4" s="5">
        <v>6695077.0</v>
      </c>
      <c r="M4" s="5">
        <v>1.859167897E9</v>
      </c>
      <c r="N4" s="5" t="s">
        <v>33</v>
      </c>
      <c r="O4" s="5">
        <v>30.0</v>
      </c>
      <c r="P4" s="5">
        <v>63.26</v>
      </c>
      <c r="Q4" s="5">
        <v>42.0</v>
      </c>
      <c r="R4" s="5">
        <v>105.26</v>
      </c>
      <c r="S4" s="5">
        <v>42.0</v>
      </c>
      <c r="T4" s="5" t="s">
        <v>42</v>
      </c>
      <c r="U4" s="5" t="s">
        <v>35</v>
      </c>
      <c r="V4" s="5" t="s">
        <v>43</v>
      </c>
      <c r="W4" s="5" t="s">
        <v>36</v>
      </c>
      <c r="X4" s="5" t="s">
        <v>47</v>
      </c>
      <c r="Z4" s="6">
        <v>46013.06597222222</v>
      </c>
      <c r="AA4" s="5" t="s">
        <v>48</v>
      </c>
      <c r="AB4" s="5" t="s">
        <v>49</v>
      </c>
      <c r="AC4" s="5" t="s">
        <v>40</v>
      </c>
      <c r="AD4" s="6">
        <v>46013.0</v>
      </c>
      <c r="AH4" s="5" t="s">
        <v>41</v>
      </c>
    </row>
    <row r="5" ht="15.75" customHeight="1">
      <c r="A5" s="4" t="str">
        <f t="shared" si="1"/>
        <v/>
      </c>
      <c r="B5" s="4" t="str">
        <f t="shared" si="2"/>
        <v/>
      </c>
      <c r="C5" s="4" t="str">
        <f t="shared" si="3"/>
        <v/>
      </c>
      <c r="D5" s="5" t="str">
        <f t="array" ref="D5">_xludf.XLOOKUP(AB5,'[1]Migrated Societies Data'!D:D,'[1]Migrated Societies Data'!B:B)</f>
        <v>#NAME?</v>
      </c>
      <c r="E5" s="5" t="str">
        <f t="array" ref="E5">_xludf.XLOOKUP(AB5,'[1]Migrated Societies Data'!D:D,'[1]Migrated Societies Data'!E:E)</f>
        <v>#NAME?</v>
      </c>
      <c r="F5" s="5" t="str">
        <f>ARRAY_CONSTRAIN(ARRAYFORMULA(_xludf.XLOOKUP(M1644,[1]order_Report_SA_ID_BB2.0!Q:Q,[1]order_Report_SA_ID_BB2.0!H:H,"")), 1, 1)</f>
        <v>#ERROR!</v>
      </c>
      <c r="G5" s="5">
        <f t="shared" si="4"/>
        <v>52</v>
      </c>
      <c r="H5" s="5">
        <f t="shared" si="5"/>
        <v>12</v>
      </c>
      <c r="I5" s="5" t="str">
        <f t="array" ref="I5">_xludf.XLOOKUP(T5,'[1]Lookup Data'!I:I,'[1]Lookup Data'!H:H,"")</f>
        <v>#NAME?</v>
      </c>
      <c r="J5" s="5">
        <v>1.18616842E9</v>
      </c>
      <c r="K5" s="5" t="s">
        <v>32</v>
      </c>
      <c r="L5" s="5">
        <v>8301809.0</v>
      </c>
      <c r="M5" s="5">
        <v>1.859166066E9</v>
      </c>
      <c r="N5" s="5" t="s">
        <v>33</v>
      </c>
      <c r="O5" s="5">
        <v>30.0</v>
      </c>
      <c r="P5" s="5">
        <v>2006.4</v>
      </c>
      <c r="Q5" s="5">
        <v>35.0</v>
      </c>
      <c r="R5" s="5">
        <v>2041.4</v>
      </c>
      <c r="S5" s="5">
        <v>35.0</v>
      </c>
      <c r="T5" s="5" t="s">
        <v>42</v>
      </c>
      <c r="U5" s="5" t="s">
        <v>35</v>
      </c>
      <c r="V5" s="5" t="s">
        <v>43</v>
      </c>
      <c r="W5" s="5" t="s">
        <v>36</v>
      </c>
      <c r="X5" s="5" t="s">
        <v>50</v>
      </c>
      <c r="Z5" s="6">
        <v>46013.06736111111</v>
      </c>
      <c r="AA5" s="5" t="s">
        <v>51</v>
      </c>
      <c r="AB5" s="5" t="s">
        <v>52</v>
      </c>
      <c r="AC5" s="5" t="s">
        <v>40</v>
      </c>
      <c r="AD5" s="6">
        <v>46013.0</v>
      </c>
      <c r="AH5" s="5" t="s">
        <v>41</v>
      </c>
    </row>
    <row r="6" ht="15.75" customHeight="1">
      <c r="A6" s="4" t="str">
        <f t="shared" si="1"/>
        <v/>
      </c>
      <c r="B6" s="4" t="str">
        <f t="shared" si="2"/>
        <v/>
      </c>
      <c r="C6" s="4" t="str">
        <f t="shared" si="3"/>
        <v/>
      </c>
      <c r="D6" s="5" t="str">
        <f t="array" ref="D6">_xludf.XLOOKUP(AB6,'[1]Migrated Societies Data'!D:D,'[1]Migrated Societies Data'!B:B)</f>
        <v>#NAME?</v>
      </c>
      <c r="E6" s="5" t="str">
        <f t="array" ref="E6">_xludf.XLOOKUP(AB6,'[1]Migrated Societies Data'!D:D,'[1]Migrated Societies Data'!E:E)</f>
        <v>#NAME?</v>
      </c>
      <c r="F6" s="5" t="str">
        <f>ARRAY_CONSTRAIN(ARRAYFORMULA(_xludf.XLOOKUP(M1645,[1]order_Report_SA_ID_BB2.0!Q:Q,[1]order_Report_SA_ID_BB2.0!H:H,"")), 1, 1)</f>
        <v>#ERROR!</v>
      </c>
      <c r="G6" s="5">
        <f t="shared" si="4"/>
        <v>52</v>
      </c>
      <c r="H6" s="5">
        <f t="shared" si="5"/>
        <v>12</v>
      </c>
      <c r="I6" s="5" t="str">
        <f t="array" ref="I6">_xludf.XLOOKUP(T6,'[1]Lookup Data'!I:I,'[1]Lookup Data'!H:H,"")</f>
        <v>#NAME?</v>
      </c>
      <c r="J6" s="5">
        <v>1.186168427E9</v>
      </c>
      <c r="K6" s="5" t="s">
        <v>32</v>
      </c>
      <c r="L6" s="5">
        <v>9901190.0</v>
      </c>
      <c r="M6" s="5">
        <v>1.859165863E9</v>
      </c>
      <c r="N6" s="5" t="s">
        <v>33</v>
      </c>
      <c r="O6" s="5">
        <v>30.0</v>
      </c>
      <c r="P6" s="5">
        <v>2.62</v>
      </c>
      <c r="Q6" s="5">
        <v>14.0</v>
      </c>
      <c r="R6" s="5">
        <v>16.62</v>
      </c>
      <c r="S6" s="5">
        <v>14.0</v>
      </c>
      <c r="T6" s="5" t="s">
        <v>42</v>
      </c>
      <c r="U6" s="5" t="s">
        <v>35</v>
      </c>
      <c r="V6" s="5" t="s">
        <v>43</v>
      </c>
      <c r="W6" s="5" t="s">
        <v>36</v>
      </c>
      <c r="X6" s="5" t="s">
        <v>53</v>
      </c>
      <c r="Z6" s="6">
        <v>46013.06736111111</v>
      </c>
      <c r="AA6" s="5" t="s">
        <v>54</v>
      </c>
      <c r="AB6" s="5" t="s">
        <v>52</v>
      </c>
      <c r="AC6" s="5" t="s">
        <v>40</v>
      </c>
      <c r="AD6" s="6">
        <v>46013.0</v>
      </c>
      <c r="AH6" s="5" t="s">
        <v>41</v>
      </c>
    </row>
    <row r="7" ht="15.75" customHeight="1">
      <c r="A7" s="4" t="str">
        <f t="shared" si="1"/>
        <v/>
      </c>
      <c r="B7" s="4" t="str">
        <f t="shared" si="2"/>
        <v/>
      </c>
      <c r="C7" s="4" t="str">
        <f t="shared" si="3"/>
        <v/>
      </c>
      <c r="D7" s="5" t="str">
        <f t="array" ref="D7">_xludf.XLOOKUP(AB7,'[1]Migrated Societies Data'!D:D,'[1]Migrated Societies Data'!B:B)</f>
        <v>#NAME?</v>
      </c>
      <c r="E7" s="5" t="str">
        <f t="array" ref="E7">_xludf.XLOOKUP(AB7,'[1]Migrated Societies Data'!D:D,'[1]Migrated Societies Data'!E:E)</f>
        <v>#NAME?</v>
      </c>
      <c r="F7" s="5" t="str">
        <f>ARRAY_CONSTRAIN(ARRAYFORMULA(_xludf.XLOOKUP(M1646,[1]order_Report_SA_ID_BB2.0!Q:Q,[1]order_Report_SA_ID_BB2.0!H:H,"")), 1, 1)</f>
        <v>#ERROR!</v>
      </c>
      <c r="G7" s="5">
        <f t="shared" si="4"/>
        <v>52</v>
      </c>
      <c r="H7" s="5">
        <f t="shared" si="5"/>
        <v>12</v>
      </c>
      <c r="I7" s="5" t="str">
        <f t="array" ref="I7">_xludf.XLOOKUP(T7,'[1]Lookup Data'!I:I,'[1]Lookup Data'!H:H,"")</f>
        <v>#NAME?</v>
      </c>
      <c r="J7" s="5">
        <v>1.186171082E9</v>
      </c>
      <c r="K7" s="5" t="s">
        <v>32</v>
      </c>
      <c r="L7" s="5">
        <v>996092.0</v>
      </c>
      <c r="M7" s="5">
        <v>1.859029288E9</v>
      </c>
      <c r="N7" s="5" t="s">
        <v>33</v>
      </c>
      <c r="O7" s="5">
        <v>30.0</v>
      </c>
      <c r="P7" s="5">
        <v>4647.23</v>
      </c>
      <c r="Q7" s="5">
        <v>3.34</v>
      </c>
      <c r="R7" s="5">
        <v>4650.57</v>
      </c>
      <c r="S7" s="5">
        <v>3.34</v>
      </c>
      <c r="T7" s="5" t="s">
        <v>55</v>
      </c>
      <c r="U7" s="5" t="s">
        <v>56</v>
      </c>
      <c r="V7" s="5" t="s">
        <v>57</v>
      </c>
      <c r="W7" s="5" t="s">
        <v>58</v>
      </c>
      <c r="X7" s="5" t="s">
        <v>59</v>
      </c>
      <c r="Z7" s="6">
        <v>46013.069444444445</v>
      </c>
      <c r="AA7" s="5" t="s">
        <v>60</v>
      </c>
      <c r="AB7" s="5" t="s">
        <v>61</v>
      </c>
      <c r="AC7" s="5" t="s">
        <v>40</v>
      </c>
      <c r="AD7" s="6">
        <v>46013.0</v>
      </c>
      <c r="AH7" s="5" t="s">
        <v>62</v>
      </c>
    </row>
    <row r="8" ht="15.75" customHeight="1">
      <c r="A8" s="4" t="str">
        <f t="shared" si="1"/>
        <v/>
      </c>
      <c r="B8" s="4" t="str">
        <f t="shared" si="2"/>
        <v/>
      </c>
      <c r="C8" s="4" t="str">
        <f t="shared" si="3"/>
        <v/>
      </c>
      <c r="D8" s="5" t="str">
        <f t="array" ref="D8">_xludf.XLOOKUP(AB8,'[1]Migrated Societies Data'!D:D,'[1]Migrated Societies Data'!B:B)</f>
        <v>#NAME?</v>
      </c>
      <c r="E8" s="5" t="str">
        <f t="array" ref="E8">_xludf.XLOOKUP(AB8,'[1]Migrated Societies Data'!D:D,'[1]Migrated Societies Data'!E:E)</f>
        <v>#NAME?</v>
      </c>
      <c r="F8" s="5" t="str">
        <f>ARRAY_CONSTRAIN(ARRAYFORMULA(_xludf.XLOOKUP(M1647,[1]order_Report_SA_ID_BB2.0!Q:Q,[1]order_Report_SA_ID_BB2.0!H:H,"")), 1, 1)</f>
        <v>#ERROR!</v>
      </c>
      <c r="G8" s="5">
        <f t="shared" si="4"/>
        <v>52</v>
      </c>
      <c r="H8" s="5">
        <f t="shared" si="5"/>
        <v>12</v>
      </c>
      <c r="I8" s="5" t="str">
        <f t="array" ref="I8">_xludf.XLOOKUP(T8,'[1]Lookup Data'!I:I,'[1]Lookup Data'!H:H,"")</f>
        <v>#NAME?</v>
      </c>
      <c r="J8" s="5">
        <v>1.186171215E9</v>
      </c>
      <c r="K8" s="5" t="s">
        <v>32</v>
      </c>
      <c r="L8" s="5">
        <v>1.7505511E7</v>
      </c>
      <c r="M8" s="5">
        <v>1.859166003E9</v>
      </c>
      <c r="N8" s="5" t="s">
        <v>33</v>
      </c>
      <c r="O8" s="5">
        <v>30.0</v>
      </c>
      <c r="P8" s="5">
        <v>404.72</v>
      </c>
      <c r="Q8" s="5">
        <v>5.0</v>
      </c>
      <c r="R8" s="5">
        <v>409.72</v>
      </c>
      <c r="S8" s="5">
        <v>5.0</v>
      </c>
      <c r="T8" s="5" t="s">
        <v>42</v>
      </c>
      <c r="U8" s="5" t="s">
        <v>35</v>
      </c>
      <c r="V8" s="5" t="s">
        <v>43</v>
      </c>
      <c r="W8" s="5" t="s">
        <v>36</v>
      </c>
      <c r="X8" s="5" t="s">
        <v>63</v>
      </c>
      <c r="Z8" s="6">
        <v>46013.072222222225</v>
      </c>
      <c r="AA8" s="5" t="s">
        <v>64</v>
      </c>
      <c r="AB8" s="5" t="s">
        <v>65</v>
      </c>
      <c r="AC8" s="5" t="s">
        <v>40</v>
      </c>
      <c r="AD8" s="6">
        <v>46013.0</v>
      </c>
      <c r="AH8" s="5" t="s">
        <v>41</v>
      </c>
    </row>
    <row r="9" ht="15.75" customHeight="1">
      <c r="A9" s="4" t="str">
        <f t="shared" si="1"/>
        <v/>
      </c>
      <c r="B9" s="4" t="str">
        <f t="shared" si="2"/>
        <v/>
      </c>
      <c r="C9" s="4" t="str">
        <f t="shared" si="3"/>
        <v/>
      </c>
      <c r="D9" s="5" t="str">
        <f t="array" ref="D9">_xludf.XLOOKUP(AB9,'[1]Migrated Societies Data'!D:D,'[1]Migrated Societies Data'!B:B)</f>
        <v>#NAME?</v>
      </c>
      <c r="E9" s="5" t="str">
        <f t="array" ref="E9">_xludf.XLOOKUP(AB9,'[1]Migrated Societies Data'!D:D,'[1]Migrated Societies Data'!E:E)</f>
        <v>#NAME?</v>
      </c>
      <c r="F9" s="5" t="str">
        <f>ARRAY_CONSTRAIN(ARRAYFORMULA(_xludf.XLOOKUP(M1648,[1]order_Report_SA_ID_BB2.0!Q:Q,[1]order_Report_SA_ID_BB2.0!H:H,"")), 1, 1)</f>
        <v>#ERROR!</v>
      </c>
      <c r="G9" s="5">
        <f t="shared" si="4"/>
        <v>52</v>
      </c>
      <c r="H9" s="5">
        <f t="shared" si="5"/>
        <v>12</v>
      </c>
      <c r="I9" s="5" t="str">
        <f t="array" ref="I9">_xludf.XLOOKUP(T9,'[1]Lookup Data'!I:I,'[1]Lookup Data'!H:H,"")</f>
        <v>#NAME?</v>
      </c>
      <c r="J9" s="5">
        <v>1.186171314E9</v>
      </c>
      <c r="K9" s="5" t="s">
        <v>32</v>
      </c>
      <c r="L9" s="5">
        <v>6263048.0</v>
      </c>
      <c r="M9" s="5">
        <v>1.859165039E9</v>
      </c>
      <c r="N9" s="5" t="s">
        <v>33</v>
      </c>
      <c r="O9" s="5">
        <v>30.0</v>
      </c>
      <c r="P9" s="5">
        <v>48.07</v>
      </c>
      <c r="Q9" s="5">
        <v>5.0</v>
      </c>
      <c r="R9" s="5">
        <v>53.07</v>
      </c>
      <c r="S9" s="5">
        <v>5.0</v>
      </c>
      <c r="T9" s="5" t="s">
        <v>42</v>
      </c>
      <c r="U9" s="5" t="s">
        <v>35</v>
      </c>
      <c r="V9" s="5" t="s">
        <v>43</v>
      </c>
      <c r="W9" s="5" t="s">
        <v>36</v>
      </c>
      <c r="X9" s="5" t="s">
        <v>66</v>
      </c>
      <c r="Z9" s="6">
        <v>46013.075</v>
      </c>
      <c r="AA9" s="5" t="s">
        <v>67</v>
      </c>
      <c r="AB9" s="5" t="s">
        <v>65</v>
      </c>
      <c r="AC9" s="5" t="s">
        <v>40</v>
      </c>
      <c r="AD9" s="6">
        <v>46013.0</v>
      </c>
      <c r="AH9" s="5" t="s">
        <v>41</v>
      </c>
    </row>
    <row r="10" ht="15.75" customHeight="1">
      <c r="A10" s="4" t="str">
        <f t="shared" si="1"/>
        <v/>
      </c>
      <c r="B10" s="4" t="str">
        <f t="shared" si="2"/>
        <v/>
      </c>
      <c r="C10" s="4" t="str">
        <f t="shared" si="3"/>
        <v/>
      </c>
      <c r="D10" s="5" t="str">
        <f t="array" ref="D10">_xludf.XLOOKUP(AB10,'[1]Migrated Societies Data'!D:D,'[1]Migrated Societies Data'!B:B)</f>
        <v>#NAME?</v>
      </c>
      <c r="E10" s="5" t="str">
        <f t="array" ref="E10">_xludf.XLOOKUP(AB10,'[1]Migrated Societies Data'!D:D,'[1]Migrated Societies Data'!E:E)</f>
        <v>#NAME?</v>
      </c>
      <c r="F10" s="5" t="str">
        <f>ARRAY_CONSTRAIN(ARRAYFORMULA(_xludf.XLOOKUP(M1649,[1]order_Report_SA_ID_BB2.0!Q:Q,[1]order_Report_SA_ID_BB2.0!H:H,"")), 1, 1)</f>
        <v>#ERROR!</v>
      </c>
      <c r="G10" s="5">
        <f t="shared" si="4"/>
        <v>52</v>
      </c>
      <c r="H10" s="5">
        <f t="shared" si="5"/>
        <v>12</v>
      </c>
      <c r="I10" s="5" t="str">
        <f t="array" ref="I10">_xludf.XLOOKUP(T10,'[1]Lookup Data'!I:I,'[1]Lookup Data'!H:H,"")</f>
        <v>#NAME?</v>
      </c>
      <c r="J10" s="5">
        <v>1.186172506E9</v>
      </c>
      <c r="K10" s="5" t="s">
        <v>32</v>
      </c>
      <c r="L10" s="5">
        <v>8032234.0</v>
      </c>
      <c r="M10" s="5">
        <v>1.859006409E9</v>
      </c>
      <c r="N10" s="5" t="s">
        <v>33</v>
      </c>
      <c r="O10" s="5">
        <v>30.0</v>
      </c>
      <c r="P10" s="5">
        <v>636.91</v>
      </c>
      <c r="Q10" s="5">
        <v>2.82</v>
      </c>
      <c r="R10" s="5">
        <v>639.73</v>
      </c>
      <c r="S10" s="5">
        <v>2.82</v>
      </c>
      <c r="T10" s="5" t="s">
        <v>55</v>
      </c>
      <c r="U10" s="5" t="s">
        <v>56</v>
      </c>
      <c r="V10" s="5" t="s">
        <v>57</v>
      </c>
      <c r="W10" s="5" t="s">
        <v>58</v>
      </c>
      <c r="X10" s="5" t="s">
        <v>68</v>
      </c>
      <c r="Z10" s="6">
        <v>46013.07847222222</v>
      </c>
      <c r="AA10" s="5" t="s">
        <v>69</v>
      </c>
      <c r="AB10" s="5" t="s">
        <v>70</v>
      </c>
      <c r="AC10" s="5" t="s">
        <v>40</v>
      </c>
      <c r="AD10" s="6">
        <v>46013.0</v>
      </c>
      <c r="AH10" s="5" t="s">
        <v>41</v>
      </c>
    </row>
    <row r="11" ht="15.75" customHeight="1">
      <c r="A11" s="4" t="str">
        <f t="shared" si="1"/>
        <v/>
      </c>
      <c r="B11" s="4" t="str">
        <f t="shared" si="2"/>
        <v/>
      </c>
      <c r="C11" s="4" t="str">
        <f t="shared" si="3"/>
        <v/>
      </c>
      <c r="D11" s="5" t="str">
        <f t="array" ref="D11">_xludf.XLOOKUP(AB11,'[1]Migrated Societies Data'!D:D,'[1]Migrated Societies Data'!B:B)</f>
        <v>#NAME?</v>
      </c>
      <c r="E11" s="5" t="str">
        <f t="array" ref="E11">_xludf.XLOOKUP(AB11,'[1]Migrated Societies Data'!D:D,'[1]Migrated Societies Data'!E:E)</f>
        <v>#NAME?</v>
      </c>
      <c r="F11" s="5" t="str">
        <f>ARRAY_CONSTRAIN(ARRAYFORMULA(_xludf.XLOOKUP(M1650,[1]order_Report_SA_ID_BB2.0!Q:Q,[1]order_Report_SA_ID_BB2.0!H:H,"")), 1, 1)</f>
        <v>#ERROR!</v>
      </c>
      <c r="G11" s="5">
        <f t="shared" si="4"/>
        <v>52</v>
      </c>
      <c r="H11" s="5">
        <f t="shared" si="5"/>
        <v>12</v>
      </c>
      <c r="I11" s="5" t="str">
        <f t="array" ref="I11">_xludf.XLOOKUP(T11,'[1]Lookup Data'!I:I,'[1]Lookup Data'!H:H,"")</f>
        <v>#NAME?</v>
      </c>
      <c r="J11" s="5">
        <v>1.186172517E9</v>
      </c>
      <c r="K11" s="5" t="s">
        <v>32</v>
      </c>
      <c r="L11" s="5">
        <v>8032234.0</v>
      </c>
      <c r="M11" s="5">
        <v>1.859018855E9</v>
      </c>
      <c r="N11" s="5" t="s">
        <v>33</v>
      </c>
      <c r="O11" s="5">
        <v>30.0</v>
      </c>
      <c r="P11" s="5">
        <v>639.47</v>
      </c>
      <c r="Q11" s="5">
        <v>10.0</v>
      </c>
      <c r="R11" s="5">
        <v>649.47</v>
      </c>
      <c r="S11" s="5">
        <v>10.0</v>
      </c>
      <c r="T11" s="5" t="s">
        <v>42</v>
      </c>
      <c r="U11" s="5" t="s">
        <v>35</v>
      </c>
      <c r="V11" s="5" t="s">
        <v>43</v>
      </c>
      <c r="W11" s="5" t="s">
        <v>36</v>
      </c>
      <c r="X11" s="5" t="s">
        <v>71</v>
      </c>
      <c r="Z11" s="6">
        <v>46013.07847222222</v>
      </c>
      <c r="AA11" s="5" t="s">
        <v>69</v>
      </c>
      <c r="AB11" s="5" t="s">
        <v>70</v>
      </c>
      <c r="AC11" s="5" t="s">
        <v>40</v>
      </c>
      <c r="AD11" s="6">
        <v>46013.0</v>
      </c>
      <c r="AH11" s="5" t="s">
        <v>41</v>
      </c>
    </row>
    <row r="12" ht="15.75" customHeight="1">
      <c r="A12" s="4" t="str">
        <f t="shared" si="1"/>
        <v/>
      </c>
      <c r="B12" s="4" t="str">
        <f t="shared" si="2"/>
        <v/>
      </c>
      <c r="C12" s="4" t="str">
        <f t="shared" si="3"/>
        <v/>
      </c>
      <c r="D12" s="5" t="str">
        <f t="array" ref="D12">_xludf.XLOOKUP(AB12,'[1]Migrated Societies Data'!D:D,'[1]Migrated Societies Data'!B:B)</f>
        <v>#NAME?</v>
      </c>
      <c r="E12" s="5" t="str">
        <f t="array" ref="E12">_xludf.XLOOKUP(AB12,'[1]Migrated Societies Data'!D:D,'[1]Migrated Societies Data'!E:E)</f>
        <v>#NAME?</v>
      </c>
      <c r="F12" s="5" t="str">
        <f>ARRAY_CONSTRAIN(ARRAYFORMULA(_xludf.XLOOKUP(M1651,[1]order_Report_SA_ID_BB2.0!Q:Q,[1]order_Report_SA_ID_BB2.0!H:H,"")), 1, 1)</f>
        <v>#ERROR!</v>
      </c>
      <c r="G12" s="5">
        <f t="shared" si="4"/>
        <v>52</v>
      </c>
      <c r="H12" s="5">
        <f t="shared" si="5"/>
        <v>12</v>
      </c>
      <c r="I12" s="5" t="str">
        <f t="array" ref="I12">_xludf.XLOOKUP(T12,'[1]Lookup Data'!I:I,'[1]Lookup Data'!H:H,"")</f>
        <v>#NAME?</v>
      </c>
      <c r="J12" s="5">
        <v>1.186173324E9</v>
      </c>
      <c r="K12" s="5" t="s">
        <v>32</v>
      </c>
      <c r="L12" s="5">
        <v>2.2780574E7</v>
      </c>
      <c r="M12" s="5">
        <v>1.859079205E9</v>
      </c>
      <c r="N12" s="5" t="s">
        <v>33</v>
      </c>
      <c r="O12" s="5">
        <v>30.0</v>
      </c>
      <c r="P12" s="5">
        <v>0.0</v>
      </c>
      <c r="Q12" s="5">
        <v>2.06</v>
      </c>
      <c r="R12" s="5">
        <v>2.06</v>
      </c>
      <c r="S12" s="5">
        <v>2.06</v>
      </c>
      <c r="T12" s="5" t="s">
        <v>55</v>
      </c>
      <c r="U12" s="5" t="s">
        <v>56</v>
      </c>
      <c r="V12" s="5" t="s">
        <v>57</v>
      </c>
      <c r="W12" s="5" t="s">
        <v>58</v>
      </c>
      <c r="X12" s="5" t="s">
        <v>72</v>
      </c>
      <c r="Z12" s="6">
        <v>46013.07847222222</v>
      </c>
      <c r="AA12" s="5" t="s">
        <v>73</v>
      </c>
      <c r="AB12" s="5" t="s">
        <v>74</v>
      </c>
      <c r="AC12" s="5" t="s">
        <v>40</v>
      </c>
      <c r="AD12" s="6">
        <v>46013.0</v>
      </c>
      <c r="AH12" s="5" t="s">
        <v>62</v>
      </c>
    </row>
    <row r="13" ht="15.75" customHeight="1">
      <c r="A13" s="4" t="str">
        <f t="shared" si="1"/>
        <v/>
      </c>
      <c r="B13" s="4" t="str">
        <f t="shared" si="2"/>
        <v/>
      </c>
      <c r="C13" s="4" t="str">
        <f t="shared" si="3"/>
        <v/>
      </c>
      <c r="D13" s="5" t="str">
        <f t="array" ref="D13">_xludf.XLOOKUP(AB13,'[1]Migrated Societies Data'!D:D,'[1]Migrated Societies Data'!B:B)</f>
        <v>#NAME?</v>
      </c>
      <c r="E13" s="5" t="str">
        <f t="array" ref="E13">_xludf.XLOOKUP(AB13,'[1]Migrated Societies Data'!D:D,'[1]Migrated Societies Data'!E:E)</f>
        <v>#NAME?</v>
      </c>
      <c r="F13" s="5" t="str">
        <f>ARRAY_CONSTRAIN(ARRAYFORMULA(_xludf.XLOOKUP(M1652,[1]order_Report_SA_ID_BB2.0!Q:Q,[1]order_Report_SA_ID_BB2.0!H:H,"")), 1, 1)</f>
        <v>#ERROR!</v>
      </c>
      <c r="G13" s="5">
        <f t="shared" si="4"/>
        <v>52</v>
      </c>
      <c r="H13" s="5">
        <f t="shared" si="5"/>
        <v>12</v>
      </c>
      <c r="I13" s="5" t="str">
        <f t="array" ref="I13">_xludf.XLOOKUP(T13,'[1]Lookup Data'!I:I,'[1]Lookup Data'!H:H,"")</f>
        <v>#NAME?</v>
      </c>
      <c r="J13" s="5">
        <v>1.186174704E9</v>
      </c>
      <c r="K13" s="5" t="s">
        <v>32</v>
      </c>
      <c r="L13" s="5">
        <v>6294846.0</v>
      </c>
      <c r="M13" s="5">
        <v>1.859167695E9</v>
      </c>
      <c r="N13" s="5" t="s">
        <v>33</v>
      </c>
      <c r="O13" s="5">
        <v>30.0</v>
      </c>
      <c r="P13" s="5">
        <v>542.56</v>
      </c>
      <c r="Q13" s="5">
        <v>19.5</v>
      </c>
      <c r="R13" s="5">
        <v>562.06</v>
      </c>
      <c r="S13" s="5">
        <v>19.5</v>
      </c>
      <c r="T13" s="5" t="s">
        <v>42</v>
      </c>
      <c r="U13" s="5" t="s">
        <v>35</v>
      </c>
      <c r="V13" s="5" t="s">
        <v>43</v>
      </c>
      <c r="W13" s="5" t="s">
        <v>36</v>
      </c>
      <c r="X13" s="5" t="s">
        <v>75</v>
      </c>
      <c r="Z13" s="6">
        <v>46013.07916666667</v>
      </c>
      <c r="AA13" s="5" t="s">
        <v>76</v>
      </c>
      <c r="AB13" s="5" t="s">
        <v>77</v>
      </c>
      <c r="AC13" s="5" t="s">
        <v>40</v>
      </c>
      <c r="AD13" s="6">
        <v>46013.0</v>
      </c>
      <c r="AH13" s="5" t="s">
        <v>41</v>
      </c>
    </row>
    <row r="14" ht="15.75" customHeight="1">
      <c r="A14" s="4" t="str">
        <f t="shared" si="1"/>
        <v/>
      </c>
      <c r="B14" s="4" t="str">
        <f t="shared" si="2"/>
        <v/>
      </c>
      <c r="C14" s="4" t="str">
        <f t="shared" si="3"/>
        <v/>
      </c>
      <c r="D14" s="5" t="str">
        <f t="array" ref="D14">_xludf.XLOOKUP(AB14,'[1]Migrated Societies Data'!D:D,'[1]Migrated Societies Data'!B:B)</f>
        <v>#NAME?</v>
      </c>
      <c r="E14" s="5" t="str">
        <f t="array" ref="E14">_xludf.XLOOKUP(AB14,'[1]Migrated Societies Data'!D:D,'[1]Migrated Societies Data'!E:E)</f>
        <v>#NAME?</v>
      </c>
      <c r="F14" s="5" t="str">
        <f>ARRAY_CONSTRAIN(ARRAYFORMULA(_xludf.XLOOKUP(M1653,[1]order_Report_SA_ID_BB2.0!Q:Q,[1]order_Report_SA_ID_BB2.0!H:H,"")), 1, 1)</f>
        <v>#ERROR!</v>
      </c>
      <c r="G14" s="5">
        <f t="shared" si="4"/>
        <v>52</v>
      </c>
      <c r="H14" s="5">
        <f t="shared" si="5"/>
        <v>12</v>
      </c>
      <c r="I14" s="5" t="str">
        <f t="array" ref="I14">_xludf.XLOOKUP(T14,'[1]Lookup Data'!I:I,'[1]Lookup Data'!H:H,"")</f>
        <v>#NAME?</v>
      </c>
      <c r="J14" s="5">
        <v>1.186177643E9</v>
      </c>
      <c r="K14" s="5" t="s">
        <v>32</v>
      </c>
      <c r="L14" s="5">
        <v>1.6291631E7</v>
      </c>
      <c r="M14" s="5">
        <v>1.859167687E9</v>
      </c>
      <c r="N14" s="5" t="s">
        <v>33</v>
      </c>
      <c r="O14" s="5">
        <v>30.0</v>
      </c>
      <c r="P14" s="5">
        <v>213.41</v>
      </c>
      <c r="Q14" s="5">
        <v>35.0</v>
      </c>
      <c r="R14" s="5">
        <v>248.41</v>
      </c>
      <c r="S14" s="5">
        <v>35.0</v>
      </c>
      <c r="T14" s="5" t="s">
        <v>42</v>
      </c>
      <c r="U14" s="5" t="s">
        <v>35</v>
      </c>
      <c r="V14" s="5" t="s">
        <v>43</v>
      </c>
      <c r="W14" s="5" t="s">
        <v>36</v>
      </c>
      <c r="X14" s="5" t="s">
        <v>78</v>
      </c>
      <c r="Z14" s="6">
        <v>46013.080555555556</v>
      </c>
      <c r="AA14" s="5" t="s">
        <v>79</v>
      </c>
      <c r="AB14" s="5" t="s">
        <v>77</v>
      </c>
      <c r="AC14" s="5" t="s">
        <v>40</v>
      </c>
      <c r="AD14" s="6">
        <v>46013.0</v>
      </c>
      <c r="AH14" s="5" t="s">
        <v>41</v>
      </c>
    </row>
    <row r="15" ht="15.75" customHeight="1">
      <c r="A15" s="4" t="str">
        <f t="shared" si="1"/>
        <v/>
      </c>
      <c r="B15" s="4" t="str">
        <f t="shared" si="2"/>
        <v/>
      </c>
      <c r="C15" s="4" t="str">
        <f t="shared" si="3"/>
        <v/>
      </c>
      <c r="D15" s="5" t="str">
        <f t="array" ref="D15">_xludf.XLOOKUP(AB15,'[1]Migrated Societies Data'!D:D,'[1]Migrated Societies Data'!B:B)</f>
        <v>#NAME?</v>
      </c>
      <c r="E15" s="5" t="str">
        <f t="array" ref="E15">_xludf.XLOOKUP(AB15,'[1]Migrated Societies Data'!D:D,'[1]Migrated Societies Data'!E:E)</f>
        <v>#NAME?</v>
      </c>
      <c r="F15" s="5" t="str">
        <f>ARRAY_CONSTRAIN(ARRAYFORMULA(_xludf.XLOOKUP(M1654,[1]order_Report_SA_ID_BB2.0!Q:Q,[1]order_Report_SA_ID_BB2.0!H:H,"")), 1, 1)</f>
        <v>#ERROR!</v>
      </c>
      <c r="G15" s="5">
        <f t="shared" si="4"/>
        <v>52</v>
      </c>
      <c r="H15" s="5">
        <f t="shared" si="5"/>
        <v>12</v>
      </c>
      <c r="I15" s="5" t="str">
        <f t="array" ref="I15">_xludf.XLOOKUP(T15,'[1]Lookup Data'!I:I,'[1]Lookup Data'!H:H,"")</f>
        <v>#NAME?</v>
      </c>
      <c r="J15" s="5">
        <v>1.186178211E9</v>
      </c>
      <c r="K15" s="5" t="s">
        <v>32</v>
      </c>
      <c r="L15" s="5">
        <v>562068.0</v>
      </c>
      <c r="M15" s="5">
        <v>1.859167549E9</v>
      </c>
      <c r="N15" s="5" t="s">
        <v>33</v>
      </c>
      <c r="O15" s="5">
        <v>30.0</v>
      </c>
      <c r="P15" s="5">
        <v>311.83</v>
      </c>
      <c r="Q15" s="5">
        <v>45.6</v>
      </c>
      <c r="R15" s="5">
        <v>357.43</v>
      </c>
      <c r="S15" s="5">
        <v>45.6</v>
      </c>
      <c r="T15" s="5" t="s">
        <v>42</v>
      </c>
      <c r="U15" s="5" t="s">
        <v>35</v>
      </c>
      <c r="V15" s="5" t="s">
        <v>43</v>
      </c>
      <c r="W15" s="5" t="s">
        <v>36</v>
      </c>
      <c r="X15" s="5" t="s">
        <v>80</v>
      </c>
      <c r="Z15" s="6">
        <v>46013.08194444444</v>
      </c>
      <c r="AA15" s="5" t="s">
        <v>81</v>
      </c>
      <c r="AB15" s="5" t="s">
        <v>70</v>
      </c>
      <c r="AC15" s="5" t="s">
        <v>40</v>
      </c>
      <c r="AD15" s="6">
        <v>46013.0</v>
      </c>
      <c r="AH15" s="5" t="s">
        <v>41</v>
      </c>
    </row>
    <row r="16" ht="15.75" customHeight="1">
      <c r="A16" s="4" t="str">
        <f t="shared" si="1"/>
        <v/>
      </c>
      <c r="B16" s="4" t="str">
        <f t="shared" si="2"/>
        <v/>
      </c>
      <c r="C16" s="4" t="str">
        <f t="shared" si="3"/>
        <v/>
      </c>
      <c r="D16" s="5" t="str">
        <f t="array" ref="D16">_xludf.XLOOKUP(AB16,'[1]Migrated Societies Data'!D:D,'[1]Migrated Societies Data'!B:B)</f>
        <v>#NAME?</v>
      </c>
      <c r="E16" s="5" t="str">
        <f t="array" ref="E16">_xludf.XLOOKUP(AB16,'[1]Migrated Societies Data'!D:D,'[1]Migrated Societies Data'!E:E)</f>
        <v>#NAME?</v>
      </c>
      <c r="F16" s="5" t="str">
        <f>ARRAY_CONSTRAIN(ARRAYFORMULA(_xludf.XLOOKUP(M1655,[1]order_Report_SA_ID_BB2.0!Q:Q,[1]order_Report_SA_ID_BB2.0!H:H,"")), 1, 1)</f>
        <v>#ERROR!</v>
      </c>
      <c r="G16" s="5">
        <f t="shared" si="4"/>
        <v>52</v>
      </c>
      <c r="H16" s="5">
        <f t="shared" si="5"/>
        <v>12</v>
      </c>
      <c r="I16" s="5" t="str">
        <f t="array" ref="I16">_xludf.XLOOKUP(T16,'[1]Lookup Data'!I:I,'[1]Lookup Data'!H:H,"")</f>
        <v>#NAME?</v>
      </c>
      <c r="J16" s="5">
        <v>1.186178313E9</v>
      </c>
      <c r="K16" s="5" t="s">
        <v>32</v>
      </c>
      <c r="L16" s="5">
        <v>2.7497512E7</v>
      </c>
      <c r="M16" s="5">
        <v>1.859166643E9</v>
      </c>
      <c r="N16" s="5" t="s">
        <v>33</v>
      </c>
      <c r="O16" s="5">
        <v>30.0</v>
      </c>
      <c r="P16" s="5">
        <v>442.0</v>
      </c>
      <c r="Q16" s="5">
        <v>42.0</v>
      </c>
      <c r="R16" s="5">
        <v>484.0</v>
      </c>
      <c r="S16" s="5">
        <v>42.0</v>
      </c>
      <c r="T16" s="5" t="s">
        <v>42</v>
      </c>
      <c r="U16" s="5" t="s">
        <v>35</v>
      </c>
      <c r="V16" s="5" t="s">
        <v>43</v>
      </c>
      <c r="W16" s="5" t="s">
        <v>36</v>
      </c>
      <c r="X16" s="5" t="s">
        <v>82</v>
      </c>
      <c r="Z16" s="6">
        <v>46013.08472222222</v>
      </c>
      <c r="AA16" s="5" t="s">
        <v>83</v>
      </c>
      <c r="AB16" s="5" t="s">
        <v>84</v>
      </c>
      <c r="AC16" s="5" t="s">
        <v>40</v>
      </c>
      <c r="AD16" s="6">
        <v>46013.0</v>
      </c>
      <c r="AH16" s="5" t="s">
        <v>41</v>
      </c>
    </row>
    <row r="17" ht="15.75" customHeight="1">
      <c r="A17" s="4" t="str">
        <f t="shared" si="1"/>
        <v/>
      </c>
      <c r="B17" s="4" t="str">
        <f t="shared" si="2"/>
        <v/>
      </c>
      <c r="C17" s="4" t="str">
        <f t="shared" si="3"/>
        <v/>
      </c>
      <c r="D17" s="5" t="str">
        <f t="array" ref="D17">_xludf.XLOOKUP(AB17,'[1]Migrated Societies Data'!D:D,'[1]Migrated Societies Data'!B:B)</f>
        <v>#NAME?</v>
      </c>
      <c r="E17" s="5" t="str">
        <f t="array" ref="E17">_xludf.XLOOKUP(AB17,'[1]Migrated Societies Data'!D:D,'[1]Migrated Societies Data'!E:E)</f>
        <v>#NAME?</v>
      </c>
      <c r="F17" s="5" t="str">
        <f>ARRAY_CONSTRAIN(ARRAYFORMULA(_xludf.XLOOKUP(M1656,[1]order_Report_SA_ID_BB2.0!Q:Q,[1]order_Report_SA_ID_BB2.0!H:H,"")), 1, 1)</f>
        <v>#ERROR!</v>
      </c>
      <c r="G17" s="5">
        <f t="shared" si="4"/>
        <v>52</v>
      </c>
      <c r="H17" s="5">
        <f t="shared" si="5"/>
        <v>12</v>
      </c>
      <c r="I17" s="5" t="str">
        <f t="array" ref="I17">_xludf.XLOOKUP(T17,'[1]Lookup Data'!I:I,'[1]Lookup Data'!H:H,"")</f>
        <v>#NAME?</v>
      </c>
      <c r="J17" s="5">
        <v>1.186178314E9</v>
      </c>
      <c r="K17" s="5" t="s">
        <v>32</v>
      </c>
      <c r="L17" s="5">
        <v>199320.0</v>
      </c>
      <c r="M17" s="5">
        <v>1.859166555E9</v>
      </c>
      <c r="N17" s="5" t="s">
        <v>33</v>
      </c>
      <c r="O17" s="5">
        <v>30.0</v>
      </c>
      <c r="P17" s="5">
        <v>30.85</v>
      </c>
      <c r="Q17" s="5">
        <v>10.0</v>
      </c>
      <c r="R17" s="5">
        <v>40.85</v>
      </c>
      <c r="S17" s="5">
        <v>10.0</v>
      </c>
      <c r="T17" s="5" t="s">
        <v>42</v>
      </c>
      <c r="U17" s="5" t="s">
        <v>35</v>
      </c>
      <c r="V17" s="5" t="s">
        <v>43</v>
      </c>
      <c r="W17" s="5" t="s">
        <v>36</v>
      </c>
      <c r="X17" s="5" t="s">
        <v>85</v>
      </c>
      <c r="Z17" s="6">
        <v>46013.08472222222</v>
      </c>
      <c r="AA17" s="5" t="s">
        <v>86</v>
      </c>
      <c r="AB17" s="5" t="s">
        <v>84</v>
      </c>
      <c r="AC17" s="5" t="s">
        <v>40</v>
      </c>
      <c r="AD17" s="6">
        <v>46013.0</v>
      </c>
      <c r="AH17" s="5" t="s">
        <v>41</v>
      </c>
    </row>
    <row r="18" ht="15.75" customHeight="1">
      <c r="A18" s="4" t="str">
        <f t="shared" si="1"/>
        <v/>
      </c>
      <c r="B18" s="4" t="str">
        <f t="shared" si="2"/>
        <v/>
      </c>
      <c r="C18" s="4" t="str">
        <f t="shared" si="3"/>
        <v/>
      </c>
      <c r="D18" s="5" t="str">
        <f t="array" ref="D18">_xludf.XLOOKUP(AB18,'[1]Migrated Societies Data'!D:D,'[1]Migrated Societies Data'!B:B)</f>
        <v>#NAME?</v>
      </c>
      <c r="E18" s="5" t="str">
        <f t="array" ref="E18">_xludf.XLOOKUP(AB18,'[1]Migrated Societies Data'!D:D,'[1]Migrated Societies Data'!E:E)</f>
        <v>#NAME?</v>
      </c>
      <c r="F18" s="5" t="str">
        <f>ARRAY_CONSTRAIN(ARRAYFORMULA(_xludf.XLOOKUP(M1657,[1]order_Report_SA_ID_BB2.0!Q:Q,[1]order_Report_SA_ID_BB2.0!H:H,"")), 1, 1)</f>
        <v>#ERROR!</v>
      </c>
      <c r="G18" s="5">
        <f t="shared" si="4"/>
        <v>52</v>
      </c>
      <c r="H18" s="5">
        <f t="shared" si="5"/>
        <v>12</v>
      </c>
      <c r="I18" s="5" t="str">
        <f t="array" ref="I18">_xludf.XLOOKUP(T18,'[1]Lookup Data'!I:I,'[1]Lookup Data'!H:H,"")</f>
        <v>#NAME?</v>
      </c>
      <c r="J18" s="5">
        <v>1.186178501E9</v>
      </c>
      <c r="K18" s="5" t="s">
        <v>32</v>
      </c>
      <c r="L18" s="5">
        <v>7979887.0</v>
      </c>
      <c r="M18" s="5">
        <v>1.859166936E9</v>
      </c>
      <c r="N18" s="5" t="s">
        <v>33</v>
      </c>
      <c r="O18" s="5">
        <v>30.0</v>
      </c>
      <c r="P18" s="5">
        <v>8.53</v>
      </c>
      <c r="Q18" s="5">
        <v>247.5</v>
      </c>
      <c r="R18" s="5">
        <v>256.03</v>
      </c>
      <c r="S18" s="5">
        <v>247.5</v>
      </c>
      <c r="T18" s="5" t="s">
        <v>42</v>
      </c>
      <c r="U18" s="5" t="s">
        <v>35</v>
      </c>
      <c r="V18" s="5" t="s">
        <v>43</v>
      </c>
      <c r="W18" s="5" t="s">
        <v>36</v>
      </c>
      <c r="X18" s="5" t="s">
        <v>87</v>
      </c>
      <c r="Z18" s="6">
        <v>46013.09027777778</v>
      </c>
      <c r="AA18" s="5" t="s">
        <v>88</v>
      </c>
      <c r="AB18" s="5" t="s">
        <v>74</v>
      </c>
      <c r="AC18" s="5" t="s">
        <v>40</v>
      </c>
      <c r="AD18" s="6">
        <v>46013.0</v>
      </c>
      <c r="AH18" s="5" t="s">
        <v>41</v>
      </c>
    </row>
    <row r="19" ht="15.75" customHeight="1">
      <c r="A19" s="4" t="str">
        <f t="shared" si="1"/>
        <v/>
      </c>
      <c r="B19" s="4" t="str">
        <f t="shared" si="2"/>
        <v/>
      </c>
      <c r="C19" s="4" t="str">
        <f t="shared" si="3"/>
        <v/>
      </c>
      <c r="D19" s="5" t="str">
        <f t="array" ref="D19">_xludf.XLOOKUP(AB19,'[1]Migrated Societies Data'!D:D,'[1]Migrated Societies Data'!B:B)</f>
        <v>#NAME?</v>
      </c>
      <c r="E19" s="5" t="str">
        <f t="array" ref="E19">_xludf.XLOOKUP(AB19,'[1]Migrated Societies Data'!D:D,'[1]Migrated Societies Data'!E:E)</f>
        <v>#NAME?</v>
      </c>
      <c r="F19" s="5" t="str">
        <f>ARRAY_CONSTRAIN(ARRAYFORMULA(_xludf.XLOOKUP(M1658,[1]order_Report_SA_ID_BB2.0!Q:Q,[1]order_Report_SA_ID_BB2.0!H:H,"")), 1, 1)</f>
        <v>#ERROR!</v>
      </c>
      <c r="G19" s="5">
        <f t="shared" si="4"/>
        <v>52</v>
      </c>
      <c r="H19" s="5">
        <f t="shared" si="5"/>
        <v>12</v>
      </c>
      <c r="I19" s="5" t="str">
        <f t="array" ref="I19">_xludf.XLOOKUP(T19,'[1]Lookup Data'!I:I,'[1]Lookup Data'!H:H,"")</f>
        <v>#NAME?</v>
      </c>
      <c r="J19" s="5">
        <v>1.186178502E9</v>
      </c>
      <c r="K19" s="5" t="s">
        <v>32</v>
      </c>
      <c r="L19" s="5">
        <v>3483266.0</v>
      </c>
      <c r="M19" s="5">
        <v>1.859164946E9</v>
      </c>
      <c r="N19" s="5" t="s">
        <v>33</v>
      </c>
      <c r="O19" s="5">
        <v>30.0</v>
      </c>
      <c r="P19" s="5">
        <v>825.2</v>
      </c>
      <c r="Q19" s="5">
        <v>101.6</v>
      </c>
      <c r="R19" s="5">
        <v>926.8</v>
      </c>
      <c r="S19" s="5">
        <v>101.6</v>
      </c>
      <c r="T19" s="5" t="s">
        <v>42</v>
      </c>
      <c r="U19" s="5" t="s">
        <v>35</v>
      </c>
      <c r="V19" s="5" t="s">
        <v>43</v>
      </c>
      <c r="W19" s="5" t="s">
        <v>36</v>
      </c>
      <c r="X19" s="5" t="s">
        <v>89</v>
      </c>
      <c r="Z19" s="6">
        <v>46013.09027777778</v>
      </c>
      <c r="AA19" s="5" t="s">
        <v>90</v>
      </c>
      <c r="AB19" s="5" t="s">
        <v>74</v>
      </c>
      <c r="AC19" s="5" t="s">
        <v>40</v>
      </c>
      <c r="AD19" s="6">
        <v>46013.0</v>
      </c>
      <c r="AH19" s="5" t="s">
        <v>41</v>
      </c>
    </row>
    <row r="20" ht="15.75" customHeight="1">
      <c r="A20" s="4" t="str">
        <f t="shared" si="1"/>
        <v/>
      </c>
      <c r="B20" s="4" t="str">
        <f t="shared" si="2"/>
        <v/>
      </c>
      <c r="C20" s="4" t="str">
        <f t="shared" si="3"/>
        <v/>
      </c>
      <c r="D20" s="5" t="str">
        <f t="array" ref="D20">_xludf.XLOOKUP(AB20,'[1]Migrated Societies Data'!D:D,'[1]Migrated Societies Data'!B:B)</f>
        <v>#NAME?</v>
      </c>
      <c r="E20" s="5" t="str">
        <f t="array" ref="E20">_xludf.XLOOKUP(AB20,'[1]Migrated Societies Data'!D:D,'[1]Migrated Societies Data'!E:E)</f>
        <v>#NAME?</v>
      </c>
      <c r="F20" s="5" t="str">
        <f>ARRAY_CONSTRAIN(ARRAYFORMULA(_xludf.XLOOKUP(M1659,[1]order_Report_SA_ID_BB2.0!Q:Q,[1]order_Report_SA_ID_BB2.0!H:H,"")), 1, 1)</f>
        <v>#ERROR!</v>
      </c>
      <c r="G20" s="5">
        <f t="shared" si="4"/>
        <v>52</v>
      </c>
      <c r="H20" s="5">
        <f t="shared" si="5"/>
        <v>12</v>
      </c>
      <c r="I20" s="5" t="str">
        <f t="array" ref="I20">_xludf.XLOOKUP(T20,'[1]Lookup Data'!I:I,'[1]Lookup Data'!H:H,"")</f>
        <v>#NAME?</v>
      </c>
      <c r="J20" s="5">
        <v>1.186178583E9</v>
      </c>
      <c r="K20" s="5" t="s">
        <v>32</v>
      </c>
      <c r="L20" s="5">
        <v>1.0557786E7</v>
      </c>
      <c r="M20" s="5">
        <v>1.859166973E9</v>
      </c>
      <c r="N20" s="5" t="s">
        <v>33</v>
      </c>
      <c r="O20" s="5">
        <v>30.0</v>
      </c>
      <c r="P20" s="5">
        <v>93.49</v>
      </c>
      <c r="Q20" s="5">
        <v>32.0</v>
      </c>
      <c r="R20" s="5">
        <v>125.49</v>
      </c>
      <c r="S20" s="5">
        <v>32.0</v>
      </c>
      <c r="T20" s="5" t="s">
        <v>42</v>
      </c>
      <c r="U20" s="5" t="s">
        <v>35</v>
      </c>
      <c r="V20" s="5" t="s">
        <v>43</v>
      </c>
      <c r="W20" s="5" t="s">
        <v>36</v>
      </c>
      <c r="X20" s="5" t="s">
        <v>91</v>
      </c>
      <c r="Z20" s="6">
        <v>46013.09305555555</v>
      </c>
      <c r="AA20" s="5" t="s">
        <v>92</v>
      </c>
      <c r="AB20" s="5" t="s">
        <v>74</v>
      </c>
      <c r="AC20" s="5" t="s">
        <v>40</v>
      </c>
      <c r="AD20" s="6">
        <v>46013.0</v>
      </c>
      <c r="AH20" s="5" t="s">
        <v>41</v>
      </c>
    </row>
    <row r="21" ht="15.75" customHeight="1">
      <c r="A21" s="4" t="str">
        <f t="shared" si="1"/>
        <v/>
      </c>
      <c r="B21" s="4" t="str">
        <f t="shared" si="2"/>
        <v/>
      </c>
      <c r="C21" s="4" t="str">
        <f t="shared" si="3"/>
        <v/>
      </c>
      <c r="D21" s="5" t="str">
        <f t="array" ref="D21">_xludf.XLOOKUP(AB21,'[1]Migrated Societies Data'!D:D,'[1]Migrated Societies Data'!B:B)</f>
        <v>#NAME?</v>
      </c>
      <c r="E21" s="5" t="str">
        <f t="array" ref="E21">_xludf.XLOOKUP(AB21,'[1]Migrated Societies Data'!D:D,'[1]Migrated Societies Data'!E:E)</f>
        <v>#NAME?</v>
      </c>
      <c r="F21" s="5" t="str">
        <f>ARRAY_CONSTRAIN(ARRAYFORMULA(_xludf.XLOOKUP(M1660,[1]order_Report_SA_ID_BB2.0!Q:Q,[1]order_Report_SA_ID_BB2.0!H:H,"")), 1, 1)</f>
        <v>#ERROR!</v>
      </c>
      <c r="G21" s="5">
        <f t="shared" si="4"/>
        <v>52</v>
      </c>
      <c r="H21" s="5">
        <f t="shared" si="5"/>
        <v>12</v>
      </c>
      <c r="I21" s="5" t="str">
        <f t="array" ref="I21">_xludf.XLOOKUP(T21,'[1]Lookup Data'!I:I,'[1]Lookup Data'!H:H,"")</f>
        <v>#NAME?</v>
      </c>
      <c r="J21" s="5">
        <v>1.18617892E9</v>
      </c>
      <c r="K21" s="5" t="s">
        <v>32</v>
      </c>
      <c r="L21" s="5">
        <v>1.4509846E7</v>
      </c>
      <c r="M21" s="5">
        <v>1.859165816E9</v>
      </c>
      <c r="N21" s="5" t="s">
        <v>33</v>
      </c>
      <c r="O21" s="5">
        <v>30.0</v>
      </c>
      <c r="P21" s="5">
        <v>251.4</v>
      </c>
      <c r="Q21" s="5">
        <v>40.0</v>
      </c>
      <c r="R21" s="5">
        <v>291.4</v>
      </c>
      <c r="S21" s="5">
        <v>40.0</v>
      </c>
      <c r="T21" s="5" t="s">
        <v>42</v>
      </c>
      <c r="U21" s="5" t="s">
        <v>35</v>
      </c>
      <c r="V21" s="5" t="s">
        <v>43</v>
      </c>
      <c r="W21" s="5" t="s">
        <v>36</v>
      </c>
      <c r="X21" s="5" t="s">
        <v>93</v>
      </c>
      <c r="Z21" s="6">
        <v>46013.10208333333</v>
      </c>
      <c r="AA21" s="5" t="s">
        <v>94</v>
      </c>
      <c r="AB21" s="5" t="s">
        <v>74</v>
      </c>
      <c r="AC21" s="5" t="s">
        <v>40</v>
      </c>
      <c r="AD21" s="6">
        <v>46013.0</v>
      </c>
      <c r="AH21" s="5" t="s">
        <v>41</v>
      </c>
    </row>
    <row r="22" ht="15.75" customHeight="1">
      <c r="A22" s="4" t="str">
        <f t="shared" si="1"/>
        <v/>
      </c>
      <c r="B22" s="4" t="str">
        <f t="shared" si="2"/>
        <v/>
      </c>
      <c r="C22" s="4" t="str">
        <f t="shared" si="3"/>
        <v/>
      </c>
      <c r="D22" s="5" t="str">
        <f t="array" ref="D22">_xludf.XLOOKUP(AB22,'[1]Migrated Societies Data'!D:D,'[1]Migrated Societies Data'!B:B)</f>
        <v>#NAME?</v>
      </c>
      <c r="E22" s="5" t="str">
        <f t="array" ref="E22">_xludf.XLOOKUP(AB22,'[1]Migrated Societies Data'!D:D,'[1]Migrated Societies Data'!E:E)</f>
        <v>#NAME?</v>
      </c>
      <c r="F22" s="5" t="str">
        <f>ARRAY_CONSTRAIN(ARRAYFORMULA(_xludf.XLOOKUP(M1661,[1]order_Report_SA_ID_BB2.0!Q:Q,[1]order_Report_SA_ID_BB2.0!H:H,"")), 1, 1)</f>
        <v>#ERROR!</v>
      </c>
      <c r="G22" s="5">
        <f t="shared" si="4"/>
        <v>52</v>
      </c>
      <c r="H22" s="5">
        <f t="shared" si="5"/>
        <v>12</v>
      </c>
      <c r="I22" s="5" t="str">
        <f t="array" ref="I22">_xludf.XLOOKUP(T22,'[1]Lookup Data'!I:I,'[1]Lookup Data'!H:H,"")</f>
        <v>#NAME?</v>
      </c>
      <c r="J22" s="5">
        <v>1.186179108E9</v>
      </c>
      <c r="K22" s="5" t="s">
        <v>32</v>
      </c>
      <c r="L22" s="5">
        <v>60155.0</v>
      </c>
      <c r="M22" s="5">
        <v>1.859118124E9</v>
      </c>
      <c r="N22" s="5" t="s">
        <v>33</v>
      </c>
      <c r="O22" s="5">
        <v>30.0</v>
      </c>
      <c r="P22" s="5">
        <v>153.61</v>
      </c>
      <c r="Q22" s="5">
        <v>3.52</v>
      </c>
      <c r="R22" s="5">
        <v>157.13</v>
      </c>
      <c r="S22" s="5">
        <v>3.52</v>
      </c>
      <c r="T22" s="5" t="s">
        <v>55</v>
      </c>
      <c r="U22" s="5" t="s">
        <v>56</v>
      </c>
      <c r="V22" s="5" t="s">
        <v>57</v>
      </c>
      <c r="W22" s="5" t="s">
        <v>58</v>
      </c>
      <c r="X22" s="5" t="s">
        <v>95</v>
      </c>
      <c r="Z22" s="6">
        <v>46013.106944444444</v>
      </c>
      <c r="AA22" s="5" t="s">
        <v>96</v>
      </c>
      <c r="AB22" s="5" t="s">
        <v>46</v>
      </c>
      <c r="AC22" s="5" t="s">
        <v>40</v>
      </c>
      <c r="AD22" s="6">
        <v>46013.0</v>
      </c>
      <c r="AH22" s="5" t="s">
        <v>62</v>
      </c>
    </row>
    <row r="23" ht="15.75" customHeight="1">
      <c r="A23" s="4" t="str">
        <f t="shared" si="1"/>
        <v/>
      </c>
      <c r="B23" s="4" t="str">
        <f t="shared" si="2"/>
        <v/>
      </c>
      <c r="C23" s="4" t="str">
        <f t="shared" si="3"/>
        <v/>
      </c>
      <c r="D23" s="5" t="str">
        <f t="array" ref="D23">_xludf.XLOOKUP(AB23,'[1]Migrated Societies Data'!D:D,'[1]Migrated Societies Data'!B:B)</f>
        <v>#NAME?</v>
      </c>
      <c r="E23" s="5" t="str">
        <f t="array" ref="E23">_xludf.XLOOKUP(AB23,'[1]Migrated Societies Data'!D:D,'[1]Migrated Societies Data'!E:E)</f>
        <v>#NAME?</v>
      </c>
      <c r="F23" s="5" t="str">
        <f>ARRAY_CONSTRAIN(ARRAYFORMULA(_xludf.XLOOKUP(M1662,[1]order_Report_SA_ID_BB2.0!Q:Q,[1]order_Report_SA_ID_BB2.0!H:H,"")), 1, 1)</f>
        <v>#ERROR!</v>
      </c>
      <c r="G23" s="5">
        <f t="shared" si="4"/>
        <v>52</v>
      </c>
      <c r="H23" s="5">
        <f t="shared" si="5"/>
        <v>12</v>
      </c>
      <c r="I23" s="5" t="str">
        <f t="array" ref="I23">_xludf.XLOOKUP(T23,'[1]Lookup Data'!I:I,'[1]Lookup Data'!H:H,"")</f>
        <v>#NAME?</v>
      </c>
      <c r="J23" s="5">
        <v>1.186179149E9</v>
      </c>
      <c r="K23" s="5" t="s">
        <v>32</v>
      </c>
      <c r="L23" s="5">
        <v>2.2205662E7</v>
      </c>
      <c r="M23" s="5">
        <v>1.859167652E9</v>
      </c>
      <c r="N23" s="5" t="s">
        <v>33</v>
      </c>
      <c r="O23" s="5">
        <v>30.0</v>
      </c>
      <c r="P23" s="5">
        <v>287.98</v>
      </c>
      <c r="Q23" s="5">
        <v>1.11</v>
      </c>
      <c r="R23" s="5">
        <v>289.09</v>
      </c>
      <c r="S23" s="5">
        <v>1.11</v>
      </c>
      <c r="T23" s="5" t="s">
        <v>55</v>
      </c>
      <c r="U23" s="5" t="s">
        <v>56</v>
      </c>
      <c r="V23" s="5" t="s">
        <v>57</v>
      </c>
      <c r="W23" s="5" t="s">
        <v>58</v>
      </c>
      <c r="X23" s="5" t="s">
        <v>97</v>
      </c>
      <c r="Z23" s="6">
        <v>46013.10763888889</v>
      </c>
      <c r="AA23" s="5" t="s">
        <v>98</v>
      </c>
      <c r="AB23" s="5" t="s">
        <v>65</v>
      </c>
      <c r="AC23" s="5" t="s">
        <v>40</v>
      </c>
      <c r="AD23" s="6">
        <v>46013.0</v>
      </c>
      <c r="AH23" s="5" t="s">
        <v>41</v>
      </c>
    </row>
    <row r="24" ht="15.75" customHeight="1">
      <c r="A24" s="4" t="str">
        <f t="shared" si="1"/>
        <v/>
      </c>
      <c r="B24" s="4" t="str">
        <f t="shared" si="2"/>
        <v/>
      </c>
      <c r="C24" s="4" t="str">
        <f t="shared" si="3"/>
        <v/>
      </c>
      <c r="D24" s="5" t="str">
        <f t="array" ref="D24">_xludf.XLOOKUP(AB24,'[1]Migrated Societies Data'!D:D,'[1]Migrated Societies Data'!B:B)</f>
        <v>#NAME?</v>
      </c>
      <c r="E24" s="5" t="str">
        <f t="array" ref="E24">_xludf.XLOOKUP(AB24,'[1]Migrated Societies Data'!D:D,'[1]Migrated Societies Data'!E:E)</f>
        <v>#NAME?</v>
      </c>
      <c r="F24" s="5" t="str">
        <f>ARRAY_CONSTRAIN(ARRAYFORMULA(_xludf.XLOOKUP(M1663,[1]order_Report_SA_ID_BB2.0!Q:Q,[1]order_Report_SA_ID_BB2.0!H:H,"")), 1, 1)</f>
        <v>#ERROR!</v>
      </c>
      <c r="G24" s="5">
        <f t="shared" si="4"/>
        <v>52</v>
      </c>
      <c r="H24" s="5">
        <f t="shared" si="5"/>
        <v>12</v>
      </c>
      <c r="I24" s="5" t="str">
        <f t="array" ref="I24">_xludf.XLOOKUP(T24,'[1]Lookup Data'!I:I,'[1]Lookup Data'!H:H,"")</f>
        <v>#NAME?</v>
      </c>
      <c r="J24" s="5">
        <v>1.186179174E9</v>
      </c>
      <c r="K24" s="5" t="s">
        <v>32</v>
      </c>
      <c r="L24" s="5">
        <v>408747.0</v>
      </c>
      <c r="M24" s="5">
        <v>1.859165595E9</v>
      </c>
      <c r="N24" s="5" t="s">
        <v>33</v>
      </c>
      <c r="O24" s="5">
        <v>30.0</v>
      </c>
      <c r="P24" s="5">
        <v>5866.94</v>
      </c>
      <c r="Q24" s="5">
        <v>51.2</v>
      </c>
      <c r="R24" s="5">
        <v>5918.14</v>
      </c>
      <c r="S24" s="5">
        <v>51.2</v>
      </c>
      <c r="T24" s="5" t="s">
        <v>42</v>
      </c>
      <c r="U24" s="5" t="s">
        <v>35</v>
      </c>
      <c r="V24" s="5" t="s">
        <v>43</v>
      </c>
      <c r="W24" s="5" t="s">
        <v>36</v>
      </c>
      <c r="X24" s="5" t="s">
        <v>99</v>
      </c>
      <c r="Z24" s="6">
        <v>46013.10902777778</v>
      </c>
      <c r="AA24" s="5" t="s">
        <v>100</v>
      </c>
      <c r="AB24" s="5" t="s">
        <v>65</v>
      </c>
      <c r="AC24" s="5" t="s">
        <v>40</v>
      </c>
      <c r="AD24" s="6">
        <v>46013.0</v>
      </c>
      <c r="AH24" s="5" t="s">
        <v>41</v>
      </c>
    </row>
    <row r="25" ht="15.75" customHeight="1">
      <c r="A25" s="4" t="str">
        <f t="shared" si="1"/>
        <v/>
      </c>
      <c r="B25" s="4" t="str">
        <f t="shared" si="2"/>
        <v/>
      </c>
      <c r="C25" s="4" t="str">
        <f t="shared" si="3"/>
        <v/>
      </c>
      <c r="D25" s="5" t="str">
        <f t="array" ref="D25">_xludf.XLOOKUP(AB25,'[1]Migrated Societies Data'!D:D,'[1]Migrated Societies Data'!B:B)</f>
        <v>#NAME?</v>
      </c>
      <c r="E25" s="5" t="str">
        <f t="array" ref="E25">_xludf.XLOOKUP(AB25,'[1]Migrated Societies Data'!D:D,'[1]Migrated Societies Data'!E:E)</f>
        <v>#NAME?</v>
      </c>
      <c r="F25" s="5" t="str">
        <f>ARRAY_CONSTRAIN(ARRAYFORMULA(_xludf.XLOOKUP(M1664,[1]order_Report_SA_ID_BB2.0!Q:Q,[1]order_Report_SA_ID_BB2.0!H:H,"")), 1, 1)</f>
        <v>#ERROR!</v>
      </c>
      <c r="G25" s="5">
        <f t="shared" si="4"/>
        <v>52</v>
      </c>
      <c r="H25" s="5">
        <f t="shared" si="5"/>
        <v>12</v>
      </c>
      <c r="I25" s="5" t="str">
        <f t="array" ref="I25">_xludf.XLOOKUP(T25,'[1]Lookup Data'!I:I,'[1]Lookup Data'!H:H,"")</f>
        <v>#NAME?</v>
      </c>
      <c r="J25" s="5">
        <v>1.186179269E9</v>
      </c>
      <c r="K25" s="5" t="s">
        <v>32</v>
      </c>
      <c r="L25" s="5">
        <v>2714411.0</v>
      </c>
      <c r="M25" s="5">
        <v>1.858965857E9</v>
      </c>
      <c r="N25" s="5" t="s">
        <v>33</v>
      </c>
      <c r="O25" s="5">
        <v>30.0</v>
      </c>
      <c r="P25" s="5">
        <v>0.0</v>
      </c>
      <c r="Q25" s="5">
        <v>2.68</v>
      </c>
      <c r="R25" s="5">
        <v>2.68</v>
      </c>
      <c r="S25" s="5">
        <v>2.68</v>
      </c>
      <c r="T25" s="5" t="s">
        <v>55</v>
      </c>
      <c r="U25" s="5" t="s">
        <v>56</v>
      </c>
      <c r="V25" s="5" t="s">
        <v>57</v>
      </c>
      <c r="W25" s="5" t="s">
        <v>58</v>
      </c>
      <c r="X25" s="5" t="s">
        <v>101</v>
      </c>
      <c r="Z25" s="6">
        <v>46013.11111111111</v>
      </c>
      <c r="AA25" s="5" t="s">
        <v>102</v>
      </c>
      <c r="AB25" s="5" t="s">
        <v>65</v>
      </c>
      <c r="AC25" s="5" t="s">
        <v>40</v>
      </c>
      <c r="AD25" s="6">
        <v>46013.0</v>
      </c>
      <c r="AH25" s="5" t="s">
        <v>62</v>
      </c>
    </row>
    <row r="26" ht="15.75" customHeight="1">
      <c r="A26" s="4" t="str">
        <f t="shared" si="1"/>
        <v/>
      </c>
      <c r="B26" s="4" t="str">
        <f t="shared" si="2"/>
        <v/>
      </c>
      <c r="C26" s="4" t="str">
        <f t="shared" si="3"/>
        <v/>
      </c>
      <c r="D26" s="5" t="str">
        <f t="array" ref="D26">_xludf.XLOOKUP(AB26,'[1]Migrated Societies Data'!D:D,'[1]Migrated Societies Data'!B:B)</f>
        <v>#NAME?</v>
      </c>
      <c r="E26" s="5" t="str">
        <f t="array" ref="E26">_xludf.XLOOKUP(AB26,'[1]Migrated Societies Data'!D:D,'[1]Migrated Societies Data'!E:E)</f>
        <v>#NAME?</v>
      </c>
      <c r="F26" s="5" t="str">
        <f>ARRAY_CONSTRAIN(ARRAYFORMULA(_xludf.XLOOKUP(M1665,[1]order_Report_SA_ID_BB2.0!Q:Q,[1]order_Report_SA_ID_BB2.0!H:H,"")), 1, 1)</f>
        <v>#ERROR!</v>
      </c>
      <c r="G26" s="5">
        <f t="shared" si="4"/>
        <v>52</v>
      </c>
      <c r="H26" s="5">
        <f t="shared" si="5"/>
        <v>12</v>
      </c>
      <c r="I26" s="5" t="str">
        <f t="array" ref="I26">_xludf.XLOOKUP(T26,'[1]Lookup Data'!I:I,'[1]Lookup Data'!H:H,"")</f>
        <v>#NAME?</v>
      </c>
      <c r="J26" s="5">
        <v>1.186179431E9</v>
      </c>
      <c r="K26" s="5" t="s">
        <v>32</v>
      </c>
      <c r="L26" s="5">
        <v>4.7523928E7</v>
      </c>
      <c r="M26" s="5">
        <v>1.859165555E9</v>
      </c>
      <c r="N26" s="5" t="s">
        <v>33</v>
      </c>
      <c r="O26" s="5">
        <v>30.0</v>
      </c>
      <c r="P26" s="5">
        <v>33.74</v>
      </c>
      <c r="Q26" s="5">
        <v>40.0</v>
      </c>
      <c r="R26" s="5">
        <v>73.74</v>
      </c>
      <c r="S26" s="5">
        <v>40.0</v>
      </c>
      <c r="T26" s="5" t="s">
        <v>42</v>
      </c>
      <c r="U26" s="5" t="s">
        <v>35</v>
      </c>
      <c r="V26" s="5" t="s">
        <v>43</v>
      </c>
      <c r="W26" s="5" t="s">
        <v>36</v>
      </c>
      <c r="X26" s="5" t="s">
        <v>103</v>
      </c>
      <c r="Z26" s="6">
        <v>46013.11597222222</v>
      </c>
      <c r="AA26" s="5" t="s">
        <v>104</v>
      </c>
      <c r="AB26" s="5" t="s">
        <v>70</v>
      </c>
      <c r="AC26" s="5" t="s">
        <v>40</v>
      </c>
      <c r="AD26" s="6">
        <v>46013.0</v>
      </c>
      <c r="AH26" s="5" t="s">
        <v>41</v>
      </c>
    </row>
    <row r="27" ht="15.75" customHeight="1">
      <c r="A27" s="4" t="str">
        <f t="shared" si="1"/>
        <v/>
      </c>
      <c r="B27" s="4" t="str">
        <f t="shared" si="2"/>
        <v/>
      </c>
      <c r="C27" s="4" t="str">
        <f t="shared" si="3"/>
        <v/>
      </c>
      <c r="D27" s="5" t="str">
        <f t="array" ref="D27">_xludf.XLOOKUP(AB27,'[1]Migrated Societies Data'!D:D,'[1]Migrated Societies Data'!B:B)</f>
        <v>#NAME?</v>
      </c>
      <c r="E27" s="5" t="str">
        <f t="array" ref="E27">_xludf.XLOOKUP(AB27,'[1]Migrated Societies Data'!D:D,'[1]Migrated Societies Data'!E:E)</f>
        <v>#NAME?</v>
      </c>
      <c r="F27" s="5" t="str">
        <f>ARRAY_CONSTRAIN(ARRAYFORMULA(_xludf.XLOOKUP(M1666,[1]order_Report_SA_ID_BB2.0!Q:Q,[1]order_Report_SA_ID_BB2.0!H:H,"")), 1, 1)</f>
        <v>#ERROR!</v>
      </c>
      <c r="G27" s="5">
        <f t="shared" si="4"/>
        <v>52</v>
      </c>
      <c r="H27" s="5">
        <f t="shared" si="5"/>
        <v>12</v>
      </c>
      <c r="I27" s="5" t="str">
        <f t="array" ref="I27">_xludf.XLOOKUP(T27,'[1]Lookup Data'!I:I,'[1]Lookup Data'!H:H,"")</f>
        <v>#NAME?</v>
      </c>
      <c r="J27" s="5">
        <v>1.186179602E9</v>
      </c>
      <c r="K27" s="5" t="s">
        <v>32</v>
      </c>
      <c r="L27" s="5">
        <v>488476.0</v>
      </c>
      <c r="M27" s="5">
        <v>1.8591665E9</v>
      </c>
      <c r="N27" s="5" t="s">
        <v>33</v>
      </c>
      <c r="O27" s="5">
        <v>30.0</v>
      </c>
      <c r="P27" s="5">
        <v>401.11</v>
      </c>
      <c r="Q27" s="5">
        <v>1.68</v>
      </c>
      <c r="R27" s="5">
        <v>402.79</v>
      </c>
      <c r="S27" s="5">
        <v>1.68</v>
      </c>
      <c r="T27" s="5" t="s">
        <v>55</v>
      </c>
      <c r="U27" s="5" t="s">
        <v>56</v>
      </c>
      <c r="V27" s="5" t="s">
        <v>57</v>
      </c>
      <c r="W27" s="5" t="s">
        <v>58</v>
      </c>
      <c r="X27" s="5" t="s">
        <v>105</v>
      </c>
      <c r="Z27" s="6">
        <v>46013.12222222222</v>
      </c>
      <c r="AA27" s="5" t="s">
        <v>106</v>
      </c>
      <c r="AB27" s="5" t="s">
        <v>46</v>
      </c>
      <c r="AC27" s="5" t="s">
        <v>40</v>
      </c>
      <c r="AD27" s="6">
        <v>46013.0</v>
      </c>
      <c r="AH27" s="5" t="s">
        <v>41</v>
      </c>
    </row>
    <row r="28" ht="15.75" customHeight="1">
      <c r="A28" s="4" t="str">
        <f t="shared" si="1"/>
        <v/>
      </c>
      <c r="B28" s="4" t="str">
        <f t="shared" si="2"/>
        <v/>
      </c>
      <c r="C28" s="4" t="str">
        <f t="shared" si="3"/>
        <v/>
      </c>
      <c r="D28" s="5" t="str">
        <f t="array" ref="D28">_xludf.XLOOKUP(AB28,'[1]Migrated Societies Data'!D:D,'[1]Migrated Societies Data'!B:B)</f>
        <v>#NAME?</v>
      </c>
      <c r="E28" s="5" t="str">
        <f t="array" ref="E28">_xludf.XLOOKUP(AB28,'[1]Migrated Societies Data'!D:D,'[1]Migrated Societies Data'!E:E)</f>
        <v>#NAME?</v>
      </c>
      <c r="F28" s="5" t="str">
        <f>ARRAY_CONSTRAIN(ARRAYFORMULA(_xludf.XLOOKUP(M1667,[1]order_Report_SA_ID_BB2.0!Q:Q,[1]order_Report_SA_ID_BB2.0!H:H,"")), 1, 1)</f>
        <v>#ERROR!</v>
      </c>
      <c r="G28" s="5">
        <f t="shared" si="4"/>
        <v>52</v>
      </c>
      <c r="H28" s="5">
        <f t="shared" si="5"/>
        <v>12</v>
      </c>
      <c r="I28" s="5" t="str">
        <f t="array" ref="I28">_xludf.XLOOKUP(T28,'[1]Lookup Data'!I:I,'[1]Lookup Data'!H:H,"")</f>
        <v>#NAME?</v>
      </c>
      <c r="J28" s="5">
        <v>1.186179603E9</v>
      </c>
      <c r="K28" s="5" t="s">
        <v>32</v>
      </c>
      <c r="L28" s="5">
        <v>570961.0</v>
      </c>
      <c r="M28" s="5">
        <v>1.859164889E9</v>
      </c>
      <c r="N28" s="5" t="s">
        <v>33</v>
      </c>
      <c r="O28" s="5">
        <v>30.0</v>
      </c>
      <c r="P28" s="5">
        <v>123.0</v>
      </c>
      <c r="Q28" s="5">
        <v>25.0</v>
      </c>
      <c r="R28" s="5">
        <v>148.0</v>
      </c>
      <c r="S28" s="5">
        <v>25.0</v>
      </c>
      <c r="T28" s="5" t="s">
        <v>42</v>
      </c>
      <c r="U28" s="5" t="s">
        <v>35</v>
      </c>
      <c r="V28" s="5" t="s">
        <v>43</v>
      </c>
      <c r="W28" s="5" t="s">
        <v>36</v>
      </c>
      <c r="X28" s="5" t="s">
        <v>107</v>
      </c>
      <c r="Z28" s="6">
        <v>46013.12222222222</v>
      </c>
      <c r="AA28" s="5" t="s">
        <v>108</v>
      </c>
      <c r="AB28" s="5" t="s">
        <v>46</v>
      </c>
      <c r="AC28" s="5" t="s">
        <v>40</v>
      </c>
      <c r="AD28" s="6">
        <v>46013.0</v>
      </c>
      <c r="AH28" s="5" t="s">
        <v>41</v>
      </c>
    </row>
    <row r="29" ht="15.75" customHeight="1">
      <c r="A29" s="4" t="str">
        <f t="shared" si="1"/>
        <v/>
      </c>
      <c r="B29" s="4" t="str">
        <f t="shared" si="2"/>
        <v/>
      </c>
      <c r="C29" s="4" t="str">
        <f t="shared" si="3"/>
        <v/>
      </c>
      <c r="D29" s="5" t="str">
        <f t="array" ref="D29">_xludf.XLOOKUP(AB29,'[1]Migrated Societies Data'!D:D,'[1]Migrated Societies Data'!B:B)</f>
        <v>#NAME?</v>
      </c>
      <c r="E29" s="5" t="str">
        <f t="array" ref="E29">_xludf.XLOOKUP(AB29,'[1]Migrated Societies Data'!D:D,'[1]Migrated Societies Data'!E:E)</f>
        <v>#NAME?</v>
      </c>
      <c r="F29" s="5" t="str">
        <f>ARRAY_CONSTRAIN(ARRAYFORMULA(_xludf.XLOOKUP(M1668,[1]order_Report_SA_ID_BB2.0!Q:Q,[1]order_Report_SA_ID_BB2.0!H:H,"")), 1, 1)</f>
        <v>#ERROR!</v>
      </c>
      <c r="G29" s="5">
        <f t="shared" si="4"/>
        <v>52</v>
      </c>
      <c r="H29" s="5">
        <f t="shared" si="5"/>
        <v>12</v>
      </c>
      <c r="I29" s="5" t="str">
        <f t="array" ref="I29">_xludf.XLOOKUP(T29,'[1]Lookup Data'!I:I,'[1]Lookup Data'!H:H,"")</f>
        <v>#NAME?</v>
      </c>
      <c r="J29" s="5">
        <v>1.186179814E9</v>
      </c>
      <c r="K29" s="5" t="s">
        <v>32</v>
      </c>
      <c r="L29" s="5">
        <v>1.4482387E7</v>
      </c>
      <c r="M29" s="5">
        <v>1.859165792E9</v>
      </c>
      <c r="N29" s="5" t="s">
        <v>33</v>
      </c>
      <c r="O29" s="5">
        <v>30.0</v>
      </c>
      <c r="P29" s="5">
        <v>1676.01</v>
      </c>
      <c r="Q29" s="5">
        <v>80.0</v>
      </c>
      <c r="R29" s="5">
        <v>1756.01</v>
      </c>
      <c r="S29" s="5">
        <v>80.0</v>
      </c>
      <c r="T29" s="5" t="s">
        <v>42</v>
      </c>
      <c r="U29" s="5" t="s">
        <v>35</v>
      </c>
      <c r="V29" s="5" t="s">
        <v>43</v>
      </c>
      <c r="W29" s="5" t="s">
        <v>36</v>
      </c>
      <c r="X29" s="5" t="s">
        <v>109</v>
      </c>
      <c r="Z29" s="6">
        <v>46013.12986111111</v>
      </c>
      <c r="AA29" s="5" t="s">
        <v>110</v>
      </c>
      <c r="AB29" s="5" t="s">
        <v>111</v>
      </c>
      <c r="AC29" s="5" t="s">
        <v>40</v>
      </c>
      <c r="AD29" s="6">
        <v>46013.0</v>
      </c>
      <c r="AH29" s="5" t="s">
        <v>41</v>
      </c>
    </row>
    <row r="30" ht="15.75" customHeight="1">
      <c r="A30" s="4" t="str">
        <f t="shared" si="1"/>
        <v/>
      </c>
      <c r="B30" s="4" t="str">
        <f t="shared" si="2"/>
        <v/>
      </c>
      <c r="C30" s="4" t="str">
        <f t="shared" si="3"/>
        <v/>
      </c>
      <c r="D30" s="5" t="str">
        <f t="array" ref="D30">_xludf.XLOOKUP(AB30,'[1]Migrated Societies Data'!D:D,'[1]Migrated Societies Data'!B:B)</f>
        <v>#NAME?</v>
      </c>
      <c r="E30" s="5" t="str">
        <f t="array" ref="E30">_xludf.XLOOKUP(AB30,'[1]Migrated Societies Data'!D:D,'[1]Migrated Societies Data'!E:E)</f>
        <v>#NAME?</v>
      </c>
      <c r="F30" s="5" t="str">
        <f>ARRAY_CONSTRAIN(ARRAYFORMULA(_xludf.XLOOKUP(M1669,[1]order_Report_SA_ID_BB2.0!Q:Q,[1]order_Report_SA_ID_BB2.0!H:H,"")), 1, 1)</f>
        <v>#ERROR!</v>
      </c>
      <c r="G30" s="5">
        <f t="shared" si="4"/>
        <v>52</v>
      </c>
      <c r="H30" s="5">
        <f t="shared" si="5"/>
        <v>12</v>
      </c>
      <c r="I30" s="5" t="str">
        <f t="array" ref="I30">_xludf.XLOOKUP(T30,'[1]Lookup Data'!I:I,'[1]Lookup Data'!H:H,"")</f>
        <v>#NAME?</v>
      </c>
      <c r="J30" s="5">
        <v>1.186179815E9</v>
      </c>
      <c r="K30" s="5" t="s">
        <v>32</v>
      </c>
      <c r="L30" s="5">
        <v>5090971.0</v>
      </c>
      <c r="M30" s="5">
        <v>1.85916643E9</v>
      </c>
      <c r="N30" s="5" t="s">
        <v>33</v>
      </c>
      <c r="O30" s="5">
        <v>30.0</v>
      </c>
      <c r="P30" s="5">
        <v>88.0</v>
      </c>
      <c r="Q30" s="5">
        <v>34.0</v>
      </c>
      <c r="R30" s="5">
        <v>122.0</v>
      </c>
      <c r="S30" s="5">
        <v>34.0</v>
      </c>
      <c r="T30" s="5" t="s">
        <v>42</v>
      </c>
      <c r="U30" s="5" t="s">
        <v>35</v>
      </c>
      <c r="V30" s="5" t="s">
        <v>43</v>
      </c>
      <c r="W30" s="5" t="s">
        <v>36</v>
      </c>
      <c r="X30" s="5" t="s">
        <v>112</v>
      </c>
      <c r="Z30" s="6">
        <v>46013.12986111111</v>
      </c>
      <c r="AA30" s="5" t="s">
        <v>113</v>
      </c>
      <c r="AB30" s="5" t="s">
        <v>111</v>
      </c>
      <c r="AC30" s="5" t="s">
        <v>40</v>
      </c>
      <c r="AD30" s="6">
        <v>46013.0</v>
      </c>
      <c r="AH30" s="5" t="s">
        <v>41</v>
      </c>
    </row>
    <row r="31" ht="15.75" customHeight="1">
      <c r="A31" s="4" t="str">
        <f t="shared" si="1"/>
        <v/>
      </c>
      <c r="B31" s="4" t="str">
        <f t="shared" si="2"/>
        <v/>
      </c>
      <c r="C31" s="4" t="str">
        <f t="shared" si="3"/>
        <v/>
      </c>
      <c r="D31" s="5" t="str">
        <f t="array" ref="D31">_xludf.XLOOKUP(AB31,'[1]Migrated Societies Data'!D:D,'[1]Migrated Societies Data'!B:B)</f>
        <v>#NAME?</v>
      </c>
      <c r="E31" s="5" t="str">
        <f t="array" ref="E31">_xludf.XLOOKUP(AB31,'[1]Migrated Societies Data'!D:D,'[1]Migrated Societies Data'!E:E)</f>
        <v>#NAME?</v>
      </c>
      <c r="F31" s="5" t="str">
        <f>ARRAY_CONSTRAIN(ARRAYFORMULA(_xludf.XLOOKUP(M1670,[1]order_Report_SA_ID_BB2.0!Q:Q,[1]order_Report_SA_ID_BB2.0!H:H,"")), 1, 1)</f>
        <v>#ERROR!</v>
      </c>
      <c r="G31" s="5">
        <f t="shared" si="4"/>
        <v>52</v>
      </c>
      <c r="H31" s="5">
        <f t="shared" si="5"/>
        <v>12</v>
      </c>
      <c r="I31" s="5" t="str">
        <f t="array" ref="I31">_xludf.XLOOKUP(T31,'[1]Lookup Data'!I:I,'[1]Lookup Data'!H:H,"")</f>
        <v>#NAME?</v>
      </c>
      <c r="J31" s="5">
        <v>1.186179923E9</v>
      </c>
      <c r="K31" s="5" t="s">
        <v>32</v>
      </c>
      <c r="L31" s="5">
        <v>6864410.0</v>
      </c>
      <c r="M31" s="5">
        <v>1.859164728E9</v>
      </c>
      <c r="N31" s="5" t="s">
        <v>33</v>
      </c>
      <c r="O31" s="5">
        <v>30.0</v>
      </c>
      <c r="P31" s="5">
        <v>214.11</v>
      </c>
      <c r="Q31" s="5">
        <v>1.39</v>
      </c>
      <c r="R31" s="5">
        <v>215.5</v>
      </c>
      <c r="S31" s="5">
        <v>1.39</v>
      </c>
      <c r="T31" s="5" t="s">
        <v>55</v>
      </c>
      <c r="U31" s="5" t="s">
        <v>56</v>
      </c>
      <c r="V31" s="5" t="s">
        <v>57</v>
      </c>
      <c r="W31" s="5" t="s">
        <v>58</v>
      </c>
      <c r="X31" s="5" t="s">
        <v>114</v>
      </c>
      <c r="Z31" s="6">
        <v>46013.13333333333</v>
      </c>
      <c r="AA31" s="5" t="s">
        <v>115</v>
      </c>
      <c r="AB31" s="5" t="s">
        <v>65</v>
      </c>
      <c r="AC31" s="5" t="s">
        <v>40</v>
      </c>
      <c r="AD31" s="6">
        <v>46013.0</v>
      </c>
      <c r="AH31" s="5" t="s">
        <v>41</v>
      </c>
    </row>
    <row r="32" ht="15.75" customHeight="1">
      <c r="A32" s="4" t="str">
        <f t="shared" si="1"/>
        <v/>
      </c>
      <c r="B32" s="4" t="str">
        <f t="shared" si="2"/>
        <v/>
      </c>
      <c r="C32" s="4" t="str">
        <f t="shared" si="3"/>
        <v/>
      </c>
      <c r="D32" s="5" t="str">
        <f t="array" ref="D32">_xludf.XLOOKUP(AB32,'[1]Migrated Societies Data'!D:D,'[1]Migrated Societies Data'!B:B)</f>
        <v>#NAME?</v>
      </c>
      <c r="E32" s="5" t="str">
        <f t="array" ref="E32">_xludf.XLOOKUP(AB32,'[1]Migrated Societies Data'!D:D,'[1]Migrated Societies Data'!E:E)</f>
        <v>#NAME?</v>
      </c>
      <c r="F32" s="5" t="str">
        <f>ARRAY_CONSTRAIN(ARRAYFORMULA(_xludf.XLOOKUP(M1671,[1]order_Report_SA_ID_BB2.0!Q:Q,[1]order_Report_SA_ID_BB2.0!H:H,"")), 1, 1)</f>
        <v>#ERROR!</v>
      </c>
      <c r="G32" s="5">
        <f t="shared" si="4"/>
        <v>52</v>
      </c>
      <c r="H32" s="5">
        <f t="shared" si="5"/>
        <v>12</v>
      </c>
      <c r="I32" s="5" t="str">
        <f t="array" ref="I32">_xludf.XLOOKUP(T32,'[1]Lookup Data'!I:I,'[1]Lookup Data'!H:H,"")</f>
        <v>#NAME?</v>
      </c>
      <c r="J32" s="5">
        <v>1.186179924E9</v>
      </c>
      <c r="K32" s="5" t="s">
        <v>32</v>
      </c>
      <c r="L32" s="5">
        <v>1792831.0</v>
      </c>
      <c r="M32" s="5">
        <v>1.859166961E9</v>
      </c>
      <c r="N32" s="5" t="s">
        <v>33</v>
      </c>
      <c r="O32" s="5">
        <v>30.0</v>
      </c>
      <c r="P32" s="5">
        <v>450.67</v>
      </c>
      <c r="Q32" s="5">
        <v>28.0</v>
      </c>
      <c r="R32" s="5">
        <v>478.67</v>
      </c>
      <c r="S32" s="5">
        <v>28.0</v>
      </c>
      <c r="T32" s="5" t="s">
        <v>42</v>
      </c>
      <c r="U32" s="5" t="s">
        <v>35</v>
      </c>
      <c r="V32" s="5" t="s">
        <v>43</v>
      </c>
      <c r="W32" s="5" t="s">
        <v>36</v>
      </c>
      <c r="X32" s="5" t="s">
        <v>116</v>
      </c>
      <c r="Z32" s="6">
        <v>46013.13333333333</v>
      </c>
      <c r="AA32" s="5" t="s">
        <v>117</v>
      </c>
      <c r="AB32" s="5" t="s">
        <v>65</v>
      </c>
      <c r="AC32" s="5" t="s">
        <v>40</v>
      </c>
      <c r="AD32" s="6">
        <v>46013.0</v>
      </c>
      <c r="AH32" s="5" t="s">
        <v>41</v>
      </c>
    </row>
    <row r="33" ht="15.75" customHeight="1">
      <c r="A33" s="4" t="str">
        <f t="shared" si="1"/>
        <v/>
      </c>
      <c r="B33" s="4" t="str">
        <f t="shared" si="2"/>
        <v/>
      </c>
      <c r="C33" s="4" t="str">
        <f t="shared" si="3"/>
        <v/>
      </c>
      <c r="D33" s="5" t="str">
        <f t="array" ref="D33">_xludf.XLOOKUP(AB33,'[1]Migrated Societies Data'!D:D,'[1]Migrated Societies Data'!B:B)</f>
        <v>#NAME?</v>
      </c>
      <c r="E33" s="5" t="str">
        <f t="array" ref="E33">_xludf.XLOOKUP(AB33,'[1]Migrated Societies Data'!D:D,'[1]Migrated Societies Data'!E:E)</f>
        <v>#NAME?</v>
      </c>
      <c r="F33" s="5" t="str">
        <f>ARRAY_CONSTRAIN(ARRAYFORMULA(_xludf.XLOOKUP(M1672,[1]order_Report_SA_ID_BB2.0!Q:Q,[1]order_Report_SA_ID_BB2.0!H:H,"")), 1, 1)</f>
        <v>#ERROR!</v>
      </c>
      <c r="G33" s="5">
        <f t="shared" si="4"/>
        <v>52</v>
      </c>
      <c r="H33" s="5">
        <f t="shared" si="5"/>
        <v>12</v>
      </c>
      <c r="I33" s="5" t="str">
        <f t="array" ref="I33">_xludf.XLOOKUP(T33,'[1]Lookup Data'!I:I,'[1]Lookup Data'!H:H,"")</f>
        <v>#NAME?</v>
      </c>
      <c r="J33" s="5">
        <v>1.186179927E9</v>
      </c>
      <c r="K33" s="5" t="s">
        <v>32</v>
      </c>
      <c r="L33" s="5">
        <v>1.9856505E7</v>
      </c>
      <c r="M33" s="5">
        <v>1.858998421E9</v>
      </c>
      <c r="N33" s="5" t="s">
        <v>33</v>
      </c>
      <c r="O33" s="5">
        <v>30.0</v>
      </c>
      <c r="P33" s="5">
        <v>497.13</v>
      </c>
      <c r="Q33" s="5">
        <v>5.95</v>
      </c>
      <c r="R33" s="5">
        <v>503.08</v>
      </c>
      <c r="S33" s="5">
        <v>5.95</v>
      </c>
      <c r="T33" s="5" t="s">
        <v>55</v>
      </c>
      <c r="U33" s="5" t="s">
        <v>56</v>
      </c>
      <c r="V33" s="5" t="s">
        <v>57</v>
      </c>
      <c r="W33" s="5" t="s">
        <v>58</v>
      </c>
      <c r="X33" s="5" t="s">
        <v>118</v>
      </c>
      <c r="Z33" s="6">
        <v>46013.13333333333</v>
      </c>
      <c r="AA33" s="5" t="s">
        <v>119</v>
      </c>
      <c r="AB33" s="5" t="s">
        <v>65</v>
      </c>
      <c r="AC33" s="5" t="s">
        <v>40</v>
      </c>
      <c r="AD33" s="6">
        <v>46013.0</v>
      </c>
      <c r="AH33" s="5" t="s">
        <v>41</v>
      </c>
    </row>
    <row r="34" ht="15.75" customHeight="1">
      <c r="A34" s="4" t="str">
        <f t="shared" si="1"/>
        <v/>
      </c>
      <c r="B34" s="4" t="str">
        <f t="shared" si="2"/>
        <v/>
      </c>
      <c r="C34" s="4" t="str">
        <f t="shared" si="3"/>
        <v/>
      </c>
      <c r="D34" s="5" t="str">
        <f t="array" ref="D34">_xludf.XLOOKUP(AB34,'[1]Migrated Societies Data'!D:D,'[1]Migrated Societies Data'!B:B)</f>
        <v>#NAME?</v>
      </c>
      <c r="E34" s="5" t="str">
        <f t="array" ref="E34">_xludf.XLOOKUP(AB34,'[1]Migrated Societies Data'!D:D,'[1]Migrated Societies Data'!E:E)</f>
        <v>#NAME?</v>
      </c>
      <c r="F34" s="5" t="str">
        <f>ARRAY_CONSTRAIN(ARRAYFORMULA(_xludf.XLOOKUP(M1673,[1]order_Report_SA_ID_BB2.0!Q:Q,[1]order_Report_SA_ID_BB2.0!H:H,"")), 1, 1)</f>
        <v>#ERROR!</v>
      </c>
      <c r="G34" s="5">
        <f t="shared" si="4"/>
        <v>52</v>
      </c>
      <c r="H34" s="5">
        <f t="shared" si="5"/>
        <v>12</v>
      </c>
      <c r="I34" s="5" t="str">
        <f t="array" ref="I34">_xludf.XLOOKUP(T34,'[1]Lookup Data'!I:I,'[1]Lookup Data'!H:H,"")</f>
        <v>#NAME?</v>
      </c>
      <c r="J34" s="5">
        <v>1.186179986E9</v>
      </c>
      <c r="K34" s="5" t="s">
        <v>32</v>
      </c>
      <c r="L34" s="5">
        <v>412196.0</v>
      </c>
      <c r="M34" s="5">
        <v>1.859166588E9</v>
      </c>
      <c r="N34" s="5" t="s">
        <v>33</v>
      </c>
      <c r="O34" s="5">
        <v>30.0</v>
      </c>
      <c r="P34" s="5">
        <v>2961.64</v>
      </c>
      <c r="Q34" s="5">
        <v>70.0</v>
      </c>
      <c r="R34" s="5">
        <v>3031.64</v>
      </c>
      <c r="S34" s="5">
        <v>70.0</v>
      </c>
      <c r="T34" s="5" t="s">
        <v>42</v>
      </c>
      <c r="U34" s="5" t="s">
        <v>35</v>
      </c>
      <c r="V34" s="5" t="s">
        <v>43</v>
      </c>
      <c r="W34" s="5" t="s">
        <v>36</v>
      </c>
      <c r="X34" s="5" t="s">
        <v>120</v>
      </c>
      <c r="Z34" s="6">
        <v>46013.13680555556</v>
      </c>
      <c r="AA34" s="5" t="s">
        <v>121</v>
      </c>
      <c r="AB34" s="5" t="s">
        <v>65</v>
      </c>
      <c r="AC34" s="5" t="s">
        <v>40</v>
      </c>
      <c r="AD34" s="6">
        <v>46013.0</v>
      </c>
      <c r="AH34" s="5" t="s">
        <v>41</v>
      </c>
    </row>
    <row r="35" ht="15.75" customHeight="1">
      <c r="A35" s="4" t="str">
        <f t="shared" si="1"/>
        <v/>
      </c>
      <c r="B35" s="4" t="str">
        <f t="shared" si="2"/>
        <v/>
      </c>
      <c r="C35" s="4" t="str">
        <f t="shared" si="3"/>
        <v/>
      </c>
      <c r="D35" s="5" t="str">
        <f t="array" ref="D35">_xludf.XLOOKUP(AB35,'[1]Migrated Societies Data'!D:D,'[1]Migrated Societies Data'!B:B)</f>
        <v>#NAME?</v>
      </c>
      <c r="E35" s="5" t="str">
        <f t="array" ref="E35">_xludf.XLOOKUP(AB35,'[1]Migrated Societies Data'!D:D,'[1]Migrated Societies Data'!E:E)</f>
        <v>#NAME?</v>
      </c>
      <c r="F35" s="5" t="str">
        <f>ARRAY_CONSTRAIN(ARRAYFORMULA(_xludf.XLOOKUP(M1674,[1]order_Report_SA_ID_BB2.0!Q:Q,[1]order_Report_SA_ID_BB2.0!H:H,"")), 1, 1)</f>
        <v>#ERROR!</v>
      </c>
      <c r="G35" s="5">
        <f t="shared" si="4"/>
        <v>52</v>
      </c>
      <c r="H35" s="5">
        <f t="shared" si="5"/>
        <v>12</v>
      </c>
      <c r="I35" s="5" t="str">
        <f t="array" ref="I35">_xludf.XLOOKUP(T35,'[1]Lookup Data'!I:I,'[1]Lookup Data'!H:H,"")</f>
        <v>#NAME?</v>
      </c>
      <c r="J35" s="5">
        <v>1.186180125E9</v>
      </c>
      <c r="K35" s="5" t="s">
        <v>32</v>
      </c>
      <c r="L35" s="5">
        <v>784492.0</v>
      </c>
      <c r="M35" s="5">
        <v>1.859166915E9</v>
      </c>
      <c r="N35" s="5" t="s">
        <v>33</v>
      </c>
      <c r="O35" s="5">
        <v>30.0</v>
      </c>
      <c r="P35" s="5">
        <v>2288.22</v>
      </c>
      <c r="Q35" s="5">
        <v>56.0</v>
      </c>
      <c r="R35" s="5">
        <v>2344.22</v>
      </c>
      <c r="S35" s="5">
        <v>56.0</v>
      </c>
      <c r="T35" s="5" t="s">
        <v>42</v>
      </c>
      <c r="U35" s="5" t="s">
        <v>35</v>
      </c>
      <c r="V35" s="5" t="s">
        <v>43</v>
      </c>
      <c r="W35" s="5" t="s">
        <v>36</v>
      </c>
      <c r="X35" s="5" t="s">
        <v>122</v>
      </c>
      <c r="Z35" s="6">
        <v>46013.14166666667</v>
      </c>
      <c r="AA35" s="5" t="s">
        <v>123</v>
      </c>
      <c r="AB35" s="5" t="s">
        <v>65</v>
      </c>
      <c r="AC35" s="5" t="s">
        <v>40</v>
      </c>
      <c r="AD35" s="6">
        <v>46013.0</v>
      </c>
      <c r="AH35" s="5" t="s">
        <v>41</v>
      </c>
    </row>
    <row r="36" ht="15.75" customHeight="1">
      <c r="A36" s="4" t="str">
        <f t="shared" si="1"/>
        <v/>
      </c>
      <c r="B36" s="4" t="str">
        <f t="shared" si="2"/>
        <v/>
      </c>
      <c r="C36" s="4" t="str">
        <f t="shared" si="3"/>
        <v/>
      </c>
      <c r="D36" s="5" t="str">
        <f t="array" ref="D36">_xludf.XLOOKUP(AB36,'[1]Migrated Societies Data'!D:D,'[1]Migrated Societies Data'!B:B)</f>
        <v>#NAME?</v>
      </c>
      <c r="E36" s="5" t="str">
        <f t="array" ref="E36">_xludf.XLOOKUP(AB36,'[1]Migrated Societies Data'!D:D,'[1]Migrated Societies Data'!E:E)</f>
        <v>#NAME?</v>
      </c>
      <c r="F36" s="5" t="str">
        <f>ARRAY_CONSTRAIN(ARRAYFORMULA(_xludf.XLOOKUP(M1675,[1]order_Report_SA_ID_BB2.0!Q:Q,[1]order_Report_SA_ID_BB2.0!H:H,"")), 1, 1)</f>
        <v>#ERROR!</v>
      </c>
      <c r="G36" s="5">
        <f t="shared" si="4"/>
        <v>52</v>
      </c>
      <c r="H36" s="5">
        <f t="shared" si="5"/>
        <v>12</v>
      </c>
      <c r="I36" s="5" t="str">
        <f t="array" ref="I36">_xludf.XLOOKUP(T36,'[1]Lookup Data'!I:I,'[1]Lookup Data'!H:H,"")</f>
        <v>#NAME?</v>
      </c>
      <c r="J36" s="5">
        <v>1.186180164E9</v>
      </c>
      <c r="K36" s="5" t="s">
        <v>32</v>
      </c>
      <c r="L36" s="5">
        <v>1051880.0</v>
      </c>
      <c r="M36" s="5">
        <v>1.859166409E9</v>
      </c>
      <c r="N36" s="5" t="s">
        <v>33</v>
      </c>
      <c r="O36" s="5">
        <v>30.0</v>
      </c>
      <c r="P36" s="5">
        <v>475.46</v>
      </c>
      <c r="Q36" s="5">
        <v>40.0</v>
      </c>
      <c r="R36" s="5">
        <v>515.46</v>
      </c>
      <c r="S36" s="5">
        <v>40.0</v>
      </c>
      <c r="T36" s="5" t="s">
        <v>42</v>
      </c>
      <c r="U36" s="5" t="s">
        <v>35</v>
      </c>
      <c r="V36" s="5" t="s">
        <v>43</v>
      </c>
      <c r="W36" s="5" t="s">
        <v>36</v>
      </c>
      <c r="X36" s="5" t="s">
        <v>124</v>
      </c>
      <c r="Z36" s="6">
        <v>46013.14375</v>
      </c>
      <c r="AA36" s="5" t="s">
        <v>125</v>
      </c>
      <c r="AB36" s="5" t="s">
        <v>126</v>
      </c>
      <c r="AC36" s="5" t="s">
        <v>40</v>
      </c>
      <c r="AD36" s="6">
        <v>46013.0</v>
      </c>
      <c r="AH36" s="5" t="s">
        <v>41</v>
      </c>
    </row>
    <row r="37" ht="15.75" customHeight="1">
      <c r="A37" s="4" t="str">
        <f t="shared" si="1"/>
        <v/>
      </c>
      <c r="B37" s="4" t="str">
        <f t="shared" si="2"/>
        <v/>
      </c>
      <c r="C37" s="4" t="str">
        <f t="shared" si="3"/>
        <v/>
      </c>
      <c r="D37" s="5" t="str">
        <f t="array" ref="D37">_xludf.XLOOKUP(AB37,'[1]Migrated Societies Data'!D:D,'[1]Migrated Societies Data'!B:B)</f>
        <v>#NAME?</v>
      </c>
      <c r="E37" s="5" t="str">
        <f t="array" ref="E37">_xludf.XLOOKUP(AB37,'[1]Migrated Societies Data'!D:D,'[1]Migrated Societies Data'!E:E)</f>
        <v>#NAME?</v>
      </c>
      <c r="F37" s="5" t="str">
        <f>ARRAY_CONSTRAIN(ARRAYFORMULA(_xludf.XLOOKUP(M1676,[1]order_Report_SA_ID_BB2.0!Q:Q,[1]order_Report_SA_ID_BB2.0!H:H,"")), 1, 1)</f>
        <v>#ERROR!</v>
      </c>
      <c r="G37" s="5">
        <f t="shared" si="4"/>
        <v>52</v>
      </c>
      <c r="H37" s="5">
        <f t="shared" si="5"/>
        <v>12</v>
      </c>
      <c r="I37" s="5" t="str">
        <f t="array" ref="I37">_xludf.XLOOKUP(T37,'[1]Lookup Data'!I:I,'[1]Lookup Data'!H:H,"")</f>
        <v>#NAME?</v>
      </c>
      <c r="J37" s="5">
        <v>1.186180182E9</v>
      </c>
      <c r="K37" s="5" t="s">
        <v>32</v>
      </c>
      <c r="L37" s="5">
        <v>7064915.0</v>
      </c>
      <c r="M37" s="5">
        <v>1.859079176E9</v>
      </c>
      <c r="N37" s="5" t="s">
        <v>33</v>
      </c>
      <c r="O37" s="5">
        <v>30.0</v>
      </c>
      <c r="P37" s="5">
        <v>1656.72</v>
      </c>
      <c r="Q37" s="5">
        <v>1.02</v>
      </c>
      <c r="R37" s="5">
        <v>1657.74</v>
      </c>
      <c r="S37" s="5">
        <v>1.02</v>
      </c>
      <c r="T37" s="5" t="s">
        <v>55</v>
      </c>
      <c r="U37" s="5" t="s">
        <v>56</v>
      </c>
      <c r="V37" s="5" t="s">
        <v>57</v>
      </c>
      <c r="W37" s="5" t="s">
        <v>58</v>
      </c>
      <c r="X37" s="5" t="s">
        <v>127</v>
      </c>
      <c r="Z37" s="6">
        <v>46013.14513888889</v>
      </c>
      <c r="AA37" s="5" t="s">
        <v>128</v>
      </c>
      <c r="AB37" s="5" t="s">
        <v>77</v>
      </c>
      <c r="AC37" s="5" t="s">
        <v>40</v>
      </c>
      <c r="AD37" s="6">
        <v>46013.0</v>
      </c>
      <c r="AH37" s="5" t="s">
        <v>62</v>
      </c>
    </row>
    <row r="38" ht="15.75" customHeight="1">
      <c r="A38" s="4" t="str">
        <f t="shared" si="1"/>
        <v/>
      </c>
      <c r="B38" s="4" t="str">
        <f t="shared" si="2"/>
        <v/>
      </c>
      <c r="C38" s="4" t="str">
        <f t="shared" si="3"/>
        <v/>
      </c>
      <c r="D38" s="5" t="str">
        <f t="array" ref="D38">_xludf.XLOOKUP(AB38,'[1]Migrated Societies Data'!D:D,'[1]Migrated Societies Data'!B:B)</f>
        <v>#NAME?</v>
      </c>
      <c r="E38" s="5" t="str">
        <f t="array" ref="E38">_xludf.XLOOKUP(AB38,'[1]Migrated Societies Data'!D:D,'[1]Migrated Societies Data'!E:E)</f>
        <v>#NAME?</v>
      </c>
      <c r="F38" s="5" t="str">
        <f>ARRAY_CONSTRAIN(ARRAYFORMULA(_xludf.XLOOKUP(M1677,[1]order_Report_SA_ID_BB2.0!Q:Q,[1]order_Report_SA_ID_BB2.0!H:H,"")), 1, 1)</f>
        <v>#ERROR!</v>
      </c>
      <c r="G38" s="5">
        <f t="shared" si="4"/>
        <v>52</v>
      </c>
      <c r="H38" s="5">
        <f t="shared" si="5"/>
        <v>12</v>
      </c>
      <c r="I38" s="5" t="str">
        <f t="array" ref="I38">_xludf.XLOOKUP(T38,'[1]Lookup Data'!I:I,'[1]Lookup Data'!H:H,"")</f>
        <v>#NAME?</v>
      </c>
      <c r="J38" s="5">
        <v>1.186180297E9</v>
      </c>
      <c r="K38" s="5" t="s">
        <v>32</v>
      </c>
      <c r="L38" s="5">
        <v>2772806.0</v>
      </c>
      <c r="M38" s="5">
        <v>1.859166146E9</v>
      </c>
      <c r="N38" s="5" t="s">
        <v>33</v>
      </c>
      <c r="O38" s="5">
        <v>30.0</v>
      </c>
      <c r="P38" s="5">
        <v>621.0</v>
      </c>
      <c r="Q38" s="5">
        <v>80.0</v>
      </c>
      <c r="R38" s="5">
        <v>701.0</v>
      </c>
      <c r="S38" s="5">
        <v>80.0</v>
      </c>
      <c r="T38" s="5" t="s">
        <v>42</v>
      </c>
      <c r="U38" s="5" t="s">
        <v>35</v>
      </c>
      <c r="V38" s="5" t="s">
        <v>43</v>
      </c>
      <c r="W38" s="5" t="s">
        <v>36</v>
      </c>
      <c r="X38" s="5" t="s">
        <v>129</v>
      </c>
      <c r="Z38" s="6">
        <v>46013.15069444444</v>
      </c>
      <c r="AA38" s="5" t="s">
        <v>130</v>
      </c>
      <c r="AB38" s="5" t="s">
        <v>84</v>
      </c>
      <c r="AC38" s="5" t="s">
        <v>40</v>
      </c>
      <c r="AD38" s="6">
        <v>46013.0</v>
      </c>
      <c r="AH38" s="5" t="s">
        <v>41</v>
      </c>
    </row>
    <row r="39" ht="15.75" customHeight="1">
      <c r="A39" s="4" t="str">
        <f t="shared" si="1"/>
        <v/>
      </c>
      <c r="B39" s="4" t="str">
        <f t="shared" si="2"/>
        <v/>
      </c>
      <c r="C39" s="4" t="str">
        <f t="shared" si="3"/>
        <v/>
      </c>
      <c r="D39" s="5" t="str">
        <f t="array" ref="D39">_xludf.XLOOKUP(AB39,'[1]Migrated Societies Data'!D:D,'[1]Migrated Societies Data'!B:B)</f>
        <v>#NAME?</v>
      </c>
      <c r="E39" s="5" t="str">
        <f t="array" ref="E39">_xludf.XLOOKUP(AB39,'[1]Migrated Societies Data'!D:D,'[1]Migrated Societies Data'!E:E)</f>
        <v>#NAME?</v>
      </c>
      <c r="F39" s="5" t="str">
        <f>ARRAY_CONSTRAIN(ARRAYFORMULA(_xludf.XLOOKUP(M1678,[1]order_Report_SA_ID_BB2.0!Q:Q,[1]order_Report_SA_ID_BB2.0!H:H,"")), 1, 1)</f>
        <v>#ERROR!</v>
      </c>
      <c r="G39" s="5">
        <f t="shared" si="4"/>
        <v>52</v>
      </c>
      <c r="H39" s="5">
        <f t="shared" si="5"/>
        <v>12</v>
      </c>
      <c r="I39" s="5" t="str">
        <f t="array" ref="I39">_xludf.XLOOKUP(T39,'[1]Lookup Data'!I:I,'[1]Lookup Data'!H:H,"")</f>
        <v>#NAME?</v>
      </c>
      <c r="J39" s="5">
        <v>1.186180298E9</v>
      </c>
      <c r="K39" s="5" t="s">
        <v>32</v>
      </c>
      <c r="L39" s="5">
        <v>6.3083606E7</v>
      </c>
      <c r="M39" s="5">
        <v>1.859167421E9</v>
      </c>
      <c r="N39" s="5" t="s">
        <v>33</v>
      </c>
      <c r="O39" s="5">
        <v>30.0</v>
      </c>
      <c r="P39" s="5">
        <v>34.45</v>
      </c>
      <c r="Q39" s="5">
        <v>49.0</v>
      </c>
      <c r="R39" s="5">
        <v>83.45</v>
      </c>
      <c r="S39" s="5">
        <v>49.0</v>
      </c>
      <c r="T39" s="5" t="s">
        <v>42</v>
      </c>
      <c r="U39" s="5" t="s">
        <v>35</v>
      </c>
      <c r="V39" s="5" t="s">
        <v>43</v>
      </c>
      <c r="W39" s="5" t="s">
        <v>36</v>
      </c>
      <c r="X39" s="5" t="s">
        <v>131</v>
      </c>
      <c r="Z39" s="6">
        <v>46013.15069444444</v>
      </c>
      <c r="AA39" s="5" t="s">
        <v>73</v>
      </c>
      <c r="AB39" s="5" t="s">
        <v>84</v>
      </c>
      <c r="AC39" s="5" t="s">
        <v>40</v>
      </c>
      <c r="AD39" s="6">
        <v>46013.0</v>
      </c>
      <c r="AH39" s="5" t="s">
        <v>41</v>
      </c>
    </row>
    <row r="40" ht="15.75" customHeight="1">
      <c r="A40" s="4" t="str">
        <f t="shared" si="1"/>
        <v/>
      </c>
      <c r="B40" s="4" t="str">
        <f t="shared" si="2"/>
        <v/>
      </c>
      <c r="C40" s="4" t="str">
        <f t="shared" si="3"/>
        <v/>
      </c>
      <c r="D40" s="5" t="str">
        <f t="array" ref="D40">_xludf.XLOOKUP(AB40,'[1]Migrated Societies Data'!D:D,'[1]Migrated Societies Data'!B:B)</f>
        <v>#NAME?</v>
      </c>
      <c r="E40" s="5" t="str">
        <f t="array" ref="E40">_xludf.XLOOKUP(AB40,'[1]Migrated Societies Data'!D:D,'[1]Migrated Societies Data'!E:E)</f>
        <v>#NAME?</v>
      </c>
      <c r="F40" s="5" t="str">
        <f>ARRAY_CONSTRAIN(ARRAYFORMULA(_xludf.XLOOKUP(M1679,[1]order_Report_SA_ID_BB2.0!Q:Q,[1]order_Report_SA_ID_BB2.0!H:H,"")), 1, 1)</f>
        <v>#ERROR!</v>
      </c>
      <c r="G40" s="5">
        <f t="shared" si="4"/>
        <v>52</v>
      </c>
      <c r="H40" s="5">
        <f t="shared" si="5"/>
        <v>12</v>
      </c>
      <c r="I40" s="5" t="str">
        <f t="array" ref="I40">_xludf.XLOOKUP(T40,'[1]Lookup Data'!I:I,'[1]Lookup Data'!H:H,"")</f>
        <v>#NAME?</v>
      </c>
      <c r="J40" s="5">
        <v>1.186180472E9</v>
      </c>
      <c r="K40" s="5" t="s">
        <v>32</v>
      </c>
      <c r="L40" s="5">
        <v>7107851.0</v>
      </c>
      <c r="M40" s="5">
        <v>1.859165456E9</v>
      </c>
      <c r="N40" s="5" t="s">
        <v>33</v>
      </c>
      <c r="O40" s="5">
        <v>30.0</v>
      </c>
      <c r="P40" s="5">
        <v>36.57</v>
      </c>
      <c r="Q40" s="5">
        <v>25.0</v>
      </c>
      <c r="R40" s="5">
        <v>61.57</v>
      </c>
      <c r="S40" s="5">
        <v>25.0</v>
      </c>
      <c r="T40" s="5" t="s">
        <v>42</v>
      </c>
      <c r="U40" s="5" t="s">
        <v>35</v>
      </c>
      <c r="V40" s="5" t="s">
        <v>43</v>
      </c>
      <c r="W40" s="5" t="s">
        <v>36</v>
      </c>
      <c r="X40" s="5" t="s">
        <v>132</v>
      </c>
      <c r="Z40" s="6">
        <v>46013.15972222222</v>
      </c>
      <c r="AA40" s="5" t="s">
        <v>133</v>
      </c>
      <c r="AB40" s="5" t="s">
        <v>52</v>
      </c>
      <c r="AC40" s="5" t="s">
        <v>40</v>
      </c>
      <c r="AD40" s="6">
        <v>46013.0</v>
      </c>
      <c r="AH40" s="5" t="s">
        <v>41</v>
      </c>
    </row>
    <row r="41" ht="15.75" customHeight="1">
      <c r="A41" s="4" t="str">
        <f t="shared" si="1"/>
        <v/>
      </c>
      <c r="B41" s="4" t="str">
        <f t="shared" si="2"/>
        <v/>
      </c>
      <c r="C41" s="4" t="str">
        <f t="shared" si="3"/>
        <v/>
      </c>
      <c r="D41" s="5" t="str">
        <f t="array" ref="D41">_xludf.XLOOKUP(AB41,'[1]Migrated Societies Data'!D:D,'[1]Migrated Societies Data'!B:B)</f>
        <v>#NAME?</v>
      </c>
      <c r="E41" s="5" t="str">
        <f t="array" ref="E41">_xludf.XLOOKUP(AB41,'[1]Migrated Societies Data'!D:D,'[1]Migrated Societies Data'!E:E)</f>
        <v>#NAME?</v>
      </c>
      <c r="F41" s="5" t="str">
        <f>ARRAY_CONSTRAIN(ARRAYFORMULA(_xludf.XLOOKUP(M1680,[1]order_Report_SA_ID_BB2.0!Q:Q,[1]order_Report_SA_ID_BB2.0!H:H,"")), 1, 1)</f>
        <v>#ERROR!</v>
      </c>
      <c r="G41" s="5">
        <f t="shared" si="4"/>
        <v>52</v>
      </c>
      <c r="H41" s="5">
        <f t="shared" si="5"/>
        <v>12</v>
      </c>
      <c r="I41" s="5" t="str">
        <f t="array" ref="I41">_xludf.XLOOKUP(T41,'[1]Lookup Data'!I:I,'[1]Lookup Data'!H:H,"")</f>
        <v>#NAME?</v>
      </c>
      <c r="J41" s="5">
        <v>1.186180785E9</v>
      </c>
      <c r="K41" s="5" t="s">
        <v>32</v>
      </c>
      <c r="L41" s="5">
        <v>688366.0</v>
      </c>
      <c r="M41" s="5">
        <v>1.859166375E9</v>
      </c>
      <c r="N41" s="5" t="s">
        <v>33</v>
      </c>
      <c r="O41" s="5">
        <v>30.0</v>
      </c>
      <c r="P41" s="5">
        <v>22.16</v>
      </c>
      <c r="Q41" s="5">
        <v>35.0</v>
      </c>
      <c r="R41" s="5">
        <v>57.16</v>
      </c>
      <c r="S41" s="5">
        <v>35.0</v>
      </c>
      <c r="T41" s="5" t="s">
        <v>134</v>
      </c>
      <c r="U41" s="5" t="s">
        <v>35</v>
      </c>
      <c r="V41" s="5" t="s">
        <v>135</v>
      </c>
      <c r="W41" s="5" t="s">
        <v>136</v>
      </c>
      <c r="X41" s="5" t="s">
        <v>137</v>
      </c>
      <c r="Z41" s="6">
        <v>46013.17847222222</v>
      </c>
      <c r="AA41" s="5" t="s">
        <v>138</v>
      </c>
      <c r="AB41" s="5" t="s">
        <v>84</v>
      </c>
      <c r="AC41" s="5" t="s">
        <v>40</v>
      </c>
      <c r="AD41" s="6">
        <v>46013.0</v>
      </c>
      <c r="AH41" s="5" t="s">
        <v>41</v>
      </c>
    </row>
    <row r="42" ht="15.75" customHeight="1">
      <c r="A42" s="4" t="str">
        <f t="shared" si="1"/>
        <v/>
      </c>
      <c r="B42" s="4" t="str">
        <f t="shared" si="2"/>
        <v/>
      </c>
      <c r="C42" s="4" t="str">
        <f t="shared" si="3"/>
        <v/>
      </c>
      <c r="D42" s="5" t="str">
        <f t="array" ref="D42">_xludf.XLOOKUP(AB42,'[1]Migrated Societies Data'!D:D,'[1]Migrated Societies Data'!B:B)</f>
        <v>#NAME?</v>
      </c>
      <c r="E42" s="5" t="str">
        <f t="array" ref="E42">_xludf.XLOOKUP(AB42,'[1]Migrated Societies Data'!D:D,'[1]Migrated Societies Data'!E:E)</f>
        <v>#NAME?</v>
      </c>
      <c r="F42" s="5" t="str">
        <f>ARRAY_CONSTRAIN(ARRAYFORMULA(_xludf.XLOOKUP(M1681,[1]order_Report_SA_ID_BB2.0!Q:Q,[1]order_Report_SA_ID_BB2.0!H:H,"")), 1, 1)</f>
        <v>#ERROR!</v>
      </c>
      <c r="G42" s="5">
        <f t="shared" si="4"/>
        <v>52</v>
      </c>
      <c r="H42" s="5">
        <f t="shared" si="5"/>
        <v>12</v>
      </c>
      <c r="I42" s="5" t="str">
        <f t="array" ref="I42">_xludf.XLOOKUP(T42,'[1]Lookup Data'!I:I,'[1]Lookup Data'!H:H,"")</f>
        <v>#NAME?</v>
      </c>
      <c r="J42" s="5">
        <v>1.186180919E9</v>
      </c>
      <c r="K42" s="5" t="s">
        <v>32</v>
      </c>
      <c r="L42" s="5">
        <v>8598618.0</v>
      </c>
      <c r="M42" s="5">
        <v>1.859166225E9</v>
      </c>
      <c r="N42" s="5" t="s">
        <v>33</v>
      </c>
      <c r="O42" s="5">
        <v>30.0</v>
      </c>
      <c r="P42" s="5">
        <v>63.23</v>
      </c>
      <c r="Q42" s="5">
        <v>14.0</v>
      </c>
      <c r="R42" s="5">
        <v>77.23</v>
      </c>
      <c r="S42" s="5">
        <v>14.0</v>
      </c>
      <c r="T42" s="5" t="s">
        <v>134</v>
      </c>
      <c r="U42" s="5" t="s">
        <v>35</v>
      </c>
      <c r="V42" s="5" t="s">
        <v>135</v>
      </c>
      <c r="W42" s="5" t="s">
        <v>136</v>
      </c>
      <c r="X42" s="5" t="s">
        <v>139</v>
      </c>
      <c r="Z42" s="6">
        <v>46013.18541666667</v>
      </c>
      <c r="AA42" s="5" t="s">
        <v>140</v>
      </c>
      <c r="AB42" s="5" t="s">
        <v>65</v>
      </c>
      <c r="AC42" s="5" t="s">
        <v>40</v>
      </c>
      <c r="AD42" s="6">
        <v>46013.0</v>
      </c>
      <c r="AH42" s="5" t="s">
        <v>41</v>
      </c>
    </row>
    <row r="43" ht="15.75" customHeight="1">
      <c r="A43" s="4" t="str">
        <f t="shared" si="1"/>
        <v/>
      </c>
      <c r="B43" s="4" t="str">
        <f t="shared" si="2"/>
        <v/>
      </c>
      <c r="C43" s="4" t="str">
        <f t="shared" si="3"/>
        <v/>
      </c>
      <c r="D43" s="5" t="str">
        <f t="array" ref="D43">_xludf.XLOOKUP(AB43,'[1]Migrated Societies Data'!D:D,'[1]Migrated Societies Data'!B:B)</f>
        <v>#NAME?</v>
      </c>
      <c r="E43" s="5" t="str">
        <f t="array" ref="E43">_xludf.XLOOKUP(AB43,'[1]Migrated Societies Data'!D:D,'[1]Migrated Societies Data'!E:E)</f>
        <v>#NAME?</v>
      </c>
      <c r="F43" s="5" t="str">
        <f>ARRAY_CONSTRAIN(ARRAYFORMULA(_xludf.XLOOKUP(M1682,[1]order_Report_SA_ID_BB2.0!Q:Q,[1]order_Report_SA_ID_BB2.0!H:H,"")), 1, 1)</f>
        <v>#ERROR!</v>
      </c>
      <c r="G43" s="5">
        <f t="shared" si="4"/>
        <v>52</v>
      </c>
      <c r="H43" s="5">
        <f t="shared" si="5"/>
        <v>12</v>
      </c>
      <c r="I43" s="5" t="str">
        <f t="array" ref="I43">_xludf.XLOOKUP(T43,'[1]Lookup Data'!I:I,'[1]Lookup Data'!H:H,"")</f>
        <v>#NAME?</v>
      </c>
      <c r="J43" s="5">
        <v>1.186180976E9</v>
      </c>
      <c r="K43" s="5" t="s">
        <v>32</v>
      </c>
      <c r="L43" s="5">
        <v>338179.0</v>
      </c>
      <c r="M43" s="5">
        <v>1.859165986E9</v>
      </c>
      <c r="N43" s="5" t="s">
        <v>33</v>
      </c>
      <c r="O43" s="5">
        <v>30.0</v>
      </c>
      <c r="P43" s="5">
        <v>3592.75</v>
      </c>
      <c r="Q43" s="5">
        <v>3.5</v>
      </c>
      <c r="R43" s="5">
        <v>3596.25</v>
      </c>
      <c r="S43" s="5">
        <v>3.5</v>
      </c>
      <c r="T43" s="5" t="s">
        <v>55</v>
      </c>
      <c r="U43" s="5" t="s">
        <v>56</v>
      </c>
      <c r="V43" s="5" t="s">
        <v>57</v>
      </c>
      <c r="W43" s="5" t="s">
        <v>58</v>
      </c>
      <c r="X43" s="5" t="s">
        <v>141</v>
      </c>
      <c r="Z43" s="6">
        <v>46013.188888888886</v>
      </c>
      <c r="AA43" s="5" t="s">
        <v>142</v>
      </c>
      <c r="AB43" s="5" t="s">
        <v>49</v>
      </c>
      <c r="AC43" s="5" t="s">
        <v>40</v>
      </c>
      <c r="AD43" s="6">
        <v>46013.0</v>
      </c>
      <c r="AH43" s="5" t="s">
        <v>41</v>
      </c>
    </row>
    <row r="44" ht="15.75" customHeight="1">
      <c r="A44" s="4" t="str">
        <f t="shared" si="1"/>
        <v/>
      </c>
      <c r="B44" s="4" t="str">
        <f t="shared" si="2"/>
        <v/>
      </c>
      <c r="C44" s="4" t="str">
        <f t="shared" si="3"/>
        <v/>
      </c>
      <c r="D44" s="5" t="str">
        <f t="array" ref="D44">_xludf.XLOOKUP(AB44,'[1]Migrated Societies Data'!D:D,'[1]Migrated Societies Data'!B:B)</f>
        <v>#NAME?</v>
      </c>
      <c r="E44" s="5" t="str">
        <f t="array" ref="E44">_xludf.XLOOKUP(AB44,'[1]Migrated Societies Data'!D:D,'[1]Migrated Societies Data'!E:E)</f>
        <v>#NAME?</v>
      </c>
      <c r="F44" s="5" t="str">
        <f>ARRAY_CONSTRAIN(ARRAYFORMULA(_xludf.XLOOKUP(M1683,[1]order_Report_SA_ID_BB2.0!Q:Q,[1]order_Report_SA_ID_BB2.0!H:H,"")), 1, 1)</f>
        <v>#ERROR!</v>
      </c>
      <c r="G44" s="5">
        <f t="shared" si="4"/>
        <v>52</v>
      </c>
      <c r="H44" s="5">
        <f t="shared" si="5"/>
        <v>12</v>
      </c>
      <c r="I44" s="5" t="str">
        <f t="array" ref="I44">_xludf.XLOOKUP(T44,'[1]Lookup Data'!I:I,'[1]Lookup Data'!H:H,"")</f>
        <v>#NAME?</v>
      </c>
      <c r="J44" s="5">
        <v>1.186181045E9</v>
      </c>
      <c r="K44" s="5" t="s">
        <v>32</v>
      </c>
      <c r="L44" s="5">
        <v>1.6491908E7</v>
      </c>
      <c r="M44" s="5">
        <v>1.859167045E9</v>
      </c>
      <c r="N44" s="5" t="s">
        <v>33</v>
      </c>
      <c r="O44" s="5">
        <v>30.0</v>
      </c>
      <c r="P44" s="5">
        <v>2139.39</v>
      </c>
      <c r="Q44" s="5">
        <v>20.0</v>
      </c>
      <c r="R44" s="5">
        <v>2159.39</v>
      </c>
      <c r="S44" s="5">
        <v>20.0</v>
      </c>
      <c r="T44" s="5" t="s">
        <v>134</v>
      </c>
      <c r="U44" s="5" t="s">
        <v>35</v>
      </c>
      <c r="V44" s="5" t="s">
        <v>135</v>
      </c>
      <c r="W44" s="5" t="s">
        <v>136</v>
      </c>
      <c r="X44" s="5" t="s">
        <v>143</v>
      </c>
      <c r="Z44" s="6">
        <v>46013.19305555556</v>
      </c>
      <c r="AA44" s="5" t="s">
        <v>144</v>
      </c>
      <c r="AB44" s="5" t="s">
        <v>111</v>
      </c>
      <c r="AC44" s="5" t="s">
        <v>40</v>
      </c>
      <c r="AD44" s="6">
        <v>46013.0</v>
      </c>
      <c r="AH44" s="5" t="s">
        <v>41</v>
      </c>
    </row>
    <row r="45" ht="15.75" customHeight="1">
      <c r="A45" s="4" t="str">
        <f t="shared" si="1"/>
        <v/>
      </c>
      <c r="B45" s="4" t="str">
        <f t="shared" si="2"/>
        <v/>
      </c>
      <c r="C45" s="4" t="str">
        <f t="shared" si="3"/>
        <v/>
      </c>
      <c r="D45" s="5" t="str">
        <f t="array" ref="D45">_xludf.XLOOKUP(AB45,'[1]Migrated Societies Data'!D:D,'[1]Migrated Societies Data'!B:B)</f>
        <v>#NAME?</v>
      </c>
      <c r="E45" s="5" t="str">
        <f t="array" ref="E45">_xludf.XLOOKUP(AB45,'[1]Migrated Societies Data'!D:D,'[1]Migrated Societies Data'!E:E)</f>
        <v>#NAME?</v>
      </c>
      <c r="F45" s="5" t="str">
        <f>ARRAY_CONSTRAIN(ARRAYFORMULA(_xludf.XLOOKUP(M1684,[1]order_Report_SA_ID_BB2.0!Q:Q,[1]order_Report_SA_ID_BB2.0!H:H,"")), 1, 1)</f>
        <v>#ERROR!</v>
      </c>
      <c r="G45" s="5">
        <f t="shared" si="4"/>
        <v>52</v>
      </c>
      <c r="H45" s="5">
        <f t="shared" si="5"/>
        <v>12</v>
      </c>
      <c r="I45" s="5" t="str">
        <f t="array" ref="I45">_xludf.XLOOKUP(T45,'[1]Lookup Data'!I:I,'[1]Lookup Data'!H:H,"")</f>
        <v>#NAME?</v>
      </c>
      <c r="J45" s="5">
        <v>1.186181083E9</v>
      </c>
      <c r="K45" s="5" t="s">
        <v>32</v>
      </c>
      <c r="L45" s="5">
        <v>628524.0</v>
      </c>
      <c r="M45" s="5">
        <v>1.859165037E9</v>
      </c>
      <c r="N45" s="5" t="s">
        <v>33</v>
      </c>
      <c r="O45" s="5">
        <v>30.0</v>
      </c>
      <c r="P45" s="5">
        <v>48.6</v>
      </c>
      <c r="Q45" s="5">
        <v>30.0</v>
      </c>
      <c r="R45" s="5">
        <v>78.6</v>
      </c>
      <c r="S45" s="5">
        <v>30.0</v>
      </c>
      <c r="T45" s="5" t="s">
        <v>134</v>
      </c>
      <c r="U45" s="5" t="s">
        <v>35</v>
      </c>
      <c r="V45" s="5" t="s">
        <v>135</v>
      </c>
      <c r="W45" s="5" t="s">
        <v>136</v>
      </c>
      <c r="X45" s="5" t="s">
        <v>145</v>
      </c>
      <c r="Z45" s="6">
        <v>46013.194444444445</v>
      </c>
      <c r="AA45" s="5" t="s">
        <v>146</v>
      </c>
      <c r="AB45" s="5" t="s">
        <v>147</v>
      </c>
      <c r="AC45" s="5" t="s">
        <v>40</v>
      </c>
      <c r="AD45" s="6">
        <v>46013.0</v>
      </c>
      <c r="AH45" s="5" t="s">
        <v>41</v>
      </c>
    </row>
    <row r="46" ht="15.75" customHeight="1">
      <c r="A46" s="4" t="str">
        <f t="shared" si="1"/>
        <v/>
      </c>
      <c r="B46" s="4" t="str">
        <f t="shared" si="2"/>
        <v/>
      </c>
      <c r="C46" s="4" t="str">
        <f t="shared" si="3"/>
        <v/>
      </c>
      <c r="D46" s="5" t="str">
        <f t="array" ref="D46">_xludf.XLOOKUP(AB46,'[1]Migrated Societies Data'!D:D,'[1]Migrated Societies Data'!B:B)</f>
        <v>#NAME?</v>
      </c>
      <c r="E46" s="5" t="str">
        <f t="array" ref="E46">_xludf.XLOOKUP(AB46,'[1]Migrated Societies Data'!D:D,'[1]Migrated Societies Data'!E:E)</f>
        <v>#NAME?</v>
      </c>
      <c r="F46" s="5" t="str">
        <f>ARRAY_CONSTRAIN(ARRAYFORMULA(_xludf.XLOOKUP(M1685,[1]order_Report_SA_ID_BB2.0!Q:Q,[1]order_Report_SA_ID_BB2.0!H:H,"")), 1, 1)</f>
        <v>#ERROR!</v>
      </c>
      <c r="G46" s="5">
        <f t="shared" si="4"/>
        <v>52</v>
      </c>
      <c r="H46" s="5">
        <f t="shared" si="5"/>
        <v>12</v>
      </c>
      <c r="I46" s="5" t="str">
        <f t="array" ref="I46">_xludf.XLOOKUP(T46,'[1]Lookup Data'!I:I,'[1]Lookup Data'!H:H,"")</f>
        <v>#NAME?</v>
      </c>
      <c r="J46" s="5">
        <v>1.186181149E9</v>
      </c>
      <c r="K46" s="5" t="s">
        <v>32</v>
      </c>
      <c r="L46" s="5">
        <v>2.542575E7</v>
      </c>
      <c r="M46" s="5">
        <v>1.859166721E9</v>
      </c>
      <c r="N46" s="5" t="s">
        <v>33</v>
      </c>
      <c r="O46" s="5">
        <v>30.0</v>
      </c>
      <c r="P46" s="5">
        <v>1943.68</v>
      </c>
      <c r="Q46" s="5">
        <v>20.0</v>
      </c>
      <c r="R46" s="5">
        <v>1963.68</v>
      </c>
      <c r="S46" s="5">
        <v>20.0</v>
      </c>
      <c r="T46" s="5" t="s">
        <v>134</v>
      </c>
      <c r="U46" s="5" t="s">
        <v>35</v>
      </c>
      <c r="V46" s="5" t="s">
        <v>135</v>
      </c>
      <c r="W46" s="5" t="s">
        <v>136</v>
      </c>
      <c r="X46" s="5" t="s">
        <v>148</v>
      </c>
      <c r="Z46" s="6">
        <v>46013.197916666664</v>
      </c>
      <c r="AA46" s="5" t="s">
        <v>149</v>
      </c>
      <c r="AB46" s="5" t="s">
        <v>150</v>
      </c>
      <c r="AC46" s="5" t="s">
        <v>40</v>
      </c>
      <c r="AD46" s="6">
        <v>46013.0</v>
      </c>
      <c r="AH46" s="5" t="s">
        <v>41</v>
      </c>
    </row>
    <row r="47" ht="15.75" customHeight="1">
      <c r="A47" s="4" t="str">
        <f t="shared" si="1"/>
        <v/>
      </c>
      <c r="B47" s="4" t="str">
        <f t="shared" si="2"/>
        <v/>
      </c>
      <c r="C47" s="4" t="str">
        <f t="shared" si="3"/>
        <v/>
      </c>
      <c r="D47" s="5" t="str">
        <f t="array" ref="D47">_xludf.XLOOKUP(AB47,'[1]Migrated Societies Data'!D:D,'[1]Migrated Societies Data'!B:B)</f>
        <v>#NAME?</v>
      </c>
      <c r="E47" s="5" t="str">
        <f t="array" ref="E47">_xludf.XLOOKUP(AB47,'[1]Migrated Societies Data'!D:D,'[1]Migrated Societies Data'!E:E)</f>
        <v>#NAME?</v>
      </c>
      <c r="F47" s="5" t="str">
        <f>ARRAY_CONSTRAIN(ARRAYFORMULA(_xludf.XLOOKUP(M1686,[1]order_Report_SA_ID_BB2.0!Q:Q,[1]order_Report_SA_ID_BB2.0!H:H,"")), 1, 1)</f>
        <v>#ERROR!</v>
      </c>
      <c r="G47" s="5">
        <f t="shared" si="4"/>
        <v>52</v>
      </c>
      <c r="H47" s="5">
        <f t="shared" si="5"/>
        <v>12</v>
      </c>
      <c r="I47" s="5" t="str">
        <f t="array" ref="I47">_xludf.XLOOKUP(T47,'[1]Lookup Data'!I:I,'[1]Lookup Data'!H:H,"")</f>
        <v>#NAME?</v>
      </c>
      <c r="J47" s="5">
        <v>1.186181151E9</v>
      </c>
      <c r="K47" s="5" t="s">
        <v>32</v>
      </c>
      <c r="L47" s="5">
        <v>7408791.0</v>
      </c>
      <c r="M47" s="5">
        <v>1.859165898E9</v>
      </c>
      <c r="N47" s="5" t="s">
        <v>33</v>
      </c>
      <c r="O47" s="5">
        <v>30.0</v>
      </c>
      <c r="P47" s="5">
        <v>246.57</v>
      </c>
      <c r="Q47" s="5">
        <v>13.6</v>
      </c>
      <c r="R47" s="5">
        <v>260.17</v>
      </c>
      <c r="S47" s="5">
        <v>13.6</v>
      </c>
      <c r="T47" s="5" t="s">
        <v>134</v>
      </c>
      <c r="U47" s="5" t="s">
        <v>35</v>
      </c>
      <c r="V47" s="5" t="s">
        <v>135</v>
      </c>
      <c r="W47" s="5" t="s">
        <v>136</v>
      </c>
      <c r="X47" s="5" t="s">
        <v>151</v>
      </c>
      <c r="Z47" s="6">
        <v>46013.197916666664</v>
      </c>
      <c r="AA47" s="5" t="s">
        <v>152</v>
      </c>
      <c r="AB47" s="5" t="s">
        <v>150</v>
      </c>
      <c r="AC47" s="5" t="s">
        <v>40</v>
      </c>
      <c r="AD47" s="6">
        <v>46013.0</v>
      </c>
      <c r="AH47" s="5" t="s">
        <v>41</v>
      </c>
    </row>
    <row r="48" ht="15.75" customHeight="1">
      <c r="A48" s="4" t="str">
        <f t="shared" si="1"/>
        <v/>
      </c>
      <c r="B48" s="4" t="str">
        <f t="shared" si="2"/>
        <v/>
      </c>
      <c r="C48" s="4" t="str">
        <f t="shared" si="3"/>
        <v/>
      </c>
      <c r="D48" s="5" t="str">
        <f t="array" ref="D48">_xludf.XLOOKUP(AB48,'[1]Migrated Societies Data'!D:D,'[1]Migrated Societies Data'!B:B)</f>
        <v>#NAME?</v>
      </c>
      <c r="E48" s="5" t="str">
        <f t="array" ref="E48">_xludf.XLOOKUP(AB48,'[1]Migrated Societies Data'!D:D,'[1]Migrated Societies Data'!E:E)</f>
        <v>#NAME?</v>
      </c>
      <c r="F48" s="5" t="str">
        <f>ARRAY_CONSTRAIN(ARRAYFORMULA(_xludf.XLOOKUP(M1687,[1]order_Report_SA_ID_BB2.0!Q:Q,[1]order_Report_SA_ID_BB2.0!H:H,"")), 1, 1)</f>
        <v>#ERROR!</v>
      </c>
      <c r="G48" s="5">
        <f t="shared" si="4"/>
        <v>52</v>
      </c>
      <c r="H48" s="5">
        <f t="shared" si="5"/>
        <v>12</v>
      </c>
      <c r="I48" s="5" t="str">
        <f t="array" ref="I48">_xludf.XLOOKUP(T48,'[1]Lookup Data'!I:I,'[1]Lookup Data'!H:H,"")</f>
        <v>#NAME?</v>
      </c>
      <c r="J48" s="5">
        <v>1.186181213E9</v>
      </c>
      <c r="K48" s="5" t="s">
        <v>32</v>
      </c>
      <c r="L48" s="5">
        <v>1722250.0</v>
      </c>
      <c r="M48" s="5">
        <v>1.859164862E9</v>
      </c>
      <c r="N48" s="5" t="s">
        <v>33</v>
      </c>
      <c r="O48" s="5">
        <v>30.0</v>
      </c>
      <c r="P48" s="5">
        <v>853.24</v>
      </c>
      <c r="Q48" s="5">
        <v>58.4</v>
      </c>
      <c r="R48" s="5">
        <v>911.64</v>
      </c>
      <c r="S48" s="5">
        <v>58.4</v>
      </c>
      <c r="T48" s="5" t="s">
        <v>134</v>
      </c>
      <c r="U48" s="5" t="s">
        <v>35</v>
      </c>
      <c r="V48" s="5" t="s">
        <v>135</v>
      </c>
      <c r="W48" s="5" t="s">
        <v>136</v>
      </c>
      <c r="X48" s="5" t="s">
        <v>153</v>
      </c>
      <c r="Z48" s="6">
        <v>46013.200694444444</v>
      </c>
      <c r="AA48" s="5" t="s">
        <v>154</v>
      </c>
      <c r="AB48" s="5" t="s">
        <v>70</v>
      </c>
      <c r="AC48" s="5" t="s">
        <v>40</v>
      </c>
      <c r="AD48" s="6">
        <v>46013.0</v>
      </c>
      <c r="AH48" s="5" t="s">
        <v>41</v>
      </c>
    </row>
    <row r="49" ht="15.75" customHeight="1">
      <c r="A49" s="4" t="str">
        <f t="shared" si="1"/>
        <v/>
      </c>
      <c r="B49" s="4" t="str">
        <f t="shared" si="2"/>
        <v/>
      </c>
      <c r="C49" s="4" t="str">
        <f t="shared" si="3"/>
        <v/>
      </c>
      <c r="D49" s="5" t="str">
        <f t="array" ref="D49">_xludf.XLOOKUP(AB49,'[1]Migrated Societies Data'!D:D,'[1]Migrated Societies Data'!B:B)</f>
        <v>#NAME?</v>
      </c>
      <c r="E49" s="5" t="str">
        <f t="array" ref="E49">_xludf.XLOOKUP(AB49,'[1]Migrated Societies Data'!D:D,'[1]Migrated Societies Data'!E:E)</f>
        <v>#NAME?</v>
      </c>
      <c r="F49" s="5" t="str">
        <f>ARRAY_CONSTRAIN(ARRAYFORMULA(_xludf.XLOOKUP(M1688,[1]order_Report_SA_ID_BB2.0!Q:Q,[1]order_Report_SA_ID_BB2.0!H:H,"")), 1, 1)</f>
        <v>#ERROR!</v>
      </c>
      <c r="G49" s="5">
        <f t="shared" si="4"/>
        <v>52</v>
      </c>
      <c r="H49" s="5">
        <f t="shared" si="5"/>
        <v>12</v>
      </c>
      <c r="I49" s="5" t="str">
        <f t="array" ref="I49">_xludf.XLOOKUP(T49,'[1]Lookup Data'!I:I,'[1]Lookup Data'!H:H,"")</f>
        <v>#NAME?</v>
      </c>
      <c r="J49" s="5">
        <v>1.18618122E9</v>
      </c>
      <c r="K49" s="5" t="s">
        <v>32</v>
      </c>
      <c r="L49" s="5">
        <v>2.1111863E7</v>
      </c>
      <c r="M49" s="5">
        <v>1.859166457E9</v>
      </c>
      <c r="N49" s="5" t="s">
        <v>33</v>
      </c>
      <c r="O49" s="5">
        <v>30.0</v>
      </c>
      <c r="P49" s="5">
        <v>801.75</v>
      </c>
      <c r="Q49" s="5">
        <v>60.0</v>
      </c>
      <c r="R49" s="5">
        <v>861.75</v>
      </c>
      <c r="S49" s="5">
        <v>60.0</v>
      </c>
      <c r="T49" s="5" t="s">
        <v>134</v>
      </c>
      <c r="U49" s="5" t="s">
        <v>35</v>
      </c>
      <c r="V49" s="5" t="s">
        <v>135</v>
      </c>
      <c r="W49" s="5" t="s">
        <v>136</v>
      </c>
      <c r="X49" s="5" t="s">
        <v>155</v>
      </c>
      <c r="Z49" s="6">
        <v>46013.20138888889</v>
      </c>
      <c r="AA49" s="5" t="s">
        <v>156</v>
      </c>
      <c r="AB49" s="5" t="s">
        <v>74</v>
      </c>
      <c r="AC49" s="5" t="s">
        <v>40</v>
      </c>
      <c r="AD49" s="6">
        <v>46013.0</v>
      </c>
      <c r="AH49" s="5" t="s">
        <v>41</v>
      </c>
    </row>
    <row r="50" ht="15.75" customHeight="1">
      <c r="A50" s="4" t="str">
        <f t="shared" si="1"/>
        <v/>
      </c>
      <c r="B50" s="4" t="str">
        <f t="shared" si="2"/>
        <v/>
      </c>
      <c r="C50" s="4" t="str">
        <f t="shared" si="3"/>
        <v/>
      </c>
      <c r="D50" s="5" t="str">
        <f t="array" ref="D50">_xludf.XLOOKUP(AB50,'[1]Migrated Societies Data'!D:D,'[1]Migrated Societies Data'!B:B)</f>
        <v>#NAME?</v>
      </c>
      <c r="E50" s="5" t="str">
        <f t="array" ref="E50">_xludf.XLOOKUP(AB50,'[1]Migrated Societies Data'!D:D,'[1]Migrated Societies Data'!E:E)</f>
        <v>#NAME?</v>
      </c>
      <c r="F50" s="5" t="str">
        <f>ARRAY_CONSTRAIN(ARRAYFORMULA(_xludf.XLOOKUP(M1689,[1]order_Report_SA_ID_BB2.0!Q:Q,[1]order_Report_SA_ID_BB2.0!H:H,"")), 1, 1)</f>
        <v>#ERROR!</v>
      </c>
      <c r="G50" s="5">
        <f t="shared" si="4"/>
        <v>52</v>
      </c>
      <c r="H50" s="5">
        <f t="shared" si="5"/>
        <v>12</v>
      </c>
      <c r="I50" s="5" t="str">
        <f t="array" ref="I50">_xludf.XLOOKUP(T50,'[1]Lookup Data'!I:I,'[1]Lookup Data'!H:H,"")</f>
        <v>#NAME?</v>
      </c>
      <c r="J50" s="5">
        <v>1.186181233E9</v>
      </c>
      <c r="K50" s="5" t="s">
        <v>32</v>
      </c>
      <c r="L50" s="5">
        <v>1.742223E7</v>
      </c>
      <c r="M50" s="5">
        <v>1.859166109E9</v>
      </c>
      <c r="N50" s="5" t="s">
        <v>33</v>
      </c>
      <c r="O50" s="5">
        <v>30.0</v>
      </c>
      <c r="P50" s="5">
        <v>326.45</v>
      </c>
      <c r="Q50" s="5">
        <v>28.0</v>
      </c>
      <c r="R50" s="5">
        <v>354.45</v>
      </c>
      <c r="S50" s="5">
        <v>28.0</v>
      </c>
      <c r="T50" s="5" t="s">
        <v>134</v>
      </c>
      <c r="U50" s="5" t="s">
        <v>35</v>
      </c>
      <c r="V50" s="5" t="s">
        <v>135</v>
      </c>
      <c r="W50" s="5" t="s">
        <v>136</v>
      </c>
      <c r="X50" s="5" t="s">
        <v>157</v>
      </c>
      <c r="Z50" s="6">
        <v>46013.20138888889</v>
      </c>
      <c r="AA50" s="5" t="s">
        <v>158</v>
      </c>
      <c r="AB50" s="5" t="s">
        <v>65</v>
      </c>
      <c r="AC50" s="5" t="s">
        <v>40</v>
      </c>
      <c r="AD50" s="6">
        <v>46013.0</v>
      </c>
      <c r="AH50" s="5" t="s">
        <v>41</v>
      </c>
    </row>
    <row r="51" ht="15.75" customHeight="1">
      <c r="A51" s="4" t="str">
        <f t="shared" si="1"/>
        <v/>
      </c>
      <c r="B51" s="4" t="str">
        <f t="shared" si="2"/>
        <v/>
      </c>
      <c r="C51" s="4" t="str">
        <f t="shared" si="3"/>
        <v/>
      </c>
      <c r="D51" s="5" t="str">
        <f t="array" ref="D51">_xludf.XLOOKUP(AB51,'[1]Migrated Societies Data'!D:D,'[1]Migrated Societies Data'!B:B)</f>
        <v>#NAME?</v>
      </c>
      <c r="E51" s="5" t="str">
        <f t="array" ref="E51">_xludf.XLOOKUP(AB51,'[1]Migrated Societies Data'!D:D,'[1]Migrated Societies Data'!E:E)</f>
        <v>#NAME?</v>
      </c>
      <c r="F51" s="5" t="str">
        <f>ARRAY_CONSTRAIN(ARRAYFORMULA(_xludf.XLOOKUP(M1690,[1]order_Report_SA_ID_BB2.0!Q:Q,[1]order_Report_SA_ID_BB2.0!H:H,"")), 1, 1)</f>
        <v>#ERROR!</v>
      </c>
      <c r="G51" s="5">
        <f t="shared" si="4"/>
        <v>52</v>
      </c>
      <c r="H51" s="5">
        <f t="shared" si="5"/>
        <v>12</v>
      </c>
      <c r="I51" s="5" t="str">
        <f t="array" ref="I51">_xludf.XLOOKUP(T51,'[1]Lookup Data'!I:I,'[1]Lookup Data'!H:H,"")</f>
        <v>#NAME?</v>
      </c>
      <c r="J51" s="5">
        <v>1.18618125E9</v>
      </c>
      <c r="K51" s="5" t="s">
        <v>32</v>
      </c>
      <c r="L51" s="5">
        <v>2012335.0</v>
      </c>
      <c r="M51" s="5">
        <v>1.859165476E9</v>
      </c>
      <c r="N51" s="5" t="s">
        <v>33</v>
      </c>
      <c r="O51" s="5">
        <v>30.0</v>
      </c>
      <c r="P51" s="5">
        <v>108.49</v>
      </c>
      <c r="Q51" s="5">
        <v>28.0</v>
      </c>
      <c r="R51" s="5">
        <v>136.49</v>
      </c>
      <c r="S51" s="5">
        <v>28.0</v>
      </c>
      <c r="T51" s="5" t="s">
        <v>134</v>
      </c>
      <c r="U51" s="5" t="s">
        <v>35</v>
      </c>
      <c r="V51" s="5" t="s">
        <v>135</v>
      </c>
      <c r="W51" s="5" t="s">
        <v>136</v>
      </c>
      <c r="X51" s="5" t="s">
        <v>159</v>
      </c>
      <c r="Z51" s="6">
        <v>46013.20277777778</v>
      </c>
      <c r="AA51" s="5" t="s">
        <v>160</v>
      </c>
      <c r="AB51" s="5" t="s">
        <v>65</v>
      </c>
      <c r="AC51" s="5" t="s">
        <v>40</v>
      </c>
      <c r="AD51" s="6">
        <v>46013.0</v>
      </c>
      <c r="AH51" s="5" t="s">
        <v>41</v>
      </c>
    </row>
    <row r="52" ht="15.75" customHeight="1">
      <c r="A52" s="4" t="str">
        <f t="shared" si="1"/>
        <v/>
      </c>
      <c r="B52" s="4" t="str">
        <f t="shared" si="2"/>
        <v/>
      </c>
      <c r="C52" s="4" t="str">
        <f t="shared" si="3"/>
        <v/>
      </c>
      <c r="D52" s="5" t="str">
        <f t="array" ref="D52">_xludf.XLOOKUP(AB52,'[1]Migrated Societies Data'!D:D,'[1]Migrated Societies Data'!B:B)</f>
        <v>#NAME?</v>
      </c>
      <c r="E52" s="5" t="str">
        <f t="array" ref="E52">_xludf.XLOOKUP(AB52,'[1]Migrated Societies Data'!D:D,'[1]Migrated Societies Data'!E:E)</f>
        <v>#NAME?</v>
      </c>
      <c r="F52" s="5" t="str">
        <f>ARRAY_CONSTRAIN(ARRAYFORMULA(_xludf.XLOOKUP(M1691,[1]order_Report_SA_ID_BB2.0!Q:Q,[1]order_Report_SA_ID_BB2.0!H:H,"")), 1, 1)</f>
        <v>#ERROR!</v>
      </c>
      <c r="G52" s="5">
        <f t="shared" si="4"/>
        <v>52</v>
      </c>
      <c r="H52" s="5">
        <f t="shared" si="5"/>
        <v>12</v>
      </c>
      <c r="I52" s="5" t="str">
        <f t="array" ref="I52">_xludf.XLOOKUP(T52,'[1]Lookup Data'!I:I,'[1]Lookup Data'!H:H,"")</f>
        <v>#NAME?</v>
      </c>
      <c r="J52" s="5">
        <v>1.186181259E9</v>
      </c>
      <c r="K52" s="5" t="s">
        <v>32</v>
      </c>
      <c r="L52" s="5">
        <v>3.8527039E7</v>
      </c>
      <c r="M52" s="5">
        <v>1.859164815E9</v>
      </c>
      <c r="N52" s="5" t="s">
        <v>33</v>
      </c>
      <c r="O52" s="5">
        <v>30.0</v>
      </c>
      <c r="P52" s="5">
        <v>2499.05</v>
      </c>
      <c r="Q52" s="5">
        <v>28.0</v>
      </c>
      <c r="R52" s="5">
        <v>2527.05</v>
      </c>
      <c r="S52" s="5">
        <v>28.0</v>
      </c>
      <c r="T52" s="5" t="s">
        <v>134</v>
      </c>
      <c r="U52" s="5" t="s">
        <v>35</v>
      </c>
      <c r="V52" s="5" t="s">
        <v>135</v>
      </c>
      <c r="W52" s="5" t="s">
        <v>136</v>
      </c>
      <c r="X52" s="5" t="s">
        <v>161</v>
      </c>
      <c r="Z52" s="6">
        <v>46013.20277777778</v>
      </c>
      <c r="AA52" s="5" t="s">
        <v>162</v>
      </c>
      <c r="AB52" s="5" t="s">
        <v>65</v>
      </c>
      <c r="AC52" s="5" t="s">
        <v>40</v>
      </c>
      <c r="AD52" s="6">
        <v>46013.0</v>
      </c>
      <c r="AH52" s="5" t="s">
        <v>41</v>
      </c>
    </row>
    <row r="53" ht="15.75" customHeight="1">
      <c r="A53" s="4" t="str">
        <f t="shared" si="1"/>
        <v/>
      </c>
      <c r="B53" s="4" t="str">
        <f t="shared" si="2"/>
        <v/>
      </c>
      <c r="C53" s="4" t="str">
        <f t="shared" si="3"/>
        <v/>
      </c>
      <c r="D53" s="5" t="str">
        <f t="array" ref="D53">_xludf.XLOOKUP(AB53,'[1]Migrated Societies Data'!D:D,'[1]Migrated Societies Data'!B:B)</f>
        <v>#NAME?</v>
      </c>
      <c r="E53" s="5" t="str">
        <f t="array" ref="E53">_xludf.XLOOKUP(AB53,'[1]Migrated Societies Data'!D:D,'[1]Migrated Societies Data'!E:E)</f>
        <v>#NAME?</v>
      </c>
      <c r="F53" s="5" t="str">
        <f>ARRAY_CONSTRAIN(ARRAYFORMULA(_xludf.XLOOKUP(M1692,[1]order_Report_SA_ID_BB2.0!Q:Q,[1]order_Report_SA_ID_BB2.0!H:H,"")), 1, 1)</f>
        <v>#ERROR!</v>
      </c>
      <c r="G53" s="5">
        <f t="shared" si="4"/>
        <v>52</v>
      </c>
      <c r="H53" s="5">
        <f t="shared" si="5"/>
        <v>12</v>
      </c>
      <c r="I53" s="5" t="str">
        <f t="array" ref="I53">_xludf.XLOOKUP(T53,'[1]Lookup Data'!I:I,'[1]Lookup Data'!H:H,"")</f>
        <v>#NAME?</v>
      </c>
      <c r="J53" s="5">
        <v>1.186181263E9</v>
      </c>
      <c r="K53" s="5" t="s">
        <v>32</v>
      </c>
      <c r="L53" s="5">
        <v>2.1056562E7</v>
      </c>
      <c r="M53" s="5">
        <v>1.859165116E9</v>
      </c>
      <c r="N53" s="5" t="s">
        <v>33</v>
      </c>
      <c r="O53" s="5">
        <v>30.0</v>
      </c>
      <c r="P53" s="5">
        <v>19.83</v>
      </c>
      <c r="Q53" s="5">
        <v>70.0</v>
      </c>
      <c r="R53" s="5">
        <v>89.83</v>
      </c>
      <c r="S53" s="5">
        <v>70.0</v>
      </c>
      <c r="T53" s="5" t="s">
        <v>34</v>
      </c>
      <c r="U53" s="5" t="s">
        <v>35</v>
      </c>
      <c r="V53" s="5" t="s">
        <v>36</v>
      </c>
      <c r="W53" s="5" t="s">
        <v>36</v>
      </c>
      <c r="X53" s="5" t="s">
        <v>163</v>
      </c>
      <c r="Z53" s="6">
        <v>46013.20347222222</v>
      </c>
      <c r="AA53" s="5" t="s">
        <v>164</v>
      </c>
      <c r="AB53" s="5" t="s">
        <v>111</v>
      </c>
      <c r="AC53" s="5" t="s">
        <v>40</v>
      </c>
      <c r="AD53" s="6">
        <v>46013.0</v>
      </c>
      <c r="AH53" s="5" t="s">
        <v>41</v>
      </c>
    </row>
    <row r="54" ht="15.75" customHeight="1">
      <c r="A54" s="4" t="str">
        <f t="shared" si="1"/>
        <v/>
      </c>
      <c r="B54" s="4" t="str">
        <f t="shared" si="2"/>
        <v/>
      </c>
      <c r="C54" s="4" t="str">
        <f t="shared" si="3"/>
        <v/>
      </c>
      <c r="D54" s="5" t="str">
        <f t="array" ref="D54">_xludf.XLOOKUP(AB54,'[1]Migrated Societies Data'!D:D,'[1]Migrated Societies Data'!B:B)</f>
        <v>#NAME?</v>
      </c>
      <c r="E54" s="5" t="str">
        <f t="array" ref="E54">_xludf.XLOOKUP(AB54,'[1]Migrated Societies Data'!D:D,'[1]Migrated Societies Data'!E:E)</f>
        <v>#NAME?</v>
      </c>
      <c r="F54" s="5" t="str">
        <f>ARRAY_CONSTRAIN(ARRAYFORMULA(_xludf.XLOOKUP(M1693,[1]order_Report_SA_ID_BB2.0!Q:Q,[1]order_Report_SA_ID_BB2.0!H:H,"")), 1, 1)</f>
        <v>#ERROR!</v>
      </c>
      <c r="G54" s="5">
        <f t="shared" si="4"/>
        <v>52</v>
      </c>
      <c r="H54" s="5">
        <f t="shared" si="5"/>
        <v>12</v>
      </c>
      <c r="I54" s="5" t="str">
        <f t="array" ref="I54">_xludf.XLOOKUP(T54,'[1]Lookup Data'!I:I,'[1]Lookup Data'!H:H,"")</f>
        <v>#NAME?</v>
      </c>
      <c r="J54" s="5">
        <v>1.186181323E9</v>
      </c>
      <c r="K54" s="5" t="s">
        <v>32</v>
      </c>
      <c r="L54" s="5">
        <v>4.677217E7</v>
      </c>
      <c r="M54" s="5">
        <v>1.859166408E9</v>
      </c>
      <c r="N54" s="5" t="s">
        <v>33</v>
      </c>
      <c r="O54" s="5">
        <v>30.0</v>
      </c>
      <c r="P54" s="5">
        <v>629.04</v>
      </c>
      <c r="Q54" s="5">
        <v>28.0</v>
      </c>
      <c r="R54" s="5">
        <v>657.04</v>
      </c>
      <c r="S54" s="5">
        <v>28.0</v>
      </c>
      <c r="T54" s="5" t="s">
        <v>134</v>
      </c>
      <c r="U54" s="5" t="s">
        <v>35</v>
      </c>
      <c r="V54" s="5" t="s">
        <v>135</v>
      </c>
      <c r="W54" s="5" t="s">
        <v>136</v>
      </c>
      <c r="X54" s="5" t="s">
        <v>165</v>
      </c>
      <c r="Z54" s="6">
        <v>46013.20625</v>
      </c>
      <c r="AA54" s="5" t="s">
        <v>166</v>
      </c>
      <c r="AB54" s="5" t="s">
        <v>65</v>
      </c>
      <c r="AC54" s="5" t="s">
        <v>40</v>
      </c>
      <c r="AD54" s="6">
        <v>46013.0</v>
      </c>
      <c r="AH54" s="5" t="s">
        <v>41</v>
      </c>
    </row>
    <row r="55" ht="15.75" customHeight="1">
      <c r="A55" s="4" t="str">
        <f t="shared" si="1"/>
        <v/>
      </c>
      <c r="B55" s="4" t="str">
        <f t="shared" si="2"/>
        <v/>
      </c>
      <c r="C55" s="4" t="str">
        <f t="shared" si="3"/>
        <v/>
      </c>
      <c r="D55" s="5" t="str">
        <f t="array" ref="D55">_xludf.XLOOKUP(AB55,'[1]Migrated Societies Data'!D:D,'[1]Migrated Societies Data'!B:B)</f>
        <v>#NAME?</v>
      </c>
      <c r="E55" s="5" t="str">
        <f t="array" ref="E55">_xludf.XLOOKUP(AB55,'[1]Migrated Societies Data'!D:D,'[1]Migrated Societies Data'!E:E)</f>
        <v>#NAME?</v>
      </c>
      <c r="F55" s="5" t="str">
        <f>ARRAY_CONSTRAIN(ARRAYFORMULA(_xludf.XLOOKUP(M1694,[1]order_Report_SA_ID_BB2.0!Q:Q,[1]order_Report_SA_ID_BB2.0!H:H,"")), 1, 1)</f>
        <v>#ERROR!</v>
      </c>
      <c r="G55" s="5">
        <f t="shared" si="4"/>
        <v>52</v>
      </c>
      <c r="H55" s="5">
        <f t="shared" si="5"/>
        <v>12</v>
      </c>
      <c r="I55" s="5" t="str">
        <f t="array" ref="I55">_xludf.XLOOKUP(T55,'[1]Lookup Data'!I:I,'[1]Lookup Data'!H:H,"")</f>
        <v>#NAME?</v>
      </c>
      <c r="J55" s="5">
        <v>1.186181327E9</v>
      </c>
      <c r="K55" s="5" t="s">
        <v>32</v>
      </c>
      <c r="L55" s="5">
        <v>183874.0</v>
      </c>
      <c r="M55" s="5">
        <v>1.85916541E9</v>
      </c>
      <c r="N55" s="5" t="s">
        <v>33</v>
      </c>
      <c r="O55" s="5">
        <v>30.0</v>
      </c>
      <c r="P55" s="5">
        <v>1219.91</v>
      </c>
      <c r="Q55" s="5">
        <v>4.5</v>
      </c>
      <c r="R55" s="5">
        <v>1224.41</v>
      </c>
      <c r="S55" s="5">
        <v>4.5</v>
      </c>
      <c r="T55" s="5" t="s">
        <v>134</v>
      </c>
      <c r="U55" s="5" t="s">
        <v>35</v>
      </c>
      <c r="V55" s="5" t="s">
        <v>135</v>
      </c>
      <c r="W55" s="5" t="s">
        <v>136</v>
      </c>
      <c r="X55" s="5" t="s">
        <v>167</v>
      </c>
      <c r="Z55" s="6">
        <v>46013.20625</v>
      </c>
      <c r="AA55" s="5" t="s">
        <v>168</v>
      </c>
      <c r="AB55" s="5" t="s">
        <v>169</v>
      </c>
      <c r="AC55" s="5" t="s">
        <v>40</v>
      </c>
      <c r="AD55" s="6">
        <v>46013.0</v>
      </c>
      <c r="AH55" s="5" t="s">
        <v>41</v>
      </c>
    </row>
    <row r="56" ht="15.75" customHeight="1">
      <c r="A56" s="4" t="str">
        <f t="shared" si="1"/>
        <v/>
      </c>
      <c r="B56" s="4" t="str">
        <f t="shared" si="2"/>
        <v/>
      </c>
      <c r="C56" s="4" t="str">
        <f t="shared" si="3"/>
        <v/>
      </c>
      <c r="D56" s="5" t="str">
        <f t="array" ref="D56">_xludf.XLOOKUP(AB56,'[1]Migrated Societies Data'!D:D,'[1]Migrated Societies Data'!B:B)</f>
        <v>#NAME?</v>
      </c>
      <c r="E56" s="5" t="str">
        <f t="array" ref="E56">_xludf.XLOOKUP(AB56,'[1]Migrated Societies Data'!D:D,'[1]Migrated Societies Data'!E:E)</f>
        <v>#NAME?</v>
      </c>
      <c r="F56" s="5" t="str">
        <f>ARRAY_CONSTRAIN(ARRAYFORMULA(_xludf.XLOOKUP(M1695,[1]order_Report_SA_ID_BB2.0!Q:Q,[1]order_Report_SA_ID_BB2.0!H:H,"")), 1, 1)</f>
        <v>#ERROR!</v>
      </c>
      <c r="G56" s="5">
        <f t="shared" si="4"/>
        <v>52</v>
      </c>
      <c r="H56" s="5">
        <f t="shared" si="5"/>
        <v>12</v>
      </c>
      <c r="I56" s="5" t="str">
        <f t="array" ref="I56">_xludf.XLOOKUP(T56,'[1]Lookup Data'!I:I,'[1]Lookup Data'!H:H,"")</f>
        <v>#NAME?</v>
      </c>
      <c r="J56" s="5">
        <v>1.186181331E9</v>
      </c>
      <c r="K56" s="5" t="s">
        <v>32</v>
      </c>
      <c r="L56" s="5">
        <v>7614033.0</v>
      </c>
      <c r="M56" s="5">
        <v>1.85916675E9</v>
      </c>
      <c r="N56" s="5" t="s">
        <v>33</v>
      </c>
      <c r="O56" s="5">
        <v>30.0</v>
      </c>
      <c r="P56" s="5">
        <v>1465.0</v>
      </c>
      <c r="Q56" s="5">
        <v>40.0</v>
      </c>
      <c r="R56" s="5">
        <v>1505.0</v>
      </c>
      <c r="S56" s="5">
        <v>40.0</v>
      </c>
      <c r="T56" s="5" t="s">
        <v>134</v>
      </c>
      <c r="U56" s="5" t="s">
        <v>35</v>
      </c>
      <c r="V56" s="5" t="s">
        <v>135</v>
      </c>
      <c r="W56" s="5" t="s">
        <v>136</v>
      </c>
      <c r="X56" s="5" t="s">
        <v>170</v>
      </c>
      <c r="Z56" s="6">
        <v>46013.20694444444</v>
      </c>
      <c r="AA56" s="5" t="s">
        <v>171</v>
      </c>
      <c r="AB56" s="5" t="s">
        <v>150</v>
      </c>
      <c r="AC56" s="5" t="s">
        <v>40</v>
      </c>
      <c r="AD56" s="6">
        <v>46013.0</v>
      </c>
      <c r="AH56" s="5" t="s">
        <v>41</v>
      </c>
    </row>
    <row r="57" ht="15.75" customHeight="1">
      <c r="A57" s="4" t="str">
        <f t="shared" si="1"/>
        <v/>
      </c>
      <c r="B57" s="4" t="str">
        <f t="shared" si="2"/>
        <v/>
      </c>
      <c r="C57" s="4" t="str">
        <f t="shared" si="3"/>
        <v/>
      </c>
      <c r="D57" s="5" t="str">
        <f t="array" ref="D57">_xludf.XLOOKUP(AB57,'[1]Migrated Societies Data'!D:D,'[1]Migrated Societies Data'!B:B)</f>
        <v>#NAME?</v>
      </c>
      <c r="E57" s="5" t="str">
        <f t="array" ref="E57">_xludf.XLOOKUP(AB57,'[1]Migrated Societies Data'!D:D,'[1]Migrated Societies Data'!E:E)</f>
        <v>#NAME?</v>
      </c>
      <c r="F57" s="5" t="str">
        <f>ARRAY_CONSTRAIN(ARRAYFORMULA(_xludf.XLOOKUP(M1696,[1]order_Report_SA_ID_BB2.0!Q:Q,[1]order_Report_SA_ID_BB2.0!H:H,"")), 1, 1)</f>
        <v>#ERROR!</v>
      </c>
      <c r="G57" s="5">
        <f t="shared" si="4"/>
        <v>52</v>
      </c>
      <c r="H57" s="5">
        <f t="shared" si="5"/>
        <v>12</v>
      </c>
      <c r="I57" s="5" t="str">
        <f t="array" ref="I57">_xludf.XLOOKUP(T57,'[1]Lookup Data'!I:I,'[1]Lookup Data'!H:H,"")</f>
        <v>#NAME?</v>
      </c>
      <c r="J57" s="5">
        <v>1.186181378E9</v>
      </c>
      <c r="K57" s="5" t="s">
        <v>32</v>
      </c>
      <c r="L57" s="5">
        <v>7151398.0</v>
      </c>
      <c r="M57" s="5">
        <v>1.859166311E9</v>
      </c>
      <c r="N57" s="5" t="s">
        <v>33</v>
      </c>
      <c r="O57" s="5">
        <v>30.0</v>
      </c>
      <c r="P57" s="5">
        <v>125.14</v>
      </c>
      <c r="Q57" s="5">
        <v>59.0</v>
      </c>
      <c r="R57" s="5">
        <v>184.14</v>
      </c>
      <c r="S57" s="5">
        <v>59.0</v>
      </c>
      <c r="T57" s="5" t="s">
        <v>134</v>
      </c>
      <c r="U57" s="5" t="s">
        <v>35</v>
      </c>
      <c r="V57" s="5" t="s">
        <v>135</v>
      </c>
      <c r="W57" s="5" t="s">
        <v>136</v>
      </c>
      <c r="X57" s="5" t="s">
        <v>172</v>
      </c>
      <c r="Z57" s="6">
        <v>46013.208333333336</v>
      </c>
      <c r="AA57" s="5" t="s">
        <v>173</v>
      </c>
      <c r="AB57" s="5" t="s">
        <v>70</v>
      </c>
      <c r="AC57" s="5" t="s">
        <v>40</v>
      </c>
      <c r="AD57" s="6">
        <v>46013.0</v>
      </c>
      <c r="AH57" s="5" t="s">
        <v>41</v>
      </c>
    </row>
    <row r="58" ht="15.75" customHeight="1">
      <c r="A58" s="4" t="str">
        <f t="shared" si="1"/>
        <v/>
      </c>
      <c r="B58" s="4" t="str">
        <f t="shared" si="2"/>
        <v/>
      </c>
      <c r="C58" s="4" t="str">
        <f t="shared" si="3"/>
        <v/>
      </c>
      <c r="D58" s="5" t="str">
        <f t="array" ref="D58">_xludf.XLOOKUP(AB58,'[1]Migrated Societies Data'!D:D,'[1]Migrated Societies Data'!B:B)</f>
        <v>#NAME?</v>
      </c>
      <c r="E58" s="5" t="str">
        <f t="array" ref="E58">_xludf.XLOOKUP(AB58,'[1]Migrated Societies Data'!D:D,'[1]Migrated Societies Data'!E:E)</f>
        <v>#NAME?</v>
      </c>
      <c r="F58" s="5" t="str">
        <f>ARRAY_CONSTRAIN(ARRAYFORMULA(_xludf.XLOOKUP(M1697,[1]order_Report_SA_ID_BB2.0!Q:Q,[1]order_Report_SA_ID_BB2.0!H:H,"")), 1, 1)</f>
        <v>#ERROR!</v>
      </c>
      <c r="G58" s="5">
        <f t="shared" si="4"/>
        <v>52</v>
      </c>
      <c r="H58" s="5">
        <f t="shared" si="5"/>
        <v>12</v>
      </c>
      <c r="I58" s="5" t="str">
        <f t="array" ref="I58">_xludf.XLOOKUP(T58,'[1]Lookup Data'!I:I,'[1]Lookup Data'!H:H,"")</f>
        <v>#NAME?</v>
      </c>
      <c r="J58" s="5">
        <v>1.186181476E9</v>
      </c>
      <c r="K58" s="5" t="s">
        <v>32</v>
      </c>
      <c r="L58" s="5">
        <v>427685.0</v>
      </c>
      <c r="M58" s="5">
        <v>1.859166593E9</v>
      </c>
      <c r="N58" s="5" t="s">
        <v>33</v>
      </c>
      <c r="O58" s="5">
        <v>30.0</v>
      </c>
      <c r="P58" s="5">
        <v>427.01</v>
      </c>
      <c r="Q58" s="5">
        <v>17.0</v>
      </c>
      <c r="R58" s="5">
        <v>444.01</v>
      </c>
      <c r="S58" s="5">
        <v>17.0</v>
      </c>
      <c r="T58" s="5" t="s">
        <v>134</v>
      </c>
      <c r="U58" s="5" t="s">
        <v>35</v>
      </c>
      <c r="V58" s="5" t="s">
        <v>135</v>
      </c>
      <c r="W58" s="5" t="s">
        <v>136</v>
      </c>
      <c r="X58" s="5" t="s">
        <v>174</v>
      </c>
      <c r="Z58" s="6">
        <v>46013.211805555555</v>
      </c>
      <c r="AA58" s="5" t="s">
        <v>175</v>
      </c>
      <c r="AB58" s="5" t="s">
        <v>84</v>
      </c>
      <c r="AC58" s="5" t="s">
        <v>40</v>
      </c>
      <c r="AD58" s="6">
        <v>46013.0</v>
      </c>
      <c r="AH58" s="5" t="s">
        <v>41</v>
      </c>
    </row>
    <row r="59" ht="15.75" customHeight="1">
      <c r="A59" s="4" t="str">
        <f t="shared" si="1"/>
        <v/>
      </c>
      <c r="B59" s="4" t="str">
        <f t="shared" si="2"/>
        <v/>
      </c>
      <c r="C59" s="4" t="str">
        <f t="shared" si="3"/>
        <v/>
      </c>
      <c r="D59" s="5" t="str">
        <f t="array" ref="D59">_xludf.XLOOKUP(AB59,'[1]Migrated Societies Data'!D:D,'[1]Migrated Societies Data'!B:B)</f>
        <v>#NAME?</v>
      </c>
      <c r="E59" s="5" t="str">
        <f t="array" ref="E59">_xludf.XLOOKUP(AB59,'[1]Migrated Societies Data'!D:D,'[1]Migrated Societies Data'!E:E)</f>
        <v>#NAME?</v>
      </c>
      <c r="F59" s="5" t="str">
        <f>ARRAY_CONSTRAIN(ARRAYFORMULA(_xludf.XLOOKUP(M1698,[1]order_Report_SA_ID_BB2.0!Q:Q,[1]order_Report_SA_ID_BB2.0!H:H,"")), 1, 1)</f>
        <v>#ERROR!</v>
      </c>
      <c r="G59" s="5">
        <f t="shared" si="4"/>
        <v>52</v>
      </c>
      <c r="H59" s="5">
        <f t="shared" si="5"/>
        <v>12</v>
      </c>
      <c r="I59" s="5" t="str">
        <f t="array" ref="I59">_xludf.XLOOKUP(T59,'[1]Lookup Data'!I:I,'[1]Lookup Data'!H:H,"")</f>
        <v>#NAME?</v>
      </c>
      <c r="J59" s="5">
        <v>1.186181477E9</v>
      </c>
      <c r="K59" s="5" t="s">
        <v>32</v>
      </c>
      <c r="L59" s="5">
        <v>970853.0</v>
      </c>
      <c r="M59" s="5">
        <v>1.859165697E9</v>
      </c>
      <c r="N59" s="5" t="s">
        <v>33</v>
      </c>
      <c r="O59" s="5">
        <v>30.0</v>
      </c>
      <c r="P59" s="5">
        <v>6515.69</v>
      </c>
      <c r="Q59" s="5">
        <v>20.0</v>
      </c>
      <c r="R59" s="5">
        <v>6535.69</v>
      </c>
      <c r="S59" s="5">
        <v>20.0</v>
      </c>
      <c r="T59" s="5" t="s">
        <v>134</v>
      </c>
      <c r="U59" s="5" t="s">
        <v>35</v>
      </c>
      <c r="V59" s="5" t="s">
        <v>135</v>
      </c>
      <c r="W59" s="5" t="s">
        <v>136</v>
      </c>
      <c r="X59" s="5" t="s">
        <v>176</v>
      </c>
      <c r="Z59" s="6">
        <v>46013.211805555555</v>
      </c>
      <c r="AA59" s="5" t="s">
        <v>177</v>
      </c>
      <c r="AB59" s="5" t="s">
        <v>84</v>
      </c>
      <c r="AC59" s="5" t="s">
        <v>40</v>
      </c>
      <c r="AD59" s="6">
        <v>46013.0</v>
      </c>
      <c r="AH59" s="5" t="s">
        <v>41</v>
      </c>
    </row>
    <row r="60" ht="15.75" customHeight="1">
      <c r="A60" s="4" t="str">
        <f t="shared" si="1"/>
        <v/>
      </c>
      <c r="B60" s="4" t="str">
        <f t="shared" si="2"/>
        <v/>
      </c>
      <c r="C60" s="4" t="str">
        <f t="shared" si="3"/>
        <v/>
      </c>
      <c r="D60" s="5" t="str">
        <f t="array" ref="D60">_xludf.XLOOKUP(AB60,'[1]Migrated Societies Data'!D:D,'[1]Migrated Societies Data'!B:B)</f>
        <v>#NAME?</v>
      </c>
      <c r="E60" s="5" t="str">
        <f t="array" ref="E60">_xludf.XLOOKUP(AB60,'[1]Migrated Societies Data'!D:D,'[1]Migrated Societies Data'!E:E)</f>
        <v>#NAME?</v>
      </c>
      <c r="F60" s="5" t="str">
        <f>ARRAY_CONSTRAIN(ARRAYFORMULA(_xludf.XLOOKUP(M1699,[1]order_Report_SA_ID_BB2.0!Q:Q,[1]order_Report_SA_ID_BB2.0!H:H,"")), 1, 1)</f>
        <v>#ERROR!</v>
      </c>
      <c r="G60" s="5">
        <f t="shared" si="4"/>
        <v>52</v>
      </c>
      <c r="H60" s="5">
        <f t="shared" si="5"/>
        <v>12</v>
      </c>
      <c r="I60" s="5" t="str">
        <f t="array" ref="I60">_xludf.XLOOKUP(T60,'[1]Lookup Data'!I:I,'[1]Lookup Data'!H:H,"")</f>
        <v>#NAME?</v>
      </c>
      <c r="J60" s="5">
        <v>1.186181537E9</v>
      </c>
      <c r="K60" s="5" t="s">
        <v>32</v>
      </c>
      <c r="L60" s="5">
        <v>9764173.0</v>
      </c>
      <c r="M60" s="5">
        <v>1.859167581E9</v>
      </c>
      <c r="N60" s="5" t="s">
        <v>33</v>
      </c>
      <c r="O60" s="5">
        <v>30.0</v>
      </c>
      <c r="P60" s="5">
        <v>4819.08</v>
      </c>
      <c r="Q60" s="5">
        <v>56.0</v>
      </c>
      <c r="R60" s="5">
        <v>4875.08</v>
      </c>
      <c r="S60" s="5">
        <v>56.0</v>
      </c>
      <c r="T60" s="5" t="s">
        <v>134</v>
      </c>
      <c r="U60" s="5" t="s">
        <v>35</v>
      </c>
      <c r="V60" s="5" t="s">
        <v>135</v>
      </c>
      <c r="W60" s="5" t="s">
        <v>136</v>
      </c>
      <c r="X60" s="5" t="s">
        <v>178</v>
      </c>
      <c r="Z60" s="6">
        <v>46013.21388888889</v>
      </c>
      <c r="AA60" s="5" t="s">
        <v>179</v>
      </c>
      <c r="AB60" s="5" t="s">
        <v>65</v>
      </c>
      <c r="AC60" s="5" t="s">
        <v>40</v>
      </c>
      <c r="AD60" s="6">
        <v>46013.0</v>
      </c>
      <c r="AH60" s="5" t="s">
        <v>41</v>
      </c>
    </row>
    <row r="61" ht="15.75" customHeight="1">
      <c r="A61" s="4" t="str">
        <f t="shared" si="1"/>
        <v/>
      </c>
      <c r="B61" s="4" t="str">
        <f t="shared" si="2"/>
        <v/>
      </c>
      <c r="C61" s="4" t="str">
        <f t="shared" si="3"/>
        <v/>
      </c>
      <c r="D61" s="5" t="str">
        <f t="array" ref="D61">_xludf.XLOOKUP(AB61,'[1]Migrated Societies Data'!D:D,'[1]Migrated Societies Data'!B:B)</f>
        <v>#NAME?</v>
      </c>
      <c r="E61" s="5" t="str">
        <f t="array" ref="E61">_xludf.XLOOKUP(AB61,'[1]Migrated Societies Data'!D:D,'[1]Migrated Societies Data'!E:E)</f>
        <v>#NAME?</v>
      </c>
      <c r="F61" s="5" t="str">
        <f>ARRAY_CONSTRAIN(ARRAYFORMULA(_xludf.XLOOKUP(M1700,[1]order_Report_SA_ID_BB2.0!Q:Q,[1]order_Report_SA_ID_BB2.0!H:H,"")), 1, 1)</f>
        <v>#ERROR!</v>
      </c>
      <c r="G61" s="5">
        <f t="shared" si="4"/>
        <v>52</v>
      </c>
      <c r="H61" s="5">
        <f t="shared" si="5"/>
        <v>12</v>
      </c>
      <c r="I61" s="5" t="str">
        <f t="array" ref="I61">_xludf.XLOOKUP(T61,'[1]Lookup Data'!I:I,'[1]Lookup Data'!H:H,"")</f>
        <v>#NAME?</v>
      </c>
      <c r="J61" s="5">
        <v>1.186181641E9</v>
      </c>
      <c r="K61" s="5" t="s">
        <v>32</v>
      </c>
      <c r="L61" s="5">
        <v>13643.0</v>
      </c>
      <c r="M61" s="5">
        <v>1.859166276E9</v>
      </c>
      <c r="N61" s="5" t="s">
        <v>33</v>
      </c>
      <c r="O61" s="5">
        <v>30.0</v>
      </c>
      <c r="P61" s="5">
        <v>157.8</v>
      </c>
      <c r="Q61" s="5">
        <v>1.35</v>
      </c>
      <c r="R61" s="5">
        <v>159.15</v>
      </c>
      <c r="S61" s="5">
        <v>1.35</v>
      </c>
      <c r="T61" s="5" t="s">
        <v>180</v>
      </c>
      <c r="U61" s="5" t="s">
        <v>181</v>
      </c>
      <c r="V61" s="5" t="s">
        <v>182</v>
      </c>
      <c r="W61" s="5" t="s">
        <v>183</v>
      </c>
      <c r="X61" s="5" t="s">
        <v>184</v>
      </c>
      <c r="Z61" s="6">
        <v>46013.21666666667</v>
      </c>
      <c r="AA61" s="5" t="s">
        <v>185</v>
      </c>
      <c r="AB61" s="5" t="s">
        <v>169</v>
      </c>
      <c r="AC61" s="5" t="s">
        <v>40</v>
      </c>
      <c r="AD61" s="6">
        <v>46013.0</v>
      </c>
      <c r="AH61" s="5" t="s">
        <v>41</v>
      </c>
    </row>
    <row r="62" ht="15.75" customHeight="1">
      <c r="A62" s="4" t="str">
        <f t="shared" si="1"/>
        <v/>
      </c>
      <c r="B62" s="4" t="str">
        <f t="shared" si="2"/>
        <v/>
      </c>
      <c r="C62" s="4" t="str">
        <f t="shared" si="3"/>
        <v/>
      </c>
      <c r="D62" s="5" t="str">
        <f t="array" ref="D62">_xludf.XLOOKUP(AB62,'[1]Migrated Societies Data'!D:D,'[1]Migrated Societies Data'!B:B)</f>
        <v>#NAME?</v>
      </c>
      <c r="E62" s="5" t="str">
        <f t="array" ref="E62">_xludf.XLOOKUP(AB62,'[1]Migrated Societies Data'!D:D,'[1]Migrated Societies Data'!E:E)</f>
        <v>#NAME?</v>
      </c>
      <c r="F62" s="5" t="str">
        <f>ARRAY_CONSTRAIN(ARRAYFORMULA(_xludf.XLOOKUP(M1701,[1]order_Report_SA_ID_BB2.0!Q:Q,[1]order_Report_SA_ID_BB2.0!H:H,"")), 1, 1)</f>
        <v>#ERROR!</v>
      </c>
      <c r="G62" s="5">
        <f t="shared" si="4"/>
        <v>52</v>
      </c>
      <c r="H62" s="5">
        <f t="shared" si="5"/>
        <v>12</v>
      </c>
      <c r="I62" s="5" t="str">
        <f t="array" ref="I62">_xludf.XLOOKUP(T62,'[1]Lookup Data'!I:I,'[1]Lookup Data'!H:H,"")</f>
        <v>#NAME?</v>
      </c>
      <c r="J62" s="5">
        <v>1.186181655E9</v>
      </c>
      <c r="K62" s="5" t="s">
        <v>32</v>
      </c>
      <c r="L62" s="5">
        <v>1289102.0</v>
      </c>
      <c r="M62" s="5">
        <v>1.859165875E9</v>
      </c>
      <c r="N62" s="5" t="s">
        <v>33</v>
      </c>
      <c r="O62" s="5">
        <v>30.0</v>
      </c>
      <c r="P62" s="5">
        <v>1126.25</v>
      </c>
      <c r="Q62" s="5">
        <v>80.0</v>
      </c>
      <c r="R62" s="5">
        <v>1206.25</v>
      </c>
      <c r="S62" s="5">
        <v>80.0</v>
      </c>
      <c r="T62" s="5" t="s">
        <v>134</v>
      </c>
      <c r="U62" s="5" t="s">
        <v>35</v>
      </c>
      <c r="V62" s="5" t="s">
        <v>135</v>
      </c>
      <c r="W62" s="5" t="s">
        <v>136</v>
      </c>
      <c r="X62" s="5" t="s">
        <v>186</v>
      </c>
      <c r="Z62" s="6">
        <v>46013.217361111114</v>
      </c>
      <c r="AA62" s="5" t="s">
        <v>187</v>
      </c>
      <c r="AB62" s="5" t="s">
        <v>126</v>
      </c>
      <c r="AC62" s="5" t="s">
        <v>40</v>
      </c>
      <c r="AD62" s="6">
        <v>46013.0</v>
      </c>
      <c r="AH62" s="5" t="s">
        <v>41</v>
      </c>
    </row>
    <row r="63" ht="15.75" customHeight="1">
      <c r="A63" s="4" t="str">
        <f t="shared" si="1"/>
        <v/>
      </c>
      <c r="B63" s="4" t="str">
        <f t="shared" si="2"/>
        <v/>
      </c>
      <c r="C63" s="4" t="str">
        <f t="shared" si="3"/>
        <v/>
      </c>
      <c r="D63" s="5" t="str">
        <f t="array" ref="D63">_xludf.XLOOKUP(AB63,'[1]Migrated Societies Data'!D:D,'[1]Migrated Societies Data'!B:B)</f>
        <v>#NAME?</v>
      </c>
      <c r="E63" s="5" t="str">
        <f t="array" ref="E63">_xludf.XLOOKUP(AB63,'[1]Migrated Societies Data'!D:D,'[1]Migrated Societies Data'!E:E)</f>
        <v>#NAME?</v>
      </c>
      <c r="F63" s="5" t="str">
        <f>ARRAY_CONSTRAIN(ARRAYFORMULA(_xludf.XLOOKUP(M1702,[1]order_Report_SA_ID_BB2.0!Q:Q,[1]order_Report_SA_ID_BB2.0!H:H,"")), 1, 1)</f>
        <v>#ERROR!</v>
      </c>
      <c r="G63" s="5">
        <f t="shared" si="4"/>
        <v>52</v>
      </c>
      <c r="H63" s="5">
        <f t="shared" si="5"/>
        <v>12</v>
      </c>
      <c r="I63" s="5" t="str">
        <f t="array" ref="I63">_xludf.XLOOKUP(T63,'[1]Lookup Data'!I:I,'[1]Lookup Data'!H:H,"")</f>
        <v>#NAME?</v>
      </c>
      <c r="J63" s="5">
        <v>1.186181664E9</v>
      </c>
      <c r="K63" s="5" t="s">
        <v>32</v>
      </c>
      <c r="L63" s="5">
        <v>5956.0</v>
      </c>
      <c r="M63" s="5">
        <v>1.859166158E9</v>
      </c>
      <c r="N63" s="5" t="s">
        <v>33</v>
      </c>
      <c r="O63" s="5">
        <v>30.0</v>
      </c>
      <c r="P63" s="5">
        <v>1582.14</v>
      </c>
      <c r="Q63" s="5">
        <v>1.2</v>
      </c>
      <c r="R63" s="5">
        <v>1583.34</v>
      </c>
      <c r="S63" s="5">
        <v>1.2</v>
      </c>
      <c r="T63" s="5" t="s">
        <v>180</v>
      </c>
      <c r="U63" s="5" t="s">
        <v>181</v>
      </c>
      <c r="V63" s="5" t="s">
        <v>182</v>
      </c>
      <c r="W63" s="5" t="s">
        <v>183</v>
      </c>
      <c r="X63" s="5" t="s">
        <v>188</v>
      </c>
      <c r="Z63" s="6">
        <v>46013.217361111114</v>
      </c>
      <c r="AA63" s="5" t="s">
        <v>189</v>
      </c>
      <c r="AB63" s="5" t="s">
        <v>39</v>
      </c>
      <c r="AC63" s="5" t="s">
        <v>40</v>
      </c>
      <c r="AD63" s="6">
        <v>46013.0</v>
      </c>
      <c r="AH63" s="5" t="s">
        <v>41</v>
      </c>
    </row>
    <row r="64" ht="15.75" customHeight="1">
      <c r="A64" s="4" t="str">
        <f t="shared" si="1"/>
        <v/>
      </c>
      <c r="B64" s="4" t="str">
        <f t="shared" si="2"/>
        <v/>
      </c>
      <c r="C64" s="4" t="str">
        <f t="shared" si="3"/>
        <v/>
      </c>
      <c r="D64" s="5" t="str">
        <f t="array" ref="D64">_xludf.XLOOKUP(AB64,'[1]Migrated Societies Data'!D:D,'[1]Migrated Societies Data'!B:B)</f>
        <v>#NAME?</v>
      </c>
      <c r="E64" s="5" t="str">
        <f t="array" ref="E64">_xludf.XLOOKUP(AB64,'[1]Migrated Societies Data'!D:D,'[1]Migrated Societies Data'!E:E)</f>
        <v>#NAME?</v>
      </c>
      <c r="F64" s="5" t="str">
        <f>ARRAY_CONSTRAIN(ARRAYFORMULA(_xludf.XLOOKUP(M1703,[1]order_Report_SA_ID_BB2.0!Q:Q,[1]order_Report_SA_ID_BB2.0!H:H,"")), 1, 1)</f>
        <v>#ERROR!</v>
      </c>
      <c r="G64" s="5">
        <f t="shared" si="4"/>
        <v>52</v>
      </c>
      <c r="H64" s="5">
        <f t="shared" si="5"/>
        <v>12</v>
      </c>
      <c r="I64" s="5" t="str">
        <f t="array" ref="I64">_xludf.XLOOKUP(T64,'[1]Lookup Data'!I:I,'[1]Lookup Data'!H:H,"")</f>
        <v>#NAME?</v>
      </c>
      <c r="J64" s="5">
        <v>1.18618174E9</v>
      </c>
      <c r="K64" s="5" t="s">
        <v>32</v>
      </c>
      <c r="L64" s="5">
        <v>9771911.0</v>
      </c>
      <c r="M64" s="5">
        <v>1.859165237E9</v>
      </c>
      <c r="N64" s="5" t="s">
        <v>33</v>
      </c>
      <c r="O64" s="5">
        <v>30.0</v>
      </c>
      <c r="P64" s="5">
        <v>40.65</v>
      </c>
      <c r="Q64" s="5">
        <v>28.0</v>
      </c>
      <c r="R64" s="5">
        <v>68.65</v>
      </c>
      <c r="S64" s="5">
        <v>28.0</v>
      </c>
      <c r="T64" s="5" t="s">
        <v>134</v>
      </c>
      <c r="U64" s="5" t="s">
        <v>35</v>
      </c>
      <c r="V64" s="5" t="s">
        <v>135</v>
      </c>
      <c r="W64" s="5" t="s">
        <v>136</v>
      </c>
      <c r="X64" s="5" t="s">
        <v>190</v>
      </c>
      <c r="Z64" s="6">
        <v>46013.21944444445</v>
      </c>
      <c r="AA64" s="5" t="s">
        <v>191</v>
      </c>
      <c r="AB64" s="5" t="s">
        <v>65</v>
      </c>
      <c r="AC64" s="5" t="s">
        <v>40</v>
      </c>
      <c r="AD64" s="6">
        <v>46013.0</v>
      </c>
      <c r="AH64" s="5" t="s">
        <v>41</v>
      </c>
    </row>
    <row r="65" ht="15.75" customHeight="1">
      <c r="A65" s="4" t="str">
        <f t="shared" si="1"/>
        <v/>
      </c>
      <c r="B65" s="4" t="str">
        <f t="shared" si="2"/>
        <v/>
      </c>
      <c r="C65" s="4" t="str">
        <f t="shared" si="3"/>
        <v/>
      </c>
      <c r="D65" s="5" t="str">
        <f t="array" ref="D65">_xludf.XLOOKUP(AB65,'[1]Migrated Societies Data'!D:D,'[1]Migrated Societies Data'!B:B)</f>
        <v>#NAME?</v>
      </c>
      <c r="E65" s="5" t="str">
        <f t="array" ref="E65">_xludf.XLOOKUP(AB65,'[1]Migrated Societies Data'!D:D,'[1]Migrated Societies Data'!E:E)</f>
        <v>#NAME?</v>
      </c>
      <c r="F65" s="5" t="str">
        <f>ARRAY_CONSTRAIN(ARRAYFORMULA(_xludf.XLOOKUP(M1704,[1]order_Report_SA_ID_BB2.0!Q:Q,[1]order_Report_SA_ID_BB2.0!H:H,"")), 1, 1)</f>
        <v>#ERROR!</v>
      </c>
      <c r="G65" s="5">
        <f t="shared" si="4"/>
        <v>52</v>
      </c>
      <c r="H65" s="5">
        <f t="shared" si="5"/>
        <v>12</v>
      </c>
      <c r="I65" s="5" t="str">
        <f t="array" ref="I65">_xludf.XLOOKUP(T65,'[1]Lookup Data'!I:I,'[1]Lookup Data'!H:H,"")</f>
        <v>#NAME?</v>
      </c>
      <c r="J65" s="5">
        <v>1.186181741E9</v>
      </c>
      <c r="K65" s="5" t="s">
        <v>32</v>
      </c>
      <c r="L65" s="5">
        <v>2.8277527E7</v>
      </c>
      <c r="M65" s="5">
        <v>1.8591657E9</v>
      </c>
      <c r="N65" s="5" t="s">
        <v>33</v>
      </c>
      <c r="O65" s="5">
        <v>30.0</v>
      </c>
      <c r="P65" s="5">
        <v>342.19</v>
      </c>
      <c r="Q65" s="5">
        <v>28.0</v>
      </c>
      <c r="R65" s="5">
        <v>370.19</v>
      </c>
      <c r="S65" s="5">
        <v>28.0</v>
      </c>
      <c r="T65" s="5" t="s">
        <v>134</v>
      </c>
      <c r="U65" s="5" t="s">
        <v>35</v>
      </c>
      <c r="V65" s="5" t="s">
        <v>135</v>
      </c>
      <c r="W65" s="5" t="s">
        <v>136</v>
      </c>
      <c r="X65" s="5" t="s">
        <v>192</v>
      </c>
      <c r="Z65" s="6">
        <v>46013.21944444445</v>
      </c>
      <c r="AA65" s="5" t="s">
        <v>193</v>
      </c>
      <c r="AB65" s="5" t="s">
        <v>65</v>
      </c>
      <c r="AC65" s="5" t="s">
        <v>40</v>
      </c>
      <c r="AD65" s="6">
        <v>46013.0</v>
      </c>
      <c r="AH65" s="5" t="s">
        <v>41</v>
      </c>
    </row>
    <row r="66" ht="15.75" customHeight="1">
      <c r="A66" s="4" t="str">
        <f t="shared" si="1"/>
        <v/>
      </c>
      <c r="B66" s="4" t="str">
        <f t="shared" si="2"/>
        <v/>
      </c>
      <c r="C66" s="4" t="str">
        <f t="shared" si="3"/>
        <v/>
      </c>
      <c r="D66" s="5" t="str">
        <f t="array" ref="D66">_xludf.XLOOKUP(AB66,'[1]Migrated Societies Data'!D:D,'[1]Migrated Societies Data'!B:B)</f>
        <v>#NAME?</v>
      </c>
      <c r="E66" s="5" t="str">
        <f t="array" ref="E66">_xludf.XLOOKUP(AB66,'[1]Migrated Societies Data'!D:D,'[1]Migrated Societies Data'!E:E)</f>
        <v>#NAME?</v>
      </c>
      <c r="F66" s="5" t="str">
        <f>ARRAY_CONSTRAIN(ARRAYFORMULA(_xludf.XLOOKUP(M1705,[1]order_Report_SA_ID_BB2.0!Q:Q,[1]order_Report_SA_ID_BB2.0!H:H,"")), 1, 1)</f>
        <v>#ERROR!</v>
      </c>
      <c r="G66" s="5">
        <f t="shared" si="4"/>
        <v>52</v>
      </c>
      <c r="H66" s="5">
        <f t="shared" si="5"/>
        <v>12</v>
      </c>
      <c r="I66" s="5" t="str">
        <f t="array" ref="I66">_xludf.XLOOKUP(T66,'[1]Lookup Data'!I:I,'[1]Lookup Data'!H:H,"")</f>
        <v>#NAME?</v>
      </c>
      <c r="J66" s="5">
        <v>1.186181772E9</v>
      </c>
      <c r="K66" s="5" t="s">
        <v>32</v>
      </c>
      <c r="L66" s="5">
        <v>3.0810279E7</v>
      </c>
      <c r="M66" s="5">
        <v>1.859165929E9</v>
      </c>
      <c r="N66" s="5" t="s">
        <v>33</v>
      </c>
      <c r="O66" s="5">
        <v>30.0</v>
      </c>
      <c r="P66" s="5">
        <v>48.65</v>
      </c>
      <c r="Q66" s="5">
        <v>28.0</v>
      </c>
      <c r="R66" s="5">
        <v>76.65</v>
      </c>
      <c r="S66" s="5">
        <v>28.0</v>
      </c>
      <c r="T66" s="5" t="s">
        <v>134</v>
      </c>
      <c r="U66" s="5" t="s">
        <v>35</v>
      </c>
      <c r="V66" s="5" t="s">
        <v>135</v>
      </c>
      <c r="W66" s="5" t="s">
        <v>136</v>
      </c>
      <c r="X66" s="5" t="s">
        <v>194</v>
      </c>
      <c r="Z66" s="6">
        <v>46013.220138888886</v>
      </c>
      <c r="AA66" s="5" t="s">
        <v>195</v>
      </c>
      <c r="AB66" s="5" t="s">
        <v>65</v>
      </c>
      <c r="AC66" s="5" t="s">
        <v>40</v>
      </c>
      <c r="AD66" s="6">
        <v>46013.0</v>
      </c>
      <c r="AH66" s="5" t="s">
        <v>41</v>
      </c>
    </row>
    <row r="67" ht="15.75" customHeight="1">
      <c r="A67" s="4" t="str">
        <f t="shared" si="1"/>
        <v/>
      </c>
      <c r="B67" s="4" t="str">
        <f t="shared" si="2"/>
        <v/>
      </c>
      <c r="C67" s="4" t="str">
        <f t="shared" si="3"/>
        <v/>
      </c>
      <c r="D67" s="5" t="str">
        <f t="array" ref="D67">_xludf.XLOOKUP(AB67,'[1]Migrated Societies Data'!D:D,'[1]Migrated Societies Data'!B:B)</f>
        <v>#NAME?</v>
      </c>
      <c r="E67" s="5" t="str">
        <f t="array" ref="E67">_xludf.XLOOKUP(AB67,'[1]Migrated Societies Data'!D:D,'[1]Migrated Societies Data'!E:E)</f>
        <v>#NAME?</v>
      </c>
      <c r="F67" s="5" t="str">
        <f>ARRAY_CONSTRAIN(ARRAYFORMULA(_xludf.XLOOKUP(M1706,[1]order_Report_SA_ID_BB2.0!Q:Q,[1]order_Report_SA_ID_BB2.0!H:H,"")), 1, 1)</f>
        <v>#ERROR!</v>
      </c>
      <c r="G67" s="5">
        <f t="shared" si="4"/>
        <v>52</v>
      </c>
      <c r="H67" s="5">
        <f t="shared" si="5"/>
        <v>12</v>
      </c>
      <c r="I67" s="5" t="str">
        <f t="array" ref="I67">_xludf.XLOOKUP(T67,'[1]Lookup Data'!I:I,'[1]Lookup Data'!H:H,"")</f>
        <v>#NAME?</v>
      </c>
      <c r="J67" s="5">
        <v>1.186181775E9</v>
      </c>
      <c r="K67" s="5" t="s">
        <v>32</v>
      </c>
      <c r="L67" s="5">
        <v>1.7880489E7</v>
      </c>
      <c r="M67" s="5">
        <v>1.859167093E9</v>
      </c>
      <c r="N67" s="5" t="s">
        <v>33</v>
      </c>
      <c r="O67" s="5">
        <v>30.0</v>
      </c>
      <c r="P67" s="5">
        <v>269.68</v>
      </c>
      <c r="Q67" s="5">
        <v>28.0</v>
      </c>
      <c r="R67" s="5">
        <v>297.68</v>
      </c>
      <c r="S67" s="5">
        <v>28.0</v>
      </c>
      <c r="T67" s="5" t="s">
        <v>134</v>
      </c>
      <c r="U67" s="5" t="s">
        <v>35</v>
      </c>
      <c r="V67" s="5" t="s">
        <v>135</v>
      </c>
      <c r="W67" s="5" t="s">
        <v>136</v>
      </c>
      <c r="X67" s="5" t="s">
        <v>196</v>
      </c>
      <c r="Z67" s="6">
        <v>46013.220138888886</v>
      </c>
      <c r="AA67" s="5" t="s">
        <v>197</v>
      </c>
      <c r="AB67" s="5" t="s">
        <v>65</v>
      </c>
      <c r="AC67" s="5" t="s">
        <v>40</v>
      </c>
      <c r="AD67" s="6">
        <v>46013.0</v>
      </c>
      <c r="AH67" s="5" t="s">
        <v>41</v>
      </c>
    </row>
    <row r="68" ht="15.75" customHeight="1">
      <c r="A68" s="4" t="str">
        <f t="shared" si="1"/>
        <v/>
      </c>
      <c r="B68" s="4" t="str">
        <f t="shared" si="2"/>
        <v/>
      </c>
      <c r="C68" s="4" t="str">
        <f t="shared" si="3"/>
        <v/>
      </c>
      <c r="D68" s="5" t="str">
        <f t="array" ref="D68">_xludf.XLOOKUP(AB68,'[1]Migrated Societies Data'!D:D,'[1]Migrated Societies Data'!B:B)</f>
        <v>#NAME?</v>
      </c>
      <c r="E68" s="5" t="str">
        <f t="array" ref="E68">_xludf.XLOOKUP(AB68,'[1]Migrated Societies Data'!D:D,'[1]Migrated Societies Data'!E:E)</f>
        <v>#NAME?</v>
      </c>
      <c r="F68" s="5" t="str">
        <f>ARRAY_CONSTRAIN(ARRAYFORMULA(_xludf.XLOOKUP(M1707,[1]order_Report_SA_ID_BB2.0!Q:Q,[1]order_Report_SA_ID_BB2.0!H:H,"")), 1, 1)</f>
        <v>#ERROR!</v>
      </c>
      <c r="G68" s="5">
        <f t="shared" si="4"/>
        <v>52</v>
      </c>
      <c r="H68" s="5">
        <f t="shared" si="5"/>
        <v>12</v>
      </c>
      <c r="I68" s="5" t="str">
        <f t="array" ref="I68">_xludf.XLOOKUP(T68,'[1]Lookup Data'!I:I,'[1]Lookup Data'!H:H,"")</f>
        <v>#NAME?</v>
      </c>
      <c r="J68" s="5">
        <v>1.186181778E9</v>
      </c>
      <c r="K68" s="5" t="s">
        <v>32</v>
      </c>
      <c r="L68" s="5">
        <v>1.2602673E7</v>
      </c>
      <c r="M68" s="5">
        <v>1.859165022E9</v>
      </c>
      <c r="N68" s="5" t="s">
        <v>33</v>
      </c>
      <c r="O68" s="5">
        <v>30.0</v>
      </c>
      <c r="P68" s="5">
        <v>1010.0</v>
      </c>
      <c r="Q68" s="5">
        <v>28.0</v>
      </c>
      <c r="R68" s="5">
        <v>1038.0</v>
      </c>
      <c r="S68" s="5">
        <v>28.0</v>
      </c>
      <c r="T68" s="5" t="s">
        <v>134</v>
      </c>
      <c r="U68" s="5" t="s">
        <v>35</v>
      </c>
      <c r="V68" s="5" t="s">
        <v>135</v>
      </c>
      <c r="W68" s="5" t="s">
        <v>136</v>
      </c>
      <c r="X68" s="5" t="s">
        <v>198</v>
      </c>
      <c r="Z68" s="6">
        <v>46013.220138888886</v>
      </c>
      <c r="AA68" s="5" t="s">
        <v>199</v>
      </c>
      <c r="AB68" s="5" t="s">
        <v>65</v>
      </c>
      <c r="AC68" s="5" t="s">
        <v>40</v>
      </c>
      <c r="AD68" s="6">
        <v>46013.0</v>
      </c>
      <c r="AH68" s="5" t="s">
        <v>41</v>
      </c>
    </row>
    <row r="69" ht="15.75" customHeight="1">
      <c r="A69" s="4" t="str">
        <f t="shared" si="1"/>
        <v/>
      </c>
      <c r="B69" s="4" t="str">
        <f t="shared" si="2"/>
        <v/>
      </c>
      <c r="C69" s="4" t="str">
        <f t="shared" si="3"/>
        <v/>
      </c>
      <c r="D69" s="5" t="str">
        <f t="array" ref="D69">_xludf.XLOOKUP(AB69,'[1]Migrated Societies Data'!D:D,'[1]Migrated Societies Data'!B:B)</f>
        <v>#NAME?</v>
      </c>
      <c r="E69" s="5" t="str">
        <f t="array" ref="E69">_xludf.XLOOKUP(AB69,'[1]Migrated Societies Data'!D:D,'[1]Migrated Societies Data'!E:E)</f>
        <v>#NAME?</v>
      </c>
      <c r="F69" s="5" t="str">
        <f>ARRAY_CONSTRAIN(ARRAYFORMULA(_xludf.XLOOKUP(M1708,[1]order_Report_SA_ID_BB2.0!Q:Q,[1]order_Report_SA_ID_BB2.0!H:H,"")), 1, 1)</f>
        <v>#ERROR!</v>
      </c>
      <c r="G69" s="5">
        <f t="shared" si="4"/>
        <v>52</v>
      </c>
      <c r="H69" s="5">
        <f t="shared" si="5"/>
        <v>12</v>
      </c>
      <c r="I69" s="5" t="str">
        <f t="array" ref="I69">_xludf.XLOOKUP(T69,'[1]Lookup Data'!I:I,'[1]Lookup Data'!H:H,"")</f>
        <v>#NAME?</v>
      </c>
      <c r="J69" s="5">
        <v>1.186181823E9</v>
      </c>
      <c r="K69" s="5" t="s">
        <v>32</v>
      </c>
      <c r="L69" s="5">
        <v>3.5077321E7</v>
      </c>
      <c r="M69" s="5">
        <v>1.859165501E9</v>
      </c>
      <c r="N69" s="5" t="s">
        <v>33</v>
      </c>
      <c r="O69" s="5">
        <v>30.0</v>
      </c>
      <c r="P69" s="5">
        <v>2647.11</v>
      </c>
      <c r="Q69" s="5">
        <v>53.0</v>
      </c>
      <c r="R69" s="5">
        <v>2700.11</v>
      </c>
      <c r="S69" s="5">
        <v>53.0</v>
      </c>
      <c r="T69" s="5" t="s">
        <v>134</v>
      </c>
      <c r="U69" s="5" t="s">
        <v>35</v>
      </c>
      <c r="V69" s="5" t="s">
        <v>135</v>
      </c>
      <c r="W69" s="5" t="s">
        <v>136</v>
      </c>
      <c r="X69" s="5" t="s">
        <v>200</v>
      </c>
      <c r="Z69" s="6">
        <v>46013.22152777778</v>
      </c>
      <c r="AA69" s="5" t="s">
        <v>73</v>
      </c>
      <c r="AB69" s="5" t="s">
        <v>84</v>
      </c>
      <c r="AC69" s="5" t="s">
        <v>40</v>
      </c>
      <c r="AD69" s="6">
        <v>46013.0</v>
      </c>
      <c r="AH69" s="5" t="s">
        <v>41</v>
      </c>
    </row>
    <row r="70" ht="15.75" customHeight="1">
      <c r="A70" s="4" t="str">
        <f t="shared" si="1"/>
        <v/>
      </c>
      <c r="B70" s="4" t="str">
        <f t="shared" si="2"/>
        <v/>
      </c>
      <c r="C70" s="4" t="str">
        <f t="shared" si="3"/>
        <v/>
      </c>
      <c r="D70" s="5" t="str">
        <f t="array" ref="D70">_xludf.XLOOKUP(AB70,'[1]Migrated Societies Data'!D:D,'[1]Migrated Societies Data'!B:B)</f>
        <v>#NAME?</v>
      </c>
      <c r="E70" s="5" t="str">
        <f t="array" ref="E70">_xludf.XLOOKUP(AB70,'[1]Migrated Societies Data'!D:D,'[1]Migrated Societies Data'!E:E)</f>
        <v>#NAME?</v>
      </c>
      <c r="F70" s="5" t="str">
        <f>ARRAY_CONSTRAIN(ARRAYFORMULA(_xludf.XLOOKUP(M1709,[1]order_Report_SA_ID_BB2.0!Q:Q,[1]order_Report_SA_ID_BB2.0!H:H,"")), 1, 1)</f>
        <v>#ERROR!</v>
      </c>
      <c r="G70" s="5">
        <f t="shared" si="4"/>
        <v>52</v>
      </c>
      <c r="H70" s="5">
        <f t="shared" si="5"/>
        <v>12</v>
      </c>
      <c r="I70" s="5" t="str">
        <f t="array" ref="I70">_xludf.XLOOKUP(T70,'[1]Lookup Data'!I:I,'[1]Lookup Data'!H:H,"")</f>
        <v>#NAME?</v>
      </c>
      <c r="J70" s="5">
        <v>1.186181884E9</v>
      </c>
      <c r="K70" s="5" t="s">
        <v>32</v>
      </c>
      <c r="L70" s="5">
        <v>3.7825598E7</v>
      </c>
      <c r="M70" s="5">
        <v>1.859166319E9</v>
      </c>
      <c r="N70" s="5" t="s">
        <v>33</v>
      </c>
      <c r="O70" s="5">
        <v>30.0</v>
      </c>
      <c r="P70" s="5">
        <v>1068.43</v>
      </c>
      <c r="Q70" s="5">
        <v>28.0</v>
      </c>
      <c r="R70" s="5">
        <v>1096.43</v>
      </c>
      <c r="S70" s="5">
        <v>28.0</v>
      </c>
      <c r="T70" s="5" t="s">
        <v>134</v>
      </c>
      <c r="U70" s="5" t="s">
        <v>35</v>
      </c>
      <c r="V70" s="5" t="s">
        <v>135</v>
      </c>
      <c r="W70" s="5" t="s">
        <v>136</v>
      </c>
      <c r="X70" s="5" t="s">
        <v>201</v>
      </c>
      <c r="Z70" s="6">
        <v>46013.222916666666</v>
      </c>
      <c r="AA70" s="5" t="s">
        <v>202</v>
      </c>
      <c r="AB70" s="5" t="s">
        <v>65</v>
      </c>
      <c r="AC70" s="5" t="s">
        <v>40</v>
      </c>
      <c r="AD70" s="6">
        <v>46013.0</v>
      </c>
      <c r="AH70" s="5" t="s">
        <v>41</v>
      </c>
    </row>
    <row r="71" ht="15.75" customHeight="1">
      <c r="A71" s="4" t="str">
        <f t="shared" si="1"/>
        <v/>
      </c>
      <c r="B71" s="4" t="str">
        <f t="shared" si="2"/>
        <v/>
      </c>
      <c r="C71" s="4" t="str">
        <f t="shared" si="3"/>
        <v/>
      </c>
      <c r="D71" s="5" t="str">
        <f t="array" ref="D71">_xludf.XLOOKUP(AB71,'[1]Migrated Societies Data'!D:D,'[1]Migrated Societies Data'!B:B)</f>
        <v>#NAME?</v>
      </c>
      <c r="E71" s="5" t="str">
        <f t="array" ref="E71">_xludf.XLOOKUP(AB71,'[1]Migrated Societies Data'!D:D,'[1]Migrated Societies Data'!E:E)</f>
        <v>#NAME?</v>
      </c>
      <c r="F71" s="5" t="str">
        <f>ARRAY_CONSTRAIN(ARRAYFORMULA(_xludf.XLOOKUP(M1710,[1]order_Report_SA_ID_BB2.0!Q:Q,[1]order_Report_SA_ID_BB2.0!H:H,"")), 1, 1)</f>
        <v>#ERROR!</v>
      </c>
      <c r="G71" s="5">
        <f t="shared" si="4"/>
        <v>52</v>
      </c>
      <c r="H71" s="5">
        <f t="shared" si="5"/>
        <v>12</v>
      </c>
      <c r="I71" s="5" t="str">
        <f t="array" ref="I71">_xludf.XLOOKUP(T71,'[1]Lookup Data'!I:I,'[1]Lookup Data'!H:H,"")</f>
        <v>#NAME?</v>
      </c>
      <c r="J71" s="5">
        <v>1.186181961E9</v>
      </c>
      <c r="K71" s="5" t="s">
        <v>32</v>
      </c>
      <c r="L71" s="5">
        <v>972386.0</v>
      </c>
      <c r="M71" s="5">
        <v>1.859054675E9</v>
      </c>
      <c r="N71" s="5" t="s">
        <v>33</v>
      </c>
      <c r="O71" s="5">
        <v>30.0</v>
      </c>
      <c r="P71" s="5">
        <v>0.92</v>
      </c>
      <c r="Q71" s="5">
        <v>85.0</v>
      </c>
      <c r="R71" s="5">
        <v>85.92</v>
      </c>
      <c r="S71" s="5">
        <v>85.0</v>
      </c>
      <c r="T71" s="5" t="s">
        <v>134</v>
      </c>
      <c r="U71" s="5" t="s">
        <v>35</v>
      </c>
      <c r="V71" s="5" t="s">
        <v>135</v>
      </c>
      <c r="W71" s="5" t="s">
        <v>136</v>
      </c>
      <c r="X71" s="5" t="s">
        <v>203</v>
      </c>
      <c r="Z71" s="6">
        <v>46013.22430555556</v>
      </c>
      <c r="AA71" s="5" t="s">
        <v>204</v>
      </c>
      <c r="AB71" s="5" t="s">
        <v>111</v>
      </c>
      <c r="AC71" s="5" t="s">
        <v>40</v>
      </c>
      <c r="AD71" s="6">
        <v>46013.0</v>
      </c>
      <c r="AH71" s="5" t="s">
        <v>62</v>
      </c>
    </row>
    <row r="72" ht="15.75" customHeight="1">
      <c r="A72" s="4" t="str">
        <f t="shared" si="1"/>
        <v/>
      </c>
      <c r="B72" s="4" t="str">
        <f t="shared" si="2"/>
        <v/>
      </c>
      <c r="C72" s="4" t="str">
        <f t="shared" si="3"/>
        <v/>
      </c>
      <c r="D72" s="5" t="str">
        <f t="array" ref="D72">_xludf.XLOOKUP(AB72,'[1]Migrated Societies Data'!D:D,'[1]Migrated Societies Data'!B:B)</f>
        <v>#NAME?</v>
      </c>
      <c r="E72" s="5" t="str">
        <f t="array" ref="E72">_xludf.XLOOKUP(AB72,'[1]Migrated Societies Data'!D:D,'[1]Migrated Societies Data'!E:E)</f>
        <v>#NAME?</v>
      </c>
      <c r="F72" s="5" t="str">
        <f>ARRAY_CONSTRAIN(ARRAYFORMULA(_xludf.XLOOKUP(M1711,[1]order_Report_SA_ID_BB2.0!Q:Q,[1]order_Report_SA_ID_BB2.0!H:H,"")), 1, 1)</f>
        <v>#ERROR!</v>
      </c>
      <c r="G72" s="5">
        <f t="shared" si="4"/>
        <v>52</v>
      </c>
      <c r="H72" s="5">
        <f t="shared" si="5"/>
        <v>12</v>
      </c>
      <c r="I72" s="5" t="str">
        <f t="array" ref="I72">_xludf.XLOOKUP(T72,'[1]Lookup Data'!I:I,'[1]Lookup Data'!H:H,"")</f>
        <v>#NAME?</v>
      </c>
      <c r="J72" s="5">
        <v>1.186182119E9</v>
      </c>
      <c r="K72" s="5" t="s">
        <v>32</v>
      </c>
      <c r="L72" s="5">
        <v>2090085.0</v>
      </c>
      <c r="M72" s="5">
        <v>1.859165514E9</v>
      </c>
      <c r="N72" s="5" t="s">
        <v>33</v>
      </c>
      <c r="O72" s="5">
        <v>30.0</v>
      </c>
      <c r="P72" s="5">
        <v>3652.01</v>
      </c>
      <c r="Q72" s="5">
        <v>185.0</v>
      </c>
      <c r="R72" s="5">
        <v>3837.01</v>
      </c>
      <c r="S72" s="5">
        <v>185.0</v>
      </c>
      <c r="T72" s="5" t="s">
        <v>134</v>
      </c>
      <c r="U72" s="5" t="s">
        <v>35</v>
      </c>
      <c r="V72" s="5" t="s">
        <v>135</v>
      </c>
      <c r="W72" s="5" t="s">
        <v>136</v>
      </c>
      <c r="X72" s="5" t="s">
        <v>205</v>
      </c>
      <c r="Z72" s="6">
        <v>46013.22777777778</v>
      </c>
      <c r="AA72" s="5" t="s">
        <v>206</v>
      </c>
      <c r="AB72" s="5" t="s">
        <v>169</v>
      </c>
      <c r="AC72" s="5" t="s">
        <v>40</v>
      </c>
      <c r="AD72" s="6">
        <v>46013.0</v>
      </c>
      <c r="AH72" s="5" t="s">
        <v>41</v>
      </c>
    </row>
    <row r="73" ht="15.75" customHeight="1">
      <c r="A73" s="4" t="str">
        <f t="shared" si="1"/>
        <v/>
      </c>
      <c r="B73" s="4" t="str">
        <f t="shared" si="2"/>
        <v/>
      </c>
      <c r="C73" s="4" t="str">
        <f t="shared" si="3"/>
        <v/>
      </c>
      <c r="D73" s="5" t="str">
        <f t="array" ref="D73">_xludf.XLOOKUP(AB73,'[1]Migrated Societies Data'!D:D,'[1]Migrated Societies Data'!B:B)</f>
        <v>#NAME?</v>
      </c>
      <c r="E73" s="5" t="str">
        <f t="array" ref="E73">_xludf.XLOOKUP(AB73,'[1]Migrated Societies Data'!D:D,'[1]Migrated Societies Data'!E:E)</f>
        <v>#NAME?</v>
      </c>
      <c r="F73" s="5" t="str">
        <f>ARRAY_CONSTRAIN(ARRAYFORMULA(_xludf.XLOOKUP(M1712,[1]order_Report_SA_ID_BB2.0!Q:Q,[1]order_Report_SA_ID_BB2.0!H:H,"")), 1, 1)</f>
        <v>#ERROR!</v>
      </c>
      <c r="G73" s="5">
        <f t="shared" si="4"/>
        <v>52</v>
      </c>
      <c r="H73" s="5">
        <f t="shared" si="5"/>
        <v>12</v>
      </c>
      <c r="I73" s="5" t="str">
        <f t="array" ref="I73">_xludf.XLOOKUP(T73,'[1]Lookup Data'!I:I,'[1]Lookup Data'!H:H,"")</f>
        <v>#NAME?</v>
      </c>
      <c r="J73" s="5">
        <v>1.186182212E9</v>
      </c>
      <c r="K73" s="5" t="s">
        <v>32</v>
      </c>
      <c r="L73" s="5">
        <v>1.9515829E7</v>
      </c>
      <c r="M73" s="5">
        <v>1.859165511E9</v>
      </c>
      <c r="N73" s="5" t="s">
        <v>33</v>
      </c>
      <c r="O73" s="5">
        <v>30.0</v>
      </c>
      <c r="P73" s="5">
        <v>1804.58</v>
      </c>
      <c r="Q73" s="5">
        <v>75.0</v>
      </c>
      <c r="R73" s="5">
        <v>1879.58</v>
      </c>
      <c r="S73" s="5">
        <v>75.0</v>
      </c>
      <c r="T73" s="5" t="s">
        <v>134</v>
      </c>
      <c r="U73" s="5" t="s">
        <v>35</v>
      </c>
      <c r="V73" s="5" t="s">
        <v>135</v>
      </c>
      <c r="W73" s="5" t="s">
        <v>136</v>
      </c>
      <c r="X73" s="5" t="s">
        <v>207</v>
      </c>
      <c r="Z73" s="6">
        <v>46013.22986111111</v>
      </c>
      <c r="AA73" s="5" t="s">
        <v>208</v>
      </c>
      <c r="AB73" s="5" t="s">
        <v>49</v>
      </c>
      <c r="AC73" s="5" t="s">
        <v>40</v>
      </c>
      <c r="AD73" s="6">
        <v>46013.0</v>
      </c>
      <c r="AH73" s="5" t="s">
        <v>41</v>
      </c>
    </row>
    <row r="74" ht="15.75" customHeight="1">
      <c r="A74" s="4" t="str">
        <f t="shared" si="1"/>
        <v/>
      </c>
      <c r="B74" s="4" t="str">
        <f t="shared" si="2"/>
        <v/>
      </c>
      <c r="C74" s="4" t="str">
        <f t="shared" si="3"/>
        <v/>
      </c>
      <c r="D74" s="5" t="str">
        <f t="array" ref="D74">_xludf.XLOOKUP(AB74,'[1]Migrated Societies Data'!D:D,'[1]Migrated Societies Data'!B:B)</f>
        <v>#NAME?</v>
      </c>
      <c r="E74" s="5" t="str">
        <f t="array" ref="E74">_xludf.XLOOKUP(AB74,'[1]Migrated Societies Data'!D:D,'[1]Migrated Societies Data'!E:E)</f>
        <v>#NAME?</v>
      </c>
      <c r="F74" s="5" t="str">
        <f>ARRAY_CONSTRAIN(ARRAYFORMULA(_xludf.XLOOKUP(M1713,[1]order_Report_SA_ID_BB2.0!Q:Q,[1]order_Report_SA_ID_BB2.0!H:H,"")), 1, 1)</f>
        <v>#ERROR!</v>
      </c>
      <c r="G74" s="5">
        <f t="shared" si="4"/>
        <v>52</v>
      </c>
      <c r="H74" s="5">
        <f t="shared" si="5"/>
        <v>12</v>
      </c>
      <c r="I74" s="5" t="str">
        <f t="array" ref="I74">_xludf.XLOOKUP(T74,'[1]Lookup Data'!I:I,'[1]Lookup Data'!H:H,"")</f>
        <v>#NAME?</v>
      </c>
      <c r="J74" s="5">
        <v>1.186182215E9</v>
      </c>
      <c r="K74" s="5" t="s">
        <v>32</v>
      </c>
      <c r="L74" s="5">
        <v>338179.0</v>
      </c>
      <c r="M74" s="5">
        <v>1.859165986E9</v>
      </c>
      <c r="N74" s="5" t="s">
        <v>33</v>
      </c>
      <c r="O74" s="5">
        <v>30.0</v>
      </c>
      <c r="P74" s="5">
        <v>3596.25</v>
      </c>
      <c r="Q74" s="5">
        <v>67.76</v>
      </c>
      <c r="R74" s="5">
        <v>3664.01</v>
      </c>
      <c r="S74" s="5">
        <v>67.76</v>
      </c>
      <c r="T74" s="5" t="s">
        <v>134</v>
      </c>
      <c r="U74" s="5" t="s">
        <v>35</v>
      </c>
      <c r="V74" s="5" t="s">
        <v>135</v>
      </c>
      <c r="W74" s="5" t="s">
        <v>136</v>
      </c>
      <c r="X74" s="5" t="s">
        <v>141</v>
      </c>
      <c r="Z74" s="6">
        <v>46013.22986111111</v>
      </c>
      <c r="AA74" s="5" t="s">
        <v>142</v>
      </c>
      <c r="AB74" s="5" t="s">
        <v>49</v>
      </c>
      <c r="AC74" s="5" t="s">
        <v>40</v>
      </c>
      <c r="AD74" s="6">
        <v>46013.0</v>
      </c>
      <c r="AH74" s="5" t="s">
        <v>41</v>
      </c>
    </row>
    <row r="75" ht="15.75" customHeight="1">
      <c r="A75" s="4" t="str">
        <f t="shared" si="1"/>
        <v/>
      </c>
      <c r="B75" s="4" t="str">
        <f t="shared" si="2"/>
        <v/>
      </c>
      <c r="C75" s="4" t="str">
        <f t="shared" si="3"/>
        <v/>
      </c>
      <c r="D75" s="5" t="str">
        <f t="array" ref="D75">_xludf.XLOOKUP(AB75,'[1]Migrated Societies Data'!D:D,'[1]Migrated Societies Data'!B:B)</f>
        <v>#NAME?</v>
      </c>
      <c r="E75" s="5" t="str">
        <f t="array" ref="E75">_xludf.XLOOKUP(AB75,'[1]Migrated Societies Data'!D:D,'[1]Migrated Societies Data'!E:E)</f>
        <v>#NAME?</v>
      </c>
      <c r="F75" s="5" t="str">
        <f>ARRAY_CONSTRAIN(ARRAYFORMULA(_xludf.XLOOKUP(M1714,[1]order_Report_SA_ID_BB2.0!Q:Q,[1]order_Report_SA_ID_BB2.0!H:H,"")), 1, 1)</f>
        <v>#ERROR!</v>
      </c>
      <c r="G75" s="5">
        <f t="shared" si="4"/>
        <v>52</v>
      </c>
      <c r="H75" s="5">
        <f t="shared" si="5"/>
        <v>12</v>
      </c>
      <c r="I75" s="5" t="str">
        <f t="array" ref="I75">_xludf.XLOOKUP(T75,'[1]Lookup Data'!I:I,'[1]Lookup Data'!H:H,"")</f>
        <v>#NAME?</v>
      </c>
      <c r="J75" s="5">
        <v>1.186182217E9</v>
      </c>
      <c r="K75" s="5" t="s">
        <v>32</v>
      </c>
      <c r="L75" s="5">
        <v>790646.0</v>
      </c>
      <c r="M75" s="5">
        <v>1.859165522E9</v>
      </c>
      <c r="N75" s="5" t="s">
        <v>33</v>
      </c>
      <c r="O75" s="5">
        <v>30.0</v>
      </c>
      <c r="P75" s="5">
        <v>4148.2</v>
      </c>
      <c r="Q75" s="5">
        <v>180.0</v>
      </c>
      <c r="R75" s="5">
        <v>4328.2</v>
      </c>
      <c r="S75" s="5">
        <v>180.0</v>
      </c>
      <c r="T75" s="5" t="s">
        <v>134</v>
      </c>
      <c r="U75" s="5" t="s">
        <v>35</v>
      </c>
      <c r="V75" s="5" t="s">
        <v>135</v>
      </c>
      <c r="W75" s="5" t="s">
        <v>136</v>
      </c>
      <c r="X75" s="5" t="s">
        <v>209</v>
      </c>
      <c r="Z75" s="6">
        <v>46013.22986111111</v>
      </c>
      <c r="AA75" s="5" t="s">
        <v>210</v>
      </c>
      <c r="AB75" s="5" t="s">
        <v>49</v>
      </c>
      <c r="AC75" s="5" t="s">
        <v>40</v>
      </c>
      <c r="AD75" s="6">
        <v>46013.0</v>
      </c>
      <c r="AH75" s="5" t="s">
        <v>41</v>
      </c>
    </row>
    <row r="76" ht="15.75" customHeight="1">
      <c r="A76" s="4" t="str">
        <f t="shared" si="1"/>
        <v/>
      </c>
      <c r="B76" s="4" t="str">
        <f t="shared" si="2"/>
        <v/>
      </c>
      <c r="C76" s="4" t="str">
        <f t="shared" si="3"/>
        <v/>
      </c>
      <c r="D76" s="5" t="str">
        <f t="array" ref="D76">_xludf.XLOOKUP(AB76,'[1]Migrated Societies Data'!D:D,'[1]Migrated Societies Data'!B:B)</f>
        <v>#NAME?</v>
      </c>
      <c r="E76" s="5" t="str">
        <f t="array" ref="E76">_xludf.XLOOKUP(AB76,'[1]Migrated Societies Data'!D:D,'[1]Migrated Societies Data'!E:E)</f>
        <v>#NAME?</v>
      </c>
      <c r="F76" s="5" t="str">
        <f>ARRAY_CONSTRAIN(ARRAYFORMULA(_xludf.XLOOKUP(M1715,[1]order_Report_SA_ID_BB2.0!Q:Q,[1]order_Report_SA_ID_BB2.0!H:H,"")), 1, 1)</f>
        <v>#ERROR!</v>
      </c>
      <c r="G76" s="5">
        <f t="shared" si="4"/>
        <v>52</v>
      </c>
      <c r="H76" s="5">
        <f t="shared" si="5"/>
        <v>12</v>
      </c>
      <c r="I76" s="5" t="str">
        <f t="array" ref="I76">_xludf.XLOOKUP(T76,'[1]Lookup Data'!I:I,'[1]Lookup Data'!H:H,"")</f>
        <v>#NAME?</v>
      </c>
      <c r="J76" s="5">
        <v>1.186182367E9</v>
      </c>
      <c r="K76" s="5" t="s">
        <v>32</v>
      </c>
      <c r="L76" s="5">
        <v>121041.0</v>
      </c>
      <c r="M76" s="5">
        <v>1.859165596E9</v>
      </c>
      <c r="N76" s="5" t="s">
        <v>33</v>
      </c>
      <c r="O76" s="5">
        <v>30.0</v>
      </c>
      <c r="P76" s="5">
        <v>714.44</v>
      </c>
      <c r="Q76" s="5">
        <v>75.0</v>
      </c>
      <c r="R76" s="5">
        <v>789.44</v>
      </c>
      <c r="S76" s="5">
        <v>75.0</v>
      </c>
      <c r="T76" s="5" t="s">
        <v>134</v>
      </c>
      <c r="U76" s="5" t="s">
        <v>35</v>
      </c>
      <c r="V76" s="5" t="s">
        <v>135</v>
      </c>
      <c r="W76" s="5" t="s">
        <v>136</v>
      </c>
      <c r="X76" s="5" t="s">
        <v>211</v>
      </c>
      <c r="Z76" s="6">
        <v>46013.23263888889</v>
      </c>
      <c r="AA76" s="5" t="s">
        <v>212</v>
      </c>
      <c r="AB76" s="5" t="s">
        <v>169</v>
      </c>
      <c r="AC76" s="5" t="s">
        <v>40</v>
      </c>
      <c r="AD76" s="6">
        <v>46013.0</v>
      </c>
      <c r="AH76" s="5" t="s">
        <v>41</v>
      </c>
    </row>
    <row r="77" ht="15.75" customHeight="1">
      <c r="A77" s="4" t="str">
        <f t="shared" si="1"/>
        <v/>
      </c>
      <c r="B77" s="4" t="str">
        <f t="shared" si="2"/>
        <v/>
      </c>
      <c r="C77" s="4" t="str">
        <f t="shared" si="3"/>
        <v/>
      </c>
      <c r="D77" s="5" t="str">
        <f t="array" ref="D77">_xludf.XLOOKUP(AB77,'[1]Migrated Societies Data'!D:D,'[1]Migrated Societies Data'!B:B)</f>
        <v>#NAME?</v>
      </c>
      <c r="E77" s="5" t="str">
        <f t="array" ref="E77">_xludf.XLOOKUP(AB77,'[1]Migrated Societies Data'!D:D,'[1]Migrated Societies Data'!E:E)</f>
        <v>#NAME?</v>
      </c>
      <c r="F77" s="5" t="str">
        <f>ARRAY_CONSTRAIN(ARRAYFORMULA(_xludf.XLOOKUP(M1716,[1]order_Report_SA_ID_BB2.0!Q:Q,[1]order_Report_SA_ID_BB2.0!H:H,"")), 1, 1)</f>
        <v>#ERROR!</v>
      </c>
      <c r="G77" s="5">
        <f t="shared" si="4"/>
        <v>52</v>
      </c>
      <c r="H77" s="5">
        <f t="shared" si="5"/>
        <v>12</v>
      </c>
      <c r="I77" s="5" t="str">
        <f t="array" ref="I77">_xludf.XLOOKUP(T77,'[1]Lookup Data'!I:I,'[1]Lookup Data'!H:H,"")</f>
        <v>#NAME?</v>
      </c>
      <c r="J77" s="5">
        <v>1.186183206E9</v>
      </c>
      <c r="K77" s="5" t="s">
        <v>32</v>
      </c>
      <c r="L77" s="5">
        <v>5658212.0</v>
      </c>
      <c r="M77" s="5">
        <v>1.859165056E9</v>
      </c>
      <c r="N77" s="5" t="s">
        <v>33</v>
      </c>
      <c r="O77" s="5">
        <v>30.0</v>
      </c>
      <c r="P77" s="5">
        <v>242.44</v>
      </c>
      <c r="Q77" s="5">
        <v>19.8</v>
      </c>
      <c r="R77" s="5">
        <v>262.24</v>
      </c>
      <c r="S77" s="5">
        <v>19.8</v>
      </c>
      <c r="T77" s="5" t="s">
        <v>134</v>
      </c>
      <c r="U77" s="5" t="s">
        <v>35</v>
      </c>
      <c r="V77" s="5" t="s">
        <v>135</v>
      </c>
      <c r="W77" s="5" t="s">
        <v>136</v>
      </c>
      <c r="X77" s="5" t="s">
        <v>213</v>
      </c>
      <c r="Z77" s="6">
        <v>46013.24652777778</v>
      </c>
      <c r="AA77" s="5" t="s">
        <v>214</v>
      </c>
      <c r="AB77" s="5" t="s">
        <v>65</v>
      </c>
      <c r="AC77" s="5" t="s">
        <v>40</v>
      </c>
      <c r="AD77" s="6">
        <v>46013.0</v>
      </c>
      <c r="AH77" s="5" t="s">
        <v>41</v>
      </c>
    </row>
    <row r="78" ht="15.75" customHeight="1">
      <c r="A78" s="4" t="str">
        <f t="shared" si="1"/>
        <v/>
      </c>
      <c r="B78" s="4" t="str">
        <f t="shared" si="2"/>
        <v/>
      </c>
      <c r="C78" s="4" t="str">
        <f t="shared" si="3"/>
        <v/>
      </c>
      <c r="D78" s="5" t="str">
        <f t="array" ref="D78">_xludf.XLOOKUP(AB78,'[1]Migrated Societies Data'!D:D,'[1]Migrated Societies Data'!B:B)</f>
        <v>#NAME?</v>
      </c>
      <c r="E78" s="5" t="str">
        <f t="array" ref="E78">_xludf.XLOOKUP(AB78,'[1]Migrated Societies Data'!D:D,'[1]Migrated Societies Data'!E:E)</f>
        <v>#NAME?</v>
      </c>
      <c r="F78" s="5" t="str">
        <f>ARRAY_CONSTRAIN(ARRAYFORMULA(_xludf.XLOOKUP(M1717,[1]order_Report_SA_ID_BB2.0!Q:Q,[1]order_Report_SA_ID_BB2.0!H:H,"")), 1, 1)</f>
        <v>#ERROR!</v>
      </c>
      <c r="G78" s="5">
        <f t="shared" si="4"/>
        <v>52</v>
      </c>
      <c r="H78" s="5">
        <f t="shared" si="5"/>
        <v>12</v>
      </c>
      <c r="I78" s="5" t="str">
        <f t="array" ref="I78">_xludf.XLOOKUP(T78,'[1]Lookup Data'!I:I,'[1]Lookup Data'!H:H,"")</f>
        <v>#NAME?</v>
      </c>
      <c r="J78" s="5">
        <v>1.186183344E9</v>
      </c>
      <c r="K78" s="5" t="s">
        <v>32</v>
      </c>
      <c r="L78" s="5">
        <v>9334941.0</v>
      </c>
      <c r="M78" s="5">
        <v>1.859165153E9</v>
      </c>
      <c r="N78" s="5" t="s">
        <v>33</v>
      </c>
      <c r="O78" s="5">
        <v>30.0</v>
      </c>
      <c r="P78" s="5">
        <v>834.48</v>
      </c>
      <c r="Q78" s="5">
        <v>24.0</v>
      </c>
      <c r="R78" s="5">
        <v>858.48</v>
      </c>
      <c r="S78" s="5">
        <v>24.0</v>
      </c>
      <c r="T78" s="5" t="s">
        <v>34</v>
      </c>
      <c r="U78" s="5" t="s">
        <v>35</v>
      </c>
      <c r="V78" s="5" t="s">
        <v>36</v>
      </c>
      <c r="W78" s="5" t="s">
        <v>36</v>
      </c>
      <c r="X78" s="5" t="s">
        <v>215</v>
      </c>
      <c r="Z78" s="6">
        <v>46013.248611111114</v>
      </c>
      <c r="AA78" s="5" t="s">
        <v>216</v>
      </c>
      <c r="AB78" s="5" t="s">
        <v>46</v>
      </c>
      <c r="AC78" s="5" t="s">
        <v>40</v>
      </c>
      <c r="AD78" s="6">
        <v>46013.0</v>
      </c>
      <c r="AH78" s="5" t="s">
        <v>41</v>
      </c>
    </row>
    <row r="79" ht="15.75" customHeight="1">
      <c r="A79" s="4" t="str">
        <f t="shared" si="1"/>
        <v/>
      </c>
      <c r="B79" s="4" t="str">
        <f t="shared" si="2"/>
        <v/>
      </c>
      <c r="C79" s="4" t="str">
        <f t="shared" si="3"/>
        <v/>
      </c>
      <c r="D79" s="5" t="str">
        <f t="array" ref="D79">_xludf.XLOOKUP(AB79,'[1]Migrated Societies Data'!D:D,'[1]Migrated Societies Data'!B:B)</f>
        <v>#NAME?</v>
      </c>
      <c r="E79" s="5" t="str">
        <f t="array" ref="E79">_xludf.XLOOKUP(AB79,'[1]Migrated Societies Data'!D:D,'[1]Migrated Societies Data'!E:E)</f>
        <v>#NAME?</v>
      </c>
      <c r="F79" s="5" t="str">
        <f>ARRAY_CONSTRAIN(ARRAYFORMULA(_xludf.XLOOKUP(M1718,[1]order_Report_SA_ID_BB2.0!Q:Q,[1]order_Report_SA_ID_BB2.0!H:H,"")), 1, 1)</f>
        <v>#ERROR!</v>
      </c>
      <c r="G79" s="5">
        <f t="shared" si="4"/>
        <v>52</v>
      </c>
      <c r="H79" s="5">
        <f t="shared" si="5"/>
        <v>12</v>
      </c>
      <c r="I79" s="5" t="str">
        <f t="array" ref="I79">_xludf.XLOOKUP(T79,'[1]Lookup Data'!I:I,'[1]Lookup Data'!H:H,"")</f>
        <v>#NAME?</v>
      </c>
      <c r="J79" s="5">
        <v>1.186183417E9</v>
      </c>
      <c r="K79" s="5" t="s">
        <v>32</v>
      </c>
      <c r="L79" s="5">
        <v>1.6189445E7</v>
      </c>
      <c r="M79" s="5">
        <v>1.859167126E9</v>
      </c>
      <c r="N79" s="5" t="s">
        <v>33</v>
      </c>
      <c r="O79" s="5">
        <v>30.0</v>
      </c>
      <c r="P79" s="5">
        <v>1510.92</v>
      </c>
      <c r="Q79" s="5">
        <v>10.0</v>
      </c>
      <c r="R79" s="5">
        <v>1520.92</v>
      </c>
      <c r="S79" s="5">
        <v>10.0</v>
      </c>
      <c r="T79" s="5" t="s">
        <v>134</v>
      </c>
      <c r="U79" s="5" t="s">
        <v>35</v>
      </c>
      <c r="V79" s="5" t="s">
        <v>135</v>
      </c>
      <c r="W79" s="5" t="s">
        <v>136</v>
      </c>
      <c r="X79" s="5" t="s">
        <v>217</v>
      </c>
      <c r="Z79" s="6">
        <v>46013.24930555555</v>
      </c>
      <c r="AA79" s="5" t="s">
        <v>218</v>
      </c>
      <c r="AB79" s="5" t="s">
        <v>39</v>
      </c>
      <c r="AC79" s="5" t="s">
        <v>40</v>
      </c>
      <c r="AD79" s="6">
        <v>46013.0</v>
      </c>
      <c r="AH79" s="5" t="s">
        <v>41</v>
      </c>
    </row>
    <row r="80" ht="15.75" customHeight="1">
      <c r="A80" s="4" t="str">
        <f t="shared" si="1"/>
        <v/>
      </c>
      <c r="B80" s="4" t="str">
        <f t="shared" si="2"/>
        <v/>
      </c>
      <c r="C80" s="4" t="str">
        <f t="shared" si="3"/>
        <v/>
      </c>
      <c r="D80" s="5" t="str">
        <f t="array" ref="D80">_xludf.XLOOKUP(AB80,'[1]Migrated Societies Data'!D:D,'[1]Migrated Societies Data'!B:B)</f>
        <v>#NAME?</v>
      </c>
      <c r="E80" s="5" t="str">
        <f t="array" ref="E80">_xludf.XLOOKUP(AB80,'[1]Migrated Societies Data'!D:D,'[1]Migrated Societies Data'!E:E)</f>
        <v>#NAME?</v>
      </c>
      <c r="F80" s="5" t="str">
        <f>ARRAY_CONSTRAIN(ARRAYFORMULA(_xludf.XLOOKUP(M1719,[1]order_Report_SA_ID_BB2.0!Q:Q,[1]order_Report_SA_ID_BB2.0!H:H,"")), 1, 1)</f>
        <v>#ERROR!</v>
      </c>
      <c r="G80" s="5">
        <f t="shared" si="4"/>
        <v>52</v>
      </c>
      <c r="H80" s="5">
        <f t="shared" si="5"/>
        <v>12</v>
      </c>
      <c r="I80" s="5" t="str">
        <f t="array" ref="I80">_xludf.XLOOKUP(T80,'[1]Lookup Data'!I:I,'[1]Lookup Data'!H:H,"")</f>
        <v>#NAME?</v>
      </c>
      <c r="J80" s="5">
        <v>1.186184094E9</v>
      </c>
      <c r="K80" s="5" t="s">
        <v>32</v>
      </c>
      <c r="L80" s="5">
        <v>2.8016283E7</v>
      </c>
      <c r="M80" s="5">
        <v>1.859165625E9</v>
      </c>
      <c r="N80" s="5" t="s">
        <v>33</v>
      </c>
      <c r="O80" s="5">
        <v>30.0</v>
      </c>
      <c r="P80" s="5">
        <v>1005.89</v>
      </c>
      <c r="Q80" s="5">
        <v>10.0</v>
      </c>
      <c r="R80" s="5">
        <v>1015.89</v>
      </c>
      <c r="S80" s="5">
        <v>10.0</v>
      </c>
      <c r="T80" s="5" t="s">
        <v>134</v>
      </c>
      <c r="U80" s="5" t="s">
        <v>35</v>
      </c>
      <c r="V80" s="5" t="s">
        <v>135</v>
      </c>
      <c r="W80" s="5" t="s">
        <v>136</v>
      </c>
      <c r="X80" s="5" t="s">
        <v>219</v>
      </c>
      <c r="Z80" s="6">
        <v>46013.25625</v>
      </c>
      <c r="AA80" s="5" t="s">
        <v>73</v>
      </c>
      <c r="AB80" s="5" t="s">
        <v>84</v>
      </c>
      <c r="AC80" s="5" t="s">
        <v>40</v>
      </c>
      <c r="AD80" s="6">
        <v>46013.0</v>
      </c>
      <c r="AH80" s="5" t="s">
        <v>41</v>
      </c>
    </row>
    <row r="81" ht="15.75" customHeight="1">
      <c r="A81" s="4" t="str">
        <f t="shared" si="1"/>
        <v/>
      </c>
      <c r="B81" s="4" t="str">
        <f t="shared" si="2"/>
        <v/>
      </c>
      <c r="C81" s="4" t="str">
        <f t="shared" si="3"/>
        <v/>
      </c>
      <c r="D81" s="5" t="str">
        <f t="array" ref="D81">_xludf.XLOOKUP(AB81,'[1]Migrated Societies Data'!D:D,'[1]Migrated Societies Data'!B:B)</f>
        <v>#NAME?</v>
      </c>
      <c r="E81" s="5" t="str">
        <f t="array" ref="E81">_xludf.XLOOKUP(AB81,'[1]Migrated Societies Data'!D:D,'[1]Migrated Societies Data'!E:E)</f>
        <v>#NAME?</v>
      </c>
      <c r="F81" s="5" t="str">
        <f>ARRAY_CONSTRAIN(ARRAYFORMULA(_xludf.XLOOKUP(M1720,[1]order_Report_SA_ID_BB2.0!Q:Q,[1]order_Report_SA_ID_BB2.0!H:H,"")), 1, 1)</f>
        <v>#ERROR!</v>
      </c>
      <c r="G81" s="5">
        <f t="shared" si="4"/>
        <v>52</v>
      </c>
      <c r="H81" s="5">
        <f t="shared" si="5"/>
        <v>12</v>
      </c>
      <c r="I81" s="5" t="str">
        <f t="array" ref="I81">_xludf.XLOOKUP(T81,'[1]Lookup Data'!I:I,'[1]Lookup Data'!H:H,"")</f>
        <v>#NAME?</v>
      </c>
      <c r="J81" s="5">
        <v>1.186184923E9</v>
      </c>
      <c r="K81" s="5" t="s">
        <v>32</v>
      </c>
      <c r="L81" s="5">
        <v>4517472.0</v>
      </c>
      <c r="M81" s="5">
        <v>1.859166918E9</v>
      </c>
      <c r="N81" s="5" t="s">
        <v>33</v>
      </c>
      <c r="O81" s="5">
        <v>30.0</v>
      </c>
      <c r="P81" s="5">
        <v>417.41</v>
      </c>
      <c r="Q81" s="5">
        <v>26.4</v>
      </c>
      <c r="R81" s="5">
        <v>443.81</v>
      </c>
      <c r="S81" s="5">
        <v>26.4</v>
      </c>
      <c r="T81" s="5" t="s">
        <v>134</v>
      </c>
      <c r="U81" s="5" t="s">
        <v>35</v>
      </c>
      <c r="V81" s="5" t="s">
        <v>135</v>
      </c>
      <c r="W81" s="5" t="s">
        <v>136</v>
      </c>
      <c r="X81" s="5" t="s">
        <v>220</v>
      </c>
      <c r="Z81" s="6">
        <v>46013.26180555556</v>
      </c>
      <c r="AA81" s="5" t="s">
        <v>221</v>
      </c>
      <c r="AB81" s="5" t="s">
        <v>222</v>
      </c>
      <c r="AC81" s="5" t="s">
        <v>40</v>
      </c>
      <c r="AD81" s="6">
        <v>46013.0</v>
      </c>
      <c r="AH81" s="5" t="s">
        <v>41</v>
      </c>
    </row>
    <row r="82" ht="15.75" customHeight="1">
      <c r="A82" s="4" t="str">
        <f t="shared" si="1"/>
        <v/>
      </c>
      <c r="B82" s="4" t="str">
        <f t="shared" si="2"/>
        <v/>
      </c>
      <c r="C82" s="4" t="str">
        <f t="shared" si="3"/>
        <v/>
      </c>
      <c r="D82" s="5" t="str">
        <f t="array" ref="D82">_xludf.XLOOKUP(AB82,'[1]Migrated Societies Data'!D:D,'[1]Migrated Societies Data'!B:B)</f>
        <v>#NAME?</v>
      </c>
      <c r="E82" s="5" t="str">
        <f t="array" ref="E82">_xludf.XLOOKUP(AB82,'[1]Migrated Societies Data'!D:D,'[1]Migrated Societies Data'!E:E)</f>
        <v>#NAME?</v>
      </c>
      <c r="F82" s="5" t="str">
        <f>ARRAY_CONSTRAIN(ARRAYFORMULA(_xludf.XLOOKUP(M1721,[1]order_Report_SA_ID_BB2.0!Q:Q,[1]order_Report_SA_ID_BB2.0!H:H,"")), 1, 1)</f>
        <v>#ERROR!</v>
      </c>
      <c r="G82" s="5">
        <f t="shared" si="4"/>
        <v>52</v>
      </c>
      <c r="H82" s="5">
        <f t="shared" si="5"/>
        <v>12</v>
      </c>
      <c r="I82" s="5" t="str">
        <f t="array" ref="I82">_xludf.XLOOKUP(T82,'[1]Lookup Data'!I:I,'[1]Lookup Data'!H:H,"")</f>
        <v>#NAME?</v>
      </c>
      <c r="J82" s="5">
        <v>1.186184934E9</v>
      </c>
      <c r="K82" s="5" t="s">
        <v>32</v>
      </c>
      <c r="L82" s="5">
        <v>5.220073E7</v>
      </c>
      <c r="M82" s="5">
        <v>1.859165722E9</v>
      </c>
      <c r="N82" s="5" t="s">
        <v>33</v>
      </c>
      <c r="O82" s="5">
        <v>30.0</v>
      </c>
      <c r="P82" s="5">
        <v>716.5</v>
      </c>
      <c r="Q82" s="5">
        <v>26.0</v>
      </c>
      <c r="R82" s="5">
        <v>742.5</v>
      </c>
      <c r="S82" s="5">
        <v>26.0</v>
      </c>
      <c r="T82" s="5" t="s">
        <v>223</v>
      </c>
      <c r="U82" s="5" t="s">
        <v>35</v>
      </c>
      <c r="V82" s="5" t="s">
        <v>224</v>
      </c>
      <c r="W82" s="5" t="s">
        <v>225</v>
      </c>
      <c r="X82" s="5" t="s">
        <v>226</v>
      </c>
      <c r="Y82" s="5" t="s">
        <v>227</v>
      </c>
      <c r="Z82" s="6">
        <v>46013.26180555556</v>
      </c>
      <c r="AA82" s="5" t="s">
        <v>228</v>
      </c>
      <c r="AB82" s="5" t="s">
        <v>39</v>
      </c>
      <c r="AC82" s="5" t="s">
        <v>40</v>
      </c>
      <c r="AD82" s="6">
        <v>46013.0</v>
      </c>
      <c r="AH82" s="5" t="s">
        <v>41</v>
      </c>
    </row>
    <row r="83" ht="15.75" customHeight="1">
      <c r="A83" s="4" t="str">
        <f t="shared" si="1"/>
        <v/>
      </c>
      <c r="B83" s="4" t="str">
        <f t="shared" si="2"/>
        <v/>
      </c>
      <c r="C83" s="4" t="str">
        <f t="shared" si="3"/>
        <v/>
      </c>
      <c r="D83" s="5" t="str">
        <f t="array" ref="D83">_xludf.XLOOKUP(AB83,'[1]Migrated Societies Data'!D:D,'[1]Migrated Societies Data'!B:B)</f>
        <v>#NAME?</v>
      </c>
      <c r="E83" s="5" t="str">
        <f t="array" ref="E83">_xludf.XLOOKUP(AB83,'[1]Migrated Societies Data'!D:D,'[1]Migrated Societies Data'!E:E)</f>
        <v>#NAME?</v>
      </c>
      <c r="F83" s="5" t="str">
        <f>ARRAY_CONSTRAIN(ARRAYFORMULA(_xludf.XLOOKUP(M1722,[1]order_Report_SA_ID_BB2.0!Q:Q,[1]order_Report_SA_ID_BB2.0!H:H,"")), 1, 1)</f>
        <v>#ERROR!</v>
      </c>
      <c r="G83" s="5">
        <f t="shared" si="4"/>
        <v>52</v>
      </c>
      <c r="H83" s="5">
        <f t="shared" si="5"/>
        <v>12</v>
      </c>
      <c r="I83" s="5" t="str">
        <f t="array" ref="I83">_xludf.XLOOKUP(T83,'[1]Lookup Data'!I:I,'[1]Lookup Data'!H:H,"")</f>
        <v>#NAME?</v>
      </c>
      <c r="J83" s="5">
        <v>1.186185349E9</v>
      </c>
      <c r="K83" s="5" t="s">
        <v>32</v>
      </c>
      <c r="L83" s="5">
        <v>1.9861938E7</v>
      </c>
      <c r="M83" s="5">
        <v>1.859164933E9</v>
      </c>
      <c r="N83" s="5" t="s">
        <v>33</v>
      </c>
      <c r="O83" s="5">
        <v>30.0</v>
      </c>
      <c r="P83" s="5">
        <v>1306.1</v>
      </c>
      <c r="Q83" s="5">
        <v>28.0</v>
      </c>
      <c r="R83" s="5">
        <v>1334.1</v>
      </c>
      <c r="S83" s="5">
        <v>28.0</v>
      </c>
      <c r="T83" s="5" t="s">
        <v>134</v>
      </c>
      <c r="U83" s="5" t="s">
        <v>35</v>
      </c>
      <c r="V83" s="5" t="s">
        <v>135</v>
      </c>
      <c r="W83" s="5" t="s">
        <v>136</v>
      </c>
      <c r="X83" s="5" t="s">
        <v>229</v>
      </c>
      <c r="Z83" s="6">
        <v>46013.26388888889</v>
      </c>
      <c r="AA83" s="5" t="s">
        <v>230</v>
      </c>
      <c r="AB83" s="5" t="s">
        <v>65</v>
      </c>
      <c r="AC83" s="5" t="s">
        <v>40</v>
      </c>
      <c r="AD83" s="6">
        <v>46013.0</v>
      </c>
      <c r="AH83" s="5" t="s">
        <v>41</v>
      </c>
    </row>
    <row r="84" ht="15.75" customHeight="1">
      <c r="A84" s="4" t="str">
        <f t="shared" si="1"/>
        <v/>
      </c>
      <c r="B84" s="4" t="str">
        <f t="shared" si="2"/>
        <v/>
      </c>
      <c r="C84" s="4" t="str">
        <f t="shared" si="3"/>
        <v/>
      </c>
      <c r="D84" s="5" t="str">
        <f t="array" ref="D84">_xludf.XLOOKUP(AB84,'[1]Migrated Societies Data'!D:D,'[1]Migrated Societies Data'!B:B)</f>
        <v>#NAME?</v>
      </c>
      <c r="E84" s="5" t="str">
        <f t="array" ref="E84">_xludf.XLOOKUP(AB84,'[1]Migrated Societies Data'!D:D,'[1]Migrated Societies Data'!E:E)</f>
        <v>#NAME?</v>
      </c>
      <c r="F84" s="5" t="str">
        <f>ARRAY_CONSTRAIN(ARRAYFORMULA(_xludf.XLOOKUP(M1723,[1]order_Report_SA_ID_BB2.0!Q:Q,[1]order_Report_SA_ID_BB2.0!H:H,"")), 1, 1)</f>
        <v>#ERROR!</v>
      </c>
      <c r="G84" s="5">
        <f t="shared" si="4"/>
        <v>52</v>
      </c>
      <c r="H84" s="5">
        <f t="shared" si="5"/>
        <v>12</v>
      </c>
      <c r="I84" s="5" t="str">
        <f t="array" ref="I84">_xludf.XLOOKUP(T84,'[1]Lookup Data'!I:I,'[1]Lookup Data'!H:H,"")</f>
        <v>#NAME?</v>
      </c>
      <c r="J84" s="5">
        <v>1.186185378E9</v>
      </c>
      <c r="K84" s="5" t="s">
        <v>32</v>
      </c>
      <c r="L84" s="5">
        <v>787938.0</v>
      </c>
      <c r="M84" s="5">
        <v>1.85916491E9</v>
      </c>
      <c r="N84" s="5" t="s">
        <v>33</v>
      </c>
      <c r="O84" s="5">
        <v>30.0</v>
      </c>
      <c r="P84" s="5">
        <v>705.3</v>
      </c>
      <c r="Q84" s="5">
        <v>28.0</v>
      </c>
      <c r="R84" s="5">
        <v>733.3</v>
      </c>
      <c r="S84" s="5">
        <v>28.0</v>
      </c>
      <c r="T84" s="5" t="s">
        <v>134</v>
      </c>
      <c r="U84" s="5" t="s">
        <v>35</v>
      </c>
      <c r="V84" s="5" t="s">
        <v>135</v>
      </c>
      <c r="W84" s="5" t="s">
        <v>136</v>
      </c>
      <c r="X84" s="5" t="s">
        <v>231</v>
      </c>
      <c r="Z84" s="6">
        <v>46013.26388888889</v>
      </c>
      <c r="AA84" s="5" t="s">
        <v>232</v>
      </c>
      <c r="AB84" s="5" t="s">
        <v>65</v>
      </c>
      <c r="AC84" s="5" t="s">
        <v>40</v>
      </c>
      <c r="AD84" s="6">
        <v>46013.0</v>
      </c>
      <c r="AH84" s="5" t="s">
        <v>41</v>
      </c>
    </row>
    <row r="85" ht="15.75" customHeight="1">
      <c r="A85" s="4" t="str">
        <f t="shared" si="1"/>
        <v/>
      </c>
      <c r="B85" s="4" t="str">
        <f t="shared" si="2"/>
        <v/>
      </c>
      <c r="C85" s="4" t="str">
        <f t="shared" si="3"/>
        <v/>
      </c>
      <c r="D85" s="5" t="str">
        <f t="array" ref="D85">_xludf.XLOOKUP(AB85,'[1]Migrated Societies Data'!D:D,'[1]Migrated Societies Data'!B:B)</f>
        <v>#NAME?</v>
      </c>
      <c r="E85" s="5" t="str">
        <f t="array" ref="E85">_xludf.XLOOKUP(AB85,'[1]Migrated Societies Data'!D:D,'[1]Migrated Societies Data'!E:E)</f>
        <v>#NAME?</v>
      </c>
      <c r="F85" s="5" t="str">
        <f>ARRAY_CONSTRAIN(ARRAYFORMULA(_xludf.XLOOKUP(M1724,[1]order_Report_SA_ID_BB2.0!Q:Q,[1]order_Report_SA_ID_BB2.0!H:H,"")), 1, 1)</f>
        <v>#ERROR!</v>
      </c>
      <c r="G85" s="5">
        <f t="shared" si="4"/>
        <v>52</v>
      </c>
      <c r="H85" s="5">
        <f t="shared" si="5"/>
        <v>12</v>
      </c>
      <c r="I85" s="5" t="str">
        <f t="array" ref="I85">_xludf.XLOOKUP(T85,'[1]Lookup Data'!I:I,'[1]Lookup Data'!H:H,"")</f>
        <v>#NAME?</v>
      </c>
      <c r="J85" s="5">
        <v>1.186185387E9</v>
      </c>
      <c r="K85" s="5" t="s">
        <v>32</v>
      </c>
      <c r="L85" s="5">
        <v>2.2826138E7</v>
      </c>
      <c r="M85" s="5">
        <v>1.859164963E9</v>
      </c>
      <c r="N85" s="5" t="s">
        <v>33</v>
      </c>
      <c r="O85" s="5">
        <v>30.0</v>
      </c>
      <c r="P85" s="5">
        <v>1301.88</v>
      </c>
      <c r="Q85" s="5">
        <v>28.0</v>
      </c>
      <c r="R85" s="5">
        <v>1329.88</v>
      </c>
      <c r="S85" s="5">
        <v>28.0</v>
      </c>
      <c r="T85" s="5" t="s">
        <v>134</v>
      </c>
      <c r="U85" s="5" t="s">
        <v>35</v>
      </c>
      <c r="V85" s="5" t="s">
        <v>135</v>
      </c>
      <c r="W85" s="5" t="s">
        <v>136</v>
      </c>
      <c r="X85" s="5" t="s">
        <v>233</v>
      </c>
      <c r="Z85" s="6">
        <v>46013.26388888889</v>
      </c>
      <c r="AA85" s="5" t="s">
        <v>234</v>
      </c>
      <c r="AB85" s="5" t="s">
        <v>65</v>
      </c>
      <c r="AC85" s="5" t="s">
        <v>40</v>
      </c>
      <c r="AD85" s="6">
        <v>46013.0</v>
      </c>
      <c r="AH85" s="5" t="s">
        <v>41</v>
      </c>
    </row>
    <row r="86" ht="15.75" customHeight="1">
      <c r="A86" s="4" t="str">
        <f t="shared" si="1"/>
        <v/>
      </c>
      <c r="B86" s="4" t="str">
        <f t="shared" si="2"/>
        <v/>
      </c>
      <c r="C86" s="4" t="str">
        <f t="shared" si="3"/>
        <v/>
      </c>
      <c r="D86" s="5" t="str">
        <f t="array" ref="D86">_xludf.XLOOKUP(AB86,'[1]Migrated Societies Data'!D:D,'[1]Migrated Societies Data'!B:B)</f>
        <v>#NAME?</v>
      </c>
      <c r="E86" s="5" t="str">
        <f t="array" ref="E86">_xludf.XLOOKUP(AB86,'[1]Migrated Societies Data'!D:D,'[1]Migrated Societies Data'!E:E)</f>
        <v>#NAME?</v>
      </c>
      <c r="F86" s="5" t="str">
        <f>ARRAY_CONSTRAIN(ARRAYFORMULA(_xludf.XLOOKUP(M1725,[1]order_Report_SA_ID_BB2.0!Q:Q,[1]order_Report_SA_ID_BB2.0!H:H,"")), 1, 1)</f>
        <v>#ERROR!</v>
      </c>
      <c r="G86" s="5">
        <f t="shared" si="4"/>
        <v>52</v>
      </c>
      <c r="H86" s="5">
        <f t="shared" si="5"/>
        <v>12</v>
      </c>
      <c r="I86" s="5" t="str">
        <f t="array" ref="I86">_xludf.XLOOKUP(T86,'[1]Lookup Data'!I:I,'[1]Lookup Data'!H:H,"")</f>
        <v>#NAME?</v>
      </c>
      <c r="J86" s="5">
        <v>1.186185645E9</v>
      </c>
      <c r="K86" s="5" t="s">
        <v>32</v>
      </c>
      <c r="L86" s="5">
        <v>125144.0</v>
      </c>
      <c r="M86" s="5">
        <v>1.859167777E9</v>
      </c>
      <c r="N86" s="5" t="s">
        <v>33</v>
      </c>
      <c r="O86" s="5">
        <v>30.0</v>
      </c>
      <c r="P86" s="5">
        <v>449.12</v>
      </c>
      <c r="Q86" s="5">
        <v>27.0</v>
      </c>
      <c r="R86" s="5">
        <v>476.12</v>
      </c>
      <c r="S86" s="5">
        <v>27.0</v>
      </c>
      <c r="T86" s="5" t="s">
        <v>134</v>
      </c>
      <c r="U86" s="5" t="s">
        <v>35</v>
      </c>
      <c r="V86" s="5" t="s">
        <v>135</v>
      </c>
      <c r="W86" s="5" t="s">
        <v>136</v>
      </c>
      <c r="X86" s="5" t="s">
        <v>235</v>
      </c>
      <c r="Z86" s="6">
        <v>46013.26597222222</v>
      </c>
      <c r="AA86" s="5" t="s">
        <v>236</v>
      </c>
      <c r="AB86" s="5" t="s">
        <v>147</v>
      </c>
      <c r="AC86" s="5" t="s">
        <v>40</v>
      </c>
      <c r="AD86" s="6">
        <v>46013.0</v>
      </c>
      <c r="AH86" s="5" t="s">
        <v>41</v>
      </c>
    </row>
    <row r="87" ht="15.75" customHeight="1">
      <c r="A87" s="4" t="str">
        <f t="shared" si="1"/>
        <v/>
      </c>
      <c r="B87" s="4" t="str">
        <f t="shared" si="2"/>
        <v/>
      </c>
      <c r="C87" s="4" t="str">
        <f t="shared" si="3"/>
        <v/>
      </c>
      <c r="D87" s="5" t="str">
        <f t="array" ref="D87">_xludf.XLOOKUP(AB87,'[1]Migrated Societies Data'!D:D,'[1]Migrated Societies Data'!B:B)</f>
        <v>#NAME?</v>
      </c>
      <c r="E87" s="5" t="str">
        <f t="array" ref="E87">_xludf.XLOOKUP(AB87,'[1]Migrated Societies Data'!D:D,'[1]Migrated Societies Data'!E:E)</f>
        <v>#NAME?</v>
      </c>
      <c r="F87" s="5" t="str">
        <f>ARRAY_CONSTRAIN(ARRAYFORMULA(_xludf.XLOOKUP(M1726,[1]order_Report_SA_ID_BB2.0!Q:Q,[1]order_Report_SA_ID_BB2.0!H:H,"")), 1, 1)</f>
        <v>#ERROR!</v>
      </c>
      <c r="G87" s="5">
        <f t="shared" si="4"/>
        <v>52</v>
      </c>
      <c r="H87" s="5">
        <f t="shared" si="5"/>
        <v>12</v>
      </c>
      <c r="I87" s="5" t="str">
        <f t="array" ref="I87">_xludf.XLOOKUP(T87,'[1]Lookup Data'!I:I,'[1]Lookup Data'!H:H,"")</f>
        <v>#NAME?</v>
      </c>
      <c r="J87" s="5">
        <v>1.186187296E9</v>
      </c>
      <c r="K87" s="5" t="s">
        <v>32</v>
      </c>
      <c r="L87" s="5">
        <v>5296246.0</v>
      </c>
      <c r="M87" s="5">
        <v>1.859165214E9</v>
      </c>
      <c r="N87" s="5" t="s">
        <v>33</v>
      </c>
      <c r="O87" s="5">
        <v>30.0</v>
      </c>
      <c r="P87" s="5">
        <v>574.76</v>
      </c>
      <c r="Q87" s="5">
        <v>28.0</v>
      </c>
      <c r="R87" s="5">
        <v>602.76</v>
      </c>
      <c r="S87" s="5">
        <v>28.0</v>
      </c>
      <c r="T87" s="5" t="s">
        <v>134</v>
      </c>
      <c r="U87" s="5" t="s">
        <v>35</v>
      </c>
      <c r="V87" s="5" t="s">
        <v>135</v>
      </c>
      <c r="W87" s="5" t="s">
        <v>136</v>
      </c>
      <c r="X87" s="5" t="s">
        <v>237</v>
      </c>
      <c r="Z87" s="6">
        <v>46013.27361111111</v>
      </c>
      <c r="AA87" s="5" t="s">
        <v>238</v>
      </c>
      <c r="AB87" s="5" t="s">
        <v>65</v>
      </c>
      <c r="AC87" s="5" t="s">
        <v>40</v>
      </c>
      <c r="AD87" s="6">
        <v>46013.0</v>
      </c>
      <c r="AH87" s="5" t="s">
        <v>41</v>
      </c>
    </row>
    <row r="88" ht="15.75" customHeight="1">
      <c r="A88" s="4" t="str">
        <f t="shared" si="1"/>
        <v/>
      </c>
      <c r="B88" s="4" t="str">
        <f t="shared" si="2"/>
        <v/>
      </c>
      <c r="C88" s="4" t="str">
        <f t="shared" si="3"/>
        <v/>
      </c>
      <c r="D88" s="5" t="str">
        <f t="array" ref="D88">_xludf.XLOOKUP(AB88,'[1]Migrated Societies Data'!D:D,'[1]Migrated Societies Data'!B:B)</f>
        <v>#NAME?</v>
      </c>
      <c r="E88" s="5" t="str">
        <f t="array" ref="E88">_xludf.XLOOKUP(AB88,'[1]Migrated Societies Data'!D:D,'[1]Migrated Societies Data'!E:E)</f>
        <v>#NAME?</v>
      </c>
      <c r="F88" s="5" t="str">
        <f>ARRAY_CONSTRAIN(ARRAYFORMULA(_xludf.XLOOKUP(M1728,[1]order_Report_SA_ID_BB2.0!Q:Q,[1]order_Report_SA_ID_BB2.0!H:H,"")), 1, 1)</f>
        <v>#ERROR!</v>
      </c>
      <c r="G88" s="5">
        <f t="shared" si="4"/>
        <v>52</v>
      </c>
      <c r="H88" s="5">
        <f t="shared" si="5"/>
        <v>12</v>
      </c>
      <c r="I88" s="5" t="str">
        <f t="array" ref="I88">_xludf.XLOOKUP(T88,'[1]Lookup Data'!I:I,'[1]Lookup Data'!H:H,"")</f>
        <v>#NAME?</v>
      </c>
      <c r="J88" s="5">
        <v>1.18618852E9</v>
      </c>
      <c r="K88" s="5" t="s">
        <v>32</v>
      </c>
      <c r="L88" s="5">
        <v>3.5434676E7</v>
      </c>
      <c r="M88" s="5">
        <v>1.859166214E9</v>
      </c>
      <c r="N88" s="5" t="s">
        <v>33</v>
      </c>
      <c r="O88" s="5">
        <v>30.0</v>
      </c>
      <c r="P88" s="5">
        <v>157.28</v>
      </c>
      <c r="Q88" s="5">
        <v>34.0</v>
      </c>
      <c r="R88" s="5">
        <v>191.28</v>
      </c>
      <c r="S88" s="5">
        <v>34.0</v>
      </c>
      <c r="T88" s="5" t="s">
        <v>223</v>
      </c>
      <c r="U88" s="5" t="s">
        <v>35</v>
      </c>
      <c r="V88" s="5" t="s">
        <v>224</v>
      </c>
      <c r="W88" s="5" t="s">
        <v>225</v>
      </c>
      <c r="X88" s="5" t="s">
        <v>239</v>
      </c>
      <c r="Y88" s="5" t="s">
        <v>240</v>
      </c>
      <c r="Z88" s="6">
        <v>46013.27777777778</v>
      </c>
      <c r="AA88" s="5" t="s">
        <v>241</v>
      </c>
      <c r="AB88" s="5" t="s">
        <v>65</v>
      </c>
      <c r="AC88" s="5" t="s">
        <v>40</v>
      </c>
      <c r="AD88" s="6">
        <v>46013.0</v>
      </c>
      <c r="AH88" s="5" t="s">
        <v>41</v>
      </c>
    </row>
    <row r="89" ht="15.75" customHeight="1">
      <c r="A89" s="4" t="str">
        <f t="shared" si="1"/>
        <v/>
      </c>
      <c r="B89" s="4" t="str">
        <f t="shared" si="2"/>
        <v/>
      </c>
      <c r="C89" s="4" t="str">
        <f t="shared" si="3"/>
        <v/>
      </c>
      <c r="D89" s="5" t="str">
        <f t="array" ref="D89">_xludf.XLOOKUP(AB89,'[1]Migrated Societies Data'!D:D,'[1]Migrated Societies Data'!B:B)</f>
        <v>#NAME?</v>
      </c>
      <c r="E89" s="5" t="str">
        <f t="array" ref="E89">_xludf.XLOOKUP(AB89,'[1]Migrated Societies Data'!D:D,'[1]Migrated Societies Data'!E:E)</f>
        <v>#NAME?</v>
      </c>
      <c r="F89" s="5" t="str">
        <f>ARRAY_CONSTRAIN(ARRAYFORMULA(_xludf.XLOOKUP(M1729,[1]order_Report_SA_ID_BB2.0!Q:Q,[1]order_Report_SA_ID_BB2.0!H:H,"")), 1, 1)</f>
        <v>#ERROR!</v>
      </c>
      <c r="G89" s="5">
        <f t="shared" si="4"/>
        <v>52</v>
      </c>
      <c r="H89" s="5">
        <f t="shared" si="5"/>
        <v>12</v>
      </c>
      <c r="I89" s="5" t="str">
        <f t="array" ref="I89">_xludf.XLOOKUP(T89,'[1]Lookup Data'!I:I,'[1]Lookup Data'!H:H,"")</f>
        <v>#NAME?</v>
      </c>
      <c r="J89" s="5">
        <v>1.186191098E9</v>
      </c>
      <c r="K89" s="5" t="s">
        <v>32</v>
      </c>
      <c r="L89" s="5">
        <v>4265441.0</v>
      </c>
      <c r="M89" s="5">
        <v>1.859164747E9</v>
      </c>
      <c r="N89" s="5" t="s">
        <v>33</v>
      </c>
      <c r="O89" s="5">
        <v>30.0</v>
      </c>
      <c r="P89" s="5">
        <v>807.88</v>
      </c>
      <c r="Q89" s="5">
        <v>46.0</v>
      </c>
      <c r="R89" s="5">
        <v>853.88</v>
      </c>
      <c r="S89" s="5">
        <v>46.0</v>
      </c>
      <c r="T89" s="5" t="s">
        <v>223</v>
      </c>
      <c r="U89" s="5" t="s">
        <v>35</v>
      </c>
      <c r="V89" s="5" t="s">
        <v>224</v>
      </c>
      <c r="W89" s="5" t="s">
        <v>225</v>
      </c>
      <c r="X89" s="5" t="s">
        <v>242</v>
      </c>
      <c r="Y89" s="5" t="s">
        <v>243</v>
      </c>
      <c r="Z89" s="6">
        <v>46013.28611111111</v>
      </c>
      <c r="AA89" s="5" t="s">
        <v>244</v>
      </c>
      <c r="AB89" s="5" t="s">
        <v>46</v>
      </c>
      <c r="AC89" s="5" t="s">
        <v>40</v>
      </c>
      <c r="AD89" s="6">
        <v>46013.0</v>
      </c>
      <c r="AH89" s="5" t="s">
        <v>41</v>
      </c>
    </row>
    <row r="90" ht="15.75" customHeight="1">
      <c r="A90" s="4" t="str">
        <f t="shared" si="1"/>
        <v/>
      </c>
      <c r="B90" s="4" t="str">
        <f t="shared" si="2"/>
        <v/>
      </c>
      <c r="C90" s="4" t="str">
        <f t="shared" si="3"/>
        <v/>
      </c>
      <c r="D90" s="5" t="str">
        <f t="array" ref="D90">_xludf.XLOOKUP(AB90,'[1]Migrated Societies Data'!D:D,'[1]Migrated Societies Data'!B:B)</f>
        <v>#NAME?</v>
      </c>
      <c r="E90" s="5" t="str">
        <f t="array" ref="E90">_xludf.XLOOKUP(AB90,'[1]Migrated Societies Data'!D:D,'[1]Migrated Societies Data'!E:E)</f>
        <v>#NAME?</v>
      </c>
      <c r="F90" s="5" t="str">
        <f>ARRAY_CONSTRAIN(ARRAYFORMULA(_xludf.XLOOKUP(M1730,[1]order_Report_SA_ID_BB2.0!Q:Q,[1]order_Report_SA_ID_BB2.0!H:H,"")), 1, 1)</f>
        <v>#ERROR!</v>
      </c>
      <c r="G90" s="5">
        <f t="shared" si="4"/>
        <v>52</v>
      </c>
      <c r="H90" s="5">
        <f t="shared" si="5"/>
        <v>12</v>
      </c>
      <c r="I90" s="5" t="str">
        <f t="array" ref="I90">_xludf.XLOOKUP(T90,'[1]Lookup Data'!I:I,'[1]Lookup Data'!H:H,"")</f>
        <v>#NAME?</v>
      </c>
      <c r="J90" s="5">
        <v>1.186192786E9</v>
      </c>
      <c r="K90" s="5" t="s">
        <v>32</v>
      </c>
      <c r="L90" s="5">
        <v>1.4520372E7</v>
      </c>
      <c r="M90" s="5">
        <v>1.859165928E9</v>
      </c>
      <c r="N90" s="5" t="s">
        <v>33</v>
      </c>
      <c r="O90" s="5">
        <v>30.0</v>
      </c>
      <c r="P90" s="5">
        <v>319.0</v>
      </c>
      <c r="Q90" s="5">
        <v>27.0</v>
      </c>
      <c r="R90" s="5">
        <v>346.0</v>
      </c>
      <c r="S90" s="5">
        <v>27.0</v>
      </c>
      <c r="T90" s="5" t="s">
        <v>223</v>
      </c>
      <c r="U90" s="5" t="s">
        <v>35</v>
      </c>
      <c r="V90" s="5" t="s">
        <v>224</v>
      </c>
      <c r="W90" s="5" t="s">
        <v>225</v>
      </c>
      <c r="X90" s="5" t="s">
        <v>245</v>
      </c>
      <c r="Y90" s="5" t="s">
        <v>246</v>
      </c>
      <c r="Z90" s="6">
        <v>46013.29027777778</v>
      </c>
      <c r="AA90" s="5" t="s">
        <v>247</v>
      </c>
      <c r="AB90" s="5" t="s">
        <v>77</v>
      </c>
      <c r="AC90" s="5" t="s">
        <v>40</v>
      </c>
      <c r="AD90" s="6">
        <v>46013.0</v>
      </c>
      <c r="AH90" s="5" t="s">
        <v>41</v>
      </c>
    </row>
    <row r="91" ht="15.75" customHeight="1">
      <c r="A91" s="4" t="str">
        <f t="shared" si="1"/>
        <v/>
      </c>
      <c r="B91" s="4" t="str">
        <f t="shared" si="2"/>
        <v/>
      </c>
      <c r="C91" s="4" t="str">
        <f t="shared" si="3"/>
        <v/>
      </c>
      <c r="D91" s="5" t="str">
        <f t="array" ref="D91">_xludf.XLOOKUP(AB91,'[1]Migrated Societies Data'!D:D,'[1]Migrated Societies Data'!B:B)</f>
        <v>#NAME?</v>
      </c>
      <c r="E91" s="5" t="str">
        <f t="array" ref="E91">_xludf.XLOOKUP(AB91,'[1]Migrated Societies Data'!D:D,'[1]Migrated Societies Data'!E:E)</f>
        <v>#NAME?</v>
      </c>
      <c r="F91" s="5" t="str">
        <f>ARRAY_CONSTRAIN(ARRAYFORMULA(_xludf.XLOOKUP(M1731,[1]order_Report_SA_ID_BB2.0!Q:Q,[1]order_Report_SA_ID_BB2.0!H:H,"")), 1, 1)</f>
        <v>#ERROR!</v>
      </c>
      <c r="G91" s="5">
        <f t="shared" si="4"/>
        <v>52</v>
      </c>
      <c r="H91" s="5">
        <f t="shared" si="5"/>
        <v>12</v>
      </c>
      <c r="I91" s="5" t="str">
        <f t="array" ref="I91">_xludf.XLOOKUP(T91,'[1]Lookup Data'!I:I,'[1]Lookup Data'!H:H,"")</f>
        <v>#NAME?</v>
      </c>
      <c r="J91" s="5">
        <v>1.186207374E9</v>
      </c>
      <c r="K91" s="5" t="s">
        <v>32</v>
      </c>
      <c r="L91" s="5">
        <v>1.3837006E7</v>
      </c>
      <c r="M91" s="5">
        <v>1.859167414E9</v>
      </c>
      <c r="N91" s="5" t="s">
        <v>33</v>
      </c>
      <c r="O91" s="5">
        <v>30.0</v>
      </c>
      <c r="P91" s="5">
        <v>370.1</v>
      </c>
      <c r="Q91" s="5">
        <v>24.0</v>
      </c>
      <c r="R91" s="5">
        <v>394.1</v>
      </c>
      <c r="S91" s="5">
        <v>24.0</v>
      </c>
      <c r="T91" s="5" t="s">
        <v>34</v>
      </c>
      <c r="U91" s="5" t="s">
        <v>35</v>
      </c>
      <c r="V91" s="5" t="s">
        <v>36</v>
      </c>
      <c r="W91" s="5" t="s">
        <v>36</v>
      </c>
      <c r="X91" s="5" t="s">
        <v>248</v>
      </c>
      <c r="Z91" s="6">
        <v>46013.319444444445</v>
      </c>
      <c r="AA91" s="5" t="s">
        <v>249</v>
      </c>
      <c r="AB91" s="5" t="s">
        <v>61</v>
      </c>
      <c r="AC91" s="5" t="s">
        <v>40</v>
      </c>
      <c r="AD91" s="6">
        <v>46013.0</v>
      </c>
      <c r="AH91" s="5" t="s">
        <v>41</v>
      </c>
    </row>
    <row r="92" ht="15.75" customHeight="1">
      <c r="A92" s="4" t="str">
        <f t="shared" si="1"/>
        <v/>
      </c>
      <c r="B92" s="4" t="str">
        <f t="shared" si="2"/>
        <v/>
      </c>
      <c r="C92" s="4" t="str">
        <f t="shared" si="3"/>
        <v/>
      </c>
      <c r="D92" s="5" t="str">
        <f t="array" ref="D92">_xludf.XLOOKUP(AB92,'[1]Migrated Societies Data'!D:D,'[1]Migrated Societies Data'!B:B)</f>
        <v>#NAME?</v>
      </c>
      <c r="E92" s="5" t="str">
        <f t="array" ref="E92">_xludf.XLOOKUP(AB92,'[1]Migrated Societies Data'!D:D,'[1]Migrated Societies Data'!E:E)</f>
        <v>#NAME?</v>
      </c>
      <c r="F92" s="5" t="str">
        <f>ARRAY_CONSTRAIN(ARRAYFORMULA(_xludf.XLOOKUP(M1732,[1]order_Report_SA_ID_BB2.0!Q:Q,[1]order_Report_SA_ID_BB2.0!H:H,"")), 1, 1)</f>
        <v>#ERROR!</v>
      </c>
      <c r="G92" s="5">
        <f t="shared" si="4"/>
        <v>52</v>
      </c>
      <c r="H92" s="5">
        <f t="shared" si="5"/>
        <v>12</v>
      </c>
      <c r="I92" s="5" t="str">
        <f t="array" ref="I92">_xludf.XLOOKUP(T92,'[1]Lookup Data'!I:I,'[1]Lookup Data'!H:H,"")</f>
        <v>#NAME?</v>
      </c>
      <c r="J92" s="5">
        <v>1.186208754E9</v>
      </c>
      <c r="K92" s="5" t="s">
        <v>32</v>
      </c>
      <c r="L92" s="5">
        <v>2.6553033E7</v>
      </c>
      <c r="M92" s="5">
        <v>1.858971383E9</v>
      </c>
      <c r="N92" s="5" t="s">
        <v>33</v>
      </c>
      <c r="O92" s="5">
        <v>30.0</v>
      </c>
      <c r="P92" s="5">
        <v>0.0</v>
      </c>
      <c r="Q92" s="5">
        <v>78.01</v>
      </c>
      <c r="R92" s="5">
        <v>78.01</v>
      </c>
      <c r="S92" s="5">
        <v>78.01</v>
      </c>
      <c r="T92" s="5" t="s">
        <v>223</v>
      </c>
      <c r="U92" s="5" t="s">
        <v>35</v>
      </c>
      <c r="V92" s="5" t="s">
        <v>224</v>
      </c>
      <c r="W92" s="5" t="s">
        <v>225</v>
      </c>
      <c r="X92" s="5" t="s">
        <v>250</v>
      </c>
      <c r="Y92" s="5" t="s">
        <v>246</v>
      </c>
      <c r="Z92" s="6">
        <v>46013.32152777778</v>
      </c>
      <c r="AA92" s="5" t="s">
        <v>251</v>
      </c>
      <c r="AB92" s="5" t="s">
        <v>74</v>
      </c>
      <c r="AC92" s="5" t="s">
        <v>40</v>
      </c>
      <c r="AD92" s="6">
        <v>46013.0</v>
      </c>
      <c r="AH92" s="5" t="s">
        <v>62</v>
      </c>
    </row>
    <row r="93" ht="15.75" customHeight="1">
      <c r="A93" s="4" t="str">
        <f t="shared" si="1"/>
        <v/>
      </c>
      <c r="B93" s="4" t="str">
        <f t="shared" si="2"/>
        <v/>
      </c>
      <c r="C93" s="4" t="str">
        <f t="shared" si="3"/>
        <v/>
      </c>
      <c r="D93" s="5" t="str">
        <f t="array" ref="D93">_xludf.XLOOKUP(AB93,'[1]Migrated Societies Data'!D:D,'[1]Migrated Societies Data'!B:B)</f>
        <v>#NAME?</v>
      </c>
      <c r="E93" s="5" t="str">
        <f t="array" ref="E93">_xludf.XLOOKUP(AB93,'[1]Migrated Societies Data'!D:D,'[1]Migrated Societies Data'!E:E)</f>
        <v>#NAME?</v>
      </c>
      <c r="F93" s="5" t="str">
        <f>ARRAY_CONSTRAIN(ARRAYFORMULA(_xludf.XLOOKUP(M1733,[1]order_Report_SA_ID_BB2.0!Q:Q,[1]order_Report_SA_ID_BB2.0!H:H,"")), 1, 1)</f>
        <v>#ERROR!</v>
      </c>
      <c r="G93" s="5">
        <f t="shared" si="4"/>
        <v>52</v>
      </c>
      <c r="H93" s="5">
        <f t="shared" si="5"/>
        <v>12</v>
      </c>
      <c r="I93" s="5" t="str">
        <f t="array" ref="I93">_xludf.XLOOKUP(T93,'[1]Lookup Data'!I:I,'[1]Lookup Data'!H:H,"")</f>
        <v>#NAME?</v>
      </c>
      <c r="J93" s="5">
        <v>1.186217641E9</v>
      </c>
      <c r="K93" s="5" t="s">
        <v>32</v>
      </c>
      <c r="L93" s="5">
        <v>5.4465974E7</v>
      </c>
      <c r="M93" s="5">
        <v>1.859167478E9</v>
      </c>
      <c r="N93" s="5" t="s">
        <v>33</v>
      </c>
      <c r="O93" s="5">
        <v>30.0</v>
      </c>
      <c r="P93" s="5">
        <v>379.85</v>
      </c>
      <c r="Q93" s="5">
        <v>202.35</v>
      </c>
      <c r="R93" s="5">
        <v>582.2</v>
      </c>
      <c r="S93" s="5">
        <v>202.35</v>
      </c>
      <c r="T93" s="5" t="s">
        <v>223</v>
      </c>
      <c r="U93" s="5" t="s">
        <v>35</v>
      </c>
      <c r="V93" s="5" t="s">
        <v>224</v>
      </c>
      <c r="W93" s="5" t="s">
        <v>225</v>
      </c>
      <c r="X93" s="5" t="s">
        <v>252</v>
      </c>
      <c r="Y93" s="5" t="s">
        <v>253</v>
      </c>
      <c r="Z93" s="6">
        <v>46013.33541666667</v>
      </c>
      <c r="AA93" s="5" t="s">
        <v>254</v>
      </c>
      <c r="AB93" s="5" t="s">
        <v>65</v>
      </c>
      <c r="AC93" s="5" t="s">
        <v>40</v>
      </c>
      <c r="AD93" s="6">
        <v>46013.0</v>
      </c>
      <c r="AH93" s="5" t="s">
        <v>41</v>
      </c>
    </row>
    <row r="94" ht="15.75" customHeight="1">
      <c r="A94" s="4" t="str">
        <f t="shared" si="1"/>
        <v/>
      </c>
      <c r="B94" s="4" t="str">
        <f t="shared" si="2"/>
        <v/>
      </c>
      <c r="C94" s="4" t="str">
        <f t="shared" si="3"/>
        <v/>
      </c>
      <c r="D94" s="5" t="str">
        <f t="array" ref="D94">_xludf.XLOOKUP(AB94,'[1]Migrated Societies Data'!D:D,'[1]Migrated Societies Data'!B:B)</f>
        <v>#NAME?</v>
      </c>
      <c r="E94" s="5" t="str">
        <f t="array" ref="E94">_xludf.XLOOKUP(AB94,'[1]Migrated Societies Data'!D:D,'[1]Migrated Societies Data'!E:E)</f>
        <v>#NAME?</v>
      </c>
      <c r="F94" s="5" t="str">
        <f>ARRAY_CONSTRAIN(ARRAYFORMULA(_xludf.XLOOKUP(M1734,[1]order_Report_SA_ID_BB2.0!Q:Q,[1]order_Report_SA_ID_BB2.0!H:H,"")), 1, 1)</f>
        <v>#ERROR!</v>
      </c>
      <c r="G94" s="5">
        <f t="shared" si="4"/>
        <v>52</v>
      </c>
      <c r="H94" s="5">
        <f t="shared" si="5"/>
        <v>12</v>
      </c>
      <c r="I94" s="5" t="str">
        <f t="array" ref="I94">_xludf.XLOOKUP(T94,'[1]Lookup Data'!I:I,'[1]Lookup Data'!H:H,"")</f>
        <v>#NAME?</v>
      </c>
      <c r="J94" s="5">
        <v>1.186217642E9</v>
      </c>
      <c r="K94" s="5" t="s">
        <v>32</v>
      </c>
      <c r="L94" s="5">
        <v>5.4465974E7</v>
      </c>
      <c r="M94" s="5">
        <v>1.859167478E9</v>
      </c>
      <c r="N94" s="5" t="s">
        <v>33</v>
      </c>
      <c r="O94" s="5">
        <v>30.0</v>
      </c>
      <c r="P94" s="5">
        <v>582.2</v>
      </c>
      <c r="Q94" s="5">
        <v>1.34</v>
      </c>
      <c r="R94" s="5">
        <v>583.54</v>
      </c>
      <c r="S94" s="5">
        <v>1.34</v>
      </c>
      <c r="T94" s="5" t="s">
        <v>223</v>
      </c>
      <c r="U94" s="5" t="s">
        <v>35</v>
      </c>
      <c r="V94" s="5" t="s">
        <v>224</v>
      </c>
      <c r="W94" s="5" t="s">
        <v>225</v>
      </c>
      <c r="X94" s="5" t="s">
        <v>252</v>
      </c>
      <c r="Y94" s="5" t="s">
        <v>253</v>
      </c>
      <c r="Z94" s="6">
        <v>46013.33541666667</v>
      </c>
      <c r="AA94" s="5" t="s">
        <v>254</v>
      </c>
      <c r="AB94" s="5" t="s">
        <v>65</v>
      </c>
      <c r="AC94" s="5" t="s">
        <v>40</v>
      </c>
      <c r="AD94" s="6">
        <v>46013.0</v>
      </c>
      <c r="AH94" s="5" t="s">
        <v>41</v>
      </c>
    </row>
    <row r="95" ht="15.75" customHeight="1">
      <c r="A95" s="4" t="str">
        <f t="shared" si="1"/>
        <v/>
      </c>
      <c r="B95" s="4" t="str">
        <f t="shared" si="2"/>
        <v/>
      </c>
      <c r="C95" s="4" t="str">
        <f t="shared" si="3"/>
        <v/>
      </c>
      <c r="D95" s="5" t="str">
        <f t="array" ref="D95">_xludf.XLOOKUP(AB95,'[1]Migrated Societies Data'!D:D,'[1]Migrated Societies Data'!B:B)</f>
        <v>#NAME?</v>
      </c>
      <c r="E95" s="5" t="str">
        <f t="array" ref="E95">_xludf.XLOOKUP(AB95,'[1]Migrated Societies Data'!D:D,'[1]Migrated Societies Data'!E:E)</f>
        <v>#NAME?</v>
      </c>
      <c r="F95" s="5" t="str">
        <f>ARRAY_CONSTRAIN(ARRAYFORMULA(_xludf.XLOOKUP(M1735,[1]order_Report_SA_ID_BB2.0!Q:Q,[1]order_Report_SA_ID_BB2.0!H:H,"")), 1, 1)</f>
        <v>#ERROR!</v>
      </c>
      <c r="G95" s="5">
        <f t="shared" si="4"/>
        <v>52</v>
      </c>
      <c r="H95" s="5">
        <f t="shared" si="5"/>
        <v>12</v>
      </c>
      <c r="I95" s="5" t="str">
        <f t="array" ref="I95">_xludf.XLOOKUP(T95,'[1]Lookup Data'!I:I,'[1]Lookup Data'!H:H,"")</f>
        <v>#NAME?</v>
      </c>
      <c r="J95" s="5">
        <v>1.18622169E9</v>
      </c>
      <c r="K95" s="5" t="s">
        <v>32</v>
      </c>
      <c r="L95" s="5">
        <v>1.6661372E7</v>
      </c>
      <c r="M95" s="5">
        <v>1.859164704E9</v>
      </c>
      <c r="N95" s="5" t="s">
        <v>33</v>
      </c>
      <c r="O95" s="5">
        <v>30.0</v>
      </c>
      <c r="P95" s="5">
        <v>1625.37</v>
      </c>
      <c r="Q95" s="5">
        <v>48.0</v>
      </c>
      <c r="R95" s="5">
        <v>1673.37</v>
      </c>
      <c r="S95" s="5">
        <v>48.0</v>
      </c>
      <c r="T95" s="5" t="s">
        <v>223</v>
      </c>
      <c r="U95" s="5" t="s">
        <v>35</v>
      </c>
      <c r="V95" s="5" t="s">
        <v>224</v>
      </c>
      <c r="W95" s="5" t="s">
        <v>225</v>
      </c>
      <c r="X95" s="5" t="s">
        <v>255</v>
      </c>
      <c r="Y95" s="5" t="s">
        <v>256</v>
      </c>
      <c r="Z95" s="6">
        <v>46013.34097222222</v>
      </c>
      <c r="AA95" s="5" t="s">
        <v>257</v>
      </c>
      <c r="AB95" s="5" t="s">
        <v>111</v>
      </c>
      <c r="AC95" s="5" t="s">
        <v>40</v>
      </c>
      <c r="AD95" s="6">
        <v>46013.0</v>
      </c>
      <c r="AH95" s="5" t="s">
        <v>41</v>
      </c>
    </row>
    <row r="96" ht="15.75" customHeight="1">
      <c r="A96" s="4" t="str">
        <f t="shared" si="1"/>
        <v/>
      </c>
      <c r="B96" s="4" t="str">
        <f t="shared" si="2"/>
        <v/>
      </c>
      <c r="C96" s="4" t="str">
        <f t="shared" si="3"/>
        <v/>
      </c>
      <c r="D96" s="5" t="str">
        <f t="array" ref="D96">_xludf.XLOOKUP(AB96,'[1]Migrated Societies Data'!D:D,'[1]Migrated Societies Data'!B:B)</f>
        <v>#NAME?</v>
      </c>
      <c r="E96" s="5" t="str">
        <f t="array" ref="E96">_xludf.XLOOKUP(AB96,'[1]Migrated Societies Data'!D:D,'[1]Migrated Societies Data'!E:E)</f>
        <v>#NAME?</v>
      </c>
      <c r="F96" s="5" t="str">
        <f>ARRAY_CONSTRAIN(ARRAYFORMULA(_xludf.XLOOKUP(M1736,[1]order_Report_SA_ID_BB2.0!Q:Q,[1]order_Report_SA_ID_BB2.0!H:H,"")), 1, 1)</f>
        <v>#ERROR!</v>
      </c>
      <c r="G96" s="5">
        <f t="shared" si="4"/>
        <v>52</v>
      </c>
      <c r="H96" s="5">
        <f t="shared" si="5"/>
        <v>12</v>
      </c>
      <c r="I96" s="5" t="str">
        <f t="array" ref="I96">_xludf.XLOOKUP(T96,'[1]Lookup Data'!I:I,'[1]Lookup Data'!H:H,"")</f>
        <v>#NAME?</v>
      </c>
      <c r="J96" s="5">
        <v>1.186222253E9</v>
      </c>
      <c r="K96" s="5" t="s">
        <v>32</v>
      </c>
      <c r="L96" s="5">
        <v>8376504.0</v>
      </c>
      <c r="M96" s="5">
        <v>1.859155795E9</v>
      </c>
      <c r="N96" s="5" t="s">
        <v>33</v>
      </c>
      <c r="O96" s="5">
        <v>30.0</v>
      </c>
      <c r="P96" s="5">
        <v>-0.92</v>
      </c>
      <c r="Q96" s="5">
        <v>149.0</v>
      </c>
      <c r="R96" s="5">
        <v>148.08</v>
      </c>
      <c r="S96" s="5">
        <v>149.0</v>
      </c>
      <c r="T96" s="5" t="s">
        <v>223</v>
      </c>
      <c r="U96" s="5" t="s">
        <v>35</v>
      </c>
      <c r="V96" s="5" t="s">
        <v>224</v>
      </c>
      <c r="W96" s="5" t="s">
        <v>225</v>
      </c>
      <c r="X96" s="5" t="s">
        <v>258</v>
      </c>
      <c r="Y96" s="5" t="s">
        <v>259</v>
      </c>
      <c r="Z96" s="6">
        <v>46013.342361111114</v>
      </c>
      <c r="AA96" s="5" t="s">
        <v>260</v>
      </c>
      <c r="AB96" s="5" t="s">
        <v>46</v>
      </c>
      <c r="AC96" s="5" t="s">
        <v>40</v>
      </c>
      <c r="AD96" s="6">
        <v>46013.0</v>
      </c>
      <c r="AH96" s="5" t="s">
        <v>62</v>
      </c>
    </row>
    <row r="97" ht="15.75" customHeight="1">
      <c r="A97" s="4"/>
      <c r="B97" s="4"/>
      <c r="C97" s="4"/>
      <c r="Z97" s="6"/>
      <c r="AD97" s="6"/>
    </row>
    <row r="98" ht="15.75" customHeight="1">
      <c r="A98" s="4"/>
      <c r="B98" s="4"/>
      <c r="C98" s="4"/>
      <c r="Z98" s="6"/>
      <c r="AD98" s="6"/>
    </row>
    <row r="99" ht="15.75" customHeight="1">
      <c r="A99" s="4"/>
      <c r="B99" s="4"/>
      <c r="C99" s="4"/>
      <c r="Z99" s="6"/>
      <c r="AD99" s="6"/>
    </row>
    <row r="100" ht="15.75" customHeight="1">
      <c r="A100" s="4"/>
      <c r="B100" s="4"/>
      <c r="C100" s="4"/>
      <c r="Z100" s="6"/>
      <c r="AD100" s="6"/>
    </row>
    <row r="101" ht="15.75" customHeight="1">
      <c r="A101" s="4"/>
      <c r="B101" s="4"/>
      <c r="C101" s="4"/>
      <c r="Z101" s="6"/>
      <c r="AD101" s="6"/>
    </row>
    <row r="102" ht="15.75" customHeight="1">
      <c r="A102" s="4"/>
      <c r="B102" s="4"/>
      <c r="C102" s="4"/>
      <c r="Z102" s="6"/>
      <c r="AD102" s="6"/>
    </row>
    <row r="103" ht="15.75" customHeight="1">
      <c r="A103" s="4"/>
      <c r="B103" s="4"/>
      <c r="C103" s="4"/>
      <c r="Z103" s="6"/>
      <c r="AD103" s="6"/>
    </row>
    <row r="104" ht="15.75" customHeight="1">
      <c r="A104" s="4"/>
      <c r="B104" s="4"/>
      <c r="C104" s="4"/>
      <c r="Z104" s="6"/>
      <c r="AD104" s="6"/>
    </row>
    <row r="105" ht="15.75" customHeight="1">
      <c r="A105" s="4"/>
      <c r="B105" s="4"/>
      <c r="C105" s="4"/>
      <c r="Z105" s="6"/>
      <c r="AD105" s="6"/>
    </row>
    <row r="106" ht="15.75" customHeight="1">
      <c r="A106" s="4"/>
      <c r="B106" s="4"/>
      <c r="C106" s="4"/>
      <c r="Z106" s="6"/>
      <c r="AD106" s="6"/>
    </row>
    <row r="107" ht="15.75" customHeight="1">
      <c r="A107" s="4"/>
      <c r="B107" s="4"/>
      <c r="C107" s="4"/>
      <c r="Z107" s="6"/>
      <c r="AD107" s="6"/>
    </row>
    <row r="108" ht="15.75" customHeight="1">
      <c r="A108" s="4"/>
      <c r="B108" s="4"/>
      <c r="C108" s="4"/>
      <c r="Z108" s="6"/>
      <c r="AD108" s="6"/>
    </row>
    <row r="109" ht="15.75" customHeight="1">
      <c r="A109" s="4"/>
      <c r="B109" s="4"/>
      <c r="C109" s="4"/>
      <c r="Z109" s="6"/>
      <c r="AD109" s="6"/>
    </row>
    <row r="110" ht="15.75" customHeight="1">
      <c r="A110" s="4"/>
      <c r="B110" s="4"/>
      <c r="C110" s="4"/>
      <c r="Z110" s="6"/>
      <c r="AD110" s="6"/>
    </row>
    <row r="111" ht="15.75" customHeight="1">
      <c r="A111" s="4"/>
      <c r="B111" s="4"/>
      <c r="C111" s="4"/>
      <c r="Z111" s="6"/>
      <c r="AD111" s="6"/>
    </row>
    <row r="112" ht="15.75" customHeight="1">
      <c r="A112" s="4"/>
      <c r="B112" s="4"/>
      <c r="C112" s="4"/>
      <c r="Z112" s="6"/>
      <c r="AD112" s="6"/>
    </row>
    <row r="113" ht="15.75" customHeight="1">
      <c r="A113" s="4"/>
      <c r="B113" s="4"/>
      <c r="C113" s="4"/>
      <c r="Z113" s="6"/>
      <c r="AD113" s="6"/>
    </row>
    <row r="114" ht="15.75" customHeight="1">
      <c r="A114" s="4"/>
      <c r="B114" s="4"/>
      <c r="C114" s="4"/>
      <c r="Z114" s="6"/>
      <c r="AD114" s="6"/>
    </row>
    <row r="115" ht="15.75" customHeight="1">
      <c r="A115" s="4"/>
      <c r="B115" s="4"/>
      <c r="C115" s="4"/>
      <c r="Z115" s="6"/>
      <c r="AD115" s="6"/>
    </row>
    <row r="116" ht="15.75" customHeight="1">
      <c r="A116" s="4"/>
      <c r="B116" s="4"/>
      <c r="C116" s="4"/>
      <c r="Z116" s="6"/>
      <c r="AD116" s="6"/>
    </row>
    <row r="117" ht="15.75" customHeight="1">
      <c r="A117" s="4"/>
      <c r="B117" s="4"/>
      <c r="C117" s="4"/>
      <c r="Z117" s="6"/>
      <c r="AD117" s="6"/>
    </row>
    <row r="118" ht="15.75" customHeight="1">
      <c r="A118" s="4"/>
      <c r="B118" s="4"/>
      <c r="C118" s="4"/>
      <c r="Z118" s="6"/>
      <c r="AD118" s="6"/>
    </row>
    <row r="119" ht="15.75" customHeight="1">
      <c r="A119" s="4"/>
      <c r="B119" s="4"/>
      <c r="C119" s="4"/>
      <c r="Z119" s="6"/>
      <c r="AD119" s="6"/>
    </row>
    <row r="120" ht="15.75" customHeight="1">
      <c r="A120" s="4"/>
      <c r="B120" s="4"/>
      <c r="C120" s="4"/>
      <c r="Z120" s="6"/>
      <c r="AD120" s="6"/>
    </row>
    <row r="121" ht="15.75" customHeight="1">
      <c r="A121" s="4"/>
      <c r="B121" s="4"/>
      <c r="C121" s="4"/>
      <c r="Z121" s="6"/>
      <c r="AD121" s="6"/>
    </row>
    <row r="122" ht="15.75" customHeight="1">
      <c r="A122" s="4"/>
      <c r="B122" s="4"/>
      <c r="C122" s="4"/>
      <c r="Z122" s="6"/>
      <c r="AD122" s="6"/>
    </row>
    <row r="123" ht="15.75" customHeight="1">
      <c r="A123" s="4"/>
      <c r="B123" s="4"/>
      <c r="C123" s="4"/>
      <c r="Z123" s="6"/>
      <c r="AD123" s="6"/>
    </row>
    <row r="124" ht="15.75" customHeight="1">
      <c r="A124" s="4"/>
      <c r="B124" s="4"/>
      <c r="C124" s="4"/>
      <c r="Z124" s="6"/>
      <c r="AD124" s="6"/>
    </row>
    <row r="125" ht="15.75" customHeight="1">
      <c r="A125" s="4"/>
      <c r="B125" s="4"/>
      <c r="C125" s="4"/>
      <c r="Z125" s="6"/>
      <c r="AD125" s="6"/>
    </row>
    <row r="126" ht="15.75" customHeight="1">
      <c r="A126" s="4"/>
      <c r="B126" s="4"/>
      <c r="C126" s="4"/>
      <c r="Z126" s="6"/>
      <c r="AD126" s="6"/>
    </row>
    <row r="127" ht="15.75" customHeight="1">
      <c r="A127" s="4"/>
      <c r="B127" s="4"/>
      <c r="C127" s="4"/>
      <c r="Z127" s="6"/>
      <c r="AD127" s="6"/>
    </row>
    <row r="128" ht="15.75" customHeight="1">
      <c r="A128" s="4"/>
      <c r="B128" s="4"/>
      <c r="C128" s="4"/>
      <c r="Z128" s="6"/>
      <c r="AD128" s="6"/>
    </row>
    <row r="129" ht="15.75" customHeight="1">
      <c r="A129" s="4"/>
      <c r="B129" s="4"/>
      <c r="C129" s="4"/>
      <c r="Z129" s="6"/>
      <c r="AD129" s="6"/>
    </row>
    <row r="130" ht="15.75" customHeight="1">
      <c r="A130" s="4"/>
      <c r="B130" s="4"/>
      <c r="C130" s="4"/>
      <c r="Z130" s="6"/>
      <c r="AD130" s="6"/>
    </row>
    <row r="131" ht="15.75" customHeight="1">
      <c r="A131" s="4"/>
      <c r="B131" s="4"/>
      <c r="C131" s="4"/>
      <c r="Z131" s="6"/>
      <c r="AD131" s="6"/>
    </row>
    <row r="132" ht="15.75" customHeight="1">
      <c r="A132" s="4"/>
      <c r="B132" s="4"/>
      <c r="C132" s="4"/>
      <c r="Z132" s="6"/>
      <c r="AD132" s="6"/>
    </row>
    <row r="133" ht="15.75" customHeight="1">
      <c r="A133" s="4"/>
      <c r="B133" s="4"/>
      <c r="C133" s="4"/>
      <c r="Z133" s="6"/>
      <c r="AD133" s="6"/>
    </row>
    <row r="134" ht="15.75" customHeight="1">
      <c r="A134" s="4"/>
      <c r="B134" s="4"/>
      <c r="C134" s="4"/>
      <c r="Z134" s="6"/>
      <c r="AD134" s="6"/>
    </row>
    <row r="135" ht="15.75" customHeight="1">
      <c r="A135" s="4"/>
      <c r="B135" s="4"/>
      <c r="C135" s="4"/>
      <c r="Z135" s="6"/>
      <c r="AD135" s="6"/>
    </row>
    <row r="136" ht="15.75" customHeight="1">
      <c r="A136" s="4"/>
      <c r="B136" s="4"/>
      <c r="C136" s="4"/>
      <c r="Z136" s="6"/>
      <c r="AD136" s="6"/>
    </row>
    <row r="137" ht="15.75" customHeight="1">
      <c r="A137" s="4"/>
      <c r="B137" s="4"/>
      <c r="C137" s="4"/>
      <c r="Z137" s="6"/>
      <c r="AD137" s="6"/>
    </row>
    <row r="138" ht="15.75" customHeight="1">
      <c r="A138" s="4"/>
      <c r="B138" s="4"/>
      <c r="C138" s="4"/>
      <c r="Z138" s="6"/>
      <c r="AD138" s="6"/>
    </row>
    <row r="139" ht="15.75" customHeight="1">
      <c r="A139" s="4"/>
      <c r="B139" s="4"/>
      <c r="C139" s="4"/>
      <c r="Z139" s="6"/>
      <c r="AD139" s="6"/>
    </row>
    <row r="140" ht="15.75" customHeight="1">
      <c r="A140" s="4"/>
      <c r="B140" s="4"/>
      <c r="C140" s="4"/>
      <c r="Z140" s="6"/>
      <c r="AD140" s="6"/>
    </row>
    <row r="141" ht="15.75" customHeight="1">
      <c r="A141" s="4"/>
      <c r="B141" s="4"/>
      <c r="C141" s="4"/>
      <c r="Z141" s="6"/>
      <c r="AD141" s="6"/>
    </row>
    <row r="142" ht="15.75" customHeight="1">
      <c r="A142" s="4"/>
      <c r="B142" s="4"/>
      <c r="C142" s="4"/>
      <c r="Z142" s="6"/>
      <c r="AD142" s="6"/>
    </row>
    <row r="143" ht="15.75" customHeight="1">
      <c r="A143" s="4"/>
      <c r="B143" s="4"/>
      <c r="C143" s="4"/>
      <c r="Z143" s="6"/>
      <c r="AD143" s="6"/>
    </row>
    <row r="144" ht="15.75" customHeight="1">
      <c r="A144" s="4"/>
      <c r="B144" s="4"/>
      <c r="C144" s="4"/>
      <c r="Z144" s="6"/>
      <c r="AD144" s="6"/>
    </row>
    <row r="145" ht="15.75" customHeight="1">
      <c r="A145" s="4"/>
      <c r="B145" s="4"/>
      <c r="C145" s="4"/>
      <c r="Z145" s="6"/>
      <c r="AD145" s="6"/>
    </row>
    <row r="146" ht="15.75" customHeight="1">
      <c r="A146" s="4"/>
      <c r="B146" s="4"/>
      <c r="C146" s="4"/>
      <c r="Z146" s="6"/>
      <c r="AD146" s="6"/>
    </row>
    <row r="147" ht="15.75" customHeight="1">
      <c r="A147" s="4"/>
      <c r="B147" s="4"/>
      <c r="C147" s="4"/>
      <c r="Z147" s="6"/>
      <c r="AD147" s="6"/>
    </row>
    <row r="148" ht="15.75" customHeight="1">
      <c r="A148" s="4"/>
      <c r="B148" s="4"/>
      <c r="C148" s="4"/>
      <c r="Z148" s="6"/>
      <c r="AD148" s="6"/>
    </row>
    <row r="149" ht="15.75" customHeight="1">
      <c r="A149" s="4"/>
      <c r="B149" s="4"/>
      <c r="C149" s="4"/>
      <c r="Z149" s="6"/>
      <c r="AD149" s="6"/>
    </row>
    <row r="150" ht="15.75" customHeight="1">
      <c r="A150" s="4"/>
      <c r="B150" s="4"/>
      <c r="C150" s="4"/>
      <c r="Z150" s="6"/>
      <c r="AD150" s="6"/>
    </row>
    <row r="151" ht="15.75" customHeight="1">
      <c r="A151" s="4"/>
      <c r="B151" s="4"/>
      <c r="C151" s="4"/>
      <c r="Z151" s="6"/>
      <c r="AD151" s="6"/>
    </row>
    <row r="152" ht="15.75" customHeight="1">
      <c r="A152" s="4"/>
      <c r="B152" s="4"/>
      <c r="C152" s="4"/>
      <c r="Z152" s="6"/>
      <c r="AD152" s="6"/>
    </row>
    <row r="153" ht="15.75" customHeight="1">
      <c r="A153" s="4"/>
      <c r="B153" s="4"/>
      <c r="C153" s="4"/>
      <c r="Z153" s="6"/>
      <c r="AD153" s="6"/>
    </row>
    <row r="154" ht="15.75" customHeight="1">
      <c r="A154" s="4"/>
      <c r="B154" s="4"/>
      <c r="C154" s="4"/>
      <c r="Z154" s="6"/>
      <c r="AD154" s="6"/>
    </row>
    <row r="155" ht="15.75" customHeight="1">
      <c r="A155" s="4"/>
      <c r="B155" s="4"/>
      <c r="C155" s="4"/>
      <c r="Z155" s="6"/>
      <c r="AD155" s="6"/>
    </row>
    <row r="156" ht="15.75" customHeight="1">
      <c r="A156" s="4"/>
      <c r="B156" s="4"/>
      <c r="C156" s="4"/>
      <c r="Z156" s="6"/>
      <c r="AD156" s="6"/>
    </row>
    <row r="157" ht="15.75" customHeight="1">
      <c r="A157" s="4"/>
      <c r="B157" s="4"/>
      <c r="C157" s="4"/>
      <c r="Z157" s="6"/>
      <c r="AD157" s="6"/>
    </row>
    <row r="158" ht="15.75" customHeight="1">
      <c r="A158" s="4"/>
      <c r="B158" s="4"/>
      <c r="C158" s="4"/>
      <c r="Z158" s="6"/>
      <c r="AD158" s="6"/>
    </row>
    <row r="159" ht="15.75" customHeight="1">
      <c r="A159" s="4"/>
      <c r="B159" s="4"/>
      <c r="C159" s="4"/>
      <c r="Z159" s="6"/>
      <c r="AD159" s="6"/>
    </row>
    <row r="160" ht="15.75" customHeight="1">
      <c r="A160" s="4"/>
      <c r="B160" s="4"/>
      <c r="C160" s="4"/>
      <c r="Z160" s="6"/>
      <c r="AD160" s="6"/>
    </row>
    <row r="161" ht="15.75" customHeight="1">
      <c r="A161" s="4"/>
      <c r="B161" s="4"/>
      <c r="C161" s="4"/>
      <c r="Z161" s="6"/>
      <c r="AD161" s="6"/>
    </row>
    <row r="162" ht="15.75" customHeight="1">
      <c r="A162" s="4"/>
      <c r="B162" s="4"/>
      <c r="C162" s="4"/>
      <c r="Z162" s="6"/>
      <c r="AD162" s="6"/>
    </row>
    <row r="163" ht="15.75" customHeight="1">
      <c r="A163" s="4"/>
      <c r="B163" s="4"/>
      <c r="C163" s="4"/>
      <c r="Z163" s="6"/>
      <c r="AD163" s="6"/>
    </row>
    <row r="164" ht="15.75" customHeight="1">
      <c r="A164" s="4"/>
      <c r="B164" s="4"/>
      <c r="C164" s="4"/>
      <c r="Z164" s="6"/>
      <c r="AD164" s="6"/>
    </row>
    <row r="165" ht="15.75" customHeight="1">
      <c r="A165" s="4"/>
      <c r="B165" s="4"/>
      <c r="C165" s="4"/>
      <c r="Z165" s="6"/>
      <c r="AD165" s="6"/>
    </row>
    <row r="166" ht="15.75" customHeight="1">
      <c r="A166" s="4"/>
      <c r="B166" s="4"/>
      <c r="C166" s="4"/>
      <c r="Z166" s="6"/>
      <c r="AD166" s="6"/>
    </row>
    <row r="167" ht="15.75" customHeight="1">
      <c r="A167" s="4"/>
      <c r="B167" s="4"/>
      <c r="C167" s="4"/>
      <c r="Z167" s="6"/>
      <c r="AD167" s="6"/>
    </row>
    <row r="168" ht="15.75" customHeight="1">
      <c r="A168" s="4"/>
      <c r="B168" s="4"/>
      <c r="C168" s="4"/>
      <c r="Z168" s="6"/>
      <c r="AD168" s="6"/>
    </row>
    <row r="169" ht="15.75" customHeight="1">
      <c r="A169" s="4"/>
      <c r="B169" s="4"/>
      <c r="C169" s="4"/>
      <c r="Z169" s="6"/>
      <c r="AD169" s="6"/>
    </row>
    <row r="170" ht="15.75" customHeight="1">
      <c r="A170" s="4"/>
      <c r="B170" s="4"/>
      <c r="C170" s="4"/>
      <c r="Z170" s="6"/>
      <c r="AD170" s="6"/>
    </row>
    <row r="171" ht="15.75" customHeight="1">
      <c r="A171" s="4"/>
      <c r="B171" s="4"/>
      <c r="C171" s="4"/>
      <c r="Z171" s="6"/>
      <c r="AD171" s="6"/>
    </row>
    <row r="172" ht="15.75" customHeight="1">
      <c r="A172" s="4"/>
      <c r="B172" s="4"/>
      <c r="C172" s="4"/>
      <c r="Z172" s="6"/>
      <c r="AD172" s="6"/>
    </row>
    <row r="173" ht="15.75" customHeight="1">
      <c r="A173" s="4"/>
      <c r="B173" s="4"/>
      <c r="C173" s="4"/>
      <c r="Z173" s="6"/>
      <c r="AD173" s="6"/>
    </row>
    <row r="174" ht="15.75" customHeight="1">
      <c r="A174" s="4"/>
      <c r="B174" s="4"/>
      <c r="C174" s="4"/>
      <c r="Z174" s="6"/>
      <c r="AD174" s="6"/>
    </row>
    <row r="175" ht="15.75" customHeight="1">
      <c r="A175" s="4"/>
      <c r="B175" s="4"/>
      <c r="C175" s="4"/>
      <c r="Z175" s="6"/>
      <c r="AD175" s="6"/>
    </row>
    <row r="176" ht="15.75" customHeight="1">
      <c r="A176" s="4"/>
      <c r="B176" s="4"/>
      <c r="C176" s="4"/>
      <c r="Z176" s="6"/>
      <c r="AD176" s="6"/>
    </row>
    <row r="177" ht="15.75" customHeight="1">
      <c r="A177" s="4"/>
      <c r="B177" s="4"/>
      <c r="C177" s="4"/>
      <c r="Z177" s="6"/>
      <c r="AD177" s="6"/>
    </row>
    <row r="178" ht="15.75" customHeight="1">
      <c r="A178" s="4"/>
      <c r="B178" s="4"/>
      <c r="C178" s="4"/>
      <c r="Z178" s="6"/>
      <c r="AD178" s="6"/>
    </row>
    <row r="179" ht="15.75" customHeight="1">
      <c r="A179" s="4"/>
      <c r="B179" s="4"/>
      <c r="C179" s="4"/>
      <c r="Z179" s="6"/>
      <c r="AD179" s="6"/>
    </row>
    <row r="180" ht="15.75" customHeight="1">
      <c r="A180" s="4"/>
      <c r="B180" s="4"/>
      <c r="C180" s="4"/>
      <c r="Z180" s="6"/>
      <c r="AD180" s="6"/>
    </row>
    <row r="181" ht="15.75" customHeight="1">
      <c r="A181" s="4"/>
      <c r="B181" s="4"/>
      <c r="C181" s="4"/>
      <c r="Z181" s="6"/>
      <c r="AD181" s="6"/>
    </row>
    <row r="182" ht="15.75" customHeight="1">
      <c r="A182" s="4"/>
      <c r="B182" s="4"/>
      <c r="C182" s="4"/>
      <c r="Z182" s="6"/>
      <c r="AD182" s="6"/>
    </row>
    <row r="183" ht="15.75" customHeight="1">
      <c r="A183" s="4"/>
      <c r="B183" s="4"/>
      <c r="C183" s="4"/>
      <c r="Z183" s="6"/>
      <c r="AD183" s="6"/>
    </row>
    <row r="184" ht="15.75" customHeight="1">
      <c r="A184" s="4"/>
      <c r="B184" s="4"/>
      <c r="C184" s="4"/>
      <c r="Z184" s="6"/>
      <c r="AD184" s="6"/>
    </row>
    <row r="185" ht="15.75" customHeight="1">
      <c r="A185" s="4"/>
      <c r="B185" s="4"/>
      <c r="C185" s="4"/>
      <c r="Z185" s="6"/>
      <c r="AD185" s="6"/>
    </row>
    <row r="186" ht="15.75" customHeight="1">
      <c r="A186" s="4"/>
      <c r="B186" s="4"/>
      <c r="C186" s="4"/>
      <c r="Z186" s="6"/>
      <c r="AD186" s="6"/>
    </row>
    <row r="187" ht="15.75" customHeight="1">
      <c r="A187" s="4"/>
      <c r="B187" s="4"/>
      <c r="C187" s="4"/>
      <c r="Z187" s="6"/>
      <c r="AD187" s="6"/>
    </row>
    <row r="188" ht="15.75" customHeight="1">
      <c r="A188" s="4"/>
      <c r="B188" s="4"/>
      <c r="C188" s="4"/>
      <c r="Z188" s="6"/>
      <c r="AD188" s="6"/>
    </row>
    <row r="189" ht="15.75" customHeight="1">
      <c r="A189" s="4"/>
      <c r="B189" s="4"/>
      <c r="C189" s="4"/>
      <c r="Z189" s="6"/>
      <c r="AD189" s="6"/>
    </row>
    <row r="190" ht="15.75" customHeight="1">
      <c r="A190" s="4"/>
      <c r="B190" s="4"/>
      <c r="C190" s="4"/>
      <c r="Z190" s="6"/>
      <c r="AD190" s="6"/>
    </row>
    <row r="191" ht="15.75" customHeight="1">
      <c r="A191" s="4"/>
      <c r="B191" s="4"/>
      <c r="C191" s="4"/>
      <c r="Z191" s="6"/>
      <c r="AD191" s="6"/>
    </row>
    <row r="192" ht="15.75" customHeight="1">
      <c r="A192" s="4"/>
      <c r="B192" s="4"/>
      <c r="C192" s="4"/>
      <c r="Z192" s="6"/>
      <c r="AD192" s="6"/>
    </row>
    <row r="193" ht="15.75" customHeight="1">
      <c r="A193" s="4"/>
      <c r="B193" s="4"/>
      <c r="C193" s="4"/>
      <c r="Z193" s="6"/>
      <c r="AD193" s="6"/>
    </row>
    <row r="194" ht="15.75" customHeight="1">
      <c r="A194" s="4"/>
      <c r="B194" s="4"/>
      <c r="C194" s="4"/>
      <c r="Z194" s="6"/>
      <c r="AD194" s="6"/>
    </row>
    <row r="195" ht="15.75" customHeight="1">
      <c r="A195" s="4"/>
      <c r="B195" s="4"/>
      <c r="C195" s="4"/>
      <c r="Z195" s="6"/>
      <c r="AD195" s="6"/>
    </row>
    <row r="196" ht="15.75" customHeight="1">
      <c r="A196" s="4"/>
      <c r="B196" s="4"/>
      <c r="C196" s="4"/>
      <c r="Z196" s="6"/>
      <c r="AD196" s="6"/>
    </row>
    <row r="197" ht="15.75" customHeight="1">
      <c r="A197" s="4"/>
      <c r="B197" s="4"/>
      <c r="C197" s="4"/>
      <c r="Z197" s="6"/>
      <c r="AD197" s="6"/>
    </row>
    <row r="198" ht="15.75" customHeight="1">
      <c r="A198" s="4"/>
      <c r="B198" s="4"/>
      <c r="C198" s="4"/>
      <c r="Z198" s="6"/>
      <c r="AD198" s="6"/>
    </row>
    <row r="199" ht="15.75" customHeight="1">
      <c r="A199" s="4"/>
      <c r="B199" s="4"/>
      <c r="C199" s="4"/>
      <c r="Z199" s="6"/>
      <c r="AD199" s="6"/>
    </row>
    <row r="200" ht="15.75" customHeight="1">
      <c r="A200" s="4"/>
      <c r="B200" s="4"/>
      <c r="C200" s="4"/>
      <c r="Z200" s="6"/>
      <c r="AD200" s="6"/>
    </row>
    <row r="201" ht="15.75" customHeight="1">
      <c r="A201" s="4"/>
      <c r="B201" s="4"/>
      <c r="C201" s="4"/>
      <c r="Z201" s="6"/>
      <c r="AD201" s="6"/>
    </row>
    <row r="202" ht="15.75" customHeight="1">
      <c r="A202" s="4"/>
      <c r="B202" s="4"/>
      <c r="C202" s="4"/>
      <c r="Z202" s="6"/>
      <c r="AD202" s="6"/>
    </row>
    <row r="203" ht="15.75" customHeight="1">
      <c r="A203" s="4"/>
      <c r="B203" s="4"/>
      <c r="C203" s="4"/>
      <c r="Z203" s="6"/>
      <c r="AD203" s="6"/>
    </row>
    <row r="204" ht="15.75" customHeight="1">
      <c r="A204" s="4"/>
      <c r="B204" s="4"/>
      <c r="C204" s="4"/>
      <c r="Z204" s="6"/>
      <c r="AD204" s="6"/>
    </row>
    <row r="205" ht="15.75" customHeight="1">
      <c r="A205" s="4"/>
      <c r="B205" s="4"/>
      <c r="C205" s="4"/>
      <c r="Z205" s="6"/>
      <c r="AD205" s="6"/>
    </row>
    <row r="206" ht="15.75" customHeight="1">
      <c r="A206" s="4"/>
      <c r="B206" s="4"/>
      <c r="C206" s="4"/>
      <c r="Z206" s="6"/>
      <c r="AD206" s="6"/>
    </row>
    <row r="207" ht="15.75" customHeight="1">
      <c r="A207" s="4"/>
      <c r="B207" s="4"/>
      <c r="C207" s="4"/>
      <c r="Z207" s="6"/>
      <c r="AD207" s="6"/>
    </row>
    <row r="208" ht="15.75" customHeight="1">
      <c r="A208" s="4"/>
      <c r="B208" s="4"/>
      <c r="C208" s="4"/>
      <c r="Z208" s="6"/>
      <c r="AD208" s="6"/>
    </row>
    <row r="209" ht="15.75" customHeight="1">
      <c r="A209" s="4"/>
      <c r="B209" s="4"/>
      <c r="C209" s="4"/>
      <c r="Z209" s="6"/>
      <c r="AD209" s="6"/>
    </row>
    <row r="210" ht="15.75" customHeight="1">
      <c r="A210" s="4"/>
      <c r="B210" s="4"/>
      <c r="C210" s="4"/>
      <c r="Z210" s="6"/>
      <c r="AD210" s="6"/>
    </row>
    <row r="211" ht="15.75" customHeight="1">
      <c r="A211" s="4"/>
      <c r="B211" s="4"/>
      <c r="C211" s="4"/>
      <c r="Z211" s="6"/>
      <c r="AD211" s="6"/>
    </row>
    <row r="212" ht="15.75" customHeight="1">
      <c r="A212" s="4"/>
      <c r="B212" s="4"/>
      <c r="C212" s="4"/>
      <c r="Z212" s="6"/>
      <c r="AD212" s="6"/>
    </row>
    <row r="213" ht="15.75" customHeight="1">
      <c r="A213" s="4"/>
      <c r="B213" s="4"/>
      <c r="C213" s="4"/>
      <c r="Z213" s="6"/>
      <c r="AD213" s="6"/>
    </row>
    <row r="214" ht="15.75" customHeight="1">
      <c r="A214" s="4"/>
      <c r="B214" s="4"/>
      <c r="C214" s="4"/>
      <c r="Z214" s="6"/>
      <c r="AD214" s="6"/>
    </row>
    <row r="215" ht="15.75" customHeight="1">
      <c r="A215" s="4"/>
      <c r="B215" s="4"/>
      <c r="C215" s="4"/>
      <c r="Z215" s="6"/>
      <c r="AD215" s="6"/>
    </row>
    <row r="216" ht="15.75" customHeight="1">
      <c r="A216" s="4"/>
      <c r="B216" s="4"/>
      <c r="C216" s="4"/>
      <c r="Z216" s="6"/>
      <c r="AD216" s="6"/>
    </row>
    <row r="217" ht="15.75" customHeight="1">
      <c r="A217" s="4"/>
      <c r="B217" s="4"/>
      <c r="C217" s="4"/>
      <c r="Z217" s="6"/>
      <c r="AD217" s="6"/>
    </row>
    <row r="218" ht="15.75" customHeight="1">
      <c r="A218" s="4"/>
      <c r="B218" s="4"/>
      <c r="C218" s="4"/>
      <c r="Z218" s="6"/>
      <c r="AD218" s="6"/>
    </row>
    <row r="219" ht="15.75" customHeight="1">
      <c r="A219" s="4"/>
      <c r="B219" s="4"/>
      <c r="C219" s="4"/>
      <c r="Z219" s="6"/>
      <c r="AD219" s="6"/>
    </row>
    <row r="220" ht="15.75" customHeight="1">
      <c r="A220" s="4"/>
      <c r="B220" s="4"/>
      <c r="C220" s="4"/>
      <c r="Z220" s="6"/>
      <c r="AD220" s="6"/>
    </row>
    <row r="221" ht="15.75" customHeight="1">
      <c r="A221" s="4"/>
      <c r="B221" s="4"/>
      <c r="C221" s="4"/>
      <c r="Z221" s="6"/>
      <c r="AD221" s="6"/>
    </row>
    <row r="222" ht="15.75" customHeight="1">
      <c r="A222" s="4"/>
      <c r="B222" s="4"/>
      <c r="C222" s="4"/>
      <c r="Z222" s="6"/>
      <c r="AD222" s="6"/>
    </row>
    <row r="223" ht="15.75" customHeight="1">
      <c r="A223" s="4"/>
      <c r="B223" s="4"/>
      <c r="C223" s="4"/>
      <c r="Z223" s="6"/>
      <c r="AD223" s="6"/>
    </row>
    <row r="224" ht="15.75" customHeight="1">
      <c r="A224" s="4"/>
      <c r="B224" s="4"/>
      <c r="C224" s="4"/>
      <c r="Z224" s="6"/>
      <c r="AD224" s="6"/>
    </row>
    <row r="225" ht="15.75" customHeight="1">
      <c r="A225" s="4"/>
      <c r="B225" s="4"/>
      <c r="C225" s="4"/>
      <c r="Z225" s="6"/>
      <c r="AD225" s="6"/>
    </row>
    <row r="226" ht="15.75" customHeight="1">
      <c r="A226" s="4"/>
      <c r="B226" s="4"/>
      <c r="C226" s="4"/>
      <c r="Z226" s="6"/>
      <c r="AD226" s="6"/>
    </row>
    <row r="227" ht="15.75" customHeight="1">
      <c r="A227" s="4"/>
      <c r="B227" s="4"/>
      <c r="C227" s="4"/>
      <c r="Z227" s="6"/>
      <c r="AD227" s="6"/>
    </row>
    <row r="228" ht="15.75" customHeight="1">
      <c r="A228" s="4"/>
      <c r="B228" s="4"/>
      <c r="C228" s="4"/>
      <c r="Z228" s="6"/>
      <c r="AD228" s="6"/>
    </row>
    <row r="229" ht="15.75" customHeight="1">
      <c r="A229" s="4"/>
      <c r="B229" s="4"/>
      <c r="C229" s="4"/>
      <c r="Z229" s="6"/>
      <c r="AD229" s="6"/>
    </row>
    <row r="230" ht="15.75" customHeight="1">
      <c r="A230" s="4"/>
      <c r="B230" s="4"/>
      <c r="C230" s="4"/>
      <c r="Z230" s="6"/>
      <c r="AD230" s="6"/>
    </row>
    <row r="231" ht="15.75" customHeight="1">
      <c r="A231" s="4"/>
      <c r="B231" s="4"/>
      <c r="C231" s="4"/>
      <c r="Z231" s="6"/>
      <c r="AD231" s="6"/>
    </row>
    <row r="232" ht="15.75" customHeight="1">
      <c r="A232" s="4"/>
      <c r="B232" s="4"/>
      <c r="C232" s="4"/>
      <c r="Z232" s="6"/>
      <c r="AD232" s="6"/>
    </row>
    <row r="233" ht="15.75" customHeight="1">
      <c r="A233" s="4"/>
      <c r="B233" s="4"/>
      <c r="C233" s="4"/>
      <c r="Z233" s="6"/>
      <c r="AD233" s="6"/>
    </row>
    <row r="234" ht="15.75" customHeight="1">
      <c r="A234" s="4"/>
      <c r="B234" s="4"/>
      <c r="C234" s="4"/>
      <c r="Z234" s="6"/>
      <c r="AD234" s="6"/>
    </row>
    <row r="235" ht="15.75" customHeight="1">
      <c r="A235" s="4"/>
      <c r="B235" s="4"/>
      <c r="C235" s="4"/>
      <c r="Z235" s="6"/>
      <c r="AD235" s="6"/>
    </row>
    <row r="236" ht="15.75" customHeight="1">
      <c r="A236" s="4"/>
      <c r="B236" s="4"/>
      <c r="C236" s="4"/>
      <c r="Z236" s="6"/>
      <c r="AD236" s="6"/>
    </row>
    <row r="237" ht="15.75" customHeight="1">
      <c r="A237" s="4"/>
      <c r="B237" s="4"/>
      <c r="C237" s="4"/>
      <c r="Z237" s="6"/>
      <c r="AD237" s="6"/>
    </row>
    <row r="238" ht="15.75" customHeight="1">
      <c r="A238" s="4"/>
      <c r="B238" s="4"/>
      <c r="C238" s="4"/>
      <c r="Z238" s="6"/>
      <c r="AD238" s="6"/>
    </row>
    <row r="239" ht="15.75" customHeight="1">
      <c r="A239" s="4"/>
      <c r="B239" s="4"/>
      <c r="C239" s="4"/>
      <c r="Z239" s="6"/>
      <c r="AD239" s="6"/>
    </row>
    <row r="240" ht="15.75" customHeight="1">
      <c r="A240" s="4"/>
      <c r="B240" s="4"/>
      <c r="C240" s="4"/>
      <c r="Z240" s="6"/>
      <c r="AD240" s="6"/>
    </row>
    <row r="241" ht="15.75" customHeight="1">
      <c r="A241" s="4"/>
      <c r="B241" s="4"/>
      <c r="C241" s="4"/>
      <c r="Z241" s="6"/>
      <c r="AD241" s="6"/>
    </row>
    <row r="242" ht="15.75" customHeight="1">
      <c r="A242" s="4"/>
      <c r="B242" s="4"/>
      <c r="C242" s="4"/>
      <c r="Z242" s="6"/>
      <c r="AD242" s="6"/>
    </row>
    <row r="243" ht="15.75" customHeight="1">
      <c r="A243" s="4"/>
      <c r="B243" s="4"/>
      <c r="C243" s="4"/>
      <c r="Z243" s="6"/>
      <c r="AD243" s="6"/>
    </row>
    <row r="244" ht="15.75" customHeight="1">
      <c r="A244" s="4"/>
      <c r="B244" s="4"/>
      <c r="C244" s="4"/>
      <c r="Z244" s="6"/>
      <c r="AD244" s="6"/>
    </row>
    <row r="245" ht="15.75" customHeight="1">
      <c r="A245" s="4"/>
      <c r="B245" s="4"/>
      <c r="C245" s="4"/>
      <c r="Z245" s="6"/>
      <c r="AD245" s="6"/>
    </row>
    <row r="246" ht="15.75" customHeight="1">
      <c r="A246" s="4"/>
      <c r="B246" s="4"/>
      <c r="C246" s="4"/>
      <c r="Z246" s="6"/>
      <c r="AD246" s="6"/>
    </row>
    <row r="247" ht="15.75" customHeight="1">
      <c r="A247" s="4"/>
      <c r="B247" s="4"/>
      <c r="C247" s="4"/>
      <c r="Z247" s="6"/>
      <c r="AD247" s="6"/>
    </row>
    <row r="248" ht="15.75" customHeight="1">
      <c r="A248" s="4"/>
      <c r="B248" s="4"/>
      <c r="C248" s="4"/>
      <c r="Z248" s="6"/>
      <c r="AD248" s="6"/>
    </row>
    <row r="249" ht="15.75" customHeight="1">
      <c r="A249" s="4"/>
      <c r="B249" s="4"/>
      <c r="C249" s="4"/>
      <c r="Z249" s="6"/>
      <c r="AD249" s="6"/>
    </row>
    <row r="250" ht="15.75" customHeight="1">
      <c r="A250" s="4"/>
      <c r="B250" s="4"/>
      <c r="C250" s="4"/>
      <c r="Z250" s="6"/>
      <c r="AD250" s="6"/>
    </row>
    <row r="251" ht="15.75" customHeight="1">
      <c r="A251" s="4"/>
      <c r="B251" s="4"/>
      <c r="C251" s="4"/>
      <c r="Z251" s="6"/>
      <c r="AD251" s="6"/>
    </row>
    <row r="252" ht="15.75" customHeight="1">
      <c r="A252" s="4"/>
      <c r="B252" s="4"/>
      <c r="C252" s="4"/>
      <c r="Z252" s="6"/>
      <c r="AD252" s="6"/>
    </row>
    <row r="253" ht="15.75" customHeight="1">
      <c r="A253" s="4"/>
      <c r="B253" s="4"/>
      <c r="C253" s="4"/>
      <c r="Z253" s="6"/>
      <c r="AD253" s="6"/>
    </row>
    <row r="254" ht="15.75" customHeight="1">
      <c r="A254" s="4"/>
      <c r="B254" s="4"/>
      <c r="C254" s="4"/>
      <c r="Z254" s="6"/>
      <c r="AD254" s="6"/>
    </row>
    <row r="255" ht="15.75" customHeight="1">
      <c r="A255" s="4"/>
      <c r="B255" s="4"/>
      <c r="C255" s="4"/>
      <c r="Z255" s="6"/>
      <c r="AD255" s="6"/>
    </row>
    <row r="256" ht="15.75" customHeight="1">
      <c r="A256" s="4"/>
      <c r="B256" s="4"/>
      <c r="C256" s="4"/>
      <c r="Z256" s="6"/>
      <c r="AD256" s="6"/>
    </row>
    <row r="257" ht="15.75" customHeight="1">
      <c r="A257" s="4"/>
      <c r="B257" s="4"/>
      <c r="C257" s="4"/>
      <c r="Z257" s="6"/>
      <c r="AD257" s="6"/>
    </row>
    <row r="258" ht="15.75" customHeight="1">
      <c r="A258" s="4"/>
      <c r="B258" s="4"/>
      <c r="C258" s="4"/>
      <c r="Z258" s="6"/>
      <c r="AD258" s="6"/>
    </row>
    <row r="259" ht="15.75" customHeight="1">
      <c r="A259" s="4"/>
      <c r="B259" s="4"/>
      <c r="C259" s="4"/>
      <c r="Z259" s="6"/>
      <c r="AD259" s="6"/>
    </row>
    <row r="260" ht="15.75" customHeight="1">
      <c r="A260" s="4"/>
      <c r="B260" s="4"/>
      <c r="C260" s="4"/>
      <c r="Z260" s="6"/>
      <c r="AD260" s="6"/>
    </row>
    <row r="261" ht="15.75" customHeight="1">
      <c r="A261" s="4"/>
      <c r="B261" s="4"/>
      <c r="C261" s="4"/>
      <c r="Z261" s="6"/>
      <c r="AD261" s="6"/>
    </row>
    <row r="262" ht="15.75" customHeight="1">
      <c r="A262" s="4"/>
      <c r="B262" s="4"/>
      <c r="C262" s="4"/>
      <c r="Z262" s="6"/>
      <c r="AD262" s="6"/>
    </row>
    <row r="263" ht="15.75" customHeight="1">
      <c r="A263" s="4"/>
      <c r="B263" s="4"/>
      <c r="C263" s="4"/>
      <c r="Z263" s="6"/>
      <c r="AD263" s="6"/>
    </row>
    <row r="264" ht="15.75" customHeight="1">
      <c r="A264" s="4"/>
      <c r="B264" s="4"/>
      <c r="C264" s="4"/>
      <c r="Z264" s="6"/>
      <c r="AD264" s="6"/>
    </row>
    <row r="265" ht="15.75" customHeight="1">
      <c r="A265" s="4"/>
      <c r="B265" s="4"/>
      <c r="C265" s="4"/>
      <c r="Z265" s="6"/>
      <c r="AD265" s="6"/>
    </row>
    <row r="266" ht="15.75" customHeight="1">
      <c r="A266" s="4"/>
      <c r="B266" s="4"/>
      <c r="C266" s="4"/>
      <c r="Z266" s="6"/>
      <c r="AD266" s="6"/>
    </row>
    <row r="267" ht="15.75" customHeight="1">
      <c r="A267" s="4"/>
      <c r="B267" s="4"/>
      <c r="C267" s="4"/>
      <c r="Z267" s="6"/>
      <c r="AD267" s="6"/>
    </row>
    <row r="268" ht="15.75" customHeight="1">
      <c r="A268" s="4"/>
      <c r="B268" s="4"/>
      <c r="C268" s="4"/>
      <c r="Z268" s="6"/>
      <c r="AD268" s="6"/>
    </row>
    <row r="269" ht="15.75" customHeight="1">
      <c r="A269" s="4"/>
      <c r="B269" s="4"/>
      <c r="C269" s="4"/>
      <c r="Z269" s="6"/>
      <c r="AD269" s="6"/>
    </row>
    <row r="270" ht="15.75" customHeight="1">
      <c r="A270" s="4"/>
      <c r="B270" s="4"/>
      <c r="C270" s="4"/>
      <c r="Z270" s="6"/>
      <c r="AD270" s="6"/>
    </row>
    <row r="271" ht="15.75" customHeight="1">
      <c r="A271" s="4"/>
      <c r="B271" s="4"/>
      <c r="C271" s="4"/>
      <c r="Z271" s="6"/>
      <c r="AD271" s="6"/>
    </row>
    <row r="272" ht="15.75" customHeight="1">
      <c r="A272" s="4"/>
      <c r="B272" s="4"/>
      <c r="C272" s="4"/>
      <c r="Z272" s="6"/>
      <c r="AD272" s="6"/>
    </row>
    <row r="273" ht="15.75" customHeight="1">
      <c r="A273" s="4"/>
      <c r="B273" s="4"/>
      <c r="C273" s="4"/>
      <c r="Z273" s="6"/>
      <c r="AD273" s="6"/>
    </row>
    <row r="274" ht="15.75" customHeight="1">
      <c r="A274" s="4"/>
      <c r="B274" s="4"/>
      <c r="C274" s="4"/>
      <c r="Z274" s="6"/>
      <c r="AD274" s="6"/>
    </row>
    <row r="275" ht="15.75" customHeight="1">
      <c r="A275" s="4"/>
      <c r="B275" s="4"/>
      <c r="C275" s="4"/>
      <c r="Z275" s="6"/>
      <c r="AD275" s="6"/>
    </row>
    <row r="276" ht="15.75" customHeight="1">
      <c r="A276" s="4"/>
      <c r="B276" s="4"/>
      <c r="C276" s="4"/>
      <c r="Z276" s="6"/>
      <c r="AD276" s="6"/>
    </row>
    <row r="277" ht="15.75" customHeight="1">
      <c r="A277" s="4"/>
      <c r="B277" s="4"/>
      <c r="C277" s="4"/>
      <c r="Z277" s="6"/>
      <c r="AD277" s="6"/>
    </row>
    <row r="278" ht="15.75" customHeight="1">
      <c r="A278" s="4"/>
      <c r="B278" s="4"/>
      <c r="C278" s="4"/>
      <c r="Z278" s="6"/>
      <c r="AD278" s="6"/>
    </row>
    <row r="279" ht="15.75" customHeight="1">
      <c r="A279" s="4"/>
      <c r="B279" s="4"/>
      <c r="C279" s="4"/>
      <c r="Z279" s="6"/>
      <c r="AD279" s="6"/>
    </row>
    <row r="280" ht="15.75" customHeight="1">
      <c r="A280" s="4"/>
      <c r="B280" s="4"/>
      <c r="C280" s="4"/>
      <c r="Z280" s="6"/>
      <c r="AD280" s="6"/>
    </row>
    <row r="281" ht="15.75" customHeight="1">
      <c r="A281" s="4"/>
      <c r="B281" s="4"/>
      <c r="C281" s="4"/>
      <c r="Z281" s="6"/>
      <c r="AD281" s="6"/>
    </row>
    <row r="282" ht="15.75" customHeight="1">
      <c r="A282" s="4"/>
      <c r="B282" s="4"/>
      <c r="C282" s="4"/>
      <c r="Z282" s="6"/>
      <c r="AD282" s="6"/>
    </row>
    <row r="283" ht="15.75" customHeight="1">
      <c r="A283" s="4"/>
      <c r="B283" s="4"/>
      <c r="C283" s="4"/>
      <c r="Z283" s="6"/>
      <c r="AD283" s="6"/>
    </row>
    <row r="284" ht="15.75" customHeight="1">
      <c r="A284" s="4"/>
      <c r="B284" s="4"/>
      <c r="C284" s="4"/>
      <c r="Z284" s="6"/>
      <c r="AD284" s="6"/>
    </row>
    <row r="285" ht="15.75" customHeight="1">
      <c r="A285" s="4"/>
      <c r="B285" s="4"/>
      <c r="C285" s="4"/>
      <c r="Z285" s="6"/>
      <c r="AD285" s="6"/>
    </row>
    <row r="286" ht="15.75" customHeight="1">
      <c r="A286" s="4"/>
      <c r="B286" s="4"/>
      <c r="C286" s="4"/>
      <c r="Z286" s="6"/>
      <c r="AD286" s="6"/>
    </row>
    <row r="287" ht="15.75" customHeight="1">
      <c r="A287" s="4"/>
      <c r="B287" s="4"/>
      <c r="C287" s="4"/>
      <c r="Z287" s="6"/>
      <c r="AD287" s="6"/>
    </row>
    <row r="288" ht="15.75" customHeight="1">
      <c r="A288" s="4"/>
      <c r="B288" s="4"/>
      <c r="C288" s="4"/>
      <c r="Z288" s="6"/>
      <c r="AD288" s="6"/>
    </row>
    <row r="289" ht="15.75" customHeight="1">
      <c r="A289" s="4"/>
      <c r="B289" s="4"/>
      <c r="C289" s="4"/>
      <c r="Z289" s="6"/>
      <c r="AD289" s="6"/>
    </row>
    <row r="290" ht="15.75" customHeight="1">
      <c r="A290" s="4"/>
      <c r="B290" s="4"/>
      <c r="C290" s="4"/>
      <c r="Z290" s="6"/>
      <c r="AD290" s="6"/>
    </row>
    <row r="291" ht="15.75" customHeight="1">
      <c r="A291" s="4"/>
      <c r="B291" s="4"/>
      <c r="C291" s="4"/>
      <c r="Z291" s="6"/>
      <c r="AD291" s="6"/>
    </row>
    <row r="292" ht="15.75" customHeight="1">
      <c r="A292" s="4"/>
      <c r="B292" s="4"/>
      <c r="C292" s="4"/>
      <c r="Z292" s="6"/>
      <c r="AD292" s="6"/>
    </row>
    <row r="293" ht="15.75" customHeight="1">
      <c r="A293" s="4"/>
      <c r="B293" s="4"/>
      <c r="C293" s="4"/>
      <c r="Z293" s="6"/>
      <c r="AD293" s="6"/>
    </row>
    <row r="294" ht="15.75" customHeight="1">
      <c r="A294" s="4"/>
      <c r="B294" s="4"/>
      <c r="C294" s="4"/>
      <c r="Z294" s="6"/>
      <c r="AD294" s="6"/>
    </row>
    <row r="295" ht="15.75" customHeight="1">
      <c r="A295" s="4"/>
      <c r="B295" s="4"/>
      <c r="C295" s="4"/>
      <c r="Z295" s="6"/>
      <c r="AD295" s="6"/>
    </row>
    <row r="296" ht="15.75" customHeight="1">
      <c r="A296" s="4"/>
      <c r="B296" s="4"/>
      <c r="C296" s="4"/>
      <c r="Z296" s="6"/>
      <c r="AD296" s="6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2025-12-22T13:35:15Z</dcterms:created>
  <dc:creator>syed.muazzam@bigbasket.com</dc:creator>
</cp:coreProperties>
</file>