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yed Muazzam\Desktop\Pilot subscription raw file\"/>
    </mc:Choice>
  </mc:AlternateContent>
  <xr:revisionPtr revIDLastSave="0" documentId="8_{6CAE36A7-EEE7-4BC5-AE27-082063A303F2}" xr6:coauthVersionLast="47" xr6:coauthVersionMax="47" xr10:uidLastSave="{00000000-0000-0000-0000-000000000000}"/>
  <bookViews>
    <workbookView xWindow="-120" yWindow="-120" windowWidth="20730" windowHeight="11040" xr2:uid="{D0D6CD30-5729-4C32-838E-7AF5B682BC49}"/>
  </bookViews>
  <sheets>
    <sheet name="OTA" sheetId="1" r:id="rId1"/>
  </sheets>
  <externalReferences>
    <externalReference r:id="rId2"/>
  </externalReferences>
  <definedNames>
    <definedName name="City_Name">'[1]Migrated Societies Data'!$B$2:$B$999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7" i="1" l="1" a="1"/>
  <c r="M607" i="1" s="1"/>
  <c r="L607" i="1" a="1"/>
  <c r="L607" i="1" s="1"/>
  <c r="K607" i="1"/>
  <c r="J607" i="1"/>
  <c r="I607" i="1"/>
  <c r="H607" i="1"/>
  <c r="M606" i="1" a="1"/>
  <c r="M606" i="1" s="1"/>
  <c r="L606" i="1" a="1"/>
  <c r="L606" i="1" s="1"/>
  <c r="K606" i="1"/>
  <c r="J606" i="1"/>
  <c r="O606" i="1" s="1"/>
  <c r="I606" i="1"/>
  <c r="H606" i="1"/>
  <c r="M605" i="1" a="1"/>
  <c r="M605" i="1" s="1"/>
  <c r="L605" i="1" a="1"/>
  <c r="L605" i="1" s="1"/>
  <c r="K605" i="1"/>
  <c r="J605" i="1"/>
  <c r="O605" i="1" s="1"/>
  <c r="I605" i="1"/>
  <c r="H605" i="1"/>
  <c r="O604" i="1"/>
  <c r="N604" i="1"/>
  <c r="M604" i="1" a="1"/>
  <c r="M604" i="1" s="1"/>
  <c r="L604" i="1" a="1"/>
  <c r="L604" i="1" s="1"/>
  <c r="K604" i="1"/>
  <c r="J604" i="1"/>
  <c r="I604" i="1"/>
  <c r="H604" i="1"/>
  <c r="M603" i="1" a="1"/>
  <c r="M603" i="1" s="1"/>
  <c r="L603" i="1" a="1"/>
  <c r="L603" i="1" s="1"/>
  <c r="K603" i="1"/>
  <c r="J603" i="1"/>
  <c r="N603" i="1" s="1"/>
  <c r="I603" i="1"/>
  <c r="H603" i="1"/>
  <c r="M602" i="1" a="1"/>
  <c r="M602" i="1" s="1"/>
  <c r="L602" i="1" a="1"/>
  <c r="L602" i="1" s="1"/>
  <c r="K602" i="1"/>
  <c r="J602" i="1"/>
  <c r="O602" i="1" s="1"/>
  <c r="I602" i="1"/>
  <c r="H602" i="1"/>
  <c r="M601" i="1" a="1"/>
  <c r="M601" i="1" s="1"/>
  <c r="L601" i="1"/>
  <c r="L601" i="1" a="1"/>
  <c r="K601" i="1"/>
  <c r="J601" i="1"/>
  <c r="O601" i="1" s="1"/>
  <c r="I601" i="1"/>
  <c r="H601" i="1"/>
  <c r="O600" i="1"/>
  <c r="N600" i="1"/>
  <c r="M600" i="1"/>
  <c r="M600" i="1" a="1"/>
  <c r="L600" i="1" a="1"/>
  <c r="L600" i="1" s="1"/>
  <c r="K600" i="1"/>
  <c r="J600" i="1"/>
  <c r="I600" i="1"/>
  <c r="H600" i="1"/>
  <c r="O599" i="1"/>
  <c r="M599" i="1" a="1"/>
  <c r="M599" i="1" s="1"/>
  <c r="L599" i="1" a="1"/>
  <c r="L599" i="1" s="1"/>
  <c r="K599" i="1"/>
  <c r="J599" i="1"/>
  <c r="N599" i="1" s="1"/>
  <c r="I599" i="1"/>
  <c r="H599" i="1"/>
  <c r="M598" i="1" a="1"/>
  <c r="M598" i="1" s="1"/>
  <c r="L598" i="1" a="1"/>
  <c r="L598" i="1" s="1"/>
  <c r="K598" i="1"/>
  <c r="J598" i="1"/>
  <c r="O598" i="1" s="1"/>
  <c r="I598" i="1"/>
  <c r="H598" i="1"/>
  <c r="M597" i="1" a="1"/>
  <c r="M597" i="1" s="1"/>
  <c r="L597" i="1"/>
  <c r="L597" i="1" a="1"/>
  <c r="K597" i="1"/>
  <c r="J597" i="1"/>
  <c r="O597" i="1" s="1"/>
  <c r="I597" i="1"/>
  <c r="H597" i="1"/>
  <c r="O596" i="1"/>
  <c r="N596" i="1"/>
  <c r="M596" i="1"/>
  <c r="M596" i="1" a="1"/>
  <c r="L596" i="1" a="1"/>
  <c r="L596" i="1" s="1"/>
  <c r="K596" i="1"/>
  <c r="J596" i="1"/>
  <c r="I596" i="1"/>
  <c r="H596" i="1"/>
  <c r="M595" i="1" a="1"/>
  <c r="M595" i="1" s="1"/>
  <c r="L595" i="1" a="1"/>
  <c r="L595" i="1" s="1"/>
  <c r="K595" i="1"/>
  <c r="J595" i="1"/>
  <c r="N595" i="1" s="1"/>
  <c r="I595" i="1"/>
  <c r="H595" i="1"/>
  <c r="M594" i="1" a="1"/>
  <c r="M594" i="1" s="1"/>
  <c r="L594" i="1" a="1"/>
  <c r="L594" i="1" s="1"/>
  <c r="K594" i="1"/>
  <c r="J594" i="1"/>
  <c r="O594" i="1" s="1"/>
  <c r="I594" i="1"/>
  <c r="H594" i="1"/>
  <c r="M593" i="1" a="1"/>
  <c r="M593" i="1" s="1"/>
  <c r="L593" i="1"/>
  <c r="L593" i="1" a="1"/>
  <c r="K593" i="1"/>
  <c r="J593" i="1"/>
  <c r="O593" i="1" s="1"/>
  <c r="I593" i="1"/>
  <c r="H593" i="1"/>
  <c r="O592" i="1"/>
  <c r="N592" i="1"/>
  <c r="M592" i="1"/>
  <c r="M592" i="1" a="1"/>
  <c r="L592" i="1" a="1"/>
  <c r="L592" i="1" s="1"/>
  <c r="K592" i="1"/>
  <c r="J592" i="1"/>
  <c r="I592" i="1"/>
  <c r="H592" i="1"/>
  <c r="M591" i="1" a="1"/>
  <c r="M591" i="1" s="1"/>
  <c r="L591" i="1" a="1"/>
  <c r="L591" i="1" s="1"/>
  <c r="K591" i="1"/>
  <c r="J591" i="1"/>
  <c r="I591" i="1"/>
  <c r="H591" i="1"/>
  <c r="M590" i="1" a="1"/>
  <c r="M590" i="1" s="1"/>
  <c r="L590" i="1" a="1"/>
  <c r="L590" i="1" s="1"/>
  <c r="K590" i="1"/>
  <c r="J590" i="1"/>
  <c r="O590" i="1" s="1"/>
  <c r="I590" i="1"/>
  <c r="H590" i="1"/>
  <c r="M589" i="1" a="1"/>
  <c r="M589" i="1" s="1"/>
  <c r="L589" i="1"/>
  <c r="L589" i="1" a="1"/>
  <c r="K589" i="1"/>
  <c r="J589" i="1"/>
  <c r="O589" i="1" s="1"/>
  <c r="I589" i="1"/>
  <c r="H589" i="1"/>
  <c r="O588" i="1"/>
  <c r="N588" i="1"/>
  <c r="M588" i="1"/>
  <c r="M588" i="1" a="1"/>
  <c r="L588" i="1" a="1"/>
  <c r="L588" i="1" s="1"/>
  <c r="K588" i="1"/>
  <c r="J588" i="1"/>
  <c r="I588" i="1"/>
  <c r="H588" i="1"/>
  <c r="O587" i="1"/>
  <c r="M587" i="1" a="1"/>
  <c r="M587" i="1" s="1"/>
  <c r="L587" i="1" a="1"/>
  <c r="L587" i="1" s="1"/>
  <c r="K587" i="1"/>
  <c r="J587" i="1"/>
  <c r="N587" i="1" s="1"/>
  <c r="I587" i="1"/>
  <c r="H587" i="1"/>
  <c r="M586" i="1" a="1"/>
  <c r="M586" i="1" s="1"/>
  <c r="L586" i="1" a="1"/>
  <c r="L586" i="1" s="1"/>
  <c r="K586" i="1"/>
  <c r="J586" i="1"/>
  <c r="O586" i="1" s="1"/>
  <c r="I586" i="1"/>
  <c r="H586" i="1"/>
  <c r="M585" i="1" a="1"/>
  <c r="M585" i="1" s="1"/>
  <c r="L585" i="1"/>
  <c r="L585" i="1" a="1"/>
  <c r="K585" i="1"/>
  <c r="J585" i="1"/>
  <c r="O585" i="1" s="1"/>
  <c r="I585" i="1"/>
  <c r="H585" i="1"/>
  <c r="O584" i="1"/>
  <c r="N584" i="1"/>
  <c r="M584" i="1"/>
  <c r="M584" i="1" a="1"/>
  <c r="L584" i="1" a="1"/>
  <c r="L584" i="1" s="1"/>
  <c r="K584" i="1"/>
  <c r="J584" i="1"/>
  <c r="I584" i="1"/>
  <c r="H584" i="1"/>
  <c r="M583" i="1" a="1"/>
  <c r="M583" i="1" s="1"/>
  <c r="L583" i="1" a="1"/>
  <c r="L583" i="1" s="1"/>
  <c r="K583" i="1"/>
  <c r="J583" i="1"/>
  <c r="I583" i="1"/>
  <c r="H583" i="1"/>
  <c r="M582" i="1" a="1"/>
  <c r="M582" i="1" s="1"/>
  <c r="L582" i="1" a="1"/>
  <c r="L582" i="1" s="1"/>
  <c r="K582" i="1"/>
  <c r="J582" i="1"/>
  <c r="O582" i="1" s="1"/>
  <c r="I582" i="1"/>
  <c r="H582" i="1"/>
  <c r="M581" i="1" a="1"/>
  <c r="M581" i="1" s="1"/>
  <c r="L581" i="1"/>
  <c r="L581" i="1" a="1"/>
  <c r="K581" i="1"/>
  <c r="J581" i="1"/>
  <c r="O581" i="1" s="1"/>
  <c r="I581" i="1"/>
  <c r="H581" i="1"/>
  <c r="O580" i="1"/>
  <c r="N580" i="1"/>
  <c r="M580" i="1"/>
  <c r="M580" i="1" a="1"/>
  <c r="L580" i="1" a="1"/>
  <c r="L580" i="1" s="1"/>
  <c r="K580" i="1"/>
  <c r="J580" i="1"/>
  <c r="I580" i="1"/>
  <c r="H580" i="1"/>
  <c r="O579" i="1"/>
  <c r="M579" i="1" a="1"/>
  <c r="M579" i="1" s="1"/>
  <c r="L579" i="1" a="1"/>
  <c r="L579" i="1" s="1"/>
  <c r="K579" i="1"/>
  <c r="J579" i="1"/>
  <c r="N579" i="1" s="1"/>
  <c r="I579" i="1"/>
  <c r="H579" i="1"/>
  <c r="M578" i="1" a="1"/>
  <c r="M578" i="1" s="1"/>
  <c r="L578" i="1" a="1"/>
  <c r="L578" i="1" s="1"/>
  <c r="K578" i="1"/>
  <c r="J578" i="1"/>
  <c r="O578" i="1" s="1"/>
  <c r="I578" i="1"/>
  <c r="H578" i="1"/>
  <c r="M577" i="1"/>
  <c r="M577" i="1" a="1"/>
  <c r="L577" i="1"/>
  <c r="L577" i="1" a="1"/>
  <c r="K577" i="1"/>
  <c r="J577" i="1"/>
  <c r="O577" i="1" s="1"/>
  <c r="I577" i="1"/>
  <c r="H577" i="1"/>
  <c r="O576" i="1"/>
  <c r="N576" i="1"/>
  <c r="M576" i="1"/>
  <c r="M576" i="1" a="1"/>
  <c r="L576" i="1" a="1"/>
  <c r="L576" i="1" s="1"/>
  <c r="K576" i="1"/>
  <c r="J576" i="1"/>
  <c r="I576" i="1"/>
  <c r="H576" i="1"/>
  <c r="M575" i="1" a="1"/>
  <c r="M575" i="1" s="1"/>
  <c r="L575" i="1" a="1"/>
  <c r="L575" i="1" s="1"/>
  <c r="K575" i="1"/>
  <c r="J575" i="1"/>
  <c r="N575" i="1" s="1"/>
  <c r="I575" i="1"/>
  <c r="H575" i="1"/>
  <c r="M574" i="1" a="1"/>
  <c r="M574" i="1" s="1"/>
  <c r="L574" i="1" a="1"/>
  <c r="L574" i="1" s="1"/>
  <c r="K574" i="1"/>
  <c r="J574" i="1"/>
  <c r="O574" i="1" s="1"/>
  <c r="I574" i="1"/>
  <c r="H574" i="1"/>
  <c r="M573" i="1" a="1"/>
  <c r="M573" i="1" s="1"/>
  <c r="L573" i="1"/>
  <c r="L573" i="1" a="1"/>
  <c r="K573" i="1"/>
  <c r="J573" i="1"/>
  <c r="O573" i="1" s="1"/>
  <c r="I573" i="1"/>
  <c r="H573" i="1"/>
  <c r="O572" i="1"/>
  <c r="N572" i="1"/>
  <c r="M572" i="1"/>
  <c r="M572" i="1" a="1"/>
  <c r="L572" i="1" a="1"/>
  <c r="L572" i="1" s="1"/>
  <c r="K572" i="1"/>
  <c r="J572" i="1"/>
  <c r="I572" i="1"/>
  <c r="H572" i="1"/>
  <c r="O571" i="1"/>
  <c r="M571" i="1" a="1"/>
  <c r="M571" i="1" s="1"/>
  <c r="L571" i="1" a="1"/>
  <c r="L571" i="1" s="1"/>
  <c r="K571" i="1"/>
  <c r="J571" i="1"/>
  <c r="N571" i="1" s="1"/>
  <c r="I571" i="1"/>
  <c r="H571" i="1"/>
  <c r="N570" i="1"/>
  <c r="M570" i="1" a="1"/>
  <c r="M570" i="1" s="1"/>
  <c r="L570" i="1" a="1"/>
  <c r="L570" i="1" s="1"/>
  <c r="K570" i="1"/>
  <c r="J570" i="1"/>
  <c r="O570" i="1" s="1"/>
  <c r="I570" i="1"/>
  <c r="H570" i="1"/>
  <c r="M569" i="1" a="1"/>
  <c r="M569" i="1" s="1"/>
  <c r="L569" i="1"/>
  <c r="L569" i="1" a="1"/>
  <c r="K569" i="1"/>
  <c r="J569" i="1"/>
  <c r="O569" i="1" s="1"/>
  <c r="I569" i="1"/>
  <c r="H569" i="1"/>
  <c r="O568" i="1"/>
  <c r="N568" i="1"/>
  <c r="M568" i="1"/>
  <c r="M568" i="1" a="1"/>
  <c r="L568" i="1" a="1"/>
  <c r="L568" i="1" s="1"/>
  <c r="K568" i="1"/>
  <c r="J568" i="1"/>
  <c r="I568" i="1"/>
  <c r="H568" i="1"/>
  <c r="O567" i="1"/>
  <c r="M567" i="1" a="1"/>
  <c r="M567" i="1" s="1"/>
  <c r="L567" i="1" a="1"/>
  <c r="L567" i="1" s="1"/>
  <c r="K567" i="1"/>
  <c r="J567" i="1"/>
  <c r="N567" i="1" s="1"/>
  <c r="I567" i="1"/>
  <c r="H567" i="1"/>
  <c r="N566" i="1"/>
  <c r="M566" i="1" a="1"/>
  <c r="M566" i="1" s="1"/>
  <c r="L566" i="1" a="1"/>
  <c r="L566" i="1" s="1"/>
  <c r="K566" i="1"/>
  <c r="J566" i="1"/>
  <c r="O566" i="1" s="1"/>
  <c r="I566" i="1"/>
  <c r="H566" i="1"/>
  <c r="M565" i="1" a="1"/>
  <c r="M565" i="1" s="1"/>
  <c r="L565" i="1"/>
  <c r="L565" i="1" a="1"/>
  <c r="K565" i="1"/>
  <c r="J565" i="1"/>
  <c r="I565" i="1"/>
  <c r="H565" i="1"/>
  <c r="O564" i="1"/>
  <c r="N564" i="1"/>
  <c r="M564" i="1"/>
  <c r="M564" i="1" a="1"/>
  <c r="L564" i="1" a="1"/>
  <c r="L564" i="1" s="1"/>
  <c r="K564" i="1"/>
  <c r="J564" i="1"/>
  <c r="I564" i="1"/>
  <c r="H564" i="1"/>
  <c r="O563" i="1"/>
  <c r="M563" i="1" a="1"/>
  <c r="M563" i="1" s="1"/>
  <c r="L563" i="1" a="1"/>
  <c r="L563" i="1" s="1"/>
  <c r="K563" i="1"/>
  <c r="J563" i="1"/>
  <c r="N563" i="1" s="1"/>
  <c r="I563" i="1"/>
  <c r="H563" i="1"/>
  <c r="N562" i="1"/>
  <c r="M562" i="1" a="1"/>
  <c r="M562" i="1" s="1"/>
  <c r="L562" i="1" a="1"/>
  <c r="L562" i="1" s="1"/>
  <c r="K562" i="1"/>
  <c r="J562" i="1"/>
  <c r="O562" i="1" s="1"/>
  <c r="I562" i="1"/>
  <c r="H562" i="1"/>
  <c r="M561" i="1" a="1"/>
  <c r="M561" i="1" s="1"/>
  <c r="L561" i="1"/>
  <c r="L561" i="1" a="1"/>
  <c r="K561" i="1"/>
  <c r="J561" i="1"/>
  <c r="I561" i="1"/>
  <c r="H561" i="1"/>
  <c r="O560" i="1"/>
  <c r="N560" i="1"/>
  <c r="M560" i="1"/>
  <c r="M560" i="1" a="1"/>
  <c r="L560" i="1" a="1"/>
  <c r="L560" i="1" s="1"/>
  <c r="K560" i="1"/>
  <c r="J560" i="1"/>
  <c r="I560" i="1"/>
  <c r="H560" i="1"/>
  <c r="O559" i="1"/>
  <c r="M559" i="1" a="1"/>
  <c r="M559" i="1" s="1"/>
  <c r="L559" i="1" a="1"/>
  <c r="L559" i="1" s="1"/>
  <c r="K559" i="1"/>
  <c r="J559" i="1"/>
  <c r="N559" i="1" s="1"/>
  <c r="I559" i="1"/>
  <c r="H559" i="1"/>
  <c r="N558" i="1"/>
  <c r="M558" i="1" a="1"/>
  <c r="M558" i="1" s="1"/>
  <c r="L558" i="1" a="1"/>
  <c r="L558" i="1" s="1"/>
  <c r="K558" i="1"/>
  <c r="J558" i="1"/>
  <c r="O558" i="1" s="1"/>
  <c r="I558" i="1"/>
  <c r="H558" i="1"/>
  <c r="M557" i="1" a="1"/>
  <c r="M557" i="1" s="1"/>
  <c r="L557" i="1" a="1"/>
  <c r="L557" i="1" s="1"/>
  <c r="K557" i="1"/>
  <c r="J557" i="1"/>
  <c r="I557" i="1"/>
  <c r="H557" i="1"/>
  <c r="O556" i="1"/>
  <c r="N556" i="1"/>
  <c r="M556" i="1" a="1"/>
  <c r="M556" i="1" s="1"/>
  <c r="L556" i="1" a="1"/>
  <c r="L556" i="1" s="1"/>
  <c r="K556" i="1"/>
  <c r="J556" i="1"/>
  <c r="I556" i="1"/>
  <c r="H556" i="1"/>
  <c r="O555" i="1"/>
  <c r="M555" i="1" a="1"/>
  <c r="M555" i="1" s="1"/>
  <c r="L555" i="1" a="1"/>
  <c r="L555" i="1" s="1"/>
  <c r="K555" i="1"/>
  <c r="J555" i="1"/>
  <c r="N555" i="1" s="1"/>
  <c r="I555" i="1"/>
  <c r="H555" i="1"/>
  <c r="N554" i="1"/>
  <c r="M554" i="1" a="1"/>
  <c r="M554" i="1" s="1"/>
  <c r="L554" i="1"/>
  <c r="L554" i="1" a="1"/>
  <c r="K554" i="1"/>
  <c r="J554" i="1"/>
  <c r="O554" i="1" s="1"/>
  <c r="I554" i="1"/>
  <c r="H554" i="1"/>
  <c r="M553" i="1"/>
  <c r="M553" i="1" a="1"/>
  <c r="L553" i="1"/>
  <c r="L553" i="1" a="1"/>
  <c r="K553" i="1"/>
  <c r="J553" i="1"/>
  <c r="I553" i="1"/>
  <c r="H553" i="1"/>
  <c r="O552" i="1"/>
  <c r="N552" i="1"/>
  <c r="M552" i="1"/>
  <c r="M552" i="1" a="1"/>
  <c r="L552" i="1" a="1"/>
  <c r="L552" i="1" s="1"/>
  <c r="K552" i="1"/>
  <c r="J552" i="1"/>
  <c r="I552" i="1"/>
  <c r="H552" i="1"/>
  <c r="O551" i="1"/>
  <c r="N551" i="1"/>
  <c r="M551" i="1" a="1"/>
  <c r="M551" i="1" s="1"/>
  <c r="L551" i="1" a="1"/>
  <c r="L551" i="1" s="1"/>
  <c r="K551" i="1"/>
  <c r="J551" i="1"/>
  <c r="I551" i="1"/>
  <c r="H551" i="1"/>
  <c r="N550" i="1"/>
  <c r="M550" i="1" a="1"/>
  <c r="M550" i="1" s="1"/>
  <c r="L550" i="1"/>
  <c r="L550" i="1" a="1"/>
  <c r="K550" i="1"/>
  <c r="J550" i="1"/>
  <c r="O550" i="1" s="1"/>
  <c r="I550" i="1"/>
  <c r="H550" i="1"/>
  <c r="M549" i="1" a="1"/>
  <c r="M549" i="1" s="1"/>
  <c r="L549" i="1"/>
  <c r="L549" i="1" a="1"/>
  <c r="K549" i="1"/>
  <c r="J549" i="1"/>
  <c r="I549" i="1"/>
  <c r="H549" i="1"/>
  <c r="O548" i="1"/>
  <c r="N548" i="1"/>
  <c r="M548" i="1"/>
  <c r="M548" i="1" a="1"/>
  <c r="L548" i="1" a="1"/>
  <c r="L548" i="1" s="1"/>
  <c r="K548" i="1"/>
  <c r="J548" i="1"/>
  <c r="I548" i="1"/>
  <c r="H548" i="1"/>
  <c r="O547" i="1"/>
  <c r="N547" i="1"/>
  <c r="M547" i="1" a="1"/>
  <c r="M547" i="1" s="1"/>
  <c r="L547" i="1" a="1"/>
  <c r="L547" i="1" s="1"/>
  <c r="K547" i="1"/>
  <c r="J547" i="1"/>
  <c r="I547" i="1"/>
  <c r="H547" i="1"/>
  <c r="N546" i="1"/>
  <c r="M546" i="1" a="1"/>
  <c r="M546" i="1" s="1"/>
  <c r="L546" i="1" a="1"/>
  <c r="L546" i="1" s="1"/>
  <c r="K546" i="1"/>
  <c r="J546" i="1"/>
  <c r="O546" i="1" s="1"/>
  <c r="I546" i="1"/>
  <c r="H546" i="1"/>
  <c r="M545" i="1"/>
  <c r="M545" i="1" a="1"/>
  <c r="L545" i="1" a="1"/>
  <c r="L545" i="1" s="1"/>
  <c r="K545" i="1"/>
  <c r="J545" i="1"/>
  <c r="I545" i="1"/>
  <c r="H545" i="1"/>
  <c r="O544" i="1"/>
  <c r="N544" i="1"/>
  <c r="M544" i="1" a="1"/>
  <c r="M544" i="1" s="1"/>
  <c r="L544" i="1" a="1"/>
  <c r="L544" i="1" s="1"/>
  <c r="K544" i="1"/>
  <c r="J544" i="1"/>
  <c r="I544" i="1"/>
  <c r="H544" i="1"/>
  <c r="M543" i="1" a="1"/>
  <c r="M543" i="1" s="1"/>
  <c r="L543" i="1" a="1"/>
  <c r="L543" i="1" s="1"/>
  <c r="K543" i="1"/>
  <c r="J543" i="1"/>
  <c r="I543" i="1"/>
  <c r="H543" i="1"/>
  <c r="M542" i="1" a="1"/>
  <c r="M542" i="1" s="1"/>
  <c r="L542" i="1"/>
  <c r="L542" i="1" a="1"/>
  <c r="K542" i="1"/>
  <c r="J542" i="1"/>
  <c r="I542" i="1"/>
  <c r="H542" i="1"/>
  <c r="M541" i="1"/>
  <c r="M541" i="1" a="1"/>
  <c r="L541" i="1"/>
  <c r="L541" i="1" a="1"/>
  <c r="K541" i="1"/>
  <c r="J541" i="1"/>
  <c r="I541" i="1"/>
  <c r="H541" i="1"/>
  <c r="O540" i="1"/>
  <c r="N540" i="1"/>
  <c r="M540" i="1"/>
  <c r="M540" i="1" a="1"/>
  <c r="L540" i="1" a="1"/>
  <c r="L540" i="1" s="1"/>
  <c r="K540" i="1"/>
  <c r="J540" i="1"/>
  <c r="I540" i="1"/>
  <c r="H540" i="1"/>
  <c r="N539" i="1"/>
  <c r="M539" i="1" a="1"/>
  <c r="M539" i="1" s="1"/>
  <c r="L539" i="1" a="1"/>
  <c r="L539" i="1" s="1"/>
  <c r="K539" i="1"/>
  <c r="J539" i="1"/>
  <c r="O539" i="1" s="1"/>
  <c r="I539" i="1"/>
  <c r="H539" i="1"/>
  <c r="M538" i="1" a="1"/>
  <c r="M538" i="1" s="1"/>
  <c r="L538" i="1" a="1"/>
  <c r="L538" i="1" s="1"/>
  <c r="K538" i="1"/>
  <c r="J538" i="1"/>
  <c r="O538" i="1" s="1"/>
  <c r="I538" i="1"/>
  <c r="H538" i="1"/>
  <c r="M537" i="1"/>
  <c r="M537" i="1" a="1"/>
  <c r="L537" i="1" a="1"/>
  <c r="L537" i="1" s="1"/>
  <c r="K537" i="1"/>
  <c r="J537" i="1"/>
  <c r="I537" i="1"/>
  <c r="H537" i="1"/>
  <c r="M536" i="1" a="1"/>
  <c r="M536" i="1" s="1"/>
  <c r="L536" i="1" a="1"/>
  <c r="L536" i="1" s="1"/>
  <c r="K536" i="1"/>
  <c r="J536" i="1"/>
  <c r="O536" i="1" s="1"/>
  <c r="I536" i="1"/>
  <c r="H536" i="1"/>
  <c r="M535" i="1" a="1"/>
  <c r="M535" i="1" s="1"/>
  <c r="L535" i="1" a="1"/>
  <c r="L535" i="1" s="1"/>
  <c r="K535" i="1"/>
  <c r="J535" i="1"/>
  <c r="O535" i="1" s="1"/>
  <c r="I535" i="1"/>
  <c r="H535" i="1"/>
  <c r="M534" i="1" a="1"/>
  <c r="M534" i="1" s="1"/>
  <c r="L534" i="1"/>
  <c r="L534" i="1" a="1"/>
  <c r="K534" i="1"/>
  <c r="J534" i="1"/>
  <c r="O534" i="1" s="1"/>
  <c r="I534" i="1"/>
  <c r="H534" i="1"/>
  <c r="M533" i="1" a="1"/>
  <c r="M533" i="1" s="1"/>
  <c r="L533" i="1" a="1"/>
  <c r="L533" i="1" s="1"/>
  <c r="K533" i="1"/>
  <c r="J533" i="1"/>
  <c r="O533" i="1" s="1"/>
  <c r="I533" i="1"/>
  <c r="H533" i="1"/>
  <c r="N532" i="1"/>
  <c r="M532" i="1" a="1"/>
  <c r="M532" i="1" s="1"/>
  <c r="L532" i="1" a="1"/>
  <c r="L532" i="1" s="1"/>
  <c r="K532" i="1"/>
  <c r="J532" i="1"/>
  <c r="O532" i="1" s="1"/>
  <c r="I532" i="1"/>
  <c r="H532" i="1"/>
  <c r="O531" i="1"/>
  <c r="M531" i="1" a="1"/>
  <c r="M531" i="1" s="1"/>
  <c r="L531" i="1" a="1"/>
  <c r="L531" i="1" s="1"/>
  <c r="K531" i="1"/>
  <c r="J531" i="1"/>
  <c r="N531" i="1" s="1"/>
  <c r="I531" i="1"/>
  <c r="H531" i="1"/>
  <c r="N530" i="1"/>
  <c r="M530" i="1" a="1"/>
  <c r="M530" i="1" s="1"/>
  <c r="L530" i="1"/>
  <c r="L530" i="1" a="1"/>
  <c r="K530" i="1"/>
  <c r="J530" i="1"/>
  <c r="O530" i="1" s="1"/>
  <c r="I530" i="1"/>
  <c r="H530" i="1"/>
  <c r="N529" i="1"/>
  <c r="M529" i="1" a="1"/>
  <c r="M529" i="1" s="1"/>
  <c r="L529" i="1"/>
  <c r="L529" i="1" a="1"/>
  <c r="K529" i="1"/>
  <c r="J529" i="1"/>
  <c r="O529" i="1" s="1"/>
  <c r="I529" i="1"/>
  <c r="H529" i="1"/>
  <c r="O528" i="1"/>
  <c r="N528" i="1"/>
  <c r="M528" i="1"/>
  <c r="M528" i="1" a="1"/>
  <c r="L528" i="1" a="1"/>
  <c r="L528" i="1" s="1"/>
  <c r="K528" i="1"/>
  <c r="J528" i="1"/>
  <c r="I528" i="1"/>
  <c r="H528" i="1"/>
  <c r="O527" i="1"/>
  <c r="N527" i="1"/>
  <c r="M527" i="1" a="1"/>
  <c r="M527" i="1" s="1"/>
  <c r="L527" i="1" a="1"/>
  <c r="L527" i="1" s="1"/>
  <c r="K527" i="1"/>
  <c r="J527" i="1"/>
  <c r="I527" i="1"/>
  <c r="H527" i="1"/>
  <c r="N526" i="1"/>
  <c r="M526" i="1" a="1"/>
  <c r="M526" i="1" s="1"/>
  <c r="L526" i="1" a="1"/>
  <c r="L526" i="1" s="1"/>
  <c r="K526" i="1"/>
  <c r="J526" i="1"/>
  <c r="O526" i="1" s="1"/>
  <c r="I526" i="1"/>
  <c r="H526" i="1"/>
  <c r="M525" i="1"/>
  <c r="M525" i="1" a="1"/>
  <c r="L525" i="1"/>
  <c r="L525" i="1" a="1"/>
  <c r="K525" i="1"/>
  <c r="J525" i="1"/>
  <c r="O525" i="1" s="1"/>
  <c r="I525" i="1"/>
  <c r="H525" i="1"/>
  <c r="O524" i="1"/>
  <c r="M524" i="1"/>
  <c r="M524" i="1" a="1"/>
  <c r="L524" i="1" a="1"/>
  <c r="L524" i="1" s="1"/>
  <c r="K524" i="1"/>
  <c r="J524" i="1"/>
  <c r="N524" i="1" s="1"/>
  <c r="I524" i="1"/>
  <c r="H524" i="1"/>
  <c r="N523" i="1"/>
  <c r="M523" i="1" a="1"/>
  <c r="M523" i="1" s="1"/>
  <c r="L523" i="1" a="1"/>
  <c r="L523" i="1" s="1"/>
  <c r="K523" i="1"/>
  <c r="J523" i="1"/>
  <c r="O523" i="1" s="1"/>
  <c r="I523" i="1"/>
  <c r="H523" i="1"/>
  <c r="M522" i="1" a="1"/>
  <c r="M522" i="1" s="1"/>
  <c r="L522" i="1" a="1"/>
  <c r="L522" i="1" s="1"/>
  <c r="K522" i="1"/>
  <c r="J522" i="1"/>
  <c r="O522" i="1" s="1"/>
  <c r="I522" i="1"/>
  <c r="H522" i="1"/>
  <c r="M521" i="1"/>
  <c r="M521" i="1" a="1"/>
  <c r="L521" i="1" a="1"/>
  <c r="L521" i="1" s="1"/>
  <c r="K521" i="1"/>
  <c r="J521" i="1"/>
  <c r="I521" i="1"/>
  <c r="H521" i="1"/>
  <c r="M520" i="1" a="1"/>
  <c r="M520" i="1" s="1"/>
  <c r="L520" i="1" a="1"/>
  <c r="L520" i="1" s="1"/>
  <c r="K520" i="1"/>
  <c r="J520" i="1"/>
  <c r="O520" i="1" s="1"/>
  <c r="I520" i="1"/>
  <c r="H520" i="1"/>
  <c r="M519" i="1" a="1"/>
  <c r="M519" i="1" s="1"/>
  <c r="L519" i="1" a="1"/>
  <c r="L519" i="1" s="1"/>
  <c r="K519" i="1"/>
  <c r="J519" i="1"/>
  <c r="O519" i="1" s="1"/>
  <c r="I519" i="1"/>
  <c r="H519" i="1"/>
  <c r="M518" i="1" a="1"/>
  <c r="M518" i="1" s="1"/>
  <c r="L518" i="1"/>
  <c r="L518" i="1" a="1"/>
  <c r="K518" i="1"/>
  <c r="J518" i="1"/>
  <c r="O518" i="1" s="1"/>
  <c r="I518" i="1"/>
  <c r="H518" i="1"/>
  <c r="M517" i="1" a="1"/>
  <c r="M517" i="1" s="1"/>
  <c r="L517" i="1" a="1"/>
  <c r="L517" i="1" s="1"/>
  <c r="K517" i="1"/>
  <c r="J517" i="1"/>
  <c r="O517" i="1" s="1"/>
  <c r="I517" i="1"/>
  <c r="H517" i="1"/>
  <c r="N516" i="1"/>
  <c r="M516" i="1" a="1"/>
  <c r="M516" i="1" s="1"/>
  <c r="L516" i="1" a="1"/>
  <c r="L516" i="1" s="1"/>
  <c r="K516" i="1"/>
  <c r="J516" i="1"/>
  <c r="O516" i="1" s="1"/>
  <c r="I516" i="1"/>
  <c r="H516" i="1"/>
  <c r="O515" i="1"/>
  <c r="M515" i="1" a="1"/>
  <c r="M515" i="1" s="1"/>
  <c r="L515" i="1" a="1"/>
  <c r="L515" i="1" s="1"/>
  <c r="K515" i="1"/>
  <c r="J515" i="1"/>
  <c r="N515" i="1" s="1"/>
  <c r="I515" i="1"/>
  <c r="H515" i="1"/>
  <c r="N514" i="1"/>
  <c r="M514" i="1" a="1"/>
  <c r="M514" i="1" s="1"/>
  <c r="L514" i="1"/>
  <c r="L514" i="1" a="1"/>
  <c r="K514" i="1"/>
  <c r="J514" i="1"/>
  <c r="O514" i="1" s="1"/>
  <c r="I514" i="1"/>
  <c r="H514" i="1"/>
  <c r="N513" i="1"/>
  <c r="M513" i="1" a="1"/>
  <c r="M513" i="1" s="1"/>
  <c r="L513" i="1"/>
  <c r="L513" i="1" a="1"/>
  <c r="K513" i="1"/>
  <c r="J513" i="1"/>
  <c r="O513" i="1" s="1"/>
  <c r="I513" i="1"/>
  <c r="H513" i="1"/>
  <c r="N512" i="1"/>
  <c r="M512" i="1"/>
  <c r="M512" i="1" a="1"/>
  <c r="L512" i="1" a="1"/>
  <c r="L512" i="1" s="1"/>
  <c r="K512" i="1"/>
  <c r="J512" i="1"/>
  <c r="O512" i="1" s="1"/>
  <c r="I512" i="1"/>
  <c r="H512" i="1"/>
  <c r="O511" i="1"/>
  <c r="N511" i="1"/>
  <c r="M511" i="1" a="1"/>
  <c r="M511" i="1" s="1"/>
  <c r="L511" i="1" a="1"/>
  <c r="L511" i="1" s="1"/>
  <c r="K511" i="1"/>
  <c r="J511" i="1"/>
  <c r="I511" i="1"/>
  <c r="H511" i="1"/>
  <c r="N510" i="1"/>
  <c r="M510" i="1" a="1"/>
  <c r="M510" i="1" s="1"/>
  <c r="L510" i="1" a="1"/>
  <c r="L510" i="1" s="1"/>
  <c r="K510" i="1"/>
  <c r="J510" i="1"/>
  <c r="O510" i="1" s="1"/>
  <c r="I510" i="1"/>
  <c r="H510" i="1"/>
  <c r="M509" i="1"/>
  <c r="M509" i="1" a="1"/>
  <c r="L509" i="1"/>
  <c r="L509" i="1" a="1"/>
  <c r="K509" i="1"/>
  <c r="J509" i="1"/>
  <c r="O509" i="1" s="1"/>
  <c r="I509" i="1"/>
  <c r="H509" i="1"/>
  <c r="M508" i="1"/>
  <c r="M508" i="1" a="1"/>
  <c r="L508" i="1" a="1"/>
  <c r="L508" i="1" s="1"/>
  <c r="K508" i="1"/>
  <c r="J508" i="1"/>
  <c r="I508" i="1"/>
  <c r="H508" i="1"/>
  <c r="M507" i="1" a="1"/>
  <c r="M507" i="1" s="1"/>
  <c r="L507" i="1" a="1"/>
  <c r="L507" i="1" s="1"/>
  <c r="K507" i="1"/>
  <c r="J507" i="1"/>
  <c r="O507" i="1" s="1"/>
  <c r="I507" i="1"/>
  <c r="H507" i="1"/>
  <c r="M506" i="1" a="1"/>
  <c r="M506" i="1" s="1"/>
  <c r="L506" i="1" a="1"/>
  <c r="L506" i="1" s="1"/>
  <c r="K506" i="1"/>
  <c r="J506" i="1"/>
  <c r="O506" i="1" s="1"/>
  <c r="I506" i="1"/>
  <c r="H506" i="1"/>
  <c r="M505" i="1"/>
  <c r="M505" i="1" a="1"/>
  <c r="L505" i="1"/>
  <c r="L505" i="1" a="1"/>
  <c r="K505" i="1"/>
  <c r="J505" i="1"/>
  <c r="O505" i="1" s="1"/>
  <c r="I505" i="1"/>
  <c r="H505" i="1"/>
  <c r="O504" i="1"/>
  <c r="M504" i="1"/>
  <c r="M504" i="1" a="1"/>
  <c r="L504" i="1" a="1"/>
  <c r="L504" i="1" s="1"/>
  <c r="K504" i="1"/>
  <c r="J504" i="1"/>
  <c r="N504" i="1" s="1"/>
  <c r="I504" i="1"/>
  <c r="H504" i="1"/>
  <c r="M503" i="1" a="1"/>
  <c r="M503" i="1" s="1"/>
  <c r="L503" i="1" a="1"/>
  <c r="L503" i="1" s="1"/>
  <c r="K503" i="1"/>
  <c r="J503" i="1"/>
  <c r="I503" i="1"/>
  <c r="H503" i="1"/>
  <c r="O502" i="1"/>
  <c r="N502" i="1"/>
  <c r="M502" i="1" a="1"/>
  <c r="M502" i="1" s="1"/>
  <c r="L502" i="1" a="1"/>
  <c r="L502" i="1" s="1"/>
  <c r="K502" i="1"/>
  <c r="J502" i="1"/>
  <c r="I502" i="1"/>
  <c r="H502" i="1"/>
  <c r="M501" i="1"/>
  <c r="M501" i="1" a="1"/>
  <c r="L501" i="1" a="1"/>
  <c r="L501" i="1" s="1"/>
  <c r="K501" i="1"/>
  <c r="J501" i="1"/>
  <c r="I501" i="1"/>
  <c r="H501" i="1"/>
  <c r="O500" i="1"/>
  <c r="M500" i="1" a="1"/>
  <c r="M500" i="1" s="1"/>
  <c r="L500" i="1" a="1"/>
  <c r="L500" i="1" s="1"/>
  <c r="K500" i="1"/>
  <c r="J500" i="1"/>
  <c r="N500" i="1" s="1"/>
  <c r="I500" i="1"/>
  <c r="H500" i="1"/>
  <c r="N499" i="1"/>
  <c r="M499" i="1" a="1"/>
  <c r="M499" i="1" s="1"/>
  <c r="L499" i="1" a="1"/>
  <c r="L499" i="1" s="1"/>
  <c r="K499" i="1"/>
  <c r="J499" i="1"/>
  <c r="O499" i="1" s="1"/>
  <c r="I499" i="1"/>
  <c r="H499" i="1"/>
  <c r="O498" i="1"/>
  <c r="N498" i="1"/>
  <c r="M498" i="1" a="1"/>
  <c r="M498" i="1" s="1"/>
  <c r="L498" i="1"/>
  <c r="L498" i="1" a="1"/>
  <c r="K498" i="1"/>
  <c r="J498" i="1"/>
  <c r="I498" i="1"/>
  <c r="H498" i="1"/>
  <c r="M497" i="1" a="1"/>
  <c r="M497" i="1" s="1"/>
  <c r="L497" i="1" a="1"/>
  <c r="L497" i="1" s="1"/>
  <c r="K497" i="1"/>
  <c r="J497" i="1"/>
  <c r="O497" i="1" s="1"/>
  <c r="I497" i="1"/>
  <c r="H497" i="1"/>
  <c r="O496" i="1"/>
  <c r="N496" i="1"/>
  <c r="M496" i="1" a="1"/>
  <c r="M496" i="1" s="1"/>
  <c r="L496" i="1" a="1"/>
  <c r="L496" i="1" s="1"/>
  <c r="K496" i="1"/>
  <c r="J496" i="1"/>
  <c r="I496" i="1"/>
  <c r="H496" i="1"/>
  <c r="N495" i="1"/>
  <c r="M495" i="1" a="1"/>
  <c r="M495" i="1" s="1"/>
  <c r="L495" i="1" a="1"/>
  <c r="L495" i="1" s="1"/>
  <c r="K495" i="1"/>
  <c r="J495" i="1"/>
  <c r="O495" i="1" s="1"/>
  <c r="I495" i="1"/>
  <c r="H495" i="1"/>
  <c r="O494" i="1"/>
  <c r="M494" i="1" a="1"/>
  <c r="M494" i="1" s="1"/>
  <c r="L494" i="1" a="1"/>
  <c r="L494" i="1" s="1"/>
  <c r="K494" i="1"/>
  <c r="J494" i="1"/>
  <c r="N494" i="1" s="1"/>
  <c r="I494" i="1"/>
  <c r="H494" i="1"/>
  <c r="O493" i="1"/>
  <c r="N493" i="1"/>
  <c r="M493" i="1" a="1"/>
  <c r="M493" i="1" s="1"/>
  <c r="L493" i="1"/>
  <c r="L493" i="1" a="1"/>
  <c r="K493" i="1"/>
  <c r="J493" i="1"/>
  <c r="I493" i="1"/>
  <c r="H493" i="1"/>
  <c r="M492" i="1"/>
  <c r="M492" i="1" a="1"/>
  <c r="L492" i="1"/>
  <c r="L492" i="1" a="1"/>
  <c r="K492" i="1"/>
  <c r="J492" i="1"/>
  <c r="O492" i="1" s="1"/>
  <c r="I492" i="1"/>
  <c r="H492" i="1"/>
  <c r="O491" i="1"/>
  <c r="M491" i="1"/>
  <c r="M491" i="1" a="1"/>
  <c r="L491" i="1" a="1"/>
  <c r="L491" i="1" s="1"/>
  <c r="K491" i="1"/>
  <c r="J491" i="1"/>
  <c r="N491" i="1" s="1"/>
  <c r="I491" i="1"/>
  <c r="H491" i="1"/>
  <c r="O490" i="1"/>
  <c r="M490" i="1" a="1"/>
  <c r="M490" i="1" s="1"/>
  <c r="L490" i="1" a="1"/>
  <c r="L490" i="1" s="1"/>
  <c r="K490" i="1"/>
  <c r="J490" i="1"/>
  <c r="N490" i="1" s="1"/>
  <c r="I490" i="1"/>
  <c r="H490" i="1"/>
  <c r="O489" i="1"/>
  <c r="N489" i="1"/>
  <c r="M489" i="1" a="1"/>
  <c r="M489" i="1" s="1"/>
  <c r="L489" i="1"/>
  <c r="L489" i="1" a="1"/>
  <c r="K489" i="1"/>
  <c r="J489" i="1"/>
  <c r="I489" i="1"/>
  <c r="H489" i="1"/>
  <c r="M488" i="1"/>
  <c r="M488" i="1" a="1"/>
  <c r="L488" i="1"/>
  <c r="L488" i="1" a="1"/>
  <c r="K488" i="1"/>
  <c r="J488" i="1"/>
  <c r="I488" i="1"/>
  <c r="H488" i="1"/>
  <c r="M487" i="1"/>
  <c r="M487" i="1" a="1"/>
  <c r="L487" i="1" a="1"/>
  <c r="L487" i="1" s="1"/>
  <c r="K487" i="1"/>
  <c r="J487" i="1"/>
  <c r="I487" i="1"/>
  <c r="H487" i="1"/>
  <c r="O486" i="1"/>
  <c r="M486" i="1" a="1"/>
  <c r="M486" i="1" s="1"/>
  <c r="L486" i="1" a="1"/>
  <c r="L486" i="1" s="1"/>
  <c r="K486" i="1"/>
  <c r="J486" i="1"/>
  <c r="N486" i="1" s="1"/>
  <c r="I486" i="1"/>
  <c r="H486" i="1"/>
  <c r="O485" i="1"/>
  <c r="N485" i="1"/>
  <c r="M485" i="1" a="1"/>
  <c r="M485" i="1" s="1"/>
  <c r="L485" i="1"/>
  <c r="L485" i="1" a="1"/>
  <c r="K485" i="1"/>
  <c r="J485" i="1"/>
  <c r="I485" i="1"/>
  <c r="H485" i="1"/>
  <c r="M484" i="1"/>
  <c r="M484" i="1" a="1"/>
  <c r="L484" i="1"/>
  <c r="L484" i="1" a="1"/>
  <c r="K484" i="1"/>
  <c r="J484" i="1"/>
  <c r="O484" i="1" s="1"/>
  <c r="I484" i="1"/>
  <c r="H484" i="1"/>
  <c r="O483" i="1"/>
  <c r="M483" i="1"/>
  <c r="M483" i="1" a="1"/>
  <c r="L483" i="1" a="1"/>
  <c r="L483" i="1" s="1"/>
  <c r="K483" i="1"/>
  <c r="J483" i="1"/>
  <c r="N483" i="1" s="1"/>
  <c r="I483" i="1"/>
  <c r="H483" i="1"/>
  <c r="O482" i="1"/>
  <c r="M482" i="1" a="1"/>
  <c r="M482" i="1" s="1"/>
  <c r="L482" i="1" a="1"/>
  <c r="L482" i="1" s="1"/>
  <c r="K482" i="1"/>
  <c r="J482" i="1"/>
  <c r="N482" i="1" s="1"/>
  <c r="I482" i="1"/>
  <c r="H482" i="1"/>
  <c r="O481" i="1"/>
  <c r="N481" i="1"/>
  <c r="M481" i="1" a="1"/>
  <c r="M481" i="1" s="1"/>
  <c r="L481" i="1"/>
  <c r="L481" i="1" a="1"/>
  <c r="K481" i="1"/>
  <c r="J481" i="1"/>
  <c r="I481" i="1"/>
  <c r="H481" i="1"/>
  <c r="M480" i="1"/>
  <c r="M480" i="1" a="1"/>
  <c r="L480" i="1"/>
  <c r="L480" i="1" a="1"/>
  <c r="K480" i="1"/>
  <c r="J480" i="1"/>
  <c r="I480" i="1"/>
  <c r="H480" i="1"/>
  <c r="M479" i="1"/>
  <c r="M479" i="1" a="1"/>
  <c r="L479" i="1" a="1"/>
  <c r="L479" i="1" s="1"/>
  <c r="K479" i="1"/>
  <c r="J479" i="1"/>
  <c r="I479" i="1"/>
  <c r="H479" i="1"/>
  <c r="O478" i="1"/>
  <c r="M478" i="1" a="1"/>
  <c r="M478" i="1" s="1"/>
  <c r="L478" i="1" a="1"/>
  <c r="L478" i="1" s="1"/>
  <c r="K478" i="1"/>
  <c r="J478" i="1"/>
  <c r="N478" i="1" s="1"/>
  <c r="I478" i="1"/>
  <c r="H478" i="1"/>
  <c r="O477" i="1"/>
  <c r="N477" i="1"/>
  <c r="M477" i="1" a="1"/>
  <c r="M477" i="1" s="1"/>
  <c r="L477" i="1"/>
  <c r="L477" i="1" a="1"/>
  <c r="K477" i="1"/>
  <c r="J477" i="1"/>
  <c r="I477" i="1"/>
  <c r="H477" i="1"/>
  <c r="M476" i="1"/>
  <c r="M476" i="1" a="1"/>
  <c r="L476" i="1"/>
  <c r="L476" i="1" a="1"/>
  <c r="K476" i="1"/>
  <c r="J476" i="1"/>
  <c r="O476" i="1" s="1"/>
  <c r="I476" i="1"/>
  <c r="H476" i="1"/>
  <c r="M475" i="1"/>
  <c r="M475" i="1" a="1"/>
  <c r="L475" i="1" a="1"/>
  <c r="L475" i="1" s="1"/>
  <c r="K475" i="1"/>
  <c r="J475" i="1"/>
  <c r="N475" i="1" s="1"/>
  <c r="I475" i="1"/>
  <c r="H475" i="1"/>
  <c r="O474" i="1"/>
  <c r="M474" i="1" a="1"/>
  <c r="M474" i="1" s="1"/>
  <c r="L474" i="1" a="1"/>
  <c r="L474" i="1" s="1"/>
  <c r="K474" i="1"/>
  <c r="J474" i="1"/>
  <c r="N474" i="1" s="1"/>
  <c r="I474" i="1"/>
  <c r="H474" i="1"/>
  <c r="N473" i="1"/>
  <c r="M473" i="1" a="1"/>
  <c r="M473" i="1" s="1"/>
  <c r="L473" i="1"/>
  <c r="L473" i="1" a="1"/>
  <c r="K473" i="1"/>
  <c r="J473" i="1"/>
  <c r="O473" i="1" s="1"/>
  <c r="I473" i="1"/>
  <c r="H473" i="1"/>
  <c r="M472" i="1"/>
  <c r="M472" i="1" a="1"/>
  <c r="L472" i="1"/>
  <c r="L472" i="1" a="1"/>
  <c r="K472" i="1"/>
  <c r="J472" i="1"/>
  <c r="O472" i="1" s="1"/>
  <c r="I472" i="1"/>
  <c r="H472" i="1"/>
  <c r="M471" i="1"/>
  <c r="M471" i="1" a="1"/>
  <c r="L471" i="1" a="1"/>
  <c r="L471" i="1" s="1"/>
  <c r="K471" i="1"/>
  <c r="J471" i="1"/>
  <c r="N471" i="1" s="1"/>
  <c r="I471" i="1"/>
  <c r="H471" i="1"/>
  <c r="O470" i="1"/>
  <c r="M470" i="1" a="1"/>
  <c r="M470" i="1" s="1"/>
  <c r="L470" i="1" a="1"/>
  <c r="L470" i="1" s="1"/>
  <c r="K470" i="1"/>
  <c r="J470" i="1"/>
  <c r="N470" i="1" s="1"/>
  <c r="I470" i="1"/>
  <c r="H470" i="1"/>
  <c r="N469" i="1"/>
  <c r="M469" i="1" a="1"/>
  <c r="M469" i="1" s="1"/>
  <c r="L469" i="1"/>
  <c r="L469" i="1" a="1"/>
  <c r="K469" i="1"/>
  <c r="J469" i="1"/>
  <c r="O469" i="1" s="1"/>
  <c r="I469" i="1"/>
  <c r="H469" i="1"/>
  <c r="M468" i="1"/>
  <c r="M468" i="1" a="1"/>
  <c r="L468" i="1"/>
  <c r="L468" i="1" a="1"/>
  <c r="K468" i="1"/>
  <c r="J468" i="1"/>
  <c r="O468" i="1" s="1"/>
  <c r="I468" i="1"/>
  <c r="H468" i="1"/>
  <c r="M467" i="1"/>
  <c r="M467" i="1" a="1"/>
  <c r="L467" i="1" a="1"/>
  <c r="L467" i="1" s="1"/>
  <c r="K467" i="1"/>
  <c r="J467" i="1"/>
  <c r="N467" i="1" s="1"/>
  <c r="I467" i="1"/>
  <c r="H467" i="1"/>
  <c r="O466" i="1"/>
  <c r="M466" i="1" a="1"/>
  <c r="M466" i="1" s="1"/>
  <c r="L466" i="1" a="1"/>
  <c r="L466" i="1" s="1"/>
  <c r="K466" i="1"/>
  <c r="J466" i="1"/>
  <c r="N466" i="1" s="1"/>
  <c r="I466" i="1"/>
  <c r="H466" i="1"/>
  <c r="N465" i="1"/>
  <c r="M465" i="1" a="1"/>
  <c r="M465" i="1" s="1"/>
  <c r="L465" i="1"/>
  <c r="L465" i="1" a="1"/>
  <c r="K465" i="1"/>
  <c r="J465" i="1"/>
  <c r="O465" i="1" s="1"/>
  <c r="I465" i="1"/>
  <c r="H465" i="1"/>
  <c r="M464" i="1"/>
  <c r="M464" i="1" a="1"/>
  <c r="L464" i="1"/>
  <c r="L464" i="1" a="1"/>
  <c r="K464" i="1"/>
  <c r="J464" i="1"/>
  <c r="O464" i="1" s="1"/>
  <c r="I464" i="1"/>
  <c r="H464" i="1"/>
  <c r="M463" i="1"/>
  <c r="M463" i="1" a="1"/>
  <c r="L463" i="1" a="1"/>
  <c r="L463" i="1" s="1"/>
  <c r="K463" i="1"/>
  <c r="J463" i="1"/>
  <c r="N463" i="1" s="1"/>
  <c r="I463" i="1"/>
  <c r="H463" i="1"/>
  <c r="O462" i="1"/>
  <c r="M462" i="1" a="1"/>
  <c r="M462" i="1" s="1"/>
  <c r="L462" i="1" a="1"/>
  <c r="L462" i="1" s="1"/>
  <c r="K462" i="1"/>
  <c r="J462" i="1"/>
  <c r="N462" i="1" s="1"/>
  <c r="I462" i="1"/>
  <c r="H462" i="1"/>
  <c r="N461" i="1"/>
  <c r="M461" i="1" a="1"/>
  <c r="M461" i="1" s="1"/>
  <c r="L461" i="1"/>
  <c r="L461" i="1" a="1"/>
  <c r="K461" i="1"/>
  <c r="J461" i="1"/>
  <c r="O461" i="1" s="1"/>
  <c r="I461" i="1"/>
  <c r="H461" i="1"/>
  <c r="M460" i="1"/>
  <c r="M460" i="1" a="1"/>
  <c r="L460" i="1"/>
  <c r="L460" i="1" a="1"/>
  <c r="K460" i="1"/>
  <c r="J460" i="1"/>
  <c r="O460" i="1" s="1"/>
  <c r="I460" i="1"/>
  <c r="H460" i="1"/>
  <c r="M459" i="1"/>
  <c r="M459" i="1" a="1"/>
  <c r="L459" i="1" a="1"/>
  <c r="L459" i="1" s="1"/>
  <c r="K459" i="1"/>
  <c r="J459" i="1"/>
  <c r="N459" i="1" s="1"/>
  <c r="I459" i="1"/>
  <c r="H459" i="1"/>
  <c r="M458" i="1" a="1"/>
  <c r="M458" i="1" s="1"/>
  <c r="L458" i="1" a="1"/>
  <c r="L458" i="1" s="1"/>
  <c r="K458" i="1"/>
  <c r="J458" i="1"/>
  <c r="I458" i="1"/>
  <c r="H458" i="1"/>
  <c r="N457" i="1"/>
  <c r="M457" i="1" a="1"/>
  <c r="M457" i="1" s="1"/>
  <c r="L457" i="1" a="1"/>
  <c r="L457" i="1" s="1"/>
  <c r="K457" i="1"/>
  <c r="J457" i="1"/>
  <c r="O457" i="1" s="1"/>
  <c r="I457" i="1"/>
  <c r="H457" i="1"/>
  <c r="M456" i="1" a="1"/>
  <c r="M456" i="1" s="1"/>
  <c r="L456" i="1"/>
  <c r="L456" i="1" a="1"/>
  <c r="K456" i="1"/>
  <c r="J456" i="1"/>
  <c r="O456" i="1" s="1"/>
  <c r="I456" i="1"/>
  <c r="H456" i="1"/>
  <c r="M455" i="1"/>
  <c r="M455" i="1" a="1"/>
  <c r="L455" i="1" a="1"/>
  <c r="L455" i="1" s="1"/>
  <c r="K455" i="1"/>
  <c r="J455" i="1"/>
  <c r="O455" i="1" s="1"/>
  <c r="I455" i="1"/>
  <c r="H455" i="1"/>
  <c r="M454" i="1" a="1"/>
  <c r="M454" i="1" s="1"/>
  <c r="L454" i="1" a="1"/>
  <c r="L454" i="1" s="1"/>
  <c r="K454" i="1"/>
  <c r="J454" i="1"/>
  <c r="N454" i="1" s="1"/>
  <c r="I454" i="1"/>
  <c r="H454" i="1"/>
  <c r="N453" i="1"/>
  <c r="M453" i="1" a="1"/>
  <c r="M453" i="1" s="1"/>
  <c r="L453" i="1"/>
  <c r="L453" i="1" a="1"/>
  <c r="K453" i="1"/>
  <c r="J453" i="1"/>
  <c r="O453" i="1" s="1"/>
  <c r="I453" i="1"/>
  <c r="H453" i="1"/>
  <c r="M452" i="1" a="1"/>
  <c r="M452" i="1" s="1"/>
  <c r="L452" i="1"/>
  <c r="L452" i="1" a="1"/>
  <c r="K452" i="1"/>
  <c r="J452" i="1"/>
  <c r="O452" i="1" s="1"/>
  <c r="I452" i="1"/>
  <c r="H452" i="1"/>
  <c r="O451" i="1"/>
  <c r="N451" i="1"/>
  <c r="M451" i="1"/>
  <c r="M451" i="1" a="1"/>
  <c r="L451" i="1" a="1"/>
  <c r="L451" i="1" s="1"/>
  <c r="K451" i="1"/>
  <c r="J451" i="1"/>
  <c r="I451" i="1"/>
  <c r="H451" i="1"/>
  <c r="O450" i="1"/>
  <c r="M450" i="1" a="1"/>
  <c r="M450" i="1" s="1"/>
  <c r="L450" i="1" a="1"/>
  <c r="L450" i="1" s="1"/>
  <c r="K450" i="1"/>
  <c r="J450" i="1"/>
  <c r="N450" i="1" s="1"/>
  <c r="I450" i="1"/>
  <c r="H450" i="1"/>
  <c r="N449" i="1"/>
  <c r="M449" i="1" a="1"/>
  <c r="M449" i="1" s="1"/>
  <c r="L449" i="1" a="1"/>
  <c r="L449" i="1" s="1"/>
  <c r="K449" i="1"/>
  <c r="J449" i="1"/>
  <c r="O449" i="1" s="1"/>
  <c r="I449" i="1"/>
  <c r="H449" i="1"/>
  <c r="N448" i="1"/>
  <c r="M448" i="1"/>
  <c r="M448" i="1" a="1"/>
  <c r="L448" i="1"/>
  <c r="L448" i="1" a="1"/>
  <c r="K448" i="1"/>
  <c r="J448" i="1"/>
  <c r="O448" i="1" s="1"/>
  <c r="I448" i="1"/>
  <c r="H448" i="1"/>
  <c r="O447" i="1"/>
  <c r="N447" i="1"/>
  <c r="M447" i="1"/>
  <c r="M447" i="1" a="1"/>
  <c r="L447" i="1" a="1"/>
  <c r="L447" i="1" s="1"/>
  <c r="K447" i="1"/>
  <c r="J447" i="1"/>
  <c r="I447" i="1"/>
  <c r="H447" i="1"/>
  <c r="O446" i="1"/>
  <c r="N446" i="1"/>
  <c r="M446" i="1" a="1"/>
  <c r="M446" i="1" s="1"/>
  <c r="L446" i="1" a="1"/>
  <c r="L446" i="1" s="1"/>
  <c r="K446" i="1"/>
  <c r="J446" i="1"/>
  <c r="I446" i="1"/>
  <c r="H446" i="1"/>
  <c r="N445" i="1"/>
  <c r="M445" i="1" a="1"/>
  <c r="M445" i="1" s="1"/>
  <c r="L445" i="1"/>
  <c r="L445" i="1" a="1"/>
  <c r="K445" i="1"/>
  <c r="J445" i="1"/>
  <c r="O445" i="1" s="1"/>
  <c r="I445" i="1"/>
  <c r="H445" i="1"/>
  <c r="M444" i="1"/>
  <c r="M444" i="1" a="1"/>
  <c r="L444" i="1"/>
  <c r="L444" i="1" a="1"/>
  <c r="K444" i="1"/>
  <c r="J444" i="1"/>
  <c r="O444" i="1" s="1"/>
  <c r="I444" i="1"/>
  <c r="H444" i="1"/>
  <c r="M443" i="1"/>
  <c r="M443" i="1" a="1"/>
  <c r="L443" i="1" a="1"/>
  <c r="L443" i="1" s="1"/>
  <c r="K443" i="1"/>
  <c r="J443" i="1"/>
  <c r="I443" i="1"/>
  <c r="H443" i="1"/>
  <c r="M442" i="1" a="1"/>
  <c r="M442" i="1" s="1"/>
  <c r="L442" i="1" a="1"/>
  <c r="L442" i="1" s="1"/>
  <c r="K442" i="1"/>
  <c r="J442" i="1"/>
  <c r="I442" i="1"/>
  <c r="H442" i="1"/>
  <c r="M441" i="1" a="1"/>
  <c r="M441" i="1" s="1"/>
  <c r="L441" i="1" a="1"/>
  <c r="L441" i="1" s="1"/>
  <c r="K441" i="1"/>
  <c r="J441" i="1"/>
  <c r="I441" i="1"/>
  <c r="H441" i="1"/>
  <c r="N440" i="1"/>
  <c r="M440" i="1"/>
  <c r="M440" i="1" a="1"/>
  <c r="L440" i="1" a="1"/>
  <c r="L440" i="1" s="1"/>
  <c r="K440" i="1"/>
  <c r="J440" i="1"/>
  <c r="O440" i="1" s="1"/>
  <c r="I440" i="1"/>
  <c r="H440" i="1"/>
  <c r="M439" i="1" a="1"/>
  <c r="M439" i="1" s="1"/>
  <c r="L439" i="1" a="1"/>
  <c r="L439" i="1" s="1"/>
  <c r="K439" i="1"/>
  <c r="J439" i="1"/>
  <c r="I439" i="1"/>
  <c r="H439" i="1"/>
  <c r="M438" i="1" a="1"/>
  <c r="M438" i="1" s="1"/>
  <c r="L438" i="1" a="1"/>
  <c r="L438" i="1" s="1"/>
  <c r="K438" i="1"/>
  <c r="J438" i="1"/>
  <c r="I438" i="1"/>
  <c r="H438" i="1"/>
  <c r="M437" i="1" a="1"/>
  <c r="M437" i="1" s="1"/>
  <c r="L437" i="1" a="1"/>
  <c r="L437" i="1" s="1"/>
  <c r="K437" i="1"/>
  <c r="J437" i="1"/>
  <c r="I437" i="1"/>
  <c r="H437" i="1"/>
  <c r="M436" i="1" a="1"/>
  <c r="M436" i="1" s="1"/>
  <c r="L436" i="1"/>
  <c r="L436" i="1" a="1"/>
  <c r="K436" i="1"/>
  <c r="J436" i="1"/>
  <c r="O436" i="1" s="1"/>
  <c r="I436" i="1"/>
  <c r="H436" i="1"/>
  <c r="M435" i="1"/>
  <c r="M435" i="1" a="1"/>
  <c r="L435" i="1" a="1"/>
  <c r="L435" i="1" s="1"/>
  <c r="K435" i="1"/>
  <c r="J435" i="1"/>
  <c r="O435" i="1" s="1"/>
  <c r="I435" i="1"/>
  <c r="H435" i="1"/>
  <c r="N434" i="1"/>
  <c r="M434" i="1" a="1"/>
  <c r="M434" i="1" s="1"/>
  <c r="L434" i="1" a="1"/>
  <c r="L434" i="1" s="1"/>
  <c r="K434" i="1"/>
  <c r="J434" i="1"/>
  <c r="O434" i="1" s="1"/>
  <c r="I434" i="1"/>
  <c r="H434" i="1"/>
  <c r="M433" i="1" a="1"/>
  <c r="M433" i="1" s="1"/>
  <c r="L433" i="1" a="1"/>
  <c r="L433" i="1" s="1"/>
  <c r="K433" i="1"/>
  <c r="J433" i="1"/>
  <c r="O433" i="1" s="1"/>
  <c r="I433" i="1"/>
  <c r="H433" i="1"/>
  <c r="N432" i="1"/>
  <c r="M432" i="1"/>
  <c r="M432" i="1" a="1"/>
  <c r="L432" i="1"/>
  <c r="L432" i="1" a="1"/>
  <c r="K432" i="1"/>
  <c r="J432" i="1"/>
  <c r="O432" i="1" s="1"/>
  <c r="I432" i="1"/>
  <c r="H432" i="1"/>
  <c r="O431" i="1"/>
  <c r="N431" i="1"/>
  <c r="M431" i="1"/>
  <c r="M431" i="1" a="1"/>
  <c r="L431" i="1" a="1"/>
  <c r="L431" i="1" s="1"/>
  <c r="K431" i="1"/>
  <c r="J431" i="1"/>
  <c r="I431" i="1"/>
  <c r="H431" i="1"/>
  <c r="O430" i="1"/>
  <c r="N430" i="1"/>
  <c r="M430" i="1" a="1"/>
  <c r="M430" i="1" s="1"/>
  <c r="L430" i="1" a="1"/>
  <c r="L430" i="1" s="1"/>
  <c r="K430" i="1"/>
  <c r="J430" i="1"/>
  <c r="I430" i="1"/>
  <c r="H430" i="1"/>
  <c r="N429" i="1"/>
  <c r="M429" i="1" a="1"/>
  <c r="M429" i="1" s="1"/>
  <c r="L429" i="1"/>
  <c r="L429" i="1" a="1"/>
  <c r="K429" i="1"/>
  <c r="J429" i="1"/>
  <c r="O429" i="1" s="1"/>
  <c r="I429" i="1"/>
  <c r="H429" i="1"/>
  <c r="M428" i="1"/>
  <c r="M428" i="1" a="1"/>
  <c r="L428" i="1"/>
  <c r="L428" i="1" a="1"/>
  <c r="K428" i="1"/>
  <c r="J428" i="1"/>
  <c r="O428" i="1" s="1"/>
  <c r="I428" i="1"/>
  <c r="H428" i="1"/>
  <c r="O427" i="1"/>
  <c r="M427" i="1"/>
  <c r="M427" i="1" a="1"/>
  <c r="L427" i="1" a="1"/>
  <c r="L427" i="1" s="1"/>
  <c r="K427" i="1"/>
  <c r="J427" i="1"/>
  <c r="N427" i="1" s="1"/>
  <c r="I427" i="1"/>
  <c r="H427" i="1"/>
  <c r="M426" i="1" a="1"/>
  <c r="M426" i="1" s="1"/>
  <c r="L426" i="1" a="1"/>
  <c r="L426" i="1" s="1"/>
  <c r="K426" i="1"/>
  <c r="J426" i="1"/>
  <c r="I426" i="1"/>
  <c r="H426" i="1"/>
  <c r="M425" i="1" a="1"/>
  <c r="M425" i="1" s="1"/>
  <c r="L425" i="1" a="1"/>
  <c r="L425" i="1" s="1"/>
  <c r="K425" i="1"/>
  <c r="J425" i="1"/>
  <c r="I425" i="1"/>
  <c r="H425" i="1"/>
  <c r="N424" i="1"/>
  <c r="M424" i="1"/>
  <c r="M424" i="1" a="1"/>
  <c r="L424" i="1" a="1"/>
  <c r="L424" i="1" s="1"/>
  <c r="K424" i="1"/>
  <c r="J424" i="1"/>
  <c r="O424" i="1" s="1"/>
  <c r="I424" i="1"/>
  <c r="H424" i="1"/>
  <c r="M423" i="1" a="1"/>
  <c r="M423" i="1" s="1"/>
  <c r="L423" i="1"/>
  <c r="L423" i="1" a="1"/>
  <c r="K423" i="1"/>
  <c r="J423" i="1"/>
  <c r="O423" i="1" s="1"/>
  <c r="I423" i="1"/>
  <c r="H423" i="1"/>
  <c r="M422" i="1"/>
  <c r="M422" i="1" a="1"/>
  <c r="L422" i="1" a="1"/>
  <c r="L422" i="1" s="1"/>
  <c r="K422" i="1"/>
  <c r="J422" i="1"/>
  <c r="O422" i="1" s="1"/>
  <c r="I422" i="1"/>
  <c r="H422" i="1"/>
  <c r="O421" i="1"/>
  <c r="N421" i="1"/>
  <c r="M421" i="1" a="1"/>
  <c r="M421" i="1" s="1"/>
  <c r="L421" i="1"/>
  <c r="L421" i="1" a="1"/>
  <c r="K421" i="1"/>
  <c r="J421" i="1"/>
  <c r="I421" i="1"/>
  <c r="H421" i="1"/>
  <c r="N420" i="1"/>
  <c r="M420" i="1" a="1"/>
  <c r="M420" i="1" s="1"/>
  <c r="L420" i="1"/>
  <c r="L420" i="1" a="1"/>
  <c r="K420" i="1"/>
  <c r="J420" i="1"/>
  <c r="O420" i="1" s="1"/>
  <c r="I420" i="1"/>
  <c r="H420" i="1"/>
  <c r="N419" i="1"/>
  <c r="M419" i="1"/>
  <c r="M419" i="1" a="1"/>
  <c r="L419" i="1" a="1"/>
  <c r="L419" i="1" s="1"/>
  <c r="K419" i="1"/>
  <c r="J419" i="1"/>
  <c r="O419" i="1" s="1"/>
  <c r="I419" i="1"/>
  <c r="H419" i="1"/>
  <c r="O418" i="1"/>
  <c r="N418" i="1"/>
  <c r="M418" i="1" a="1"/>
  <c r="M418" i="1" s="1"/>
  <c r="L418" i="1" a="1"/>
  <c r="L418" i="1" s="1"/>
  <c r="K418" i="1"/>
  <c r="J418" i="1"/>
  <c r="I418" i="1"/>
  <c r="H418" i="1"/>
  <c r="M417" i="1" a="1"/>
  <c r="M417" i="1" s="1"/>
  <c r="L417" i="1" a="1"/>
  <c r="L417" i="1" s="1"/>
  <c r="K417" i="1"/>
  <c r="J417" i="1"/>
  <c r="I417" i="1"/>
  <c r="H417" i="1"/>
  <c r="M416" i="1" a="1"/>
  <c r="M416" i="1" s="1"/>
  <c r="L416" i="1"/>
  <c r="L416" i="1" a="1"/>
  <c r="K416" i="1"/>
  <c r="J416" i="1"/>
  <c r="O416" i="1" s="1"/>
  <c r="I416" i="1"/>
  <c r="H416" i="1"/>
  <c r="O415" i="1"/>
  <c r="N415" i="1"/>
  <c r="M415" i="1"/>
  <c r="M415" i="1" a="1"/>
  <c r="L415" i="1"/>
  <c r="L415" i="1" a="1"/>
  <c r="K415" i="1"/>
  <c r="J415" i="1"/>
  <c r="I415" i="1"/>
  <c r="H415" i="1"/>
  <c r="O414" i="1"/>
  <c r="N414" i="1"/>
  <c r="M414" i="1"/>
  <c r="M414" i="1" a="1"/>
  <c r="L414" i="1" a="1"/>
  <c r="L414" i="1" s="1"/>
  <c r="K414" i="1"/>
  <c r="J414" i="1"/>
  <c r="I414" i="1"/>
  <c r="H414" i="1"/>
  <c r="N413" i="1"/>
  <c r="M413" i="1"/>
  <c r="M413" i="1" a="1"/>
  <c r="L413" i="1" a="1"/>
  <c r="L413" i="1" s="1"/>
  <c r="K413" i="1"/>
  <c r="J413" i="1"/>
  <c r="O413" i="1" s="1"/>
  <c r="I413" i="1"/>
  <c r="H413" i="1"/>
  <c r="M412" i="1" a="1"/>
  <c r="M412" i="1" s="1"/>
  <c r="L412" i="1" a="1"/>
  <c r="L412" i="1" s="1"/>
  <c r="K412" i="1"/>
  <c r="J412" i="1"/>
  <c r="I412" i="1"/>
  <c r="H412" i="1"/>
  <c r="M411" i="1" a="1"/>
  <c r="M411" i="1" s="1"/>
  <c r="L411" i="1" a="1"/>
  <c r="L411" i="1" s="1"/>
  <c r="K411" i="1"/>
  <c r="J411" i="1"/>
  <c r="O411" i="1" s="1"/>
  <c r="I411" i="1"/>
  <c r="H411" i="1"/>
  <c r="N410" i="1"/>
  <c r="M410" i="1" a="1"/>
  <c r="M410" i="1" s="1"/>
  <c r="L410" i="1"/>
  <c r="L410" i="1" a="1"/>
  <c r="K410" i="1"/>
  <c r="J410" i="1"/>
  <c r="O410" i="1" s="1"/>
  <c r="I410" i="1"/>
  <c r="H410" i="1"/>
  <c r="M409" i="1"/>
  <c r="M409" i="1" a="1"/>
  <c r="L409" i="1" a="1"/>
  <c r="L409" i="1" s="1"/>
  <c r="K409" i="1"/>
  <c r="J409" i="1"/>
  <c r="I409" i="1"/>
  <c r="H409" i="1"/>
  <c r="M408" i="1" a="1"/>
  <c r="M408" i="1" s="1"/>
  <c r="L408" i="1" a="1"/>
  <c r="L408" i="1" s="1"/>
  <c r="K408" i="1"/>
  <c r="J408" i="1"/>
  <c r="I408" i="1"/>
  <c r="H408" i="1"/>
  <c r="M407" i="1" a="1"/>
  <c r="M407" i="1" s="1"/>
  <c r="L407" i="1" a="1"/>
  <c r="L407" i="1" s="1"/>
  <c r="K407" i="1"/>
  <c r="J407" i="1"/>
  <c r="O407" i="1" s="1"/>
  <c r="I407" i="1"/>
  <c r="H407" i="1"/>
  <c r="N406" i="1"/>
  <c r="M406" i="1" a="1"/>
  <c r="M406" i="1" s="1"/>
  <c r="L406" i="1"/>
  <c r="L406" i="1" a="1"/>
  <c r="K406" i="1"/>
  <c r="J406" i="1"/>
  <c r="O406" i="1" s="1"/>
  <c r="I406" i="1"/>
  <c r="H406" i="1"/>
  <c r="N405" i="1"/>
  <c r="M405" i="1"/>
  <c r="M405" i="1" a="1"/>
  <c r="L405" i="1" a="1"/>
  <c r="L405" i="1" s="1"/>
  <c r="K405" i="1"/>
  <c r="J405" i="1"/>
  <c r="O405" i="1" s="1"/>
  <c r="I405" i="1"/>
  <c r="H405" i="1"/>
  <c r="O404" i="1"/>
  <c r="M404" i="1" a="1"/>
  <c r="M404" i="1" s="1"/>
  <c r="L404" i="1" a="1"/>
  <c r="L404" i="1" s="1"/>
  <c r="K404" i="1"/>
  <c r="J404" i="1"/>
  <c r="N404" i="1" s="1"/>
  <c r="I404" i="1"/>
  <c r="H404" i="1"/>
  <c r="M403" i="1" a="1"/>
  <c r="M403" i="1" s="1"/>
  <c r="L403" i="1" a="1"/>
  <c r="L403" i="1" s="1"/>
  <c r="K403" i="1"/>
  <c r="J403" i="1"/>
  <c r="O403" i="1" s="1"/>
  <c r="I403" i="1"/>
  <c r="H403" i="1"/>
  <c r="N402" i="1"/>
  <c r="M402" i="1" a="1"/>
  <c r="M402" i="1" s="1"/>
  <c r="L402" i="1"/>
  <c r="L402" i="1" a="1"/>
  <c r="K402" i="1"/>
  <c r="J402" i="1"/>
  <c r="O402" i="1" s="1"/>
  <c r="I402" i="1"/>
  <c r="H402" i="1"/>
  <c r="N401" i="1"/>
  <c r="M401" i="1"/>
  <c r="M401" i="1" a="1"/>
  <c r="L401" i="1" a="1"/>
  <c r="L401" i="1" s="1"/>
  <c r="K401" i="1"/>
  <c r="J401" i="1"/>
  <c r="O401" i="1" s="1"/>
  <c r="I401" i="1"/>
  <c r="H401" i="1"/>
  <c r="M400" i="1" a="1"/>
  <c r="M400" i="1" s="1"/>
  <c r="L400" i="1" a="1"/>
  <c r="L400" i="1" s="1"/>
  <c r="K400" i="1"/>
  <c r="J400" i="1"/>
  <c r="I400" i="1"/>
  <c r="H400" i="1"/>
  <c r="M399" i="1" a="1"/>
  <c r="M399" i="1" s="1"/>
  <c r="L399" i="1" a="1"/>
  <c r="L399" i="1" s="1"/>
  <c r="K399" i="1"/>
  <c r="J399" i="1"/>
  <c r="O399" i="1" s="1"/>
  <c r="I399" i="1"/>
  <c r="H399" i="1"/>
  <c r="N398" i="1"/>
  <c r="M398" i="1" a="1"/>
  <c r="M398" i="1" s="1"/>
  <c r="L398" i="1" a="1"/>
  <c r="L398" i="1" s="1"/>
  <c r="K398" i="1"/>
  <c r="J398" i="1"/>
  <c r="O398" i="1" s="1"/>
  <c r="I398" i="1"/>
  <c r="H398" i="1"/>
  <c r="M397" i="1" a="1"/>
  <c r="M397" i="1" s="1"/>
  <c r="L397" i="1" a="1"/>
  <c r="L397" i="1" s="1"/>
  <c r="K397" i="1"/>
  <c r="J397" i="1"/>
  <c r="I397" i="1"/>
  <c r="H397" i="1"/>
  <c r="M396" i="1" a="1"/>
  <c r="M396" i="1" s="1"/>
  <c r="L396" i="1" a="1"/>
  <c r="L396" i="1" s="1"/>
  <c r="K396" i="1"/>
  <c r="J396" i="1"/>
  <c r="I396" i="1"/>
  <c r="H396" i="1"/>
  <c r="M395" i="1" a="1"/>
  <c r="M395" i="1" s="1"/>
  <c r="L395" i="1" a="1"/>
  <c r="L395" i="1" s="1"/>
  <c r="K395" i="1"/>
  <c r="J395" i="1"/>
  <c r="I395" i="1"/>
  <c r="H395" i="1"/>
  <c r="N394" i="1"/>
  <c r="M394" i="1" a="1"/>
  <c r="M394" i="1" s="1"/>
  <c r="L394" i="1"/>
  <c r="L394" i="1" a="1"/>
  <c r="K394" i="1"/>
  <c r="J394" i="1"/>
  <c r="O394" i="1" s="1"/>
  <c r="I394" i="1"/>
  <c r="H394" i="1"/>
  <c r="M393" i="1"/>
  <c r="M393" i="1" a="1"/>
  <c r="L393" i="1" a="1"/>
  <c r="L393" i="1" s="1"/>
  <c r="K393" i="1"/>
  <c r="J393" i="1"/>
  <c r="O393" i="1" s="1"/>
  <c r="I393" i="1"/>
  <c r="H393" i="1"/>
  <c r="N392" i="1"/>
  <c r="M392" i="1" a="1"/>
  <c r="M392" i="1" s="1"/>
  <c r="L392" i="1" a="1"/>
  <c r="L392" i="1" s="1"/>
  <c r="K392" i="1"/>
  <c r="J392" i="1"/>
  <c r="O392" i="1" s="1"/>
  <c r="I392" i="1"/>
  <c r="H392" i="1"/>
  <c r="M391" i="1" a="1"/>
  <c r="M391" i="1" s="1"/>
  <c r="L391" i="1" a="1"/>
  <c r="L391" i="1" s="1"/>
  <c r="K391" i="1"/>
  <c r="J391" i="1"/>
  <c r="I391" i="1"/>
  <c r="H391" i="1"/>
  <c r="N390" i="1"/>
  <c r="M390" i="1" a="1"/>
  <c r="M390" i="1" s="1"/>
  <c r="L390" i="1" a="1"/>
  <c r="L390" i="1" s="1"/>
  <c r="K390" i="1"/>
  <c r="J390" i="1"/>
  <c r="O390" i="1" s="1"/>
  <c r="I390" i="1"/>
  <c r="H390" i="1"/>
  <c r="M389" i="1"/>
  <c r="M389" i="1" a="1"/>
  <c r="L389" i="1" a="1"/>
  <c r="L389" i="1" s="1"/>
  <c r="K389" i="1"/>
  <c r="J389" i="1"/>
  <c r="O389" i="1" s="1"/>
  <c r="I389" i="1"/>
  <c r="H389" i="1"/>
  <c r="N388" i="1"/>
  <c r="M388" i="1" a="1"/>
  <c r="M388" i="1" s="1"/>
  <c r="L388" i="1" a="1"/>
  <c r="L388" i="1" s="1"/>
  <c r="K388" i="1"/>
  <c r="J388" i="1"/>
  <c r="O388" i="1" s="1"/>
  <c r="I388" i="1"/>
  <c r="H388" i="1"/>
  <c r="N387" i="1"/>
  <c r="M387" i="1" a="1"/>
  <c r="M387" i="1" s="1"/>
  <c r="L387" i="1" a="1"/>
  <c r="L387" i="1" s="1"/>
  <c r="K387" i="1"/>
  <c r="J387" i="1"/>
  <c r="O387" i="1" s="1"/>
  <c r="I387" i="1"/>
  <c r="H387" i="1"/>
  <c r="N386" i="1"/>
  <c r="M386" i="1" a="1"/>
  <c r="M386" i="1" s="1"/>
  <c r="L386" i="1"/>
  <c r="L386" i="1" a="1"/>
  <c r="K386" i="1"/>
  <c r="J386" i="1"/>
  <c r="O386" i="1" s="1"/>
  <c r="I386" i="1"/>
  <c r="H386" i="1"/>
  <c r="N385" i="1"/>
  <c r="M385" i="1" a="1"/>
  <c r="M385" i="1" s="1"/>
  <c r="L385" i="1" a="1"/>
  <c r="L385" i="1" s="1"/>
  <c r="K385" i="1"/>
  <c r="J385" i="1"/>
  <c r="O385" i="1" s="1"/>
  <c r="I385" i="1"/>
  <c r="H385" i="1"/>
  <c r="O384" i="1"/>
  <c r="M384" i="1" a="1"/>
  <c r="M384" i="1" s="1"/>
  <c r="L384" i="1" a="1"/>
  <c r="L384" i="1" s="1"/>
  <c r="K384" i="1"/>
  <c r="J384" i="1"/>
  <c r="N384" i="1" s="1"/>
  <c r="I384" i="1"/>
  <c r="H384" i="1"/>
  <c r="M383" i="1" a="1"/>
  <c r="M383" i="1" s="1"/>
  <c r="L383" i="1" a="1"/>
  <c r="L383" i="1" s="1"/>
  <c r="K383" i="1"/>
  <c r="J383" i="1"/>
  <c r="I383" i="1"/>
  <c r="H383" i="1"/>
  <c r="M382" i="1" a="1"/>
  <c r="M382" i="1" s="1"/>
  <c r="L382" i="1" a="1"/>
  <c r="L382" i="1" s="1"/>
  <c r="K382" i="1"/>
  <c r="J382" i="1"/>
  <c r="I382" i="1"/>
  <c r="H382" i="1"/>
  <c r="M381" i="1"/>
  <c r="M381" i="1" a="1"/>
  <c r="L381" i="1" a="1"/>
  <c r="L381" i="1" s="1"/>
  <c r="K381" i="1"/>
  <c r="J381" i="1"/>
  <c r="I381" i="1"/>
  <c r="H381" i="1"/>
  <c r="M380" i="1" a="1"/>
  <c r="M380" i="1" s="1"/>
  <c r="L380" i="1" a="1"/>
  <c r="L380" i="1" s="1"/>
  <c r="K380" i="1"/>
  <c r="J380" i="1"/>
  <c r="I380" i="1"/>
  <c r="H380" i="1"/>
  <c r="M379" i="1" a="1"/>
  <c r="M379" i="1" s="1"/>
  <c r="L379" i="1" a="1"/>
  <c r="L379" i="1" s="1"/>
  <c r="K379" i="1"/>
  <c r="J379" i="1"/>
  <c r="O379" i="1" s="1"/>
  <c r="I379" i="1"/>
  <c r="H379" i="1"/>
  <c r="M378" i="1" a="1"/>
  <c r="M378" i="1" s="1"/>
  <c r="L378" i="1"/>
  <c r="L378" i="1" a="1"/>
  <c r="K378" i="1"/>
  <c r="J378" i="1"/>
  <c r="O378" i="1" s="1"/>
  <c r="I378" i="1"/>
  <c r="H378" i="1"/>
  <c r="M377" i="1" a="1"/>
  <c r="M377" i="1" s="1"/>
  <c r="L377" i="1" a="1"/>
  <c r="L377" i="1" s="1"/>
  <c r="K377" i="1"/>
  <c r="J377" i="1"/>
  <c r="O377" i="1" s="1"/>
  <c r="I377" i="1"/>
  <c r="H377" i="1"/>
  <c r="M376" i="1" a="1"/>
  <c r="M376" i="1" s="1"/>
  <c r="L376" i="1" a="1"/>
  <c r="L376" i="1" s="1"/>
  <c r="K376" i="1"/>
  <c r="J376" i="1"/>
  <c r="O376" i="1" s="1"/>
  <c r="I376" i="1"/>
  <c r="H376" i="1"/>
  <c r="M375" i="1" a="1"/>
  <c r="M375" i="1" s="1"/>
  <c r="L375" i="1" a="1"/>
  <c r="L375" i="1" s="1"/>
  <c r="K375" i="1"/>
  <c r="J375" i="1"/>
  <c r="I375" i="1"/>
  <c r="H375" i="1"/>
  <c r="M374" i="1" a="1"/>
  <c r="M374" i="1" s="1"/>
  <c r="L374" i="1" a="1"/>
  <c r="L374" i="1" s="1"/>
  <c r="K374" i="1"/>
  <c r="J374" i="1"/>
  <c r="I374" i="1"/>
  <c r="H374" i="1"/>
  <c r="M373" i="1" a="1"/>
  <c r="M373" i="1" s="1"/>
  <c r="L373" i="1" a="1"/>
  <c r="L373" i="1" s="1"/>
  <c r="K373" i="1"/>
  <c r="J373" i="1"/>
  <c r="I373" i="1"/>
  <c r="H373" i="1"/>
  <c r="M372" i="1" a="1"/>
  <c r="M372" i="1" s="1"/>
  <c r="L372" i="1" a="1"/>
  <c r="L372" i="1" s="1"/>
  <c r="K372" i="1"/>
  <c r="J372" i="1"/>
  <c r="I372" i="1"/>
  <c r="H372" i="1"/>
  <c r="M371" i="1" a="1"/>
  <c r="M371" i="1" s="1"/>
  <c r="L371" i="1" a="1"/>
  <c r="L371" i="1" s="1"/>
  <c r="K371" i="1"/>
  <c r="J371" i="1"/>
  <c r="O371" i="1" s="1"/>
  <c r="I371" i="1"/>
  <c r="H371" i="1"/>
  <c r="N370" i="1"/>
  <c r="M370" i="1" a="1"/>
  <c r="M370" i="1" s="1"/>
  <c r="L370" i="1" a="1"/>
  <c r="L370" i="1" s="1"/>
  <c r="K370" i="1"/>
  <c r="J370" i="1"/>
  <c r="O370" i="1" s="1"/>
  <c r="I370" i="1"/>
  <c r="H370" i="1"/>
  <c r="N369" i="1"/>
  <c r="M369" i="1"/>
  <c r="M369" i="1" a="1"/>
  <c r="L369" i="1" a="1"/>
  <c r="L369" i="1" s="1"/>
  <c r="K369" i="1"/>
  <c r="J369" i="1"/>
  <c r="O369" i="1" s="1"/>
  <c r="I369" i="1"/>
  <c r="H369" i="1"/>
  <c r="O368" i="1"/>
  <c r="M368" i="1" a="1"/>
  <c r="M368" i="1" s="1"/>
  <c r="L368" i="1" a="1"/>
  <c r="L368" i="1" s="1"/>
  <c r="K368" i="1"/>
  <c r="J368" i="1"/>
  <c r="N368" i="1" s="1"/>
  <c r="I368" i="1"/>
  <c r="H368" i="1"/>
  <c r="N367" i="1"/>
  <c r="M367" i="1" a="1"/>
  <c r="M367" i="1" s="1"/>
  <c r="L367" i="1" a="1"/>
  <c r="L367" i="1" s="1"/>
  <c r="K367" i="1"/>
  <c r="J367" i="1"/>
  <c r="O367" i="1" s="1"/>
  <c r="I367" i="1"/>
  <c r="H367" i="1"/>
  <c r="M366" i="1" a="1"/>
  <c r="M366" i="1" s="1"/>
  <c r="L366" i="1" a="1"/>
  <c r="L366" i="1" s="1"/>
  <c r="K366" i="1"/>
  <c r="J366" i="1"/>
  <c r="O366" i="1" s="1"/>
  <c r="I366" i="1"/>
  <c r="H366" i="1"/>
  <c r="M365" i="1"/>
  <c r="M365" i="1" a="1"/>
  <c r="L365" i="1" a="1"/>
  <c r="L365" i="1" s="1"/>
  <c r="K365" i="1"/>
  <c r="J365" i="1"/>
  <c r="O365" i="1" s="1"/>
  <c r="I365" i="1"/>
  <c r="H365" i="1"/>
  <c r="N364" i="1"/>
  <c r="M364" i="1" a="1"/>
  <c r="M364" i="1" s="1"/>
  <c r="L364" i="1" a="1"/>
  <c r="L364" i="1" s="1"/>
  <c r="K364" i="1"/>
  <c r="J364" i="1"/>
  <c r="O364" i="1" s="1"/>
  <c r="I364" i="1"/>
  <c r="H364" i="1"/>
  <c r="N363" i="1"/>
  <c r="M363" i="1" a="1"/>
  <c r="M363" i="1" s="1"/>
  <c r="L363" i="1" a="1"/>
  <c r="L363" i="1" s="1"/>
  <c r="K363" i="1"/>
  <c r="J363" i="1"/>
  <c r="O363" i="1" s="1"/>
  <c r="I363" i="1"/>
  <c r="H363" i="1"/>
  <c r="N362" i="1"/>
  <c r="M362" i="1" a="1"/>
  <c r="M362" i="1" s="1"/>
  <c r="L362" i="1"/>
  <c r="L362" i="1" a="1"/>
  <c r="K362" i="1"/>
  <c r="J362" i="1"/>
  <c r="O362" i="1" s="1"/>
  <c r="I362" i="1"/>
  <c r="H362" i="1"/>
  <c r="N361" i="1"/>
  <c r="M361" i="1" a="1"/>
  <c r="M361" i="1" s="1"/>
  <c r="L361" i="1" a="1"/>
  <c r="L361" i="1" s="1"/>
  <c r="K361" i="1"/>
  <c r="J361" i="1"/>
  <c r="O361" i="1" s="1"/>
  <c r="I361" i="1"/>
  <c r="H361" i="1"/>
  <c r="O360" i="1"/>
  <c r="M360" i="1" a="1"/>
  <c r="M360" i="1" s="1"/>
  <c r="L360" i="1" a="1"/>
  <c r="L360" i="1" s="1"/>
  <c r="K360" i="1"/>
  <c r="J360" i="1"/>
  <c r="N360" i="1" s="1"/>
  <c r="I360" i="1"/>
  <c r="H360" i="1"/>
  <c r="N359" i="1"/>
  <c r="M359" i="1"/>
  <c r="M359" i="1" a="1"/>
  <c r="L359" i="1" a="1"/>
  <c r="L359" i="1" s="1"/>
  <c r="K359" i="1"/>
  <c r="J359" i="1"/>
  <c r="O359" i="1" s="1"/>
  <c r="I359" i="1"/>
  <c r="H359" i="1"/>
  <c r="O358" i="1"/>
  <c r="M358" i="1" a="1"/>
  <c r="M358" i="1" s="1"/>
  <c r="L358" i="1"/>
  <c r="L358" i="1" a="1"/>
  <c r="K358" i="1"/>
  <c r="J358" i="1"/>
  <c r="N358" i="1" s="1"/>
  <c r="I358" i="1"/>
  <c r="H358" i="1"/>
  <c r="M357" i="1"/>
  <c r="M357" i="1" a="1"/>
  <c r="L357" i="1" a="1"/>
  <c r="L357" i="1" s="1"/>
  <c r="K357" i="1"/>
  <c r="J357" i="1"/>
  <c r="I357" i="1"/>
  <c r="H357" i="1"/>
  <c r="O356" i="1"/>
  <c r="N356" i="1"/>
  <c r="M356" i="1" a="1"/>
  <c r="M356" i="1" s="1"/>
  <c r="L356" i="1"/>
  <c r="L356" i="1" a="1"/>
  <c r="K356" i="1"/>
  <c r="J356" i="1"/>
  <c r="I356" i="1"/>
  <c r="H356" i="1"/>
  <c r="N355" i="1"/>
  <c r="M355" i="1" a="1"/>
  <c r="M355" i="1" s="1"/>
  <c r="L355" i="1" a="1"/>
  <c r="L355" i="1" s="1"/>
  <c r="K355" i="1"/>
  <c r="J355" i="1"/>
  <c r="O355" i="1" s="1"/>
  <c r="I355" i="1"/>
  <c r="H355" i="1"/>
  <c r="N354" i="1"/>
  <c r="M354" i="1" a="1"/>
  <c r="M354" i="1" s="1"/>
  <c r="L354" i="1" a="1"/>
  <c r="L354" i="1" s="1"/>
  <c r="K354" i="1"/>
  <c r="J354" i="1"/>
  <c r="O354" i="1" s="1"/>
  <c r="I354" i="1"/>
  <c r="H354" i="1"/>
  <c r="O353" i="1"/>
  <c r="N353" i="1"/>
  <c r="M353" i="1" a="1"/>
  <c r="M353" i="1" s="1"/>
  <c r="L353" i="1" a="1"/>
  <c r="L353" i="1" s="1"/>
  <c r="K353" i="1"/>
  <c r="J353" i="1"/>
  <c r="I353" i="1"/>
  <c r="H353" i="1"/>
  <c r="O352" i="1"/>
  <c r="M352" i="1" a="1"/>
  <c r="M352" i="1" s="1"/>
  <c r="L352" i="1" a="1"/>
  <c r="L352" i="1" s="1"/>
  <c r="K352" i="1"/>
  <c r="J352" i="1"/>
  <c r="N352" i="1" s="1"/>
  <c r="I352" i="1"/>
  <c r="H352" i="1"/>
  <c r="M351" i="1" a="1"/>
  <c r="M351" i="1" s="1"/>
  <c r="L351" i="1"/>
  <c r="L351" i="1" a="1"/>
  <c r="K351" i="1"/>
  <c r="J351" i="1"/>
  <c r="O351" i="1" s="1"/>
  <c r="I351" i="1"/>
  <c r="H351" i="1"/>
  <c r="N350" i="1"/>
  <c r="M350" i="1"/>
  <c r="M350" i="1" a="1"/>
  <c r="L350" i="1"/>
  <c r="L350" i="1" a="1"/>
  <c r="K350" i="1"/>
  <c r="J350" i="1"/>
  <c r="O350" i="1" s="1"/>
  <c r="I350" i="1"/>
  <c r="H350" i="1"/>
  <c r="O349" i="1"/>
  <c r="N349" i="1"/>
  <c r="M349" i="1"/>
  <c r="M349" i="1" a="1"/>
  <c r="L349" i="1" a="1"/>
  <c r="L349" i="1" s="1"/>
  <c r="K349" i="1"/>
  <c r="J349" i="1"/>
  <c r="I349" i="1"/>
  <c r="H349" i="1"/>
  <c r="O348" i="1"/>
  <c r="N348" i="1"/>
  <c r="M348" i="1" a="1"/>
  <c r="M348" i="1" s="1"/>
  <c r="L348" i="1"/>
  <c r="L348" i="1" a="1"/>
  <c r="K348" i="1"/>
  <c r="J348" i="1"/>
  <c r="I348" i="1"/>
  <c r="H348" i="1"/>
  <c r="N347" i="1"/>
  <c r="M347" i="1" a="1"/>
  <c r="M347" i="1" s="1"/>
  <c r="L347" i="1" a="1"/>
  <c r="L347" i="1" s="1"/>
  <c r="K347" i="1"/>
  <c r="J347" i="1"/>
  <c r="O347" i="1" s="1"/>
  <c r="I347" i="1"/>
  <c r="H347" i="1"/>
  <c r="N346" i="1"/>
  <c r="M346" i="1" a="1"/>
  <c r="M346" i="1" s="1"/>
  <c r="L346" i="1" a="1"/>
  <c r="L346" i="1" s="1"/>
  <c r="K346" i="1"/>
  <c r="J346" i="1"/>
  <c r="O346" i="1" s="1"/>
  <c r="I346" i="1"/>
  <c r="H346" i="1"/>
  <c r="M345" i="1" a="1"/>
  <c r="M345" i="1" s="1"/>
  <c r="L345" i="1" a="1"/>
  <c r="L345" i="1" s="1"/>
  <c r="K345" i="1"/>
  <c r="J345" i="1"/>
  <c r="O345" i="1" s="1"/>
  <c r="I345" i="1"/>
  <c r="H345" i="1"/>
  <c r="M344" i="1" a="1"/>
  <c r="M344" i="1" s="1"/>
  <c r="L344" i="1" a="1"/>
  <c r="L344" i="1" s="1"/>
  <c r="K344" i="1"/>
  <c r="J344" i="1"/>
  <c r="I344" i="1"/>
  <c r="H344" i="1"/>
  <c r="N343" i="1"/>
  <c r="M343" i="1"/>
  <c r="M343" i="1" a="1"/>
  <c r="L343" i="1"/>
  <c r="L343" i="1" a="1"/>
  <c r="K343" i="1"/>
  <c r="J343" i="1"/>
  <c r="O343" i="1" s="1"/>
  <c r="I343" i="1"/>
  <c r="H343" i="1"/>
  <c r="O342" i="1"/>
  <c r="N342" i="1"/>
  <c r="M342" i="1"/>
  <c r="M342" i="1" a="1"/>
  <c r="L342" i="1"/>
  <c r="L342" i="1" a="1"/>
  <c r="K342" i="1"/>
  <c r="J342" i="1"/>
  <c r="I342" i="1"/>
  <c r="H342" i="1"/>
  <c r="O341" i="1"/>
  <c r="M341" i="1"/>
  <c r="M341" i="1" a="1"/>
  <c r="L341" i="1" a="1"/>
  <c r="L341" i="1" s="1"/>
  <c r="K341" i="1"/>
  <c r="J341" i="1"/>
  <c r="N341" i="1" s="1"/>
  <c r="I341" i="1"/>
  <c r="H341" i="1"/>
  <c r="O340" i="1"/>
  <c r="N340" i="1"/>
  <c r="M340" i="1" a="1"/>
  <c r="M340" i="1" s="1"/>
  <c r="L340" i="1" a="1"/>
  <c r="L340" i="1" s="1"/>
  <c r="K340" i="1"/>
  <c r="J340" i="1"/>
  <c r="I340" i="1"/>
  <c r="H340" i="1"/>
  <c r="N339" i="1"/>
  <c r="M339" i="1"/>
  <c r="M339" i="1" a="1"/>
  <c r="L339" i="1" a="1"/>
  <c r="L339" i="1" s="1"/>
  <c r="K339" i="1"/>
  <c r="J339" i="1"/>
  <c r="O339" i="1" s="1"/>
  <c r="I339" i="1"/>
  <c r="H339" i="1"/>
  <c r="M338" i="1" a="1"/>
  <c r="M338" i="1" s="1"/>
  <c r="L338" i="1" a="1"/>
  <c r="L338" i="1" s="1"/>
  <c r="K338" i="1"/>
  <c r="J338" i="1"/>
  <c r="I338" i="1"/>
  <c r="H338" i="1"/>
  <c r="O337" i="1"/>
  <c r="N337" i="1"/>
  <c r="M337" i="1" a="1"/>
  <c r="M337" i="1" s="1"/>
  <c r="L337" i="1" a="1"/>
  <c r="L337" i="1" s="1"/>
  <c r="K337" i="1"/>
  <c r="J337" i="1"/>
  <c r="I337" i="1"/>
  <c r="H337" i="1"/>
  <c r="O336" i="1"/>
  <c r="N336" i="1"/>
  <c r="M336" i="1" a="1"/>
  <c r="M336" i="1" s="1"/>
  <c r="L336" i="1" a="1"/>
  <c r="L336" i="1" s="1"/>
  <c r="K336" i="1"/>
  <c r="J336" i="1"/>
  <c r="I336" i="1"/>
  <c r="H336" i="1"/>
  <c r="N335" i="1"/>
  <c r="M335" i="1"/>
  <c r="M335" i="1" a="1"/>
  <c r="L335" i="1"/>
  <c r="L335" i="1" a="1"/>
  <c r="K335" i="1"/>
  <c r="J335" i="1"/>
  <c r="O335" i="1" s="1"/>
  <c r="I335" i="1"/>
  <c r="H335" i="1"/>
  <c r="O334" i="1"/>
  <c r="M334" i="1"/>
  <c r="M334" i="1" a="1"/>
  <c r="L334" i="1" a="1"/>
  <c r="L334" i="1" s="1"/>
  <c r="K334" i="1"/>
  <c r="J334" i="1"/>
  <c r="N334" i="1" s="1"/>
  <c r="I334" i="1"/>
  <c r="H334" i="1"/>
  <c r="O333" i="1"/>
  <c r="M333" i="1" a="1"/>
  <c r="M333" i="1" s="1"/>
  <c r="L333" i="1" a="1"/>
  <c r="L333" i="1" s="1"/>
  <c r="K333" i="1"/>
  <c r="J333" i="1"/>
  <c r="N333" i="1" s="1"/>
  <c r="I333" i="1"/>
  <c r="H333" i="1"/>
  <c r="M332" i="1" a="1"/>
  <c r="M332" i="1" s="1"/>
  <c r="L332" i="1"/>
  <c r="L332" i="1" a="1"/>
  <c r="K332" i="1"/>
  <c r="J332" i="1"/>
  <c r="O332" i="1" s="1"/>
  <c r="I332" i="1"/>
  <c r="H332" i="1"/>
  <c r="M331" i="1" a="1"/>
  <c r="M331" i="1" s="1"/>
  <c r="L331" i="1" a="1"/>
  <c r="L331" i="1" s="1"/>
  <c r="K331" i="1"/>
  <c r="J331" i="1"/>
  <c r="I331" i="1"/>
  <c r="H331" i="1"/>
  <c r="O330" i="1"/>
  <c r="N330" i="1"/>
  <c r="M330" i="1" a="1"/>
  <c r="M330" i="1" s="1"/>
  <c r="L330" i="1" a="1"/>
  <c r="L330" i="1" s="1"/>
  <c r="K330" i="1"/>
  <c r="J330" i="1"/>
  <c r="I330" i="1"/>
  <c r="H330" i="1"/>
  <c r="O329" i="1"/>
  <c r="N329" i="1"/>
  <c r="M329" i="1" a="1"/>
  <c r="M329" i="1" s="1"/>
  <c r="L329" i="1" a="1"/>
  <c r="L329" i="1" s="1"/>
  <c r="K329" i="1"/>
  <c r="J329" i="1"/>
  <c r="I329" i="1"/>
  <c r="H329" i="1"/>
  <c r="O328" i="1"/>
  <c r="M328" i="1" a="1"/>
  <c r="M328" i="1" s="1"/>
  <c r="L328" i="1" a="1"/>
  <c r="L328" i="1" s="1"/>
  <c r="K328" i="1"/>
  <c r="J328" i="1"/>
  <c r="N328" i="1" s="1"/>
  <c r="I328" i="1"/>
  <c r="H328" i="1"/>
  <c r="M327" i="1"/>
  <c r="M327" i="1" a="1"/>
  <c r="L327" i="1" a="1"/>
  <c r="L327" i="1" s="1"/>
  <c r="K327" i="1"/>
  <c r="J327" i="1"/>
  <c r="O327" i="1" s="1"/>
  <c r="I327" i="1"/>
  <c r="H327" i="1"/>
  <c r="O326" i="1"/>
  <c r="M326" i="1" a="1"/>
  <c r="M326" i="1" s="1"/>
  <c r="L326" i="1"/>
  <c r="L326" i="1" a="1"/>
  <c r="K326" i="1"/>
  <c r="J326" i="1"/>
  <c r="N326" i="1" s="1"/>
  <c r="I326" i="1"/>
  <c r="H326" i="1"/>
  <c r="N325" i="1"/>
  <c r="M325" i="1"/>
  <c r="M325" i="1" a="1"/>
  <c r="L325" i="1"/>
  <c r="L325" i="1" a="1"/>
  <c r="K325" i="1"/>
  <c r="J325" i="1"/>
  <c r="O325" i="1" s="1"/>
  <c r="I325" i="1"/>
  <c r="H325" i="1"/>
  <c r="O324" i="1"/>
  <c r="N324" i="1"/>
  <c r="M324" i="1"/>
  <c r="M324" i="1" a="1"/>
  <c r="L324" i="1"/>
  <c r="L324" i="1" a="1"/>
  <c r="K324" i="1"/>
  <c r="J324" i="1"/>
  <c r="I324" i="1"/>
  <c r="H324" i="1"/>
  <c r="O323" i="1"/>
  <c r="M323" i="1"/>
  <c r="M323" i="1" a="1"/>
  <c r="L323" i="1" a="1"/>
  <c r="L323" i="1" s="1"/>
  <c r="K323" i="1"/>
  <c r="J323" i="1"/>
  <c r="N323" i="1" s="1"/>
  <c r="I323" i="1"/>
  <c r="H323" i="1"/>
  <c r="O322" i="1"/>
  <c r="M322" i="1" a="1"/>
  <c r="M322" i="1" s="1"/>
  <c r="L322" i="1"/>
  <c r="L322" i="1" a="1"/>
  <c r="K322" i="1"/>
  <c r="J322" i="1"/>
  <c r="N322" i="1" s="1"/>
  <c r="I322" i="1"/>
  <c r="H322" i="1"/>
  <c r="N321" i="1"/>
  <c r="M321" i="1"/>
  <c r="M321" i="1" a="1"/>
  <c r="L321" i="1"/>
  <c r="L321" i="1" a="1"/>
  <c r="K321" i="1"/>
  <c r="J321" i="1"/>
  <c r="O321" i="1" s="1"/>
  <c r="I321" i="1"/>
  <c r="H321" i="1"/>
  <c r="O320" i="1"/>
  <c r="N320" i="1"/>
  <c r="M320" i="1"/>
  <c r="M320" i="1" a="1"/>
  <c r="L320" i="1"/>
  <c r="L320" i="1" a="1"/>
  <c r="K320" i="1"/>
  <c r="J320" i="1"/>
  <c r="I320" i="1"/>
  <c r="H320" i="1"/>
  <c r="O319" i="1"/>
  <c r="M319" i="1"/>
  <c r="M319" i="1" a="1"/>
  <c r="L319" i="1" a="1"/>
  <c r="L319" i="1" s="1"/>
  <c r="K319" i="1"/>
  <c r="J319" i="1"/>
  <c r="N319" i="1" s="1"/>
  <c r="I319" i="1"/>
  <c r="H319" i="1"/>
  <c r="O318" i="1"/>
  <c r="M318" i="1" a="1"/>
  <c r="M318" i="1" s="1"/>
  <c r="L318" i="1"/>
  <c r="L318" i="1" a="1"/>
  <c r="K318" i="1"/>
  <c r="J318" i="1"/>
  <c r="N318" i="1" s="1"/>
  <c r="I318" i="1"/>
  <c r="H318" i="1"/>
  <c r="N317" i="1"/>
  <c r="M317" i="1"/>
  <c r="M317" i="1" a="1"/>
  <c r="L317" i="1"/>
  <c r="L317" i="1" a="1"/>
  <c r="K317" i="1"/>
  <c r="J317" i="1"/>
  <c r="O317" i="1" s="1"/>
  <c r="I317" i="1"/>
  <c r="H317" i="1"/>
  <c r="O316" i="1"/>
  <c r="N316" i="1"/>
  <c r="M316" i="1"/>
  <c r="M316" i="1" a="1"/>
  <c r="L316" i="1"/>
  <c r="L316" i="1" a="1"/>
  <c r="K316" i="1"/>
  <c r="J316" i="1"/>
  <c r="I316" i="1"/>
  <c r="H316" i="1"/>
  <c r="O315" i="1"/>
  <c r="M315" i="1"/>
  <c r="M315" i="1" a="1"/>
  <c r="L315" i="1" a="1"/>
  <c r="L315" i="1" s="1"/>
  <c r="K315" i="1"/>
  <c r="J315" i="1"/>
  <c r="N315" i="1" s="1"/>
  <c r="I315" i="1"/>
  <c r="H315" i="1"/>
  <c r="O314" i="1"/>
  <c r="M314" i="1" a="1"/>
  <c r="M314" i="1" s="1"/>
  <c r="L314" i="1" a="1"/>
  <c r="L314" i="1" s="1"/>
  <c r="K314" i="1"/>
  <c r="J314" i="1"/>
  <c r="N314" i="1" s="1"/>
  <c r="I314" i="1"/>
  <c r="H314" i="1"/>
  <c r="N313" i="1"/>
  <c r="M313" i="1" a="1"/>
  <c r="M313" i="1" s="1"/>
  <c r="L313" i="1"/>
  <c r="L313" i="1" a="1"/>
  <c r="K313" i="1"/>
  <c r="J313" i="1"/>
  <c r="O313" i="1" s="1"/>
  <c r="I313" i="1"/>
  <c r="H313" i="1"/>
  <c r="O312" i="1"/>
  <c r="N312" i="1"/>
  <c r="M312" i="1"/>
  <c r="M312" i="1" a="1"/>
  <c r="L312" i="1"/>
  <c r="L312" i="1" a="1"/>
  <c r="K312" i="1"/>
  <c r="J312" i="1"/>
  <c r="I312" i="1"/>
  <c r="H312" i="1"/>
  <c r="O311" i="1"/>
  <c r="M311" i="1"/>
  <c r="M311" i="1" a="1"/>
  <c r="L311" i="1" a="1"/>
  <c r="L311" i="1" s="1"/>
  <c r="K311" i="1"/>
  <c r="J311" i="1"/>
  <c r="N311" i="1" s="1"/>
  <c r="I311" i="1"/>
  <c r="H311" i="1"/>
  <c r="O310" i="1"/>
  <c r="M310" i="1" a="1"/>
  <c r="M310" i="1" s="1"/>
  <c r="L310" i="1" a="1"/>
  <c r="L310" i="1" s="1"/>
  <c r="K310" i="1"/>
  <c r="J310" i="1"/>
  <c r="N310" i="1" s="1"/>
  <c r="I310" i="1"/>
  <c r="H310" i="1"/>
  <c r="N309" i="1"/>
  <c r="M309" i="1" a="1"/>
  <c r="M309" i="1" s="1"/>
  <c r="L309" i="1"/>
  <c r="L309" i="1" a="1"/>
  <c r="K309" i="1"/>
  <c r="J309" i="1"/>
  <c r="O309" i="1" s="1"/>
  <c r="I309" i="1"/>
  <c r="H309" i="1"/>
  <c r="O308" i="1"/>
  <c r="N308" i="1"/>
  <c r="M308" i="1"/>
  <c r="M308" i="1" a="1"/>
  <c r="L308" i="1"/>
  <c r="L308" i="1" a="1"/>
  <c r="K308" i="1"/>
  <c r="J308" i="1"/>
  <c r="I308" i="1"/>
  <c r="H308" i="1"/>
  <c r="M307" i="1"/>
  <c r="M307" i="1" a="1"/>
  <c r="L307" i="1" a="1"/>
  <c r="L307" i="1" s="1"/>
  <c r="K307" i="1"/>
  <c r="J307" i="1"/>
  <c r="N307" i="1" s="1"/>
  <c r="I307" i="1"/>
  <c r="H307" i="1"/>
  <c r="O306" i="1"/>
  <c r="M306" i="1" a="1"/>
  <c r="M306" i="1" s="1"/>
  <c r="L306" i="1" a="1"/>
  <c r="L306" i="1" s="1"/>
  <c r="K306" i="1"/>
  <c r="J306" i="1"/>
  <c r="N306" i="1" s="1"/>
  <c r="I306" i="1"/>
  <c r="H306" i="1"/>
  <c r="N305" i="1"/>
  <c r="M305" i="1" a="1"/>
  <c r="M305" i="1" s="1"/>
  <c r="L305" i="1"/>
  <c r="L305" i="1" a="1"/>
  <c r="K305" i="1"/>
  <c r="J305" i="1"/>
  <c r="O305" i="1" s="1"/>
  <c r="I305" i="1"/>
  <c r="H305" i="1"/>
  <c r="O304" i="1"/>
  <c r="N304" i="1"/>
  <c r="M304" i="1"/>
  <c r="M304" i="1" a="1"/>
  <c r="L304" i="1"/>
  <c r="L304" i="1" a="1"/>
  <c r="K304" i="1"/>
  <c r="J304" i="1"/>
  <c r="I304" i="1"/>
  <c r="H304" i="1"/>
  <c r="M303" i="1"/>
  <c r="M303" i="1" a="1"/>
  <c r="L303" i="1" a="1"/>
  <c r="L303" i="1" s="1"/>
  <c r="K303" i="1"/>
  <c r="J303" i="1"/>
  <c r="I303" i="1"/>
  <c r="H303" i="1"/>
  <c r="O302" i="1"/>
  <c r="M302" i="1" a="1"/>
  <c r="M302" i="1" s="1"/>
  <c r="L302" i="1" a="1"/>
  <c r="L302" i="1" s="1"/>
  <c r="K302" i="1"/>
  <c r="J302" i="1"/>
  <c r="N302" i="1" s="1"/>
  <c r="I302" i="1"/>
  <c r="H302" i="1"/>
  <c r="N301" i="1"/>
  <c r="M301" i="1"/>
  <c r="M301" i="1" a="1"/>
  <c r="L301" i="1"/>
  <c r="L301" i="1" a="1"/>
  <c r="K301" i="1"/>
  <c r="J301" i="1"/>
  <c r="O301" i="1" s="1"/>
  <c r="I301" i="1"/>
  <c r="H301" i="1"/>
  <c r="O300" i="1"/>
  <c r="N300" i="1"/>
  <c r="M300" i="1"/>
  <c r="M300" i="1" a="1"/>
  <c r="L300" i="1"/>
  <c r="L300" i="1" a="1"/>
  <c r="K300" i="1"/>
  <c r="J300" i="1"/>
  <c r="I300" i="1"/>
  <c r="H300" i="1"/>
  <c r="O299" i="1"/>
  <c r="M299" i="1"/>
  <c r="M299" i="1" a="1"/>
  <c r="L299" i="1" a="1"/>
  <c r="L299" i="1" s="1"/>
  <c r="K299" i="1"/>
  <c r="J299" i="1"/>
  <c r="N299" i="1" s="1"/>
  <c r="I299" i="1"/>
  <c r="H299" i="1"/>
  <c r="O298" i="1"/>
  <c r="M298" i="1" a="1"/>
  <c r="M298" i="1" s="1"/>
  <c r="L298" i="1"/>
  <c r="L298" i="1" a="1"/>
  <c r="K298" i="1"/>
  <c r="J298" i="1"/>
  <c r="N298" i="1" s="1"/>
  <c r="I298" i="1"/>
  <c r="H298" i="1"/>
  <c r="N297" i="1"/>
  <c r="M297" i="1" a="1"/>
  <c r="M297" i="1" s="1"/>
  <c r="L297" i="1"/>
  <c r="L297" i="1" a="1"/>
  <c r="K297" i="1"/>
  <c r="J297" i="1"/>
  <c r="O297" i="1" s="1"/>
  <c r="I297" i="1"/>
  <c r="H297" i="1"/>
  <c r="N296" i="1"/>
  <c r="M296" i="1"/>
  <c r="M296" i="1" a="1"/>
  <c r="L296" i="1"/>
  <c r="L296" i="1" a="1"/>
  <c r="K296" i="1"/>
  <c r="J296" i="1"/>
  <c r="O296" i="1" s="1"/>
  <c r="I296" i="1"/>
  <c r="H296" i="1"/>
  <c r="M295" i="1"/>
  <c r="M295" i="1" a="1"/>
  <c r="L295" i="1" a="1"/>
  <c r="L295" i="1" s="1"/>
  <c r="K295" i="1"/>
  <c r="J295" i="1"/>
  <c r="O295" i="1" s="1"/>
  <c r="I295" i="1"/>
  <c r="H295" i="1"/>
  <c r="M294" i="1" a="1"/>
  <c r="M294" i="1" s="1"/>
  <c r="L294" i="1" a="1"/>
  <c r="L294" i="1" s="1"/>
  <c r="K294" i="1"/>
  <c r="J294" i="1"/>
  <c r="N294" i="1" s="1"/>
  <c r="I294" i="1"/>
  <c r="H294" i="1"/>
  <c r="N293" i="1"/>
  <c r="M293" i="1" a="1"/>
  <c r="M293" i="1" s="1"/>
  <c r="L293" i="1" a="1"/>
  <c r="L293" i="1" s="1"/>
  <c r="K293" i="1"/>
  <c r="J293" i="1"/>
  <c r="O293" i="1" s="1"/>
  <c r="I293" i="1"/>
  <c r="H293" i="1"/>
  <c r="O292" i="1"/>
  <c r="N292" i="1"/>
  <c r="M292" i="1" a="1"/>
  <c r="M292" i="1" s="1"/>
  <c r="L292" i="1"/>
  <c r="L292" i="1" a="1"/>
  <c r="K292" i="1"/>
  <c r="J292" i="1"/>
  <c r="I292" i="1"/>
  <c r="H292" i="1"/>
  <c r="O291" i="1"/>
  <c r="N291" i="1"/>
  <c r="M291" i="1"/>
  <c r="M291" i="1" a="1"/>
  <c r="L291" i="1" a="1"/>
  <c r="L291" i="1" s="1"/>
  <c r="K291" i="1"/>
  <c r="J291" i="1"/>
  <c r="I291" i="1"/>
  <c r="H291" i="1"/>
  <c r="O290" i="1"/>
  <c r="M290" i="1" a="1"/>
  <c r="M290" i="1" s="1"/>
  <c r="L290" i="1"/>
  <c r="L290" i="1" a="1"/>
  <c r="K290" i="1"/>
  <c r="J290" i="1"/>
  <c r="N290" i="1" s="1"/>
  <c r="I290" i="1"/>
  <c r="H290" i="1"/>
  <c r="N289" i="1"/>
  <c r="M289" i="1" a="1"/>
  <c r="M289" i="1" s="1"/>
  <c r="L289" i="1"/>
  <c r="L289" i="1" a="1"/>
  <c r="K289" i="1"/>
  <c r="J289" i="1"/>
  <c r="O289" i="1" s="1"/>
  <c r="I289" i="1"/>
  <c r="H289" i="1"/>
  <c r="M288" i="1" a="1"/>
  <c r="M288" i="1" s="1"/>
  <c r="L288" i="1"/>
  <c r="L288" i="1" a="1"/>
  <c r="K288" i="1"/>
  <c r="J288" i="1"/>
  <c r="O288" i="1" s="1"/>
  <c r="I288" i="1"/>
  <c r="H288" i="1"/>
  <c r="M287" i="1"/>
  <c r="M287" i="1" a="1"/>
  <c r="L287" i="1" a="1"/>
  <c r="L287" i="1" s="1"/>
  <c r="K287" i="1"/>
  <c r="J287" i="1"/>
  <c r="O287" i="1" s="1"/>
  <c r="I287" i="1"/>
  <c r="H287" i="1"/>
  <c r="M286" i="1" a="1"/>
  <c r="M286" i="1" s="1"/>
  <c r="L286" i="1"/>
  <c r="L286" i="1" a="1"/>
  <c r="K286" i="1"/>
  <c r="J286" i="1"/>
  <c r="N286" i="1" s="1"/>
  <c r="I286" i="1"/>
  <c r="H286" i="1"/>
  <c r="N285" i="1"/>
  <c r="M285" i="1" a="1"/>
  <c r="M285" i="1" s="1"/>
  <c r="L285" i="1" a="1"/>
  <c r="L285" i="1" s="1"/>
  <c r="K285" i="1"/>
  <c r="J285" i="1"/>
  <c r="O285" i="1" s="1"/>
  <c r="I285" i="1"/>
  <c r="H285" i="1"/>
  <c r="O284" i="1"/>
  <c r="N284" i="1"/>
  <c r="M284" i="1" a="1"/>
  <c r="M284" i="1" s="1"/>
  <c r="L284" i="1" a="1"/>
  <c r="L284" i="1" s="1"/>
  <c r="K284" i="1"/>
  <c r="J284" i="1"/>
  <c r="I284" i="1"/>
  <c r="H284" i="1"/>
  <c r="O283" i="1"/>
  <c r="N283" i="1"/>
  <c r="M283" i="1" a="1"/>
  <c r="M283" i="1" s="1"/>
  <c r="L283" i="1" a="1"/>
  <c r="L283" i="1" s="1"/>
  <c r="K283" i="1"/>
  <c r="J283" i="1"/>
  <c r="I283" i="1"/>
  <c r="H283" i="1"/>
  <c r="O282" i="1"/>
  <c r="N282" i="1"/>
  <c r="M282" i="1" a="1"/>
  <c r="M282" i="1" s="1"/>
  <c r="L282" i="1" a="1"/>
  <c r="L282" i="1" s="1"/>
  <c r="K282" i="1"/>
  <c r="J282" i="1"/>
  <c r="I282" i="1"/>
  <c r="H282" i="1"/>
  <c r="N281" i="1"/>
  <c r="M281" i="1"/>
  <c r="M281" i="1" a="1"/>
  <c r="L281" i="1" a="1"/>
  <c r="L281" i="1" s="1"/>
  <c r="K281" i="1"/>
  <c r="J281" i="1"/>
  <c r="O281" i="1" s="1"/>
  <c r="I281" i="1"/>
  <c r="H281" i="1"/>
  <c r="O280" i="1"/>
  <c r="M280" i="1" a="1"/>
  <c r="M280" i="1" s="1"/>
  <c r="L280" i="1"/>
  <c r="L280" i="1" a="1"/>
  <c r="K280" i="1"/>
  <c r="J280" i="1"/>
  <c r="N280" i="1" s="1"/>
  <c r="I280" i="1"/>
  <c r="H280" i="1"/>
  <c r="M279" i="1"/>
  <c r="M279" i="1" a="1"/>
  <c r="L279" i="1" a="1"/>
  <c r="L279" i="1" s="1"/>
  <c r="K279" i="1"/>
  <c r="J279" i="1"/>
  <c r="I279" i="1"/>
  <c r="H279" i="1"/>
  <c r="O278" i="1"/>
  <c r="N278" i="1"/>
  <c r="M278" i="1" a="1"/>
  <c r="M278" i="1" s="1"/>
  <c r="L278" i="1"/>
  <c r="L278" i="1" a="1"/>
  <c r="K278" i="1"/>
  <c r="J278" i="1"/>
  <c r="I278" i="1"/>
  <c r="H278" i="1"/>
  <c r="N277" i="1"/>
  <c r="M277" i="1" a="1"/>
  <c r="M277" i="1" s="1"/>
  <c r="L277" i="1" a="1"/>
  <c r="L277" i="1" s="1"/>
  <c r="K277" i="1"/>
  <c r="J277" i="1"/>
  <c r="O277" i="1" s="1"/>
  <c r="I277" i="1"/>
  <c r="H277" i="1"/>
  <c r="N276" i="1"/>
  <c r="M276" i="1" a="1"/>
  <c r="M276" i="1" s="1"/>
  <c r="L276" i="1" a="1"/>
  <c r="L276" i="1" s="1"/>
  <c r="K276" i="1"/>
  <c r="J276" i="1"/>
  <c r="O276" i="1" s="1"/>
  <c r="I276" i="1"/>
  <c r="H276" i="1"/>
  <c r="O275" i="1"/>
  <c r="N275" i="1"/>
  <c r="M275" i="1" a="1"/>
  <c r="M275" i="1" s="1"/>
  <c r="L275" i="1" a="1"/>
  <c r="L275" i="1" s="1"/>
  <c r="K275" i="1"/>
  <c r="J275" i="1"/>
  <c r="I275" i="1"/>
  <c r="H275" i="1"/>
  <c r="M274" i="1" a="1"/>
  <c r="M274" i="1" s="1"/>
  <c r="L274" i="1" a="1"/>
  <c r="L274" i="1" s="1"/>
  <c r="K274" i="1"/>
  <c r="J274" i="1"/>
  <c r="N274" i="1" s="1"/>
  <c r="I274" i="1"/>
  <c r="H274" i="1"/>
  <c r="M273" i="1" a="1"/>
  <c r="M273" i="1" s="1"/>
  <c r="L273" i="1"/>
  <c r="L273" i="1" a="1"/>
  <c r="K273" i="1"/>
  <c r="J273" i="1"/>
  <c r="O273" i="1" s="1"/>
  <c r="I273" i="1"/>
  <c r="H273" i="1"/>
  <c r="O272" i="1"/>
  <c r="N272" i="1"/>
  <c r="M272" i="1"/>
  <c r="M272" i="1" a="1"/>
  <c r="L272" i="1"/>
  <c r="L272" i="1" a="1"/>
  <c r="K272" i="1"/>
  <c r="J272" i="1"/>
  <c r="I272" i="1"/>
  <c r="H272" i="1"/>
  <c r="O271" i="1"/>
  <c r="N271" i="1"/>
  <c r="M271" i="1"/>
  <c r="M271" i="1" a="1"/>
  <c r="L271" i="1" a="1"/>
  <c r="L271" i="1" s="1"/>
  <c r="K271" i="1"/>
  <c r="J271" i="1"/>
  <c r="I271" i="1"/>
  <c r="H271" i="1"/>
  <c r="O270" i="1"/>
  <c r="N270" i="1"/>
  <c r="M270" i="1" a="1"/>
  <c r="M270" i="1" s="1"/>
  <c r="L270" i="1"/>
  <c r="L270" i="1" a="1"/>
  <c r="K270" i="1"/>
  <c r="J270" i="1"/>
  <c r="I270" i="1"/>
  <c r="H270" i="1"/>
  <c r="N269" i="1"/>
  <c r="M269" i="1" a="1"/>
  <c r="M269" i="1" s="1"/>
  <c r="L269" i="1" a="1"/>
  <c r="L269" i="1" s="1"/>
  <c r="K269" i="1"/>
  <c r="J269" i="1"/>
  <c r="O269" i="1" s="1"/>
  <c r="I269" i="1"/>
  <c r="H269" i="1"/>
  <c r="N268" i="1"/>
  <c r="M268" i="1" a="1"/>
  <c r="M268" i="1" s="1"/>
  <c r="L268" i="1" a="1"/>
  <c r="L268" i="1" s="1"/>
  <c r="K268" i="1"/>
  <c r="J268" i="1"/>
  <c r="O268" i="1" s="1"/>
  <c r="I268" i="1"/>
  <c r="H268" i="1"/>
  <c r="M267" i="1" a="1"/>
  <c r="M267" i="1" s="1"/>
  <c r="L267" i="1" a="1"/>
  <c r="L267" i="1" s="1"/>
  <c r="K267" i="1"/>
  <c r="J267" i="1"/>
  <c r="O267" i="1" s="1"/>
  <c r="I267" i="1"/>
  <c r="H267" i="1"/>
  <c r="M266" i="1" a="1"/>
  <c r="M266" i="1" s="1"/>
  <c r="L266" i="1" a="1"/>
  <c r="L266" i="1" s="1"/>
  <c r="K266" i="1"/>
  <c r="J266" i="1"/>
  <c r="I266" i="1"/>
  <c r="H266" i="1"/>
  <c r="N265" i="1"/>
  <c r="M265" i="1"/>
  <c r="M265" i="1" a="1"/>
  <c r="L265" i="1"/>
  <c r="L265" i="1" a="1"/>
  <c r="K265" i="1"/>
  <c r="J265" i="1"/>
  <c r="O265" i="1" s="1"/>
  <c r="I265" i="1"/>
  <c r="H265" i="1"/>
  <c r="O264" i="1"/>
  <c r="N264" i="1"/>
  <c r="M264" i="1"/>
  <c r="M264" i="1" a="1"/>
  <c r="L264" i="1"/>
  <c r="L264" i="1" a="1"/>
  <c r="K264" i="1"/>
  <c r="J264" i="1"/>
  <c r="I264" i="1"/>
  <c r="H264" i="1"/>
  <c r="O263" i="1"/>
  <c r="N263" i="1"/>
  <c r="M263" i="1"/>
  <c r="M263" i="1" a="1"/>
  <c r="L263" i="1" a="1"/>
  <c r="L263" i="1" s="1"/>
  <c r="K263" i="1"/>
  <c r="J263" i="1"/>
  <c r="I263" i="1"/>
  <c r="H263" i="1"/>
  <c r="O262" i="1"/>
  <c r="N262" i="1"/>
  <c r="M262" i="1" a="1"/>
  <c r="M262" i="1" s="1"/>
  <c r="L262" i="1" a="1"/>
  <c r="L262" i="1" s="1"/>
  <c r="K262" i="1"/>
  <c r="J262" i="1"/>
  <c r="I262" i="1"/>
  <c r="H262" i="1"/>
  <c r="M261" i="1"/>
  <c r="M261" i="1" a="1"/>
  <c r="L261" i="1" a="1"/>
  <c r="L261" i="1" s="1"/>
  <c r="K261" i="1"/>
  <c r="J261" i="1"/>
  <c r="O261" i="1" s="1"/>
  <c r="I261" i="1"/>
  <c r="H261" i="1"/>
  <c r="M260" i="1" a="1"/>
  <c r="M260" i="1" s="1"/>
  <c r="L260" i="1" a="1"/>
  <c r="L260" i="1" s="1"/>
  <c r="K260" i="1"/>
  <c r="J260" i="1"/>
  <c r="I260" i="1"/>
  <c r="H260" i="1"/>
  <c r="O259" i="1"/>
  <c r="N259" i="1"/>
  <c r="M259" i="1" a="1"/>
  <c r="M259" i="1" s="1"/>
  <c r="L259" i="1" a="1"/>
  <c r="L259" i="1" s="1"/>
  <c r="K259" i="1"/>
  <c r="J259" i="1"/>
  <c r="I259" i="1"/>
  <c r="H259" i="1"/>
  <c r="O258" i="1"/>
  <c r="N258" i="1"/>
  <c r="M258" i="1" a="1"/>
  <c r="M258" i="1" s="1"/>
  <c r="L258" i="1" a="1"/>
  <c r="L258" i="1" s="1"/>
  <c r="K258" i="1"/>
  <c r="J258" i="1"/>
  <c r="I258" i="1"/>
  <c r="H258" i="1"/>
  <c r="N257" i="1"/>
  <c r="M257" i="1"/>
  <c r="M257" i="1" a="1"/>
  <c r="L257" i="1"/>
  <c r="L257" i="1" a="1"/>
  <c r="K257" i="1"/>
  <c r="J257" i="1"/>
  <c r="O257" i="1" s="1"/>
  <c r="I257" i="1"/>
  <c r="H257" i="1"/>
  <c r="O256" i="1"/>
  <c r="N256" i="1"/>
  <c r="M256" i="1"/>
  <c r="M256" i="1" a="1"/>
  <c r="L256" i="1" a="1"/>
  <c r="L256" i="1" s="1"/>
  <c r="K256" i="1"/>
  <c r="J256" i="1"/>
  <c r="I256" i="1"/>
  <c r="H256" i="1"/>
  <c r="M255" i="1" a="1"/>
  <c r="M255" i="1" s="1"/>
  <c r="L255" i="1" a="1"/>
  <c r="L255" i="1" s="1"/>
  <c r="K255" i="1"/>
  <c r="J255" i="1"/>
  <c r="N255" i="1" s="1"/>
  <c r="I255" i="1"/>
  <c r="H255" i="1"/>
  <c r="M254" i="1" a="1"/>
  <c r="M254" i="1" s="1"/>
  <c r="L254" i="1"/>
  <c r="L254" i="1" a="1"/>
  <c r="K254" i="1"/>
  <c r="J254" i="1"/>
  <c r="O254" i="1" s="1"/>
  <c r="I254" i="1"/>
  <c r="H254" i="1"/>
  <c r="M253" i="1" a="1"/>
  <c r="M253" i="1" s="1"/>
  <c r="L253" i="1" a="1"/>
  <c r="L253" i="1" s="1"/>
  <c r="K253" i="1"/>
  <c r="J253" i="1"/>
  <c r="I253" i="1"/>
  <c r="H253" i="1"/>
  <c r="O252" i="1"/>
  <c r="N252" i="1"/>
  <c r="M252" i="1" a="1"/>
  <c r="M252" i="1" s="1"/>
  <c r="L252" i="1" a="1"/>
  <c r="L252" i="1" s="1"/>
  <c r="K252" i="1"/>
  <c r="J252" i="1"/>
  <c r="I252" i="1"/>
  <c r="H252" i="1"/>
  <c r="O251" i="1"/>
  <c r="N251" i="1"/>
  <c r="M251" i="1" a="1"/>
  <c r="M251" i="1" s="1"/>
  <c r="L251" i="1" a="1"/>
  <c r="L251" i="1" s="1"/>
  <c r="K251" i="1"/>
  <c r="J251" i="1"/>
  <c r="I251" i="1"/>
  <c r="H251" i="1"/>
  <c r="O250" i="1"/>
  <c r="N250" i="1"/>
  <c r="M250" i="1" a="1"/>
  <c r="M250" i="1" s="1"/>
  <c r="L250" i="1" a="1"/>
  <c r="L250" i="1" s="1"/>
  <c r="K250" i="1"/>
  <c r="J250" i="1"/>
  <c r="I250" i="1"/>
  <c r="H250" i="1"/>
  <c r="N249" i="1"/>
  <c r="M249" i="1"/>
  <c r="M249" i="1" a="1"/>
  <c r="L249" i="1" a="1"/>
  <c r="L249" i="1" s="1"/>
  <c r="K249" i="1"/>
  <c r="J249" i="1"/>
  <c r="O249" i="1" s="1"/>
  <c r="I249" i="1"/>
  <c r="H249" i="1"/>
  <c r="O248" i="1"/>
  <c r="M248" i="1" a="1"/>
  <c r="M248" i="1" s="1"/>
  <c r="L248" i="1"/>
  <c r="L248" i="1" a="1"/>
  <c r="K248" i="1"/>
  <c r="J248" i="1"/>
  <c r="N248" i="1" s="1"/>
  <c r="I248" i="1"/>
  <c r="H248" i="1"/>
  <c r="M247" i="1"/>
  <c r="M247" i="1" a="1"/>
  <c r="L247" i="1" a="1"/>
  <c r="L247" i="1" s="1"/>
  <c r="K247" i="1"/>
  <c r="J247" i="1"/>
  <c r="I247" i="1"/>
  <c r="H247" i="1"/>
  <c r="O246" i="1"/>
  <c r="N246" i="1"/>
  <c r="M246" i="1" a="1"/>
  <c r="M246" i="1" s="1"/>
  <c r="L246" i="1" a="1"/>
  <c r="L246" i="1" s="1"/>
  <c r="K246" i="1"/>
  <c r="J246" i="1"/>
  <c r="I246" i="1"/>
  <c r="H246" i="1"/>
  <c r="N245" i="1"/>
  <c r="M245" i="1" a="1"/>
  <c r="M245" i="1" s="1"/>
  <c r="L245" i="1" a="1"/>
  <c r="L245" i="1" s="1"/>
  <c r="K245" i="1"/>
  <c r="J245" i="1"/>
  <c r="O245" i="1" s="1"/>
  <c r="I245" i="1"/>
  <c r="H245" i="1"/>
  <c r="M244" i="1" a="1"/>
  <c r="M244" i="1" s="1"/>
  <c r="L244" i="1" a="1"/>
  <c r="L244" i="1" s="1"/>
  <c r="K244" i="1"/>
  <c r="J244" i="1"/>
  <c r="O244" i="1" s="1"/>
  <c r="I244" i="1"/>
  <c r="H244" i="1"/>
  <c r="M243" i="1" a="1"/>
  <c r="M243" i="1" s="1"/>
  <c r="L243" i="1" a="1"/>
  <c r="L243" i="1" s="1"/>
  <c r="K243" i="1"/>
  <c r="J243" i="1"/>
  <c r="I243" i="1"/>
  <c r="H243" i="1"/>
  <c r="O242" i="1"/>
  <c r="N242" i="1"/>
  <c r="M242" i="1" a="1"/>
  <c r="M242" i="1" s="1"/>
  <c r="L242" i="1" a="1"/>
  <c r="L242" i="1" s="1"/>
  <c r="K242" i="1"/>
  <c r="J242" i="1"/>
  <c r="I242" i="1"/>
  <c r="H242" i="1"/>
  <c r="N241" i="1"/>
  <c r="M241" i="1" a="1"/>
  <c r="M241" i="1" s="1"/>
  <c r="L241" i="1" a="1"/>
  <c r="L241" i="1" s="1"/>
  <c r="K241" i="1"/>
  <c r="J241" i="1"/>
  <c r="O241" i="1" s="1"/>
  <c r="I241" i="1"/>
  <c r="H241" i="1"/>
  <c r="N240" i="1"/>
  <c r="M240" i="1" a="1"/>
  <c r="M240" i="1" s="1"/>
  <c r="L240" i="1" a="1"/>
  <c r="L240" i="1" s="1"/>
  <c r="K240" i="1"/>
  <c r="J240" i="1"/>
  <c r="O240" i="1" s="1"/>
  <c r="I240" i="1"/>
  <c r="H240" i="1"/>
  <c r="M239" i="1" a="1"/>
  <c r="M239" i="1" s="1"/>
  <c r="L239" i="1" a="1"/>
  <c r="L239" i="1" s="1"/>
  <c r="K239" i="1"/>
  <c r="J239" i="1"/>
  <c r="I239" i="1"/>
  <c r="H239" i="1"/>
  <c r="O238" i="1"/>
  <c r="N238" i="1"/>
  <c r="M238" i="1" a="1"/>
  <c r="M238" i="1" s="1"/>
  <c r="L238" i="1" a="1"/>
  <c r="L238" i="1" s="1"/>
  <c r="K238" i="1"/>
  <c r="J238" i="1"/>
  <c r="I238" i="1"/>
  <c r="H238" i="1"/>
  <c r="N237" i="1"/>
  <c r="M237" i="1" a="1"/>
  <c r="M237" i="1" s="1"/>
  <c r="L237" i="1" a="1"/>
  <c r="L237" i="1" s="1"/>
  <c r="K237" i="1"/>
  <c r="J237" i="1"/>
  <c r="O237" i="1" s="1"/>
  <c r="I237" i="1"/>
  <c r="H237" i="1"/>
  <c r="M236" i="1" a="1"/>
  <c r="M236" i="1" s="1"/>
  <c r="L236" i="1" a="1"/>
  <c r="L236" i="1" s="1"/>
  <c r="K236" i="1"/>
  <c r="J236" i="1"/>
  <c r="O236" i="1" s="1"/>
  <c r="I236" i="1"/>
  <c r="H236" i="1"/>
  <c r="M235" i="1" a="1"/>
  <c r="M235" i="1" s="1"/>
  <c r="L235" i="1" a="1"/>
  <c r="L235" i="1" s="1"/>
  <c r="K235" i="1"/>
  <c r="J235" i="1"/>
  <c r="I235" i="1"/>
  <c r="H235" i="1"/>
  <c r="N234" i="1"/>
  <c r="M234" i="1" a="1"/>
  <c r="M234" i="1" s="1"/>
  <c r="L234" i="1"/>
  <c r="L234" i="1" a="1"/>
  <c r="K234" i="1"/>
  <c r="J234" i="1"/>
  <c r="O234" i="1" s="1"/>
  <c r="I234" i="1"/>
  <c r="H234" i="1"/>
  <c r="N233" i="1"/>
  <c r="M233" i="1" a="1"/>
  <c r="M233" i="1" s="1"/>
  <c r="L233" i="1" a="1"/>
  <c r="L233" i="1" s="1"/>
  <c r="K233" i="1"/>
  <c r="J233" i="1"/>
  <c r="O233" i="1" s="1"/>
  <c r="I233" i="1"/>
  <c r="H233" i="1"/>
  <c r="M232" i="1" a="1"/>
  <c r="M232" i="1" s="1"/>
  <c r="L232" i="1" a="1"/>
  <c r="L232" i="1" s="1"/>
  <c r="K232" i="1"/>
  <c r="J232" i="1"/>
  <c r="O232" i="1" s="1"/>
  <c r="I232" i="1"/>
  <c r="H232" i="1"/>
  <c r="M231" i="1" a="1"/>
  <c r="M231" i="1" s="1"/>
  <c r="L231" i="1" a="1"/>
  <c r="L231" i="1" s="1"/>
  <c r="K231" i="1"/>
  <c r="J231" i="1"/>
  <c r="I231" i="1"/>
  <c r="H231" i="1"/>
  <c r="N230" i="1"/>
  <c r="M230" i="1" a="1"/>
  <c r="M230" i="1" s="1"/>
  <c r="L230" i="1" a="1"/>
  <c r="L230" i="1" s="1"/>
  <c r="K230" i="1"/>
  <c r="J230" i="1"/>
  <c r="O230" i="1" s="1"/>
  <c r="I230" i="1"/>
  <c r="H230" i="1"/>
  <c r="N229" i="1"/>
  <c r="M229" i="1"/>
  <c r="M229" i="1" a="1"/>
  <c r="L229" i="1" a="1"/>
  <c r="L229" i="1" s="1"/>
  <c r="K229" i="1"/>
  <c r="J229" i="1"/>
  <c r="O229" i="1" s="1"/>
  <c r="I229" i="1"/>
  <c r="H229" i="1"/>
  <c r="N228" i="1"/>
  <c r="M228" i="1" a="1"/>
  <c r="M228" i="1" s="1"/>
  <c r="L228" i="1" a="1"/>
  <c r="L228" i="1" s="1"/>
  <c r="K228" i="1"/>
  <c r="J228" i="1"/>
  <c r="O228" i="1" s="1"/>
  <c r="I228" i="1"/>
  <c r="H228" i="1"/>
  <c r="M227" i="1" a="1"/>
  <c r="M227" i="1" s="1"/>
  <c r="L227" i="1" a="1"/>
  <c r="L227" i="1" s="1"/>
  <c r="K227" i="1"/>
  <c r="J227" i="1"/>
  <c r="I227" i="1"/>
  <c r="H227" i="1"/>
  <c r="N226" i="1"/>
  <c r="M226" i="1" a="1"/>
  <c r="M226" i="1" s="1"/>
  <c r="L226" i="1" a="1"/>
  <c r="L226" i="1" s="1"/>
  <c r="K226" i="1"/>
  <c r="J226" i="1"/>
  <c r="O226" i="1" s="1"/>
  <c r="I226" i="1"/>
  <c r="H226" i="1"/>
  <c r="N225" i="1"/>
  <c r="M225" i="1"/>
  <c r="M225" i="1" a="1"/>
  <c r="L225" i="1" a="1"/>
  <c r="L225" i="1" s="1"/>
  <c r="K225" i="1"/>
  <c r="J225" i="1"/>
  <c r="O225" i="1" s="1"/>
  <c r="I225" i="1"/>
  <c r="H225" i="1"/>
  <c r="O224" i="1"/>
  <c r="N224" i="1"/>
  <c r="M224" i="1" a="1"/>
  <c r="M224" i="1" s="1"/>
  <c r="L224" i="1" a="1"/>
  <c r="L224" i="1" s="1"/>
  <c r="K224" i="1"/>
  <c r="J224" i="1"/>
  <c r="I224" i="1"/>
  <c r="H224" i="1"/>
  <c r="M223" i="1" a="1"/>
  <c r="M223" i="1" s="1"/>
  <c r="L223" i="1" a="1"/>
  <c r="L223" i="1" s="1"/>
  <c r="K223" i="1"/>
  <c r="J223" i="1"/>
  <c r="I223" i="1"/>
  <c r="H223" i="1"/>
  <c r="N222" i="1"/>
  <c r="M222" i="1" a="1"/>
  <c r="M222" i="1" s="1"/>
  <c r="L222" i="1"/>
  <c r="L222" i="1" a="1"/>
  <c r="K222" i="1"/>
  <c r="J222" i="1"/>
  <c r="O222" i="1" s="1"/>
  <c r="I222" i="1"/>
  <c r="H222" i="1"/>
  <c r="N221" i="1"/>
  <c r="M221" i="1" a="1"/>
  <c r="M221" i="1" s="1"/>
  <c r="L221" i="1" a="1"/>
  <c r="L221" i="1" s="1"/>
  <c r="K221" i="1"/>
  <c r="J221" i="1"/>
  <c r="O221" i="1" s="1"/>
  <c r="I221" i="1"/>
  <c r="H221" i="1"/>
  <c r="O220" i="1"/>
  <c r="M220" i="1" a="1"/>
  <c r="M220" i="1" s="1"/>
  <c r="L220" i="1" a="1"/>
  <c r="L220" i="1" s="1"/>
  <c r="K220" i="1"/>
  <c r="J220" i="1"/>
  <c r="N220" i="1" s="1"/>
  <c r="I220" i="1"/>
  <c r="H220" i="1"/>
  <c r="M219" i="1" a="1"/>
  <c r="M219" i="1" s="1"/>
  <c r="L219" i="1" a="1"/>
  <c r="L219" i="1" s="1"/>
  <c r="K219" i="1"/>
  <c r="J219" i="1"/>
  <c r="I219" i="1"/>
  <c r="H219" i="1"/>
  <c r="N218" i="1"/>
  <c r="M218" i="1" a="1"/>
  <c r="M218" i="1" s="1"/>
  <c r="L218" i="1"/>
  <c r="L218" i="1" a="1"/>
  <c r="K218" i="1"/>
  <c r="J218" i="1"/>
  <c r="O218" i="1" s="1"/>
  <c r="I218" i="1"/>
  <c r="H218" i="1"/>
  <c r="M217" i="1" a="1"/>
  <c r="M217" i="1" s="1"/>
  <c r="L217" i="1" a="1"/>
  <c r="L217" i="1" s="1"/>
  <c r="K217" i="1"/>
  <c r="J217" i="1"/>
  <c r="O217" i="1" s="1"/>
  <c r="I217" i="1"/>
  <c r="H217" i="1"/>
  <c r="M216" i="1" a="1"/>
  <c r="M216" i="1" s="1"/>
  <c r="L216" i="1" a="1"/>
  <c r="L216" i="1" s="1"/>
  <c r="K216" i="1"/>
  <c r="J216" i="1"/>
  <c r="O216" i="1" s="1"/>
  <c r="I216" i="1"/>
  <c r="H216" i="1"/>
  <c r="M215" i="1" a="1"/>
  <c r="M215" i="1" s="1"/>
  <c r="L215" i="1" a="1"/>
  <c r="L215" i="1" s="1"/>
  <c r="K215" i="1"/>
  <c r="J215" i="1"/>
  <c r="I215" i="1"/>
  <c r="H215" i="1"/>
  <c r="N214" i="1"/>
  <c r="M214" i="1" a="1"/>
  <c r="M214" i="1" s="1"/>
  <c r="L214" i="1" a="1"/>
  <c r="L214" i="1" s="1"/>
  <c r="K214" i="1"/>
  <c r="J214" i="1"/>
  <c r="O214" i="1" s="1"/>
  <c r="I214" i="1"/>
  <c r="H214" i="1"/>
  <c r="M213" i="1"/>
  <c r="M213" i="1" a="1"/>
  <c r="L213" i="1" a="1"/>
  <c r="L213" i="1" s="1"/>
  <c r="K213" i="1"/>
  <c r="J213" i="1"/>
  <c r="O213" i="1" s="1"/>
  <c r="I213" i="1"/>
  <c r="H213" i="1"/>
  <c r="N212" i="1"/>
  <c r="M212" i="1" a="1"/>
  <c r="M212" i="1" s="1"/>
  <c r="L212" i="1" a="1"/>
  <c r="L212" i="1" s="1"/>
  <c r="K212" i="1"/>
  <c r="J212" i="1"/>
  <c r="O212" i="1" s="1"/>
  <c r="I212" i="1"/>
  <c r="H212" i="1"/>
  <c r="M211" i="1" a="1"/>
  <c r="M211" i="1" s="1"/>
  <c r="L211" i="1" a="1"/>
  <c r="L211" i="1" s="1"/>
  <c r="K211" i="1"/>
  <c r="J211" i="1"/>
  <c r="I211" i="1"/>
  <c r="H211" i="1"/>
  <c r="N210" i="1"/>
  <c r="M210" i="1" a="1"/>
  <c r="M210" i="1" s="1"/>
  <c r="L210" i="1" a="1"/>
  <c r="L210" i="1" s="1"/>
  <c r="K210" i="1"/>
  <c r="J210" i="1"/>
  <c r="O210" i="1" s="1"/>
  <c r="I210" i="1"/>
  <c r="H210" i="1"/>
  <c r="N209" i="1"/>
  <c r="M209" i="1"/>
  <c r="M209" i="1" a="1"/>
  <c r="L209" i="1" a="1"/>
  <c r="L209" i="1" s="1"/>
  <c r="K209" i="1"/>
  <c r="J209" i="1"/>
  <c r="O209" i="1" s="1"/>
  <c r="I209" i="1"/>
  <c r="H209" i="1"/>
  <c r="O208" i="1"/>
  <c r="N208" i="1"/>
  <c r="M208" i="1" a="1"/>
  <c r="M208" i="1" s="1"/>
  <c r="L208" i="1" a="1"/>
  <c r="L208" i="1" s="1"/>
  <c r="K208" i="1"/>
  <c r="J208" i="1"/>
  <c r="I208" i="1"/>
  <c r="H208" i="1"/>
  <c r="M207" i="1" a="1"/>
  <c r="M207" i="1" s="1"/>
  <c r="L207" i="1" a="1"/>
  <c r="L207" i="1" s="1"/>
  <c r="K207" i="1"/>
  <c r="J207" i="1"/>
  <c r="I207" i="1"/>
  <c r="H207" i="1"/>
  <c r="N206" i="1"/>
  <c r="M206" i="1" a="1"/>
  <c r="M206" i="1" s="1"/>
  <c r="L206" i="1"/>
  <c r="L206" i="1" a="1"/>
  <c r="K206" i="1"/>
  <c r="J206" i="1"/>
  <c r="O206" i="1" s="1"/>
  <c r="I206" i="1"/>
  <c r="H206" i="1"/>
  <c r="N205" i="1"/>
  <c r="M205" i="1" a="1"/>
  <c r="M205" i="1" s="1"/>
  <c r="L205" i="1" a="1"/>
  <c r="L205" i="1" s="1"/>
  <c r="K205" i="1"/>
  <c r="J205" i="1"/>
  <c r="O205" i="1" s="1"/>
  <c r="I205" i="1"/>
  <c r="H205" i="1"/>
  <c r="O204" i="1"/>
  <c r="M204" i="1" a="1"/>
  <c r="M204" i="1" s="1"/>
  <c r="L204" i="1" a="1"/>
  <c r="L204" i="1" s="1"/>
  <c r="K204" i="1"/>
  <c r="J204" i="1"/>
  <c r="N204" i="1" s="1"/>
  <c r="I204" i="1"/>
  <c r="H204" i="1"/>
  <c r="M203" i="1" a="1"/>
  <c r="M203" i="1" s="1"/>
  <c r="L203" i="1" a="1"/>
  <c r="L203" i="1" s="1"/>
  <c r="K203" i="1"/>
  <c r="J203" i="1"/>
  <c r="I203" i="1"/>
  <c r="H203" i="1"/>
  <c r="N202" i="1"/>
  <c r="M202" i="1" a="1"/>
  <c r="M202" i="1" s="1"/>
  <c r="L202" i="1"/>
  <c r="L202" i="1" a="1"/>
  <c r="K202" i="1"/>
  <c r="J202" i="1"/>
  <c r="O202" i="1" s="1"/>
  <c r="I202" i="1"/>
  <c r="H202" i="1"/>
  <c r="M201" i="1" a="1"/>
  <c r="M201" i="1" s="1"/>
  <c r="L201" i="1" a="1"/>
  <c r="L201" i="1" s="1"/>
  <c r="K201" i="1"/>
  <c r="J201" i="1"/>
  <c r="O201" i="1" s="1"/>
  <c r="I201" i="1"/>
  <c r="H201" i="1"/>
  <c r="M200" i="1" a="1"/>
  <c r="M200" i="1" s="1"/>
  <c r="L200" i="1" a="1"/>
  <c r="L200" i="1" s="1"/>
  <c r="K200" i="1"/>
  <c r="J200" i="1"/>
  <c r="O200" i="1" s="1"/>
  <c r="I200" i="1"/>
  <c r="H200" i="1"/>
  <c r="M199" i="1" a="1"/>
  <c r="M199" i="1" s="1"/>
  <c r="L199" i="1" a="1"/>
  <c r="L199" i="1" s="1"/>
  <c r="K199" i="1"/>
  <c r="J199" i="1"/>
  <c r="I199" i="1"/>
  <c r="H199" i="1"/>
  <c r="N198" i="1"/>
  <c r="M198" i="1" a="1"/>
  <c r="M198" i="1" s="1"/>
  <c r="L198" i="1" a="1"/>
  <c r="L198" i="1" s="1"/>
  <c r="K198" i="1"/>
  <c r="J198" i="1"/>
  <c r="O198" i="1" s="1"/>
  <c r="I198" i="1"/>
  <c r="H198" i="1"/>
  <c r="M197" i="1"/>
  <c r="M197" i="1" a="1"/>
  <c r="L197" i="1" a="1"/>
  <c r="L197" i="1" s="1"/>
  <c r="K197" i="1"/>
  <c r="J197" i="1"/>
  <c r="O197" i="1" s="1"/>
  <c r="I197" i="1"/>
  <c r="H197" i="1"/>
  <c r="N196" i="1"/>
  <c r="M196" i="1" a="1"/>
  <c r="M196" i="1" s="1"/>
  <c r="L196" i="1" a="1"/>
  <c r="L196" i="1" s="1"/>
  <c r="K196" i="1"/>
  <c r="J196" i="1"/>
  <c r="O196" i="1" s="1"/>
  <c r="I196" i="1"/>
  <c r="H196" i="1"/>
  <c r="M195" i="1" a="1"/>
  <c r="M195" i="1" s="1"/>
  <c r="L195" i="1" a="1"/>
  <c r="L195" i="1" s="1"/>
  <c r="K195" i="1"/>
  <c r="J195" i="1"/>
  <c r="I195" i="1"/>
  <c r="H195" i="1"/>
  <c r="M194" i="1" a="1"/>
  <c r="M194" i="1" s="1"/>
  <c r="L194" i="1"/>
  <c r="L194" i="1" a="1"/>
  <c r="K194" i="1"/>
  <c r="J194" i="1"/>
  <c r="I194" i="1"/>
  <c r="H194" i="1"/>
  <c r="M193" i="1" a="1"/>
  <c r="M193" i="1" s="1"/>
  <c r="L193" i="1" a="1"/>
  <c r="L193" i="1" s="1"/>
  <c r="K193" i="1"/>
  <c r="J193" i="1"/>
  <c r="I193" i="1"/>
  <c r="H193" i="1"/>
  <c r="M192" i="1" a="1"/>
  <c r="M192" i="1" s="1"/>
  <c r="L192" i="1" a="1"/>
  <c r="L192" i="1" s="1"/>
  <c r="K192" i="1"/>
  <c r="J192" i="1"/>
  <c r="I192" i="1"/>
  <c r="H192" i="1"/>
  <c r="N191" i="1"/>
  <c r="M191" i="1" a="1"/>
  <c r="M191" i="1" s="1"/>
  <c r="L191" i="1" a="1"/>
  <c r="L191" i="1" s="1"/>
  <c r="K191" i="1"/>
  <c r="J191" i="1"/>
  <c r="O191" i="1" s="1"/>
  <c r="I191" i="1"/>
  <c r="H191" i="1"/>
  <c r="N190" i="1"/>
  <c r="M190" i="1" a="1"/>
  <c r="M190" i="1" s="1"/>
  <c r="L190" i="1" a="1"/>
  <c r="L190" i="1" s="1"/>
  <c r="K190" i="1"/>
  <c r="J190" i="1"/>
  <c r="O190" i="1" s="1"/>
  <c r="I190" i="1"/>
  <c r="H190" i="1"/>
  <c r="N189" i="1"/>
  <c r="M189" i="1"/>
  <c r="M189" i="1" a="1"/>
  <c r="L189" i="1" a="1"/>
  <c r="L189" i="1" s="1"/>
  <c r="K189" i="1"/>
  <c r="J189" i="1"/>
  <c r="O189" i="1" s="1"/>
  <c r="I189" i="1"/>
  <c r="H189" i="1"/>
  <c r="O188" i="1"/>
  <c r="M188" i="1" a="1"/>
  <c r="M188" i="1" s="1"/>
  <c r="L188" i="1" a="1"/>
  <c r="L188" i="1" s="1"/>
  <c r="K188" i="1"/>
  <c r="J188" i="1"/>
  <c r="N188" i="1" s="1"/>
  <c r="I188" i="1"/>
  <c r="H188" i="1"/>
  <c r="N187" i="1"/>
  <c r="M187" i="1" a="1"/>
  <c r="M187" i="1" s="1"/>
  <c r="L187" i="1" a="1"/>
  <c r="L187" i="1" s="1"/>
  <c r="K187" i="1"/>
  <c r="J187" i="1"/>
  <c r="O187" i="1" s="1"/>
  <c r="I187" i="1"/>
  <c r="H187" i="1"/>
  <c r="N186" i="1"/>
  <c r="M186" i="1" a="1"/>
  <c r="M186" i="1" s="1"/>
  <c r="L186" i="1"/>
  <c r="L186" i="1" a="1"/>
  <c r="K186" i="1"/>
  <c r="J186" i="1"/>
  <c r="O186" i="1" s="1"/>
  <c r="I186" i="1"/>
  <c r="H186" i="1"/>
  <c r="N185" i="1"/>
  <c r="M185" i="1"/>
  <c r="M185" i="1" a="1"/>
  <c r="L185" i="1" a="1"/>
  <c r="L185" i="1" s="1"/>
  <c r="K185" i="1"/>
  <c r="J185" i="1"/>
  <c r="O185" i="1" s="1"/>
  <c r="I185" i="1"/>
  <c r="H185" i="1"/>
  <c r="O184" i="1"/>
  <c r="N184" i="1"/>
  <c r="M184" i="1" a="1"/>
  <c r="M184" i="1" s="1"/>
  <c r="L184" i="1" a="1"/>
  <c r="L184" i="1" s="1"/>
  <c r="K184" i="1"/>
  <c r="J184" i="1"/>
  <c r="I184" i="1"/>
  <c r="H184" i="1"/>
  <c r="M183" i="1" a="1"/>
  <c r="M183" i="1" s="1"/>
  <c r="L183" i="1" a="1"/>
  <c r="L183" i="1" s="1"/>
  <c r="K183" i="1"/>
  <c r="J183" i="1"/>
  <c r="O183" i="1" s="1"/>
  <c r="I183" i="1"/>
  <c r="H183" i="1"/>
  <c r="N182" i="1"/>
  <c r="M182" i="1" a="1"/>
  <c r="M182" i="1" s="1"/>
  <c r="L182" i="1"/>
  <c r="L182" i="1" a="1"/>
  <c r="K182" i="1"/>
  <c r="J182" i="1"/>
  <c r="O182" i="1" s="1"/>
  <c r="I182" i="1"/>
  <c r="H182" i="1"/>
  <c r="N181" i="1"/>
  <c r="M181" i="1" a="1"/>
  <c r="M181" i="1" s="1"/>
  <c r="L181" i="1" a="1"/>
  <c r="L181" i="1" s="1"/>
  <c r="K181" i="1"/>
  <c r="J181" i="1"/>
  <c r="O181" i="1" s="1"/>
  <c r="I181" i="1"/>
  <c r="H181" i="1"/>
  <c r="O180" i="1"/>
  <c r="M180" i="1" a="1"/>
  <c r="M180" i="1" s="1"/>
  <c r="L180" i="1" a="1"/>
  <c r="L180" i="1" s="1"/>
  <c r="K180" i="1"/>
  <c r="J180" i="1"/>
  <c r="N180" i="1" s="1"/>
  <c r="I180" i="1"/>
  <c r="H180" i="1"/>
  <c r="N179" i="1"/>
  <c r="M179" i="1" a="1"/>
  <c r="M179" i="1" s="1"/>
  <c r="L179" i="1" a="1"/>
  <c r="L179" i="1" s="1"/>
  <c r="K179" i="1"/>
  <c r="J179" i="1"/>
  <c r="O179" i="1" s="1"/>
  <c r="I179" i="1"/>
  <c r="H179" i="1"/>
  <c r="N178" i="1"/>
  <c r="M178" i="1" a="1"/>
  <c r="M178" i="1" s="1"/>
  <c r="L178" i="1" a="1"/>
  <c r="L178" i="1" s="1"/>
  <c r="K178" i="1"/>
  <c r="J178" i="1"/>
  <c r="O178" i="1" s="1"/>
  <c r="I178" i="1"/>
  <c r="H178" i="1"/>
  <c r="N177" i="1"/>
  <c r="M177" i="1"/>
  <c r="M177" i="1" a="1"/>
  <c r="L177" i="1" a="1"/>
  <c r="L177" i="1" s="1"/>
  <c r="K177" i="1"/>
  <c r="J177" i="1"/>
  <c r="O177" i="1" s="1"/>
  <c r="I177" i="1"/>
  <c r="H177" i="1"/>
  <c r="O176" i="1"/>
  <c r="N176" i="1"/>
  <c r="M176" i="1" a="1"/>
  <c r="M176" i="1" s="1"/>
  <c r="L176" i="1" a="1"/>
  <c r="L176" i="1" s="1"/>
  <c r="K176" i="1"/>
  <c r="J176" i="1"/>
  <c r="I176" i="1"/>
  <c r="H176" i="1"/>
  <c r="N175" i="1"/>
  <c r="M175" i="1" a="1"/>
  <c r="M175" i="1" s="1"/>
  <c r="L175" i="1" a="1"/>
  <c r="L175" i="1" s="1"/>
  <c r="K175" i="1"/>
  <c r="J175" i="1"/>
  <c r="O175" i="1" s="1"/>
  <c r="I175" i="1"/>
  <c r="H175" i="1"/>
  <c r="M174" i="1" a="1"/>
  <c r="M174" i="1" s="1"/>
  <c r="L174" i="1"/>
  <c r="L174" i="1" a="1"/>
  <c r="K174" i="1"/>
  <c r="J174" i="1"/>
  <c r="O174" i="1" s="1"/>
  <c r="I174" i="1"/>
  <c r="H174" i="1"/>
  <c r="M173" i="1" a="1"/>
  <c r="M173" i="1" s="1"/>
  <c r="L173" i="1" a="1"/>
  <c r="L173" i="1" s="1"/>
  <c r="K173" i="1"/>
  <c r="J173" i="1"/>
  <c r="O173" i="1" s="1"/>
  <c r="I173" i="1"/>
  <c r="H173" i="1"/>
  <c r="M172" i="1" a="1"/>
  <c r="M172" i="1" s="1"/>
  <c r="L172" i="1" a="1"/>
  <c r="L172" i="1" s="1"/>
  <c r="K172" i="1"/>
  <c r="J172" i="1"/>
  <c r="O172" i="1" s="1"/>
  <c r="I172" i="1"/>
  <c r="H172" i="1"/>
  <c r="M171" i="1" a="1"/>
  <c r="M171" i="1" s="1"/>
  <c r="L171" i="1" a="1"/>
  <c r="L171" i="1" s="1"/>
  <c r="K171" i="1"/>
  <c r="J171" i="1"/>
  <c r="I171" i="1"/>
  <c r="H171" i="1"/>
  <c r="N170" i="1"/>
  <c r="M170" i="1" a="1"/>
  <c r="M170" i="1" s="1"/>
  <c r="L170" i="1"/>
  <c r="L170" i="1" a="1"/>
  <c r="K170" i="1"/>
  <c r="J170" i="1"/>
  <c r="O170" i="1" s="1"/>
  <c r="I170" i="1"/>
  <c r="H170" i="1"/>
  <c r="N169" i="1"/>
  <c r="M169" i="1"/>
  <c r="M169" i="1" a="1"/>
  <c r="L169" i="1" a="1"/>
  <c r="L169" i="1" s="1"/>
  <c r="K169" i="1"/>
  <c r="J169" i="1"/>
  <c r="O169" i="1" s="1"/>
  <c r="I169" i="1"/>
  <c r="H169" i="1"/>
  <c r="O168" i="1"/>
  <c r="N168" i="1"/>
  <c r="M168" i="1" a="1"/>
  <c r="M168" i="1" s="1"/>
  <c r="L168" i="1" a="1"/>
  <c r="L168" i="1" s="1"/>
  <c r="K168" i="1"/>
  <c r="J168" i="1"/>
  <c r="I168" i="1"/>
  <c r="H168" i="1"/>
  <c r="N167" i="1"/>
  <c r="M167" i="1" a="1"/>
  <c r="M167" i="1" s="1"/>
  <c r="L167" i="1" a="1"/>
  <c r="L167" i="1" s="1"/>
  <c r="K167" i="1"/>
  <c r="J167" i="1"/>
  <c r="O167" i="1" s="1"/>
  <c r="I167" i="1"/>
  <c r="H167" i="1"/>
  <c r="M166" i="1"/>
  <c r="M166" i="1" a="1"/>
  <c r="L166" i="1"/>
  <c r="L166" i="1" a="1"/>
  <c r="K166" i="1"/>
  <c r="J166" i="1"/>
  <c r="O166" i="1" s="1"/>
  <c r="I166" i="1"/>
  <c r="H166" i="1"/>
  <c r="O165" i="1"/>
  <c r="N165" i="1"/>
  <c r="M165" i="1"/>
  <c r="M165" i="1" a="1"/>
  <c r="L165" i="1" a="1"/>
  <c r="L165" i="1" s="1"/>
  <c r="K165" i="1"/>
  <c r="J165" i="1"/>
  <c r="I165" i="1"/>
  <c r="H165" i="1"/>
  <c r="O164" i="1"/>
  <c r="N164" i="1"/>
  <c r="M164" i="1" a="1"/>
  <c r="M164" i="1" s="1"/>
  <c r="L164" i="1" a="1"/>
  <c r="L164" i="1" s="1"/>
  <c r="K164" i="1"/>
  <c r="J164" i="1"/>
  <c r="I164" i="1"/>
  <c r="H164" i="1"/>
  <c r="N163" i="1"/>
  <c r="M163" i="1" a="1"/>
  <c r="M163" i="1" s="1"/>
  <c r="L163" i="1"/>
  <c r="L163" i="1" a="1"/>
  <c r="K163" i="1"/>
  <c r="J163" i="1"/>
  <c r="O163" i="1" s="1"/>
  <c r="I163" i="1"/>
  <c r="H163" i="1"/>
  <c r="N162" i="1"/>
  <c r="M162" i="1"/>
  <c r="M162" i="1" a="1"/>
  <c r="L162" i="1" a="1"/>
  <c r="L162" i="1" s="1"/>
  <c r="K162" i="1"/>
  <c r="J162" i="1"/>
  <c r="O162" i="1" s="1"/>
  <c r="I162" i="1"/>
  <c r="H162" i="1"/>
  <c r="M161" i="1" a="1"/>
  <c r="M161" i="1" s="1"/>
  <c r="L161" i="1" a="1"/>
  <c r="L161" i="1" s="1"/>
  <c r="K161" i="1"/>
  <c r="J161" i="1"/>
  <c r="N161" i="1" s="1"/>
  <c r="I161" i="1"/>
  <c r="H161" i="1"/>
  <c r="M160" i="1" a="1"/>
  <c r="M160" i="1" s="1"/>
  <c r="L160" i="1" a="1"/>
  <c r="L160" i="1" s="1"/>
  <c r="K160" i="1"/>
  <c r="J160" i="1"/>
  <c r="I160" i="1"/>
  <c r="H160" i="1"/>
  <c r="M159" i="1" a="1"/>
  <c r="M159" i="1" s="1"/>
  <c r="L159" i="1"/>
  <c r="L159" i="1" a="1"/>
  <c r="K159" i="1"/>
  <c r="J159" i="1"/>
  <c r="I159" i="1"/>
  <c r="H159" i="1"/>
  <c r="M158" i="1" a="1"/>
  <c r="M158" i="1" s="1"/>
  <c r="L158" i="1" a="1"/>
  <c r="L158" i="1" s="1"/>
  <c r="K158" i="1"/>
  <c r="J158" i="1"/>
  <c r="O158" i="1" s="1"/>
  <c r="I158" i="1"/>
  <c r="H158" i="1"/>
  <c r="O157" i="1"/>
  <c r="N157" i="1"/>
  <c r="M157" i="1" a="1"/>
  <c r="M157" i="1" s="1"/>
  <c r="L157" i="1" a="1"/>
  <c r="L157" i="1" s="1"/>
  <c r="J157" i="1"/>
  <c r="I157" i="1"/>
  <c r="H157" i="1"/>
  <c r="N156" i="1"/>
  <c r="M156" i="1" a="1"/>
  <c r="M156" i="1" s="1"/>
  <c r="L156" i="1"/>
  <c r="L156" i="1" a="1"/>
  <c r="K156" i="1"/>
  <c r="J156" i="1"/>
  <c r="O156" i="1" s="1"/>
  <c r="I156" i="1"/>
  <c r="H156" i="1"/>
  <c r="M155" i="1"/>
  <c r="M155" i="1" a="1"/>
  <c r="L155" i="1"/>
  <c r="L155" i="1" a="1"/>
  <c r="K155" i="1"/>
  <c r="J155" i="1"/>
  <c r="O155" i="1" s="1"/>
  <c r="I155" i="1"/>
  <c r="H155" i="1"/>
  <c r="O154" i="1"/>
  <c r="N154" i="1"/>
  <c r="M154" i="1"/>
  <c r="M154" i="1" a="1"/>
  <c r="L154" i="1" a="1"/>
  <c r="L154" i="1" s="1"/>
  <c r="K154" i="1"/>
  <c r="J154" i="1"/>
  <c r="I154" i="1"/>
  <c r="H154" i="1"/>
  <c r="O153" i="1"/>
  <c r="M153" i="1" a="1"/>
  <c r="M153" i="1" s="1"/>
  <c r="L153" i="1" a="1"/>
  <c r="L153" i="1" s="1"/>
  <c r="K153" i="1"/>
  <c r="J153" i="1"/>
  <c r="N153" i="1" s="1"/>
  <c r="I153" i="1"/>
  <c r="H153" i="1"/>
  <c r="N152" i="1"/>
  <c r="M152" i="1" a="1"/>
  <c r="M152" i="1" s="1"/>
  <c r="L152" i="1"/>
  <c r="L152" i="1" a="1"/>
  <c r="K152" i="1"/>
  <c r="J152" i="1"/>
  <c r="O152" i="1" s="1"/>
  <c r="I152" i="1"/>
  <c r="H152" i="1"/>
  <c r="M151" i="1"/>
  <c r="M151" i="1" a="1"/>
  <c r="L151" i="1"/>
  <c r="L151" i="1" a="1"/>
  <c r="K151" i="1"/>
  <c r="J151" i="1"/>
  <c r="O151" i="1" s="1"/>
  <c r="I151" i="1"/>
  <c r="H151" i="1"/>
  <c r="O150" i="1"/>
  <c r="N150" i="1"/>
  <c r="M150" i="1"/>
  <c r="M150" i="1" a="1"/>
  <c r="L150" i="1" a="1"/>
  <c r="L150" i="1" s="1"/>
  <c r="K150" i="1"/>
  <c r="J150" i="1"/>
  <c r="I150" i="1"/>
  <c r="H150" i="1"/>
  <c r="O149" i="1"/>
  <c r="M149" i="1" a="1"/>
  <c r="M149" i="1" s="1"/>
  <c r="L149" i="1" a="1"/>
  <c r="L149" i="1" s="1"/>
  <c r="K149" i="1"/>
  <c r="J149" i="1"/>
  <c r="N149" i="1" s="1"/>
  <c r="I149" i="1"/>
  <c r="H149" i="1"/>
  <c r="N148" i="1"/>
  <c r="M148" i="1" a="1"/>
  <c r="M148" i="1" s="1"/>
  <c r="L148" i="1"/>
  <c r="L148" i="1" a="1"/>
  <c r="K148" i="1"/>
  <c r="J148" i="1"/>
  <c r="O148" i="1" s="1"/>
  <c r="I148" i="1"/>
  <c r="H148" i="1"/>
  <c r="M147" i="1"/>
  <c r="M147" i="1" a="1"/>
  <c r="L147" i="1"/>
  <c r="L147" i="1" a="1"/>
  <c r="K147" i="1"/>
  <c r="J147" i="1"/>
  <c r="I147" i="1"/>
  <c r="H147" i="1"/>
  <c r="O146" i="1"/>
  <c r="N146" i="1"/>
  <c r="M146" i="1"/>
  <c r="M146" i="1" a="1"/>
  <c r="L146" i="1" a="1"/>
  <c r="L146" i="1" s="1"/>
  <c r="K146" i="1"/>
  <c r="J146" i="1"/>
  <c r="I146" i="1"/>
  <c r="H146" i="1"/>
  <c r="O145" i="1"/>
  <c r="M145" i="1" a="1"/>
  <c r="M145" i="1" s="1"/>
  <c r="L145" i="1" a="1"/>
  <c r="L145" i="1" s="1"/>
  <c r="K145" i="1"/>
  <c r="J145" i="1"/>
  <c r="N145" i="1" s="1"/>
  <c r="I145" i="1"/>
  <c r="H145" i="1"/>
  <c r="N144" i="1"/>
  <c r="M144" i="1" a="1"/>
  <c r="M144" i="1" s="1"/>
  <c r="L144" i="1"/>
  <c r="L144" i="1" a="1"/>
  <c r="K144" i="1"/>
  <c r="J144" i="1"/>
  <c r="O144" i="1" s="1"/>
  <c r="I144" i="1"/>
  <c r="H144" i="1"/>
  <c r="M143" i="1"/>
  <c r="M143" i="1" a="1"/>
  <c r="L143" i="1"/>
  <c r="L143" i="1" a="1"/>
  <c r="K143" i="1"/>
  <c r="J143" i="1"/>
  <c r="I143" i="1"/>
  <c r="H143" i="1"/>
  <c r="O142" i="1"/>
  <c r="N142" i="1"/>
  <c r="M142" i="1"/>
  <c r="M142" i="1" a="1"/>
  <c r="L142" i="1" a="1"/>
  <c r="L142" i="1" s="1"/>
  <c r="K142" i="1"/>
  <c r="J142" i="1"/>
  <c r="I142" i="1"/>
  <c r="H142" i="1"/>
  <c r="O141" i="1"/>
  <c r="M141" i="1" a="1"/>
  <c r="M141" i="1" s="1"/>
  <c r="L141" i="1" a="1"/>
  <c r="L141" i="1" s="1"/>
  <c r="K141" i="1"/>
  <c r="J141" i="1"/>
  <c r="N141" i="1" s="1"/>
  <c r="I141" i="1"/>
  <c r="H141" i="1"/>
  <c r="N140" i="1"/>
  <c r="M140" i="1" a="1"/>
  <c r="M140" i="1" s="1"/>
  <c r="L140" i="1"/>
  <c r="L140" i="1" a="1"/>
  <c r="K140" i="1"/>
  <c r="J140" i="1"/>
  <c r="O140" i="1" s="1"/>
  <c r="I140" i="1"/>
  <c r="H140" i="1"/>
  <c r="M139" i="1"/>
  <c r="M139" i="1" a="1"/>
  <c r="L139" i="1"/>
  <c r="L139" i="1" a="1"/>
  <c r="K139" i="1"/>
  <c r="J139" i="1"/>
  <c r="I139" i="1"/>
  <c r="H139" i="1"/>
  <c r="O138" i="1"/>
  <c r="N138" i="1"/>
  <c r="M138" i="1"/>
  <c r="M138" i="1" a="1"/>
  <c r="L138" i="1" a="1"/>
  <c r="L138" i="1" s="1"/>
  <c r="K138" i="1"/>
  <c r="J138" i="1"/>
  <c r="I138" i="1"/>
  <c r="H138" i="1"/>
  <c r="O137" i="1"/>
  <c r="M137" i="1" a="1"/>
  <c r="M137" i="1" s="1"/>
  <c r="L137" i="1" a="1"/>
  <c r="L137" i="1" s="1"/>
  <c r="K137" i="1"/>
  <c r="J137" i="1"/>
  <c r="N137" i="1" s="1"/>
  <c r="I137" i="1"/>
  <c r="H137" i="1"/>
  <c r="N136" i="1"/>
  <c r="M136" i="1" a="1"/>
  <c r="M136" i="1" s="1"/>
  <c r="L136" i="1" a="1"/>
  <c r="L136" i="1" s="1"/>
  <c r="K136" i="1"/>
  <c r="J136" i="1"/>
  <c r="O136" i="1" s="1"/>
  <c r="I136" i="1"/>
  <c r="H136" i="1"/>
  <c r="M135" i="1" a="1"/>
  <c r="M135" i="1" s="1"/>
  <c r="L135" i="1"/>
  <c r="L135" i="1" a="1"/>
  <c r="K135" i="1"/>
  <c r="J135" i="1"/>
  <c r="I135" i="1"/>
  <c r="H135" i="1"/>
  <c r="O134" i="1"/>
  <c r="N134" i="1"/>
  <c r="M134" i="1"/>
  <c r="M134" i="1" a="1"/>
  <c r="L134" i="1" a="1"/>
  <c r="L134" i="1" s="1"/>
  <c r="K134" i="1"/>
  <c r="J134" i="1"/>
  <c r="I134" i="1"/>
  <c r="H134" i="1"/>
  <c r="M133" i="1" a="1"/>
  <c r="M133" i="1" s="1"/>
  <c r="L133" i="1" a="1"/>
  <c r="L133" i="1" s="1"/>
  <c r="K133" i="1"/>
  <c r="J133" i="1"/>
  <c r="N133" i="1" s="1"/>
  <c r="I133" i="1"/>
  <c r="H133" i="1"/>
  <c r="N132" i="1"/>
  <c r="M132" i="1" a="1"/>
  <c r="M132" i="1" s="1"/>
  <c r="L132" i="1" a="1"/>
  <c r="L132" i="1" s="1"/>
  <c r="K132" i="1"/>
  <c r="J132" i="1"/>
  <c r="O132" i="1" s="1"/>
  <c r="I132" i="1"/>
  <c r="H132" i="1"/>
  <c r="M131" i="1" a="1"/>
  <c r="M131" i="1" s="1"/>
  <c r="L131" i="1"/>
  <c r="L131" i="1" a="1"/>
  <c r="K131" i="1"/>
  <c r="J131" i="1"/>
  <c r="I131" i="1"/>
  <c r="H131" i="1"/>
  <c r="O130" i="1"/>
  <c r="N130" i="1"/>
  <c r="M130" i="1"/>
  <c r="M130" i="1" a="1"/>
  <c r="L130" i="1" a="1"/>
  <c r="L130" i="1" s="1"/>
  <c r="K130" i="1"/>
  <c r="J130" i="1"/>
  <c r="I130" i="1"/>
  <c r="H130" i="1"/>
  <c r="M129" i="1" a="1"/>
  <c r="M129" i="1" s="1"/>
  <c r="L129" i="1" a="1"/>
  <c r="L129" i="1" s="1"/>
  <c r="K129" i="1"/>
  <c r="J129" i="1"/>
  <c r="N129" i="1" s="1"/>
  <c r="I129" i="1"/>
  <c r="H129" i="1"/>
  <c r="N128" i="1"/>
  <c r="M128" i="1" a="1"/>
  <c r="M128" i="1" s="1"/>
  <c r="L128" i="1" a="1"/>
  <c r="L128" i="1" s="1"/>
  <c r="K128" i="1"/>
  <c r="J128" i="1"/>
  <c r="O128" i="1" s="1"/>
  <c r="I128" i="1"/>
  <c r="H128" i="1"/>
  <c r="M127" i="1" a="1"/>
  <c r="M127" i="1" s="1"/>
  <c r="L127" i="1"/>
  <c r="L127" i="1" a="1"/>
  <c r="K127" i="1"/>
  <c r="J127" i="1"/>
  <c r="I127" i="1"/>
  <c r="H127" i="1"/>
  <c r="O126" i="1"/>
  <c r="N126" i="1"/>
  <c r="M126" i="1"/>
  <c r="M126" i="1" a="1"/>
  <c r="L126" i="1" a="1"/>
  <c r="L126" i="1" s="1"/>
  <c r="K126" i="1"/>
  <c r="J126" i="1"/>
  <c r="I126" i="1"/>
  <c r="H126" i="1"/>
  <c r="M125" i="1" a="1"/>
  <c r="M125" i="1" s="1"/>
  <c r="L125" i="1" a="1"/>
  <c r="L125" i="1" s="1"/>
  <c r="K125" i="1"/>
  <c r="J125" i="1"/>
  <c r="N125" i="1" s="1"/>
  <c r="I125" i="1"/>
  <c r="H125" i="1"/>
  <c r="N124" i="1"/>
  <c r="M124" i="1" a="1"/>
  <c r="M124" i="1" s="1"/>
  <c r="L124" i="1" a="1"/>
  <c r="L124" i="1" s="1"/>
  <c r="K124" i="1"/>
  <c r="J124" i="1"/>
  <c r="O124" i="1" s="1"/>
  <c r="I124" i="1"/>
  <c r="H124" i="1"/>
  <c r="N123" i="1"/>
  <c r="M123" i="1" a="1"/>
  <c r="M123" i="1" s="1"/>
  <c r="L123" i="1"/>
  <c r="L123" i="1" a="1"/>
  <c r="K123" i="1"/>
  <c r="J123" i="1"/>
  <c r="O123" i="1" s="1"/>
  <c r="I123" i="1"/>
  <c r="H123" i="1"/>
  <c r="O122" i="1"/>
  <c r="N122" i="1"/>
  <c r="M122" i="1"/>
  <c r="M122" i="1" a="1"/>
  <c r="L122" i="1" a="1"/>
  <c r="L122" i="1" s="1"/>
  <c r="K122" i="1"/>
  <c r="J122" i="1"/>
  <c r="I122" i="1"/>
  <c r="H122" i="1"/>
  <c r="O121" i="1"/>
  <c r="N121" i="1"/>
  <c r="M121" i="1" a="1"/>
  <c r="M121" i="1" s="1"/>
  <c r="L121" i="1" a="1"/>
  <c r="L121" i="1" s="1"/>
  <c r="K121" i="1"/>
  <c r="J121" i="1"/>
  <c r="I121" i="1"/>
  <c r="H121" i="1"/>
  <c r="N120" i="1"/>
  <c r="M120" i="1" a="1"/>
  <c r="M120" i="1" s="1"/>
  <c r="L120" i="1" a="1"/>
  <c r="L120" i="1" s="1"/>
  <c r="K120" i="1"/>
  <c r="J120" i="1"/>
  <c r="O120" i="1" s="1"/>
  <c r="I120" i="1"/>
  <c r="H120" i="1"/>
  <c r="N119" i="1"/>
  <c r="M119" i="1"/>
  <c r="M119" i="1" a="1"/>
  <c r="L119" i="1"/>
  <c r="L119" i="1" a="1"/>
  <c r="K119" i="1"/>
  <c r="J119" i="1"/>
  <c r="O119" i="1" s="1"/>
  <c r="I119" i="1"/>
  <c r="H119" i="1"/>
  <c r="O118" i="1"/>
  <c r="N118" i="1"/>
  <c r="M118" i="1"/>
  <c r="M118" i="1" a="1"/>
  <c r="L118" i="1" a="1"/>
  <c r="L118" i="1" s="1"/>
  <c r="K118" i="1"/>
  <c r="J118" i="1"/>
  <c r="I118" i="1"/>
  <c r="H118" i="1"/>
  <c r="O117" i="1"/>
  <c r="N117" i="1"/>
  <c r="M117" i="1" a="1"/>
  <c r="M117" i="1" s="1"/>
  <c r="L117" i="1" a="1"/>
  <c r="L117" i="1" s="1"/>
  <c r="K117" i="1"/>
  <c r="J117" i="1"/>
  <c r="I117" i="1"/>
  <c r="H117" i="1"/>
  <c r="N116" i="1"/>
  <c r="M116" i="1" a="1"/>
  <c r="M116" i="1" s="1"/>
  <c r="L116" i="1" a="1"/>
  <c r="L116" i="1" s="1"/>
  <c r="K116" i="1"/>
  <c r="J116" i="1"/>
  <c r="O116" i="1" s="1"/>
  <c r="I116" i="1"/>
  <c r="H116" i="1"/>
  <c r="N115" i="1"/>
  <c r="M115" i="1"/>
  <c r="M115" i="1" a="1"/>
  <c r="L115" i="1"/>
  <c r="L115" i="1" a="1"/>
  <c r="K115" i="1"/>
  <c r="J115" i="1"/>
  <c r="O115" i="1" s="1"/>
  <c r="I115" i="1"/>
  <c r="H115" i="1"/>
  <c r="O114" i="1"/>
  <c r="M114" i="1"/>
  <c r="M114" i="1" a="1"/>
  <c r="L114" i="1" a="1"/>
  <c r="L114" i="1" s="1"/>
  <c r="K114" i="1"/>
  <c r="J114" i="1"/>
  <c r="N114" i="1" s="1"/>
  <c r="I114" i="1"/>
  <c r="H114" i="1"/>
  <c r="M113" i="1" a="1"/>
  <c r="M113" i="1" s="1"/>
  <c r="L113" i="1" a="1"/>
  <c r="L113" i="1" s="1"/>
  <c r="K113" i="1"/>
  <c r="J113" i="1"/>
  <c r="O113" i="1" s="1"/>
  <c r="I113" i="1"/>
  <c r="H113" i="1"/>
  <c r="M112" i="1" a="1"/>
  <c r="M112" i="1" s="1"/>
  <c r="L112" i="1" a="1"/>
  <c r="L112" i="1" s="1"/>
  <c r="K112" i="1"/>
  <c r="J112" i="1"/>
  <c r="O112" i="1" s="1"/>
  <c r="I112" i="1"/>
  <c r="H112" i="1"/>
  <c r="M111" i="1"/>
  <c r="M111" i="1" a="1"/>
  <c r="L111" i="1" a="1"/>
  <c r="L111" i="1" s="1"/>
  <c r="K111" i="1"/>
  <c r="J111" i="1"/>
  <c r="O111" i="1" s="1"/>
  <c r="I111" i="1"/>
  <c r="H111" i="1"/>
  <c r="M110" i="1" a="1"/>
  <c r="M110" i="1" s="1"/>
  <c r="L110" i="1" a="1"/>
  <c r="L110" i="1" s="1"/>
  <c r="K110" i="1"/>
  <c r="J110" i="1"/>
  <c r="O110" i="1" s="1"/>
  <c r="I110" i="1"/>
  <c r="H110" i="1"/>
  <c r="M109" i="1" a="1"/>
  <c r="M109" i="1" s="1"/>
  <c r="L109" i="1" a="1"/>
  <c r="L109" i="1" s="1"/>
  <c r="K109" i="1"/>
  <c r="J109" i="1"/>
  <c r="O109" i="1" s="1"/>
  <c r="I109" i="1"/>
  <c r="H109" i="1"/>
  <c r="M108" i="1" a="1"/>
  <c r="M108" i="1" s="1"/>
  <c r="L108" i="1" a="1"/>
  <c r="L108" i="1" s="1"/>
  <c r="K108" i="1"/>
  <c r="J108" i="1"/>
  <c r="O108" i="1" s="1"/>
  <c r="I108" i="1"/>
  <c r="H108" i="1"/>
  <c r="N107" i="1"/>
  <c r="M107" i="1" a="1"/>
  <c r="M107" i="1" s="1"/>
  <c r="L107" i="1"/>
  <c r="L107" i="1" a="1"/>
  <c r="K107" i="1"/>
  <c r="J107" i="1"/>
  <c r="O107" i="1" s="1"/>
  <c r="I107" i="1"/>
  <c r="H107" i="1"/>
  <c r="O106" i="1"/>
  <c r="N106" i="1"/>
  <c r="M106" i="1"/>
  <c r="M106" i="1" a="1"/>
  <c r="L106" i="1" a="1"/>
  <c r="L106" i="1" s="1"/>
  <c r="K106" i="1"/>
  <c r="J106" i="1"/>
  <c r="I106" i="1"/>
  <c r="H106" i="1"/>
  <c r="O105" i="1"/>
  <c r="N105" i="1"/>
  <c r="M105" i="1" a="1"/>
  <c r="M105" i="1" s="1"/>
  <c r="L105" i="1" a="1"/>
  <c r="L105" i="1" s="1"/>
  <c r="K105" i="1"/>
  <c r="J105" i="1"/>
  <c r="I105" i="1"/>
  <c r="H105" i="1"/>
  <c r="N104" i="1"/>
  <c r="M104" i="1" a="1"/>
  <c r="M104" i="1" s="1"/>
  <c r="L104" i="1" a="1"/>
  <c r="L104" i="1" s="1"/>
  <c r="K104" i="1"/>
  <c r="J104" i="1"/>
  <c r="O104" i="1" s="1"/>
  <c r="I104" i="1"/>
  <c r="H104" i="1"/>
  <c r="N103" i="1"/>
  <c r="M103" i="1"/>
  <c r="M103" i="1" a="1"/>
  <c r="L103" i="1"/>
  <c r="L103" i="1" a="1"/>
  <c r="K103" i="1"/>
  <c r="J103" i="1"/>
  <c r="O103" i="1" s="1"/>
  <c r="I103" i="1"/>
  <c r="H103" i="1"/>
  <c r="O102" i="1"/>
  <c r="N102" i="1"/>
  <c r="M102" i="1"/>
  <c r="M102" i="1" a="1"/>
  <c r="L102" i="1" a="1"/>
  <c r="L102" i="1" s="1"/>
  <c r="K102" i="1"/>
  <c r="J102" i="1"/>
  <c r="I102" i="1"/>
  <c r="H102" i="1"/>
  <c r="O101" i="1"/>
  <c r="N101" i="1"/>
  <c r="M101" i="1" a="1"/>
  <c r="M101" i="1" s="1"/>
  <c r="L101" i="1" a="1"/>
  <c r="L101" i="1" s="1"/>
  <c r="K101" i="1"/>
  <c r="J101" i="1"/>
  <c r="I101" i="1"/>
  <c r="H101" i="1"/>
  <c r="N100" i="1"/>
  <c r="M100" i="1" a="1"/>
  <c r="M100" i="1" s="1"/>
  <c r="L100" i="1" a="1"/>
  <c r="L100" i="1" s="1"/>
  <c r="K100" i="1"/>
  <c r="J100" i="1"/>
  <c r="O100" i="1" s="1"/>
  <c r="I100" i="1"/>
  <c r="H100" i="1"/>
  <c r="N99" i="1"/>
  <c r="M99" i="1"/>
  <c r="M99" i="1" a="1"/>
  <c r="L99" i="1"/>
  <c r="L99" i="1" a="1"/>
  <c r="K99" i="1"/>
  <c r="J99" i="1"/>
  <c r="O99" i="1" s="1"/>
  <c r="I99" i="1"/>
  <c r="H99" i="1"/>
  <c r="O98" i="1"/>
  <c r="M98" i="1"/>
  <c r="M98" i="1" a="1"/>
  <c r="L98" i="1" a="1"/>
  <c r="L98" i="1" s="1"/>
  <c r="K98" i="1"/>
  <c r="J98" i="1"/>
  <c r="N98" i="1" s="1"/>
  <c r="I98" i="1"/>
  <c r="H98" i="1"/>
  <c r="M97" i="1" a="1"/>
  <c r="M97" i="1" s="1"/>
  <c r="L97" i="1" a="1"/>
  <c r="L97" i="1" s="1"/>
  <c r="K97" i="1"/>
  <c r="J97" i="1"/>
  <c r="O97" i="1" s="1"/>
  <c r="I97" i="1"/>
  <c r="H97" i="1"/>
  <c r="M96" i="1" a="1"/>
  <c r="M96" i="1" s="1"/>
  <c r="L96" i="1" a="1"/>
  <c r="L96" i="1" s="1"/>
  <c r="K96" i="1"/>
  <c r="J96" i="1"/>
  <c r="O96" i="1" s="1"/>
  <c r="I96" i="1"/>
  <c r="H96" i="1"/>
  <c r="M95" i="1"/>
  <c r="M95" i="1" a="1"/>
  <c r="L95" i="1" a="1"/>
  <c r="L95" i="1" s="1"/>
  <c r="K95" i="1"/>
  <c r="J95" i="1"/>
  <c r="O95" i="1" s="1"/>
  <c r="I95" i="1"/>
  <c r="H95" i="1"/>
  <c r="M94" i="1" a="1"/>
  <c r="M94" i="1" s="1"/>
  <c r="L94" i="1" a="1"/>
  <c r="L94" i="1" s="1"/>
  <c r="K94" i="1"/>
  <c r="J94" i="1"/>
  <c r="O94" i="1" s="1"/>
  <c r="I94" i="1"/>
  <c r="H94" i="1"/>
  <c r="M93" i="1" a="1"/>
  <c r="M93" i="1" s="1"/>
  <c r="L93" i="1" a="1"/>
  <c r="L93" i="1" s="1"/>
  <c r="K93" i="1"/>
  <c r="J93" i="1"/>
  <c r="O93" i="1" s="1"/>
  <c r="I93" i="1"/>
  <c r="H93" i="1"/>
  <c r="M92" i="1" a="1"/>
  <c r="M92" i="1" s="1"/>
  <c r="L92" i="1" a="1"/>
  <c r="L92" i="1" s="1"/>
  <c r="K92" i="1"/>
  <c r="J92" i="1"/>
  <c r="O92" i="1" s="1"/>
  <c r="I92" i="1"/>
  <c r="H92" i="1"/>
  <c r="N91" i="1"/>
  <c r="M91" i="1" a="1"/>
  <c r="M91" i="1" s="1"/>
  <c r="L91" i="1" a="1"/>
  <c r="L91" i="1" s="1"/>
  <c r="K91" i="1"/>
  <c r="J91" i="1"/>
  <c r="O91" i="1" s="1"/>
  <c r="I91" i="1"/>
  <c r="H91" i="1"/>
  <c r="O90" i="1"/>
  <c r="N90" i="1"/>
  <c r="M90" i="1" a="1"/>
  <c r="M90" i="1" s="1"/>
  <c r="L90" i="1" a="1"/>
  <c r="L90" i="1" s="1"/>
  <c r="K90" i="1"/>
  <c r="J90" i="1"/>
  <c r="I90" i="1"/>
  <c r="H90" i="1"/>
  <c r="O89" i="1"/>
  <c r="N89" i="1"/>
  <c r="M89" i="1" a="1"/>
  <c r="M89" i="1" s="1"/>
  <c r="L89" i="1" a="1"/>
  <c r="L89" i="1" s="1"/>
  <c r="K89" i="1"/>
  <c r="J89" i="1"/>
  <c r="I89" i="1"/>
  <c r="H89" i="1"/>
  <c r="N88" i="1"/>
  <c r="M88" i="1" a="1"/>
  <c r="M88" i="1" s="1"/>
  <c r="L88" i="1" a="1"/>
  <c r="L88" i="1" s="1"/>
  <c r="K88" i="1"/>
  <c r="J88" i="1"/>
  <c r="O88" i="1" s="1"/>
  <c r="I88" i="1"/>
  <c r="H88" i="1"/>
  <c r="N87" i="1"/>
  <c r="M87" i="1" a="1"/>
  <c r="M87" i="1" s="1"/>
  <c r="L87" i="1"/>
  <c r="L87" i="1" a="1"/>
  <c r="K87" i="1"/>
  <c r="J87" i="1"/>
  <c r="O87" i="1" s="1"/>
  <c r="I87" i="1"/>
  <c r="H87" i="1"/>
  <c r="O86" i="1"/>
  <c r="N86" i="1"/>
  <c r="M86" i="1"/>
  <c r="M86" i="1" a="1"/>
  <c r="L86" i="1" a="1"/>
  <c r="L86" i="1" s="1"/>
  <c r="K86" i="1"/>
  <c r="J86" i="1"/>
  <c r="I86" i="1"/>
  <c r="H86" i="1"/>
  <c r="O85" i="1"/>
  <c r="N85" i="1"/>
  <c r="M85" i="1" a="1"/>
  <c r="M85" i="1" s="1"/>
  <c r="L85" i="1" a="1"/>
  <c r="L85" i="1" s="1"/>
  <c r="K85" i="1"/>
  <c r="J85" i="1"/>
  <c r="I85" i="1"/>
  <c r="H85" i="1"/>
  <c r="N84" i="1"/>
  <c r="M84" i="1" a="1"/>
  <c r="M84" i="1" s="1"/>
  <c r="L84" i="1" a="1"/>
  <c r="L84" i="1" s="1"/>
  <c r="K84" i="1"/>
  <c r="J84" i="1"/>
  <c r="O84" i="1" s="1"/>
  <c r="I84" i="1"/>
  <c r="H84" i="1"/>
  <c r="N83" i="1"/>
  <c r="M83" i="1"/>
  <c r="M83" i="1" a="1"/>
  <c r="L83" i="1"/>
  <c r="L83" i="1" a="1"/>
  <c r="K83" i="1"/>
  <c r="J83" i="1"/>
  <c r="O83" i="1" s="1"/>
  <c r="I83" i="1"/>
  <c r="H83" i="1"/>
  <c r="O82" i="1"/>
  <c r="M82" i="1"/>
  <c r="M82" i="1" a="1"/>
  <c r="L82" i="1" a="1"/>
  <c r="L82" i="1" s="1"/>
  <c r="K82" i="1"/>
  <c r="J82" i="1"/>
  <c r="N82" i="1" s="1"/>
  <c r="I82" i="1"/>
  <c r="H82" i="1"/>
  <c r="M81" i="1" a="1"/>
  <c r="M81" i="1" s="1"/>
  <c r="L81" i="1" a="1"/>
  <c r="L81" i="1" s="1"/>
  <c r="K81" i="1"/>
  <c r="J81" i="1"/>
  <c r="O81" i="1" s="1"/>
  <c r="I81" i="1"/>
  <c r="H81" i="1"/>
  <c r="M80" i="1" a="1"/>
  <c r="M80" i="1" s="1"/>
  <c r="L80" i="1" a="1"/>
  <c r="L80" i="1" s="1"/>
  <c r="K80" i="1"/>
  <c r="J80" i="1"/>
  <c r="O80" i="1" s="1"/>
  <c r="I80" i="1"/>
  <c r="H80" i="1"/>
  <c r="M79" i="1"/>
  <c r="M79" i="1" a="1"/>
  <c r="L79" i="1" a="1"/>
  <c r="L79" i="1" s="1"/>
  <c r="K79" i="1"/>
  <c r="J79" i="1"/>
  <c r="O79" i="1" s="1"/>
  <c r="I79" i="1"/>
  <c r="H79" i="1"/>
  <c r="M78" i="1" a="1"/>
  <c r="M78" i="1" s="1"/>
  <c r="L78" i="1" a="1"/>
  <c r="L78" i="1" s="1"/>
  <c r="K78" i="1"/>
  <c r="J78" i="1"/>
  <c r="O78" i="1" s="1"/>
  <c r="I78" i="1"/>
  <c r="H78" i="1"/>
  <c r="M77" i="1" a="1"/>
  <c r="M77" i="1" s="1"/>
  <c r="L77" i="1" a="1"/>
  <c r="L77" i="1" s="1"/>
  <c r="K77" i="1"/>
  <c r="J77" i="1"/>
  <c r="O77" i="1" s="1"/>
  <c r="I77" i="1"/>
  <c r="H77" i="1"/>
  <c r="M76" i="1" a="1"/>
  <c r="M76" i="1" s="1"/>
  <c r="L76" i="1" a="1"/>
  <c r="L76" i="1" s="1"/>
  <c r="K76" i="1"/>
  <c r="J76" i="1"/>
  <c r="O76" i="1" s="1"/>
  <c r="I76" i="1"/>
  <c r="H76" i="1"/>
  <c r="N75" i="1"/>
  <c r="M75" i="1" a="1"/>
  <c r="M75" i="1" s="1"/>
  <c r="L75" i="1" a="1"/>
  <c r="L75" i="1" s="1"/>
  <c r="K75" i="1"/>
  <c r="J75" i="1"/>
  <c r="O75" i="1" s="1"/>
  <c r="I75" i="1"/>
  <c r="H75" i="1"/>
  <c r="O74" i="1"/>
  <c r="N74" i="1"/>
  <c r="M74" i="1" a="1"/>
  <c r="M74" i="1" s="1"/>
  <c r="L74" i="1" a="1"/>
  <c r="L74" i="1" s="1"/>
  <c r="K74" i="1"/>
  <c r="J74" i="1"/>
  <c r="I74" i="1"/>
  <c r="H74" i="1"/>
  <c r="O73" i="1"/>
  <c r="N73" i="1"/>
  <c r="M73" i="1" a="1"/>
  <c r="M73" i="1" s="1"/>
  <c r="L73" i="1" a="1"/>
  <c r="L73" i="1" s="1"/>
  <c r="K73" i="1"/>
  <c r="J73" i="1"/>
  <c r="I73" i="1"/>
  <c r="H73" i="1"/>
  <c r="N72" i="1"/>
  <c r="M72" i="1" a="1"/>
  <c r="M72" i="1" s="1"/>
  <c r="L72" i="1" a="1"/>
  <c r="L72" i="1" s="1"/>
  <c r="K72" i="1"/>
  <c r="J72" i="1"/>
  <c r="O72" i="1" s="1"/>
  <c r="I72" i="1"/>
  <c r="H72" i="1"/>
  <c r="N71" i="1"/>
  <c r="M71" i="1" a="1"/>
  <c r="M71" i="1" s="1"/>
  <c r="L71" i="1"/>
  <c r="L71" i="1" a="1"/>
  <c r="K71" i="1"/>
  <c r="J71" i="1"/>
  <c r="O71" i="1" s="1"/>
  <c r="I71" i="1"/>
  <c r="H71" i="1"/>
  <c r="O70" i="1"/>
  <c r="N70" i="1"/>
  <c r="M70" i="1"/>
  <c r="M70" i="1" a="1"/>
  <c r="L70" i="1" a="1"/>
  <c r="L70" i="1" s="1"/>
  <c r="K70" i="1"/>
  <c r="J70" i="1"/>
  <c r="I70" i="1"/>
  <c r="H70" i="1"/>
  <c r="O69" i="1"/>
  <c r="N69" i="1"/>
  <c r="M69" i="1" a="1"/>
  <c r="M69" i="1" s="1"/>
  <c r="L69" i="1" a="1"/>
  <c r="L69" i="1" s="1"/>
  <c r="K69" i="1"/>
  <c r="J69" i="1"/>
  <c r="I69" i="1"/>
  <c r="H69" i="1"/>
  <c r="N68" i="1"/>
  <c r="M68" i="1" a="1"/>
  <c r="M68" i="1" s="1"/>
  <c r="L68" i="1" a="1"/>
  <c r="L68" i="1" s="1"/>
  <c r="K68" i="1"/>
  <c r="J68" i="1"/>
  <c r="O68" i="1" s="1"/>
  <c r="I68" i="1"/>
  <c r="H68" i="1"/>
  <c r="N67" i="1"/>
  <c r="M67" i="1"/>
  <c r="M67" i="1" a="1"/>
  <c r="L67" i="1"/>
  <c r="L67" i="1" a="1"/>
  <c r="K67" i="1"/>
  <c r="J67" i="1"/>
  <c r="O67" i="1" s="1"/>
  <c r="I67" i="1"/>
  <c r="H67" i="1"/>
  <c r="O66" i="1"/>
  <c r="M66" i="1"/>
  <c r="M66" i="1" a="1"/>
  <c r="L66" i="1" a="1"/>
  <c r="L66" i="1" s="1"/>
  <c r="K66" i="1"/>
  <c r="J66" i="1"/>
  <c r="N66" i="1" s="1"/>
  <c r="I66" i="1"/>
  <c r="H66" i="1"/>
  <c r="M65" i="1" a="1"/>
  <c r="M65" i="1" s="1"/>
  <c r="L65" i="1" a="1"/>
  <c r="L65" i="1" s="1"/>
  <c r="K65" i="1"/>
  <c r="J65" i="1"/>
  <c r="O65" i="1" s="1"/>
  <c r="I65" i="1"/>
  <c r="H65" i="1"/>
  <c r="O64" i="1"/>
  <c r="N64" i="1"/>
  <c r="M64" i="1" a="1"/>
  <c r="M64" i="1" s="1"/>
  <c r="L64" i="1" a="1"/>
  <c r="L64" i="1" s="1"/>
  <c r="K64" i="1"/>
  <c r="J64" i="1"/>
  <c r="I64" i="1"/>
  <c r="H64" i="1"/>
  <c r="O63" i="1"/>
  <c r="N63" i="1"/>
  <c r="M63" i="1" a="1"/>
  <c r="M63" i="1" s="1"/>
  <c r="L63" i="1"/>
  <c r="L63" i="1" a="1"/>
  <c r="K63" i="1"/>
  <c r="J63" i="1"/>
  <c r="I63" i="1"/>
  <c r="H63" i="1"/>
  <c r="N62" i="1"/>
  <c r="M62" i="1"/>
  <c r="M62" i="1" a="1"/>
  <c r="L62" i="1"/>
  <c r="L62" i="1" a="1"/>
  <c r="K62" i="1"/>
  <c r="J62" i="1"/>
  <c r="O62" i="1" s="1"/>
  <c r="I62" i="1"/>
  <c r="H62" i="1"/>
  <c r="O61" i="1"/>
  <c r="M61" i="1"/>
  <c r="M61" i="1" a="1"/>
  <c r="L61" i="1" a="1"/>
  <c r="L61" i="1" s="1"/>
  <c r="K61" i="1"/>
  <c r="J61" i="1"/>
  <c r="N61" i="1" s="1"/>
  <c r="I61" i="1"/>
  <c r="H61" i="1"/>
  <c r="O60" i="1"/>
  <c r="N60" i="1"/>
  <c r="M60" i="1" a="1"/>
  <c r="M60" i="1" s="1"/>
  <c r="L60" i="1" a="1"/>
  <c r="L60" i="1" s="1"/>
  <c r="K60" i="1"/>
  <c r="J60" i="1"/>
  <c r="I60" i="1"/>
  <c r="H60" i="1"/>
  <c r="O59" i="1"/>
  <c r="N59" i="1"/>
  <c r="M59" i="1" a="1"/>
  <c r="M59" i="1" s="1"/>
  <c r="L59" i="1"/>
  <c r="L59" i="1" a="1"/>
  <c r="K59" i="1"/>
  <c r="J59" i="1"/>
  <c r="I59" i="1"/>
  <c r="H59" i="1"/>
  <c r="N58" i="1"/>
  <c r="M58" i="1"/>
  <c r="M58" i="1" a="1"/>
  <c r="L58" i="1"/>
  <c r="L58" i="1" a="1"/>
  <c r="K58" i="1"/>
  <c r="J58" i="1"/>
  <c r="O58" i="1" s="1"/>
  <c r="I58" i="1"/>
  <c r="H58" i="1"/>
  <c r="O57" i="1"/>
  <c r="M57" i="1"/>
  <c r="M57" i="1" a="1"/>
  <c r="L57" i="1" a="1"/>
  <c r="L57" i="1" s="1"/>
  <c r="K57" i="1"/>
  <c r="J57" i="1"/>
  <c r="N57" i="1" s="1"/>
  <c r="I57" i="1"/>
  <c r="H57" i="1"/>
  <c r="O56" i="1"/>
  <c r="N56" i="1"/>
  <c r="M56" i="1" a="1"/>
  <c r="M56" i="1" s="1"/>
  <c r="L56" i="1" a="1"/>
  <c r="L56" i="1" s="1"/>
  <c r="K56" i="1"/>
  <c r="J56" i="1"/>
  <c r="I56" i="1"/>
  <c r="H56" i="1"/>
  <c r="O55" i="1"/>
  <c r="N55" i="1"/>
  <c r="M55" i="1" a="1"/>
  <c r="M55" i="1" s="1"/>
  <c r="L55" i="1"/>
  <c r="L55" i="1" a="1"/>
  <c r="K55" i="1"/>
  <c r="J55" i="1"/>
  <c r="I55" i="1"/>
  <c r="H55" i="1"/>
  <c r="N54" i="1"/>
  <c r="M54" i="1"/>
  <c r="M54" i="1" a="1"/>
  <c r="L54" i="1"/>
  <c r="L54" i="1" a="1"/>
  <c r="K54" i="1"/>
  <c r="J54" i="1"/>
  <c r="O54" i="1" s="1"/>
  <c r="I54" i="1"/>
  <c r="H54" i="1"/>
  <c r="O53" i="1"/>
  <c r="M53" i="1"/>
  <c r="M53" i="1" a="1"/>
  <c r="L53" i="1" a="1"/>
  <c r="L53" i="1" s="1"/>
  <c r="K53" i="1"/>
  <c r="J53" i="1"/>
  <c r="N53" i="1" s="1"/>
  <c r="I53" i="1"/>
  <c r="H53" i="1"/>
  <c r="O52" i="1"/>
  <c r="N52" i="1"/>
  <c r="M52" i="1" a="1"/>
  <c r="M52" i="1" s="1"/>
  <c r="L52" i="1" a="1"/>
  <c r="L52" i="1" s="1"/>
  <c r="K52" i="1"/>
  <c r="J52" i="1"/>
  <c r="I52" i="1"/>
  <c r="H52" i="1"/>
  <c r="O51" i="1"/>
  <c r="N51" i="1"/>
  <c r="M51" i="1" a="1"/>
  <c r="M51" i="1" s="1"/>
  <c r="L51" i="1"/>
  <c r="L51" i="1" a="1"/>
  <c r="K51" i="1"/>
  <c r="J51" i="1"/>
  <c r="I51" i="1"/>
  <c r="H51" i="1"/>
  <c r="N50" i="1"/>
  <c r="M50" i="1"/>
  <c r="M50" i="1" a="1"/>
  <c r="L50" i="1"/>
  <c r="L50" i="1" a="1"/>
  <c r="K50" i="1"/>
  <c r="J50" i="1"/>
  <c r="O50" i="1" s="1"/>
  <c r="I50" i="1"/>
  <c r="H50" i="1"/>
  <c r="O49" i="1"/>
  <c r="M49" i="1" a="1"/>
  <c r="M49" i="1" s="1"/>
  <c r="L49" i="1" a="1"/>
  <c r="L49" i="1" s="1"/>
  <c r="K49" i="1"/>
  <c r="J49" i="1"/>
  <c r="N49" i="1" s="1"/>
  <c r="I49" i="1"/>
  <c r="H49" i="1"/>
  <c r="O48" i="1"/>
  <c r="N48" i="1"/>
  <c r="M48" i="1" a="1"/>
  <c r="M48" i="1" s="1"/>
  <c r="L48" i="1" a="1"/>
  <c r="L48" i="1" s="1"/>
  <c r="K48" i="1"/>
  <c r="J48" i="1"/>
  <c r="I48" i="1"/>
  <c r="H48" i="1"/>
  <c r="O47" i="1"/>
  <c r="N47" i="1"/>
  <c r="M47" i="1" a="1"/>
  <c r="M47" i="1" s="1"/>
  <c r="L47" i="1"/>
  <c r="L47" i="1" a="1"/>
  <c r="K47" i="1"/>
  <c r="J47" i="1"/>
  <c r="I47" i="1"/>
  <c r="H47" i="1"/>
  <c r="N46" i="1"/>
  <c r="M46" i="1"/>
  <c r="M46" i="1" a="1"/>
  <c r="L46" i="1" a="1"/>
  <c r="L46" i="1" s="1"/>
  <c r="K46" i="1"/>
  <c r="J46" i="1"/>
  <c r="O46" i="1" s="1"/>
  <c r="I46" i="1"/>
  <c r="H46" i="1"/>
  <c r="O45" i="1"/>
  <c r="M45" i="1" a="1"/>
  <c r="M45" i="1" s="1"/>
  <c r="L45" i="1" a="1"/>
  <c r="L45" i="1" s="1"/>
  <c r="K45" i="1"/>
  <c r="J45" i="1"/>
  <c r="N45" i="1" s="1"/>
  <c r="I45" i="1"/>
  <c r="H45" i="1"/>
  <c r="O44" i="1"/>
  <c r="N44" i="1"/>
  <c r="M44" i="1" a="1"/>
  <c r="M44" i="1" s="1"/>
  <c r="L44" i="1" a="1"/>
  <c r="L44" i="1" s="1"/>
  <c r="K44" i="1"/>
  <c r="J44" i="1"/>
  <c r="I44" i="1"/>
  <c r="H44" i="1"/>
  <c r="O43" i="1"/>
  <c r="N43" i="1"/>
  <c r="M43" i="1" a="1"/>
  <c r="M43" i="1" s="1"/>
  <c r="L43" i="1"/>
  <c r="L43" i="1" a="1"/>
  <c r="K43" i="1"/>
  <c r="J43" i="1"/>
  <c r="I43" i="1"/>
  <c r="H43" i="1"/>
  <c r="N42" i="1"/>
  <c r="M42" i="1"/>
  <c r="M42" i="1" a="1"/>
  <c r="L42" i="1" a="1"/>
  <c r="L42" i="1" s="1"/>
  <c r="K42" i="1"/>
  <c r="J42" i="1"/>
  <c r="O42" i="1" s="1"/>
  <c r="I42" i="1"/>
  <c r="H42" i="1"/>
  <c r="O41" i="1"/>
  <c r="M41" i="1" a="1"/>
  <c r="M41" i="1" s="1"/>
  <c r="L41" i="1" a="1"/>
  <c r="L41" i="1" s="1"/>
  <c r="K41" i="1"/>
  <c r="J41" i="1"/>
  <c r="N41" i="1" s="1"/>
  <c r="I41" i="1"/>
  <c r="H41" i="1"/>
  <c r="O40" i="1"/>
  <c r="N40" i="1"/>
  <c r="M40" i="1" a="1"/>
  <c r="M40" i="1" s="1"/>
  <c r="L40" i="1" a="1"/>
  <c r="L40" i="1" s="1"/>
  <c r="K40" i="1"/>
  <c r="J40" i="1"/>
  <c r="I40" i="1"/>
  <c r="H40" i="1"/>
  <c r="O39" i="1"/>
  <c r="N39" i="1"/>
  <c r="M39" i="1" a="1"/>
  <c r="M39" i="1" s="1"/>
  <c r="L39" i="1"/>
  <c r="L39" i="1" a="1"/>
  <c r="K39" i="1"/>
  <c r="J39" i="1"/>
  <c r="I39" i="1"/>
  <c r="H39" i="1"/>
  <c r="N38" i="1"/>
  <c r="M38" i="1"/>
  <c r="M38" i="1" a="1"/>
  <c r="L38" i="1" a="1"/>
  <c r="L38" i="1" s="1"/>
  <c r="K38" i="1"/>
  <c r="J38" i="1"/>
  <c r="O38" i="1" s="1"/>
  <c r="I38" i="1"/>
  <c r="H38" i="1"/>
  <c r="O37" i="1"/>
  <c r="M37" i="1" a="1"/>
  <c r="M37" i="1" s="1"/>
  <c r="L37" i="1" a="1"/>
  <c r="L37" i="1" s="1"/>
  <c r="K37" i="1"/>
  <c r="J37" i="1"/>
  <c r="N37" i="1" s="1"/>
  <c r="I37" i="1"/>
  <c r="H37" i="1"/>
  <c r="O36" i="1"/>
  <c r="N36" i="1"/>
  <c r="M36" i="1" a="1"/>
  <c r="M36" i="1" s="1"/>
  <c r="L36" i="1" a="1"/>
  <c r="L36" i="1" s="1"/>
  <c r="K36" i="1"/>
  <c r="J36" i="1"/>
  <c r="I36" i="1"/>
  <c r="H36" i="1"/>
  <c r="O35" i="1"/>
  <c r="N35" i="1"/>
  <c r="M35" i="1" a="1"/>
  <c r="M35" i="1" s="1"/>
  <c r="L35" i="1"/>
  <c r="L35" i="1" a="1"/>
  <c r="K35" i="1"/>
  <c r="J35" i="1"/>
  <c r="I35" i="1"/>
  <c r="H35" i="1"/>
  <c r="N34" i="1"/>
  <c r="M34" i="1"/>
  <c r="M34" i="1" a="1"/>
  <c r="L34" i="1" a="1"/>
  <c r="L34" i="1" s="1"/>
  <c r="K34" i="1"/>
  <c r="J34" i="1"/>
  <c r="O34" i="1" s="1"/>
  <c r="I34" i="1"/>
  <c r="H34" i="1"/>
  <c r="O33" i="1"/>
  <c r="M33" i="1" a="1"/>
  <c r="M33" i="1" s="1"/>
  <c r="L33" i="1" a="1"/>
  <c r="L33" i="1" s="1"/>
  <c r="K33" i="1"/>
  <c r="J33" i="1"/>
  <c r="N33" i="1" s="1"/>
  <c r="I33" i="1"/>
  <c r="H33" i="1"/>
  <c r="O32" i="1"/>
  <c r="N32" i="1"/>
  <c r="M32" i="1" a="1"/>
  <c r="M32" i="1" s="1"/>
  <c r="L32" i="1" a="1"/>
  <c r="L32" i="1" s="1"/>
  <c r="K32" i="1"/>
  <c r="J32" i="1"/>
  <c r="I32" i="1"/>
  <c r="H32" i="1"/>
  <c r="N31" i="1"/>
  <c r="M31" i="1" a="1"/>
  <c r="M31" i="1" s="1"/>
  <c r="L31" i="1"/>
  <c r="L31" i="1" a="1"/>
  <c r="K31" i="1"/>
  <c r="J31" i="1"/>
  <c r="O31" i="1" s="1"/>
  <c r="I31" i="1"/>
  <c r="H31" i="1"/>
  <c r="N30" i="1"/>
  <c r="M30" i="1"/>
  <c r="M30" i="1" a="1"/>
  <c r="L30" i="1" a="1"/>
  <c r="L30" i="1" s="1"/>
  <c r="J30" i="1"/>
  <c r="O30" i="1" s="1"/>
  <c r="I30" i="1"/>
  <c r="H30" i="1"/>
  <c r="O29" i="1"/>
  <c r="N29" i="1"/>
  <c r="M29" i="1" a="1"/>
  <c r="M29" i="1" s="1"/>
  <c r="L29" i="1" a="1"/>
  <c r="L29" i="1" s="1"/>
  <c r="J29" i="1"/>
  <c r="I29" i="1"/>
  <c r="H29" i="1"/>
  <c r="O28" i="1"/>
  <c r="M28" i="1" a="1"/>
  <c r="M28" i="1" s="1"/>
  <c r="L28" i="1" a="1"/>
  <c r="L28" i="1" s="1"/>
  <c r="J28" i="1"/>
  <c r="N28" i="1" s="1"/>
  <c r="I28" i="1"/>
  <c r="H28" i="1"/>
  <c r="M27" i="1" a="1"/>
  <c r="M27" i="1" s="1"/>
  <c r="L27" i="1"/>
  <c r="L27" i="1" a="1"/>
  <c r="J27" i="1"/>
  <c r="O27" i="1" s="1"/>
  <c r="I27" i="1"/>
  <c r="H27" i="1"/>
  <c r="M26" i="1" a="1"/>
  <c r="M26" i="1" s="1"/>
  <c r="L26" i="1" a="1"/>
  <c r="L26" i="1" s="1"/>
  <c r="J26" i="1"/>
  <c r="O26" i="1" s="1"/>
  <c r="I26" i="1"/>
  <c r="H26" i="1"/>
  <c r="O25" i="1"/>
  <c r="N25" i="1"/>
  <c r="M25" i="1"/>
  <c r="M25" i="1" a="1"/>
  <c r="L25" i="1" a="1"/>
  <c r="L25" i="1" s="1"/>
  <c r="J25" i="1"/>
  <c r="I25" i="1"/>
  <c r="H25" i="1"/>
  <c r="O24" i="1"/>
  <c r="N24" i="1"/>
  <c r="M24" i="1" a="1"/>
  <c r="M24" i="1" s="1"/>
  <c r="L24" i="1"/>
  <c r="L24" i="1" a="1"/>
  <c r="J24" i="1"/>
  <c r="I24" i="1"/>
  <c r="H24" i="1"/>
  <c r="O23" i="1"/>
  <c r="M23" i="1" a="1"/>
  <c r="M23" i="1" s="1"/>
  <c r="L23" i="1" a="1"/>
  <c r="L23" i="1" s="1"/>
  <c r="J23" i="1"/>
  <c r="N23" i="1" s="1"/>
  <c r="I23" i="1"/>
  <c r="H23" i="1"/>
  <c r="N22" i="1"/>
  <c r="M22" i="1"/>
  <c r="M22" i="1" a="1"/>
  <c r="L22" i="1" a="1"/>
  <c r="L22" i="1" s="1"/>
  <c r="J22" i="1"/>
  <c r="O22" i="1" s="1"/>
  <c r="I22" i="1"/>
  <c r="H22" i="1"/>
  <c r="O21" i="1"/>
  <c r="N21" i="1"/>
  <c r="M21" i="1" a="1"/>
  <c r="M21" i="1" s="1"/>
  <c r="L21" i="1" a="1"/>
  <c r="L21" i="1" s="1"/>
  <c r="J21" i="1"/>
  <c r="I21" i="1"/>
  <c r="H21" i="1"/>
  <c r="O20" i="1"/>
  <c r="M20" i="1" a="1"/>
  <c r="M20" i="1" s="1"/>
  <c r="L20" i="1" a="1"/>
  <c r="L20" i="1" s="1"/>
  <c r="J20" i="1"/>
  <c r="N20" i="1" s="1"/>
  <c r="I20" i="1"/>
  <c r="H20" i="1"/>
  <c r="M19" i="1" a="1"/>
  <c r="M19" i="1" s="1"/>
  <c r="L19" i="1"/>
  <c r="L19" i="1" a="1"/>
  <c r="J19" i="1"/>
  <c r="O19" i="1" s="1"/>
  <c r="I19" i="1"/>
  <c r="H19" i="1"/>
  <c r="M18" i="1" a="1"/>
  <c r="M18" i="1" s="1"/>
  <c r="L18" i="1" a="1"/>
  <c r="L18" i="1" s="1"/>
  <c r="J18" i="1"/>
  <c r="O18" i="1" s="1"/>
  <c r="I18" i="1"/>
  <c r="H18" i="1"/>
  <c r="O17" i="1"/>
  <c r="N17" i="1"/>
  <c r="M17" i="1"/>
  <c r="M17" i="1" a="1"/>
  <c r="L17" i="1" a="1"/>
  <c r="L17" i="1" s="1"/>
  <c r="J17" i="1"/>
  <c r="I17" i="1"/>
  <c r="H17" i="1"/>
  <c r="O16" i="1"/>
  <c r="N16" i="1"/>
  <c r="M16" i="1" a="1"/>
  <c r="M16" i="1" s="1"/>
  <c r="L16" i="1"/>
  <c r="L16" i="1" a="1"/>
  <c r="J16" i="1"/>
  <c r="I16" i="1"/>
  <c r="H16" i="1"/>
  <c r="O15" i="1"/>
  <c r="M15" i="1" a="1"/>
  <c r="M15" i="1" s="1"/>
  <c r="L15" i="1" a="1"/>
  <c r="L15" i="1" s="1"/>
  <c r="J15" i="1"/>
  <c r="N15" i="1" s="1"/>
  <c r="I15" i="1"/>
  <c r="H15" i="1"/>
  <c r="N14" i="1"/>
  <c r="M14" i="1"/>
  <c r="M14" i="1" a="1"/>
  <c r="L14" i="1" a="1"/>
  <c r="L14" i="1" s="1"/>
  <c r="J14" i="1"/>
  <c r="O14" i="1" s="1"/>
  <c r="I14" i="1"/>
  <c r="H14" i="1"/>
  <c r="O13" i="1"/>
  <c r="N13" i="1"/>
  <c r="M13" i="1" a="1"/>
  <c r="M13" i="1" s="1"/>
  <c r="L13" i="1" a="1"/>
  <c r="L13" i="1" s="1"/>
  <c r="J13" i="1"/>
  <c r="I13" i="1"/>
  <c r="H13" i="1"/>
  <c r="O12" i="1"/>
  <c r="M12" i="1" a="1"/>
  <c r="M12" i="1" s="1"/>
  <c r="L12" i="1" a="1"/>
  <c r="L12" i="1" s="1"/>
  <c r="J12" i="1"/>
  <c r="N12" i="1" s="1"/>
  <c r="I12" i="1"/>
  <c r="H12" i="1"/>
  <c r="M11" i="1" a="1"/>
  <c r="M11" i="1" s="1"/>
  <c r="L11" i="1"/>
  <c r="L11" i="1" a="1"/>
  <c r="J11" i="1"/>
  <c r="O11" i="1" s="1"/>
  <c r="I11" i="1"/>
  <c r="H11" i="1"/>
  <c r="M10" i="1" a="1"/>
  <c r="M10" i="1" s="1"/>
  <c r="L10" i="1" a="1"/>
  <c r="L10" i="1" s="1"/>
  <c r="J10" i="1"/>
  <c r="O10" i="1" s="1"/>
  <c r="I10" i="1"/>
  <c r="H10" i="1"/>
  <c r="O9" i="1"/>
  <c r="N9" i="1"/>
  <c r="M9" i="1"/>
  <c r="M9" i="1" a="1"/>
  <c r="L9" i="1" a="1"/>
  <c r="L9" i="1" s="1"/>
  <c r="J9" i="1"/>
  <c r="I9" i="1"/>
  <c r="H9" i="1"/>
  <c r="O8" i="1"/>
  <c r="N8" i="1"/>
  <c r="M8" i="1" a="1"/>
  <c r="M8" i="1" s="1"/>
  <c r="L8" i="1"/>
  <c r="L8" i="1" a="1"/>
  <c r="J8" i="1"/>
  <c r="I8" i="1"/>
  <c r="H8" i="1"/>
  <c r="O7" i="1"/>
  <c r="M7" i="1" a="1"/>
  <c r="M7" i="1" s="1"/>
  <c r="L7" i="1" a="1"/>
  <c r="L7" i="1" s="1"/>
  <c r="J7" i="1"/>
  <c r="N7" i="1" s="1"/>
  <c r="I7" i="1"/>
  <c r="H7" i="1"/>
  <c r="N6" i="1"/>
  <c r="M6" i="1"/>
  <c r="M6" i="1" a="1"/>
  <c r="L6" i="1" a="1"/>
  <c r="L6" i="1" s="1"/>
  <c r="J6" i="1"/>
  <c r="O6" i="1" s="1"/>
  <c r="I6" i="1"/>
  <c r="H6" i="1"/>
  <c r="O5" i="1"/>
  <c r="N5" i="1"/>
  <c r="M5" i="1" a="1"/>
  <c r="M5" i="1" s="1"/>
  <c r="L5" i="1" a="1"/>
  <c r="L5" i="1" s="1"/>
  <c r="J5" i="1"/>
  <c r="I5" i="1"/>
  <c r="H5" i="1"/>
  <c r="O4" i="1"/>
  <c r="M4" i="1" a="1"/>
  <c r="M4" i="1" s="1"/>
  <c r="L4" i="1" a="1"/>
  <c r="L4" i="1" s="1"/>
  <c r="J4" i="1"/>
  <c r="N4" i="1" s="1"/>
  <c r="I4" i="1"/>
  <c r="H4" i="1"/>
  <c r="M3" i="1" a="1"/>
  <c r="M3" i="1" s="1"/>
  <c r="L3" i="1"/>
  <c r="L3" i="1" a="1"/>
  <c r="J3" i="1"/>
  <c r="O3" i="1" s="1"/>
  <c r="I3" i="1"/>
  <c r="H3" i="1"/>
  <c r="M2" i="1" a="1"/>
  <c r="M2" i="1" s="1"/>
  <c r="L2" i="1" a="1"/>
  <c r="L2" i="1" s="1"/>
  <c r="J2" i="1"/>
  <c r="O2" i="1" s="1"/>
  <c r="I2" i="1"/>
  <c r="H2" i="1"/>
  <c r="O127" i="1" l="1"/>
  <c r="N127" i="1"/>
  <c r="O131" i="1"/>
  <c r="N131" i="1"/>
  <c r="O135" i="1"/>
  <c r="N135" i="1"/>
  <c r="O139" i="1"/>
  <c r="N139" i="1"/>
  <c r="O143" i="1"/>
  <c r="N143" i="1"/>
  <c r="O147" i="1"/>
  <c r="N147" i="1"/>
  <c r="O344" i="1"/>
  <c r="N344" i="1"/>
  <c r="O171" i="1"/>
  <c r="N171" i="1"/>
  <c r="O195" i="1"/>
  <c r="N195" i="1"/>
  <c r="N303" i="1"/>
  <c r="O303" i="1"/>
  <c r="O331" i="1"/>
  <c r="N331" i="1"/>
  <c r="O357" i="1"/>
  <c r="N357" i="1"/>
  <c r="O439" i="1"/>
  <c r="N439" i="1"/>
  <c r="O543" i="1"/>
  <c r="N543" i="1"/>
  <c r="O194" i="1"/>
  <c r="N194" i="1"/>
  <c r="O260" i="1"/>
  <c r="N260" i="1"/>
  <c r="N77" i="1"/>
  <c r="N93" i="1"/>
  <c r="N109" i="1"/>
  <c r="O125" i="1"/>
  <c r="O129" i="1"/>
  <c r="O133" i="1"/>
  <c r="O160" i="1"/>
  <c r="N160" i="1"/>
  <c r="O266" i="1"/>
  <c r="N266" i="1"/>
  <c r="N2" i="1"/>
  <c r="N10" i="1"/>
  <c r="N18" i="1"/>
  <c r="N26" i="1"/>
  <c r="N76" i="1"/>
  <c r="N78" i="1"/>
  <c r="N92" i="1"/>
  <c r="N94" i="1"/>
  <c r="N108" i="1"/>
  <c r="N110" i="1"/>
  <c r="O159" i="1"/>
  <c r="N159" i="1"/>
  <c r="O193" i="1"/>
  <c r="N193" i="1"/>
  <c r="N3" i="1"/>
  <c r="N11" i="1"/>
  <c r="N19" i="1"/>
  <c r="N27" i="1"/>
  <c r="N65" i="1"/>
  <c r="N81" i="1"/>
  <c r="N97" i="1"/>
  <c r="N113" i="1"/>
  <c r="O161" i="1"/>
  <c r="O253" i="1"/>
  <c r="N253" i="1"/>
  <c r="N79" i="1"/>
  <c r="N80" i="1"/>
  <c r="N95" i="1"/>
  <c r="N96" i="1"/>
  <c r="N111" i="1"/>
  <c r="N112" i="1"/>
  <c r="O192" i="1"/>
  <c r="N192" i="1"/>
  <c r="N183" i="1"/>
  <c r="O199" i="1"/>
  <c r="N199" i="1"/>
  <c r="O215" i="1"/>
  <c r="N215" i="1"/>
  <c r="O231" i="1"/>
  <c r="N231" i="1"/>
  <c r="N236" i="1"/>
  <c r="N244" i="1"/>
  <c r="N151" i="1"/>
  <c r="N155" i="1"/>
  <c r="N166" i="1"/>
  <c r="N172" i="1"/>
  <c r="N200" i="1"/>
  <c r="O211" i="1"/>
  <c r="N211" i="1"/>
  <c r="N216" i="1"/>
  <c r="O227" i="1"/>
  <c r="N227" i="1"/>
  <c r="N232" i="1"/>
  <c r="O239" i="1"/>
  <c r="N239" i="1"/>
  <c r="O247" i="1"/>
  <c r="N247" i="1"/>
  <c r="O255" i="1"/>
  <c r="N261" i="1"/>
  <c r="O274" i="1"/>
  <c r="N173" i="1"/>
  <c r="N174" i="1"/>
  <c r="N201" i="1"/>
  <c r="N217" i="1"/>
  <c r="O207" i="1"/>
  <c r="N207" i="1"/>
  <c r="O223" i="1"/>
  <c r="N223" i="1"/>
  <c r="O279" i="1"/>
  <c r="N279" i="1"/>
  <c r="N197" i="1"/>
  <c r="N213" i="1"/>
  <c r="N288" i="1"/>
  <c r="N158" i="1"/>
  <c r="O203" i="1"/>
  <c r="N203" i="1"/>
  <c r="O219" i="1"/>
  <c r="N219" i="1"/>
  <c r="O235" i="1"/>
  <c r="N235" i="1"/>
  <c r="O243" i="1"/>
  <c r="N243" i="1"/>
  <c r="O374" i="1"/>
  <c r="N374" i="1"/>
  <c r="O383" i="1"/>
  <c r="N383" i="1"/>
  <c r="O397" i="1"/>
  <c r="N397" i="1"/>
  <c r="O488" i="1"/>
  <c r="N488" i="1"/>
  <c r="O373" i="1"/>
  <c r="N373" i="1"/>
  <c r="O382" i="1"/>
  <c r="N382" i="1"/>
  <c r="O396" i="1"/>
  <c r="N396" i="1"/>
  <c r="O409" i="1"/>
  <c r="N409" i="1"/>
  <c r="N479" i="1"/>
  <c r="O479" i="1"/>
  <c r="O381" i="1"/>
  <c r="N381" i="1"/>
  <c r="N400" i="1"/>
  <c r="O400" i="1"/>
  <c r="O438" i="1"/>
  <c r="N438" i="1"/>
  <c r="N443" i="1"/>
  <c r="O443" i="1"/>
  <c r="O372" i="1"/>
  <c r="N372" i="1"/>
  <c r="O408" i="1"/>
  <c r="N408" i="1"/>
  <c r="N254" i="1"/>
  <c r="N267" i="1"/>
  <c r="O286" i="1"/>
  <c r="N287" i="1"/>
  <c r="O294" i="1"/>
  <c r="N295" i="1"/>
  <c r="O307" i="1"/>
  <c r="O380" i="1"/>
  <c r="N380" i="1"/>
  <c r="N273" i="1"/>
  <c r="O338" i="1"/>
  <c r="N338" i="1"/>
  <c r="O375" i="1"/>
  <c r="N375" i="1"/>
  <c r="N327" i="1"/>
  <c r="N365" i="1"/>
  <c r="N366" i="1"/>
  <c r="N393" i="1"/>
  <c r="O426" i="1"/>
  <c r="N426" i="1"/>
  <c r="O480" i="1"/>
  <c r="N480" i="1"/>
  <c r="N487" i="1"/>
  <c r="O487" i="1"/>
  <c r="N389" i="1"/>
  <c r="O425" i="1"/>
  <c r="N425" i="1"/>
  <c r="O521" i="1"/>
  <c r="N521" i="1"/>
  <c r="O395" i="1"/>
  <c r="N395" i="1"/>
  <c r="O437" i="1"/>
  <c r="N437" i="1"/>
  <c r="O442" i="1"/>
  <c r="N442" i="1"/>
  <c r="O503" i="1"/>
  <c r="N503" i="1"/>
  <c r="N376" i="1"/>
  <c r="N379" i="1"/>
  <c r="N458" i="1"/>
  <c r="O458" i="1"/>
  <c r="N332" i="1"/>
  <c r="N345" i="1"/>
  <c r="N377" i="1"/>
  <c r="N378" i="1"/>
  <c r="O391" i="1"/>
  <c r="N391" i="1"/>
  <c r="O412" i="1"/>
  <c r="N412" i="1"/>
  <c r="O417" i="1"/>
  <c r="N417" i="1"/>
  <c r="O441" i="1"/>
  <c r="N441" i="1"/>
  <c r="N351" i="1"/>
  <c r="N371" i="1"/>
  <c r="N428" i="1"/>
  <c r="N444" i="1"/>
  <c r="N492" i="1"/>
  <c r="O501" i="1"/>
  <c r="N501" i="1"/>
  <c r="N509" i="1"/>
  <c r="N422" i="1"/>
  <c r="N433" i="1"/>
  <c r="N435" i="1"/>
  <c r="O454" i="1"/>
  <c r="N455" i="1"/>
  <c r="O541" i="1"/>
  <c r="N541" i="1"/>
  <c r="O542" i="1"/>
  <c r="N542" i="1"/>
  <c r="N399" i="1"/>
  <c r="N403" i="1"/>
  <c r="N407" i="1"/>
  <c r="N411" i="1"/>
  <c r="N452" i="1"/>
  <c r="O459" i="1"/>
  <c r="O463" i="1"/>
  <c r="O467" i="1"/>
  <c r="O471" i="1"/>
  <c r="O475" i="1"/>
  <c r="O508" i="1"/>
  <c r="N508" i="1"/>
  <c r="N525" i="1"/>
  <c r="N583" i="1"/>
  <c r="O583" i="1"/>
  <c r="N416" i="1"/>
  <c r="N423" i="1"/>
  <c r="N436" i="1"/>
  <c r="N456" i="1"/>
  <c r="N460" i="1"/>
  <c r="N464" i="1"/>
  <c r="N468" i="1"/>
  <c r="N472" i="1"/>
  <c r="N476" i="1"/>
  <c r="N591" i="1"/>
  <c r="O591" i="1"/>
  <c r="O537" i="1"/>
  <c r="N537" i="1"/>
  <c r="N484" i="1"/>
  <c r="N497" i="1"/>
  <c r="O575" i="1"/>
  <c r="N505" i="1"/>
  <c r="N506" i="1"/>
  <c r="N519" i="1"/>
  <c r="N535" i="1"/>
  <c r="O545" i="1"/>
  <c r="N545" i="1"/>
  <c r="O595" i="1"/>
  <c r="N507" i="1"/>
  <c r="N517" i="1"/>
  <c r="N518" i="1"/>
  <c r="N520" i="1"/>
  <c r="N533" i="1"/>
  <c r="N534" i="1"/>
  <c r="N536" i="1"/>
  <c r="O549" i="1"/>
  <c r="N549" i="1"/>
  <c r="O607" i="1"/>
  <c r="N607" i="1"/>
  <c r="O553" i="1"/>
  <c r="N553" i="1"/>
  <c r="O603" i="1"/>
  <c r="N522" i="1"/>
  <c r="N538" i="1"/>
  <c r="O557" i="1"/>
  <c r="N557" i="1"/>
  <c r="O561" i="1"/>
  <c r="N561" i="1"/>
  <c r="O565" i="1"/>
  <c r="N565" i="1"/>
  <c r="N569" i="1"/>
  <c r="N573" i="1"/>
  <c r="N577" i="1"/>
  <c r="N581" i="1"/>
  <c r="N585" i="1"/>
  <c r="N589" i="1"/>
  <c r="N593" i="1"/>
  <c r="N597" i="1"/>
  <c r="N601" i="1"/>
  <c r="N605" i="1"/>
  <c r="N574" i="1"/>
  <c r="N578" i="1"/>
  <c r="N582" i="1"/>
  <c r="N586" i="1"/>
  <c r="N590" i="1"/>
  <c r="N594" i="1"/>
  <c r="N598" i="1"/>
  <c r="N602" i="1"/>
  <c r="N606" i="1"/>
</calcChain>
</file>

<file path=xl/sharedStrings.xml><?xml version="1.0" encoding="utf-8"?>
<sst xmlns="http://schemas.openxmlformats.org/spreadsheetml/2006/main" count="3681" uniqueCount="1226">
  <si>
    <t>Route Schedule Name</t>
  </si>
  <si>
    <t>Trip ID</t>
  </si>
  <si>
    <t>Trip Status</t>
  </si>
  <si>
    <t>Source Name</t>
  </si>
  <si>
    <t>Viapoint Name</t>
  </si>
  <si>
    <t>Arrival Time At Viapoint</t>
  </si>
  <si>
    <t>Date</t>
  </si>
  <si>
    <t>Week Num</t>
  </si>
  <si>
    <t>Month</t>
  </si>
  <si>
    <t>Arrival Time</t>
  </si>
  <si>
    <t>Store Name</t>
  </si>
  <si>
    <t>City Name</t>
  </si>
  <si>
    <t>On time</t>
  </si>
  <si>
    <t>GRN time</t>
  </si>
  <si>
    <t>DS-IBBLR-Peenya PH-3 FV</t>
  </si>
  <si>
    <t>LY867510</t>
  </si>
  <si>
    <t>completed</t>
  </si>
  <si>
    <t>T1 Bangalore DC4</t>
  </si>
  <si>
    <t>DS-IBBLR-Peenya PH-3</t>
  </si>
  <si>
    <t>02-09-2025 00:18:02 (DS-IBBLR-Peenya PH-3)</t>
  </si>
  <si>
    <t>LY869688</t>
  </si>
  <si>
    <t>03-09-2025 00:05:49 (DS-IBBLR-Peenya PH-3)</t>
  </si>
  <si>
    <t>LY871848</t>
  </si>
  <si>
    <t>04-09-2025 00:06:38 (DS-IBBLR-Peenya PH-3)</t>
  </si>
  <si>
    <t>LY873988</t>
  </si>
  <si>
    <t>05-09-2025 00:10:25 (DS-IBBLR-Peenya PH-3)</t>
  </si>
  <si>
    <t>LY875919</t>
  </si>
  <si>
    <t>06-09-2025 00:07:02 (DS-IBBLR-Peenya PH-3)</t>
  </si>
  <si>
    <t>LY877986</t>
  </si>
  <si>
    <t>06-09-2025 23:53:15 (DS-IBBLR-Peenya PH-3)</t>
  </si>
  <si>
    <t>LY879751</t>
  </si>
  <si>
    <t>07-09-2025 23:57:13 (DS-IBBLR-Peenya PH-3)</t>
  </si>
  <si>
    <t>LY881850</t>
  </si>
  <si>
    <t>reached</t>
  </si>
  <si>
    <t>09-09-2025 00:03:44 (DS-IBBLR-Peenya PH-3)</t>
  </si>
  <si>
    <t>LY884030</t>
  </si>
  <si>
    <t>in_transit</t>
  </si>
  <si>
    <t>10-09-2025 00:42:22 (DS-IBBLR-Peenya PH-3)</t>
  </si>
  <si>
    <t>LY886189</t>
  </si>
  <si>
    <t>11-09-2025 00:04:23 (DS-IBBLR-Peenya PH-3)</t>
  </si>
  <si>
    <t>LY888310</t>
  </si>
  <si>
    <t>11-09-2025 23:59:41 (DS-IBBLR-Peenya PH-3)</t>
  </si>
  <si>
    <t>LY890458</t>
  </si>
  <si>
    <t>12-09-2025 23:45:47 (DS-IBBLR-Peenya PH-3)</t>
  </si>
  <si>
    <t>(DS-IBBLR-Peenya PH-3)</t>
  </si>
  <si>
    <t>LY892561</t>
  </si>
  <si>
    <t>13-09-2025 23:44:43 (DS-IBBLR-Peenya PH-3)</t>
  </si>
  <si>
    <t>LY894572</t>
  </si>
  <si>
    <t>14-09-2025 23:51:18 (DS-IBBLR-Peenya PH-3)</t>
  </si>
  <si>
    <t>LY896743</t>
  </si>
  <si>
    <t>16-09-2025 00:04:47 (DS-IBBLR-Peenya PH-3)</t>
  </si>
  <si>
    <t>LY898904</t>
  </si>
  <si>
    <t>16-09-2025 23:57:58 (DS-IBBLR-Peenya PH-3)</t>
  </si>
  <si>
    <t>LY900909</t>
  </si>
  <si>
    <t>17-09-2025 23:55:21 (DS-IBBLR-Peenya PH-3)</t>
  </si>
  <si>
    <t>LY903123</t>
  </si>
  <si>
    <t>19-09-2025 00:09:09 (DS-IBBLR-Peenya PH-3)</t>
  </si>
  <si>
    <t>LY905417</t>
  </si>
  <si>
    <t>20-09-2025 00:06:38 (DS-IBBLR-Peenya PH-3)</t>
  </si>
  <si>
    <t>LY907651</t>
  </si>
  <si>
    <t>21-09-2025 00:18:38 (DS-IBBLR-Peenya PH-3)</t>
  </si>
  <si>
    <t>LY909333</t>
  </si>
  <si>
    <t>22-09-2025 00:02:22 (DS-IBBLR-Peenya PH-3)</t>
  </si>
  <si>
    <t>LY911793</t>
  </si>
  <si>
    <t>23-09-2025 00:20:46 (DS-IBBLR-Peenya PH-3)</t>
  </si>
  <si>
    <t>DS-IBBLR-Peenya PH-3 FMCG</t>
  </si>
  <si>
    <t>LY912631</t>
  </si>
  <si>
    <t>24-09-2025 00:33:13 (DS-IBBLR-Peenya PH-3)</t>
  </si>
  <si>
    <t>LY916294</t>
  </si>
  <si>
    <t>25-09-2025 00:03:06 (DS-IBBLR-Peenya PH-3)</t>
  </si>
  <si>
    <t>LY918605</t>
  </si>
  <si>
    <t>25-09-2025 23:58:47 (DS-IBBLR-Peenya PH-3)</t>
  </si>
  <si>
    <t>LY920813</t>
  </si>
  <si>
    <t>27-09-2025 00:07:36 (DS-IBBLR-Peenya PH-3)</t>
  </si>
  <si>
    <t>LY922838</t>
  </si>
  <si>
    <t>28-09-2025 01:05:56 (DS-IBBLR-Peenya PH-3)</t>
  </si>
  <si>
    <t>LY925037</t>
  </si>
  <si>
    <t>29-09-2025 00:35:31 (DS-IBBLR-Peenya PH-3)</t>
  </si>
  <si>
    <t>LY927141</t>
  </si>
  <si>
    <t>29-09-2025 23:54:28 (DS-IBBLR-Peenya PH-3)</t>
  </si>
  <si>
    <t>DS-IBBLR-Nagondanahalli FV</t>
  </si>
  <si>
    <t>LY929087</t>
  </si>
  <si>
    <t>T1 Bangalore DC5</t>
  </si>
  <si>
    <t>DS-IBBLR-Nagondanaha</t>
  </si>
  <si>
    <t>01-10-2025 03:57:13 (DS-IBBLR-Nagondanahalli )</t>
  </si>
  <si>
    <t>DS-IBBLR-Budhigere FV</t>
  </si>
  <si>
    <t>LY931447</t>
  </si>
  <si>
    <t>DS-IBBLR-Budhigere</t>
  </si>
  <si>
    <t>01-10-2025 23:38:18 (DS-IBBLR-Budhigere )</t>
  </si>
  <si>
    <t>LY931228</t>
  </si>
  <si>
    <t>02-10-2025 03:14:08 (DS-IBBLR-Nagondanahalli )</t>
  </si>
  <si>
    <t>LY931578</t>
  </si>
  <si>
    <t>02-10-2025 00:07:01 (DS-IBBLR-Peenya PH-3)</t>
  </si>
  <si>
    <t>LY933388</t>
  </si>
  <si>
    <t>02-10-2025 23:16:16 (DS-IBBLR-Budhigere )</t>
  </si>
  <si>
    <t>LY933364</t>
  </si>
  <si>
    <t>03-10-2025 02:06:40 (DS-IBBLR-Nagondanahalli )</t>
  </si>
  <si>
    <t>LY933614</t>
  </si>
  <si>
    <t>03-10-2025 01:09:40 (DS-IBBLR-Peenya PH-3)</t>
  </si>
  <si>
    <t>LY935557</t>
  </si>
  <si>
    <t>03-10-2025 23:45:41 (DS-IBBLR-Budhigere )</t>
  </si>
  <si>
    <t>LY936323</t>
  </si>
  <si>
    <t>04-10-2025 02:14:19 (DS-IBBLR-Nagondanahalli )</t>
  </si>
  <si>
    <t>LY935682</t>
  </si>
  <si>
    <t>04-10-2025 00:54:52 (DS-IBBLR-Peenya PH-3)</t>
  </si>
  <si>
    <t>LY937862</t>
  </si>
  <si>
    <t>04-10-2025 23:33:28 (DS-IBBLR-Budhigere )</t>
  </si>
  <si>
    <t>LY937955</t>
  </si>
  <si>
    <t>05-10-2025 01:03:58 (DS-IBBLR-Peenya PH-3)</t>
  </si>
  <si>
    <t>LY939758</t>
  </si>
  <si>
    <t>05-10-2025 23:31:56 (DS-IBBLR-Budhigere )</t>
  </si>
  <si>
    <t>LY939668</t>
  </si>
  <si>
    <t>06-10-2025 02:57:20 (DS-IBBLR-Nagondanahalli )</t>
  </si>
  <si>
    <t>LY940262</t>
  </si>
  <si>
    <t>06-10-2025 01:11:03 (DS-IBBLR-Peenya PH-3)</t>
  </si>
  <si>
    <t>LY941862</t>
  </si>
  <si>
    <t>06-10-2025 23:20:40 (DS-IBBLR-Budhigere )</t>
  </si>
  <si>
    <t>LY941779</t>
  </si>
  <si>
    <t>07-10-2025 03:53:58 (DS-IBBLR-Nagondanahalli )</t>
  </si>
  <si>
    <t>LY942440</t>
  </si>
  <si>
    <t>07-10-2025 01:20:54 (DS-IBBLR-Peenya PH-3)</t>
  </si>
  <si>
    <t>LY944079</t>
  </si>
  <si>
    <t>07-10-2025 23:38:16 (DS-IBBLR-Budhigere )</t>
  </si>
  <si>
    <t>LY943982</t>
  </si>
  <si>
    <t>08-10-2025 05:38:06 (DS-IBBLR-Nagondanahalli )</t>
  </si>
  <si>
    <t>LY944224</t>
  </si>
  <si>
    <t>08-10-2025 00:58:35 (DS-IBBLR-Peenya PH-3)</t>
  </si>
  <si>
    <t>LY946295</t>
  </si>
  <si>
    <t>08-10-2025 23:25:15 (DS-IBBLR-Budhigere )</t>
  </si>
  <si>
    <t>LY946225</t>
  </si>
  <si>
    <t>09-10-2025 01:22:20 (DS-IBBLR-Nagondanahalli )</t>
  </si>
  <si>
    <t>LY946887</t>
  </si>
  <si>
    <t>09-10-2025 01:17:42 (DS-IBBLR-Peenya PH-3)</t>
  </si>
  <si>
    <t>LY948583</t>
  </si>
  <si>
    <t>09-10-2025 23:32:20 (DS-IBBLR-Budhigere )</t>
  </si>
  <si>
    <t>LY948811</t>
  </si>
  <si>
    <t>10-10-2025 01:53:35 (DS-IBBLR-Peenya PH-3)</t>
  </si>
  <si>
    <t>LY950739</t>
  </si>
  <si>
    <t>10-10-2025 23:38:52 (DS-IBBLR-Budhigere )</t>
  </si>
  <si>
    <t>LY950650</t>
  </si>
  <si>
    <t>11-10-2025 01:57:32 (DS-IBBLR-Nagondanahalli )</t>
  </si>
  <si>
    <t>LY950975</t>
  </si>
  <si>
    <t>11-10-2025 01:47:53 (DS-IBBLR-Peenya PH-3)</t>
  </si>
  <si>
    <t>LY952905</t>
  </si>
  <si>
    <t>11-10-2025 23:39:30 (DS-IBBLR-Budhigere )</t>
  </si>
  <si>
    <t>LY952725</t>
  </si>
  <si>
    <t>12-10-2025 01:23:44 (DS-IBBLR-Nagondanahalli )</t>
  </si>
  <si>
    <t>LY953042</t>
  </si>
  <si>
    <t>12-10-2025 01:59:07 (DS-IBBLR-Peenya PH-3)</t>
  </si>
  <si>
    <t>LY954721</t>
  </si>
  <si>
    <t>12-10-2025 23:08:38 (DS-IBBLR-Budhigere )</t>
  </si>
  <si>
    <t>LY954787</t>
  </si>
  <si>
    <t>13-10-2025 00:24:13 (DS-IBBLR-Nagondanahalli )</t>
  </si>
  <si>
    <t>LY955137</t>
  </si>
  <si>
    <t>13-10-2025 01:32:50 (DS-IBBLR-Peenya PH-3)</t>
  </si>
  <si>
    <t>LY956924</t>
  </si>
  <si>
    <t>13-10-2025 23:43:39 (DS-IBBLR-Budhigere )</t>
  </si>
  <si>
    <t>LY957021</t>
  </si>
  <si>
    <t>14-10-2025 00:22:01 (DS-IBBLR-Nagondanahalli )</t>
  </si>
  <si>
    <t>LY957289</t>
  </si>
  <si>
    <t>14-10-2025 01:48:29 (DS-IBBLR-Peenya PH-3)</t>
  </si>
  <si>
    <t>LY959486</t>
  </si>
  <si>
    <t>14-10-2025 23:37:22 (DS-IBBLR-Budhigere )</t>
  </si>
  <si>
    <t>LY959305</t>
  </si>
  <si>
    <t>14-10-2025 23:50:44 (DS-IBBLR-Nagondanahalli )</t>
  </si>
  <si>
    <t>LY959966</t>
  </si>
  <si>
    <t>15-10-2025 01:45:36 (DS-IBBLR-Peenya PH-3)</t>
  </si>
  <si>
    <t>LY961450</t>
  </si>
  <si>
    <t>15-10-2025 23:31:35 (DS-IBBLR-Budhigere )</t>
  </si>
  <si>
    <t>LY961514</t>
  </si>
  <si>
    <t>16-10-2025 00:15:14 (DS-IBBLR-Nagondanahalli )</t>
  </si>
  <si>
    <t>LY961885</t>
  </si>
  <si>
    <t>16-10-2025 01:50:21 (DS-IBBLR-Peenya PH-3)</t>
  </si>
  <si>
    <t>LY963730</t>
  </si>
  <si>
    <t>16-10-2025 23:26:07 (DS-IBBLR-Budhigere )</t>
  </si>
  <si>
    <t>LY963825</t>
  </si>
  <si>
    <t>17-10-2025 00:22:33 (DS-IBBLR-Nagondanahalli )</t>
  </si>
  <si>
    <t>LY964132</t>
  </si>
  <si>
    <t>17-10-2025 00:14:48 (DS-IBBLR-Peenya PH-3)</t>
  </si>
  <si>
    <t>LY966008</t>
  </si>
  <si>
    <t>17-10-2025 23:47:24 (DS-IBBLR-Budhigere )</t>
  </si>
  <si>
    <t>LY965986</t>
  </si>
  <si>
    <t>18-10-2025 00:41:05 (DS-IBBLR-Nagondanahalli )</t>
  </si>
  <si>
    <t>LY966244</t>
  </si>
  <si>
    <t>18-10-2025 00:19:08 (DS-IBBLR-Peenya PH-3)</t>
  </si>
  <si>
    <t>LY968152</t>
  </si>
  <si>
    <t>18-10-2025 23:26:47 (DS-IBBLR-Budhigere )</t>
  </si>
  <si>
    <t>LY968054</t>
  </si>
  <si>
    <t>19-10-2025 00:16:55 (DS-IBBLR-Nagondanahalli )</t>
  </si>
  <si>
    <t>LY968353</t>
  </si>
  <si>
    <t>19-10-2025 00:34:13 (DS-IBBLR-Peenya PH-3)</t>
  </si>
  <si>
    <t>LY970114</t>
  </si>
  <si>
    <t>19-10-2025 23:25:56 (DS-IBBLR-Budhigere )</t>
  </si>
  <si>
    <t>LY970581</t>
  </si>
  <si>
    <t>20-10-2025 01:25:21 (DS-IBBLR-Nagondanahalli )</t>
  </si>
  <si>
    <t>LY970237</t>
  </si>
  <si>
    <t>20-10-2025 00:36:35 (DS-IBBLR-Peenya PH-3)</t>
  </si>
  <si>
    <t>LY972084</t>
  </si>
  <si>
    <t>20-10-2025 23:20:27 (DS-IBBLR-Budhigere )</t>
  </si>
  <si>
    <t>LY972030</t>
  </si>
  <si>
    <t>21-10-2025 00:57:23 (DS-IBBLR-Nagondanahalli )</t>
  </si>
  <si>
    <t>LY972111</t>
  </si>
  <si>
    <t>21-10-2025 00:22:52 (DS-IBBLR-Peenya PH-3)</t>
  </si>
  <si>
    <t>LY973977</t>
  </si>
  <si>
    <t>21-10-2025 23:47:29 (DS-IBBLR-Budhigere )</t>
  </si>
  <si>
    <t>LY974098</t>
  </si>
  <si>
    <t>21-10-2025 23:58:11 (DS-IBBLR-Nagondanahalli )</t>
  </si>
  <si>
    <t>LY974262</t>
  </si>
  <si>
    <t>21-10-2025 23:57:32 (DS-IBBLR-Peenya PH-3)</t>
  </si>
  <si>
    <t>LY976057</t>
  </si>
  <si>
    <t>22-10-2025 23:48:31 (DS-IBBLR-Budhigere )</t>
  </si>
  <si>
    <t>LY976222</t>
  </si>
  <si>
    <t>23-10-2025 00:03:19 (DS-IBBLR-Peenya PH-3)</t>
  </si>
  <si>
    <t>LY976014</t>
  </si>
  <si>
    <t>23-10-2025 00:59:42 (DS-IBBLR-Nagondanahalli )</t>
  </si>
  <si>
    <t>LY978213</t>
  </si>
  <si>
    <t>23-10-2025 23:34:46 (DS-IBBLR-Budhigere )</t>
  </si>
  <si>
    <t>LY978469</t>
  </si>
  <si>
    <t>24-10-2025 00:12:38 (DS-IBBLR-Peenya PH-3)</t>
  </si>
  <si>
    <t>LY978137</t>
  </si>
  <si>
    <t>24-10-2025 00:26:35 (DS-IBBLR-Nagondanahalli )</t>
  </si>
  <si>
    <t>LY980463</t>
  </si>
  <si>
    <t>25-10-2025 00:39:32 (DS-IBBLR-Nagondanahalli )</t>
  </si>
  <si>
    <t>LY980568</t>
  </si>
  <si>
    <t>24-10-2025 23:40:03 (DS-IBBLR-Budhigere )</t>
  </si>
  <si>
    <t>LY980653</t>
  </si>
  <si>
    <t>25-10-2025 00:28:12 (DS-IBBLR-Peenya PH-3)</t>
  </si>
  <si>
    <t>LY982650</t>
  </si>
  <si>
    <t>26-10-2025 00:43:15 (DS-IBBLR-Nagondanahalli )</t>
  </si>
  <si>
    <t>LY982817</t>
  </si>
  <si>
    <t>25-10-2025 23:47:26 (DS-IBBLR-Budhigere )</t>
  </si>
  <si>
    <t>LY982937</t>
  </si>
  <si>
    <t>26-10-2025 00:36:00 (DS-IBBLR-Peenya PH-3)</t>
  </si>
  <si>
    <t>LY984731</t>
  </si>
  <si>
    <t>27-10-2025 01:07:11 (DS-IBBLR-Nagondanahalli )</t>
  </si>
  <si>
    <t>LY984855</t>
  </si>
  <si>
    <t>26-10-2025 23:55:52 (DS-IBBLR-Budhigere )</t>
  </si>
  <si>
    <t>LY985045</t>
  </si>
  <si>
    <t>27-10-2025 00:30:52 (DS-IBBLR-Peenya PH-3)</t>
  </si>
  <si>
    <t>LY986979</t>
  </si>
  <si>
    <t>28-10-2025 01:46:54 (DS-IBBLR-Nagondanahalli )</t>
  </si>
  <si>
    <t>LY987152</t>
  </si>
  <si>
    <t>27-10-2025 23:34:57 (DS-IBBLR-Budhigere )</t>
  </si>
  <si>
    <t>LY987154</t>
  </si>
  <si>
    <t>28-10-2025 00:41:35 (DS-IBBLR-Peenya PH-3)</t>
  </si>
  <si>
    <t>LY989181</t>
  </si>
  <si>
    <t>29-10-2025 00:30:58 (DS-IBBLR-Nagondanahalli )</t>
  </si>
  <si>
    <t>LY989281</t>
  </si>
  <si>
    <t>28-10-2025 23:23:31 (DS-IBBLR-Budhigere )</t>
  </si>
  <si>
    <t>LY989630</t>
  </si>
  <si>
    <t>29-10-2025 00:35:49 (DS-IBBLR-Peenya PH-3)</t>
  </si>
  <si>
    <t>LY991635</t>
  </si>
  <si>
    <t>30-10-2025 01:19:42 (DS-IBBLR-Nagondanahalli )</t>
  </si>
  <si>
    <t>LY991837</t>
  </si>
  <si>
    <t>29-10-2025 23:37:21 (DS-IBBLR-Budhigere )</t>
  </si>
  <si>
    <t>LY992007</t>
  </si>
  <si>
    <t>30-10-2025 00:58:50 (DS-IBBLR-Peenya PH-3)</t>
  </si>
  <si>
    <t>LY994387</t>
  </si>
  <si>
    <t>31-10-2025 00:09:07 (DS-IBBLR-Budhigere )</t>
  </si>
  <si>
    <t>LY994437</t>
  </si>
  <si>
    <t>31-10-2025 00:57:41 (DS-IBBLR-Peenya PH-3)</t>
  </si>
  <si>
    <t>LY994741</t>
  </si>
  <si>
    <t>31-10-2025 01:09:57 (DS-IBBLR-Nagondanahalli )</t>
  </si>
  <si>
    <t>LY996407</t>
  </si>
  <si>
    <t>01-11-2025 01:50:50 (DS-IBBLR-Nagondanahalli )</t>
  </si>
  <si>
    <t>LY996508</t>
  </si>
  <si>
    <t>31-10-2025 23:25:49 (DS-IBBLR-Budhigere )</t>
  </si>
  <si>
    <t>LY996787</t>
  </si>
  <si>
    <t>01-11-2025 01:16:47 (DS-IBBLR-Peenya PH-3)</t>
  </si>
  <si>
    <t>LY998728</t>
  </si>
  <si>
    <t>02-11-2025 01:23:02 (DS-IBBLR-Nagondanahalli )</t>
  </si>
  <si>
    <t>LY998800</t>
  </si>
  <si>
    <t>01-11-2025 23:29:08 (DS-IBBLR-Budhigere )</t>
  </si>
  <si>
    <t>LY999254</t>
  </si>
  <si>
    <t>02-11-2025 00:46:12 (DS-IBBLR-Peenya PH-3)</t>
  </si>
  <si>
    <t>LY999340</t>
  </si>
  <si>
    <t>02-11-2025 01:16:42 (DS-IBBLR-Peenya PH-3)</t>
  </si>
  <si>
    <t>LY1000975</t>
  </si>
  <si>
    <t>03-11-2025 01:28:20 (DS-IBBLR-Nagondanahalli )</t>
  </si>
  <si>
    <t>LY1001128</t>
  </si>
  <si>
    <t>02-11-2025 23:42:09 (DS-IBBLR-Budhigere )</t>
  </si>
  <si>
    <t>LY1001195</t>
  </si>
  <si>
    <t>03-11-2025 00:10:28 (DS-IBBLR-Peenya PH-3)</t>
  </si>
  <si>
    <t>LY1003199</t>
  </si>
  <si>
    <t>04-11-2025 00:37:10 (DS-IBBLR-Nagondanahalli )</t>
  </si>
  <si>
    <t>LY1003438</t>
  </si>
  <si>
    <t>03-11-2025 23:52:54 (DS-IBBLR-Budhigere )</t>
  </si>
  <si>
    <t>LY1003582</t>
  </si>
  <si>
    <t>04-11-2025 00:40:53 (DS-IBBLR-Peenya PH-3)</t>
  </si>
  <si>
    <t>LY1005588</t>
  </si>
  <si>
    <t>04-11-2025 23:31:58 (DS-IBBLR-Budhigere )</t>
  </si>
  <si>
    <t>LY1005626</t>
  </si>
  <si>
    <t>05-11-2025 00:48:17 (DS-IBBLR-Nagondanahalli )</t>
  </si>
  <si>
    <t>LY1005875</t>
  </si>
  <si>
    <t>05-11-2025 00:02:01 (DS-IBBLR-Peenya PH-3)</t>
  </si>
  <si>
    <t>LY1008061</t>
  </si>
  <si>
    <t>06-11-2025 00:44:46 (DS-IBBLR-Nagondanahalli )</t>
  </si>
  <si>
    <t>LY1008140</t>
  </si>
  <si>
    <t>05-11-2025 23:51:01 (DS-IBBLR-Budhigere )</t>
  </si>
  <si>
    <t>LY1008510</t>
  </si>
  <si>
    <t>06-11-2025 00:47:03 (DS-IBBLR-Peenya PH-3)</t>
  </si>
  <si>
    <t>LY1010507</t>
  </si>
  <si>
    <t>07-11-2025 00:55:11 (DS-IBBLR-Nagondanahalli )</t>
  </si>
  <si>
    <t>LY1010691</t>
  </si>
  <si>
    <t>06-11-2025 23:25:03 (DS-IBBLR-Budhigere )</t>
  </si>
  <si>
    <t>LY1011141</t>
  </si>
  <si>
    <t>07-11-2025 00:44:32 (DS-IBBLR-Peenya PH-3)</t>
  </si>
  <si>
    <t>LY1012835</t>
  </si>
  <si>
    <t>07-11-2025 23:48:42 (DS-IBBLR-Budhigere )</t>
  </si>
  <si>
    <t>LY1013281</t>
  </si>
  <si>
    <t>08-11-2025 01:05:43 (DS-IBBLR-Peenya PH-3)</t>
  </si>
  <si>
    <t>LY1013750</t>
  </si>
  <si>
    <t>08-11-2025 01:51:14 (DS-IBBLR-Nagondanahalli )</t>
  </si>
  <si>
    <t>LY1015248</t>
  </si>
  <si>
    <t>09-11-2025 01:31:18 (DS-IBBLR-Nagondanahalli )</t>
  </si>
  <si>
    <t>LY1015410</t>
  </si>
  <si>
    <t>08-11-2025 23:49:30 (DS-IBBLR-Budhigere )</t>
  </si>
  <si>
    <t>LY1015603</t>
  </si>
  <si>
    <t>09-11-2025 01:00:15 (DS-IBBLR-Peenya PH-3)</t>
  </si>
  <si>
    <t>LY1017435</t>
  </si>
  <si>
    <t>10-11-2025 02:09:49 (DS-IBBLR-Nagondanahalli )</t>
  </si>
  <si>
    <t>LY1017602</t>
  </si>
  <si>
    <t>09-11-2025 23:43:59 (DS-IBBLR-Budhigere )</t>
  </si>
  <si>
    <t>LY1017709</t>
  </si>
  <si>
    <t>10-11-2025 00:05:39 (DS-IBBLR-Peenya PH-3)</t>
  </si>
  <si>
    <t>LY1019586</t>
  </si>
  <si>
    <t>10-11-2025 23:54:33 (DS-IBBLR-Budhigere )</t>
  </si>
  <si>
    <t>LY1019929</t>
  </si>
  <si>
    <t>11-11-2025 00:14:47 (DS-IBBLR-Peenya PH-3)</t>
  </si>
  <si>
    <t>LY1020324</t>
  </si>
  <si>
    <t>11-11-2025 01:02:26 (DS-IBBLR-Nagondanahalli )</t>
  </si>
  <si>
    <t>DS-IBBLR-Attibele FV</t>
  </si>
  <si>
    <t>LY1019563</t>
  </si>
  <si>
    <t>DS-IBBLR-Attibele</t>
  </si>
  <si>
    <t>10-11-2025 23:36:09 (DS-IBBLR-Attibele)</t>
  </si>
  <si>
    <t>LY1021974</t>
  </si>
  <si>
    <t>12-11-2025 00:12:31 (DS-IBBLR-Attibele)</t>
  </si>
  <si>
    <t>LY1021983</t>
  </si>
  <si>
    <t>11-11-2025 23:27:25 (DS-IBBLR-Budhigere )</t>
  </si>
  <si>
    <t>LY1022380</t>
  </si>
  <si>
    <t>LY1022861</t>
  </si>
  <si>
    <t>12-11-2025 01:38:38 (DS-IBBLR-Nagondanahalli )</t>
  </si>
  <si>
    <t>DS-IBBLR-Chikkasandr FV</t>
  </si>
  <si>
    <t>LY1021819</t>
  </si>
  <si>
    <t>DS-IBBLR-Chikkasandr</t>
  </si>
  <si>
    <t>11-11-2025 21:35:41 (DS-IBBLR-Chikkasandr)</t>
  </si>
  <si>
    <t>LY1024336</t>
  </si>
  <si>
    <t>12-11-2025 23:36:18 (DS-IBBLR-Nagondanahalli )</t>
  </si>
  <si>
    <t>LY1024431</t>
  </si>
  <si>
    <t>12-11-2025 23:45:20 (DS-IBBLR-Attibele)</t>
  </si>
  <si>
    <t>LY1024677</t>
  </si>
  <si>
    <t>13-11-2025 00:00:58 (DS-IBBLR-Budhigere )</t>
  </si>
  <si>
    <t>LY1024686</t>
  </si>
  <si>
    <t>13-11-2025 00:13:32 (DS-IBBLR-Peenya PH-3)</t>
  </si>
  <si>
    <t>LY1025260</t>
  </si>
  <si>
    <t>13-11-2025 03:02:56 (DS-IBBLR-Chikkasandr)</t>
  </si>
  <si>
    <t>LY1026799</t>
  </si>
  <si>
    <t>13-11-2025 23:09:19 (DS-IBBLR-Nagondanahalli )</t>
  </si>
  <si>
    <t>LY1026892</t>
  </si>
  <si>
    <t>13-11-2025 23:37:56 (DS-IBBLR-Budhigere )</t>
  </si>
  <si>
    <t>LY1027042</t>
  </si>
  <si>
    <t>14-11-2025 00:13:07 (DS-IBBLR-Attibele)</t>
  </si>
  <si>
    <t>LY1027091</t>
  </si>
  <si>
    <t>14-11-2025 01:00:23 (DS-IBBLR-Peenya PH-3)</t>
  </si>
  <si>
    <t>LY1027469</t>
  </si>
  <si>
    <t>14-11-2025 01:25:49 (DS-IBBLR-Chikkasandr)</t>
  </si>
  <si>
    <t>LY1029176</t>
  </si>
  <si>
    <t>14-11-2025 23:34:27 (DS-IBBLR-Attibele)</t>
  </si>
  <si>
    <t>LY1029184</t>
  </si>
  <si>
    <t>14-11-2025 23:15:52 (DS-IBBLR-Budhigere )</t>
  </si>
  <si>
    <t>LY1029223</t>
  </si>
  <si>
    <t>14-11-2025 23:22:00 (DS-IBBLR-Nagondanahalli )</t>
  </si>
  <si>
    <t>LY1029634</t>
  </si>
  <si>
    <t>15-11-2025 01:07:49 (DS-IBBLR-Peenya PH-3)</t>
  </si>
  <si>
    <t>LY1030105</t>
  </si>
  <si>
    <t>15-11-2025 02:19:48 (DS-IBBLR-Chikkasandr)</t>
  </si>
  <si>
    <t>LY1031553</t>
  </si>
  <si>
    <t>15-11-2025 23:45:46 (DS-IBBLR-Nagondanahalli )</t>
  </si>
  <si>
    <t>LY1031626</t>
  </si>
  <si>
    <t>16-11-2025 00:01:41 (DS-IBBLR-Attibele)</t>
  </si>
  <si>
    <t>LY1031732</t>
  </si>
  <si>
    <t>15-11-2025 23:37:10 (DS-IBBLR-Budhigere )</t>
  </si>
  <si>
    <t>LY1031909</t>
  </si>
  <si>
    <t>16-11-2025 00:23:19 (DS-IBBLR-Peenya PH-3)</t>
  </si>
  <si>
    <t>LY1032233</t>
  </si>
  <si>
    <t>16-11-2025 01:32:52 (DS-IBBLR-Chikkasandr)</t>
  </si>
  <si>
    <t>LY1033725</t>
  </si>
  <si>
    <t>16-11-2025 23:53:02 (DS-IBBLR-Attibele)</t>
  </si>
  <si>
    <t>LY1033733</t>
  </si>
  <si>
    <t>16-11-2025 23:33:05 (DS-IBBLR-Budhigere )</t>
  </si>
  <si>
    <t>LY1033789</t>
  </si>
  <si>
    <t>16-11-2025 23:11:01 (DS-IBBLR-Nagondanahalli )</t>
  </si>
  <si>
    <t>LY1034096</t>
  </si>
  <si>
    <t>16-11-2025 23:37:17 (DS-IBBLR-Peenya PH-3)</t>
  </si>
  <si>
    <t>LY1034477</t>
  </si>
  <si>
    <t>17-11-2025 03:18:38 (DS-IBBLR-Chikkasandr)</t>
  </si>
  <si>
    <t>LY1036154</t>
  </si>
  <si>
    <t>17-11-2025 23:48:53 (DS-IBBLR-Nagondanahalli )</t>
  </si>
  <si>
    <t>LY1036484</t>
  </si>
  <si>
    <t>17-11-2025 23:47:30 (DS-IBBLR-Budhigere )</t>
  </si>
  <si>
    <t>LY1036580</t>
  </si>
  <si>
    <t>18-11-2025 00:16:14 (DS-IBBLR-Peenya PH-3)</t>
  </si>
  <si>
    <t>LY1038691</t>
  </si>
  <si>
    <t>18-11-2025 23:12:39 (DS-IBBLR-Nagondanahalli )</t>
  </si>
  <si>
    <t>LY1038775</t>
  </si>
  <si>
    <t>19-11-2025 00:05:54 (DS-IBBLR-Peenya PH-3)</t>
  </si>
  <si>
    <t>LY1038783</t>
  </si>
  <si>
    <t>19-11-2025 00:58:25 (DS-IBBLR-Chikkasandr)</t>
  </si>
  <si>
    <t>LY1038895</t>
  </si>
  <si>
    <t>19-11-2025 00:17:21 (DS-IBBLR-Attibele)</t>
  </si>
  <si>
    <t>LY1038961</t>
  </si>
  <si>
    <t>18-11-2025 23:43:36 (DS-IBBLR-Budhigere )</t>
  </si>
  <si>
    <t>LY1041120</t>
  </si>
  <si>
    <t>19-11-2025 23:34:48 (DS-IBBLR-Attibele)</t>
  </si>
  <si>
    <t>LY1041160</t>
  </si>
  <si>
    <t>19-11-2025 23:18:08 (DS-IBBLR-Nagondanahalli )</t>
  </si>
  <si>
    <t>LY1041428</t>
  </si>
  <si>
    <t>20-11-2025 00:49:21 (DS-IBBLR-Peenya PH-3)</t>
  </si>
  <si>
    <t>LY1041430</t>
  </si>
  <si>
    <t>19-11-2025 23:42:13 (DS-IBBLR-Budhigere )</t>
  </si>
  <si>
    <t>LY1043687</t>
  </si>
  <si>
    <t>20-11-2025 23:35:33 (DS-IBBLR-Attibele)</t>
  </si>
  <si>
    <t>LY1043691</t>
  </si>
  <si>
    <t>20-11-2025 23:33:12 (DS-IBBLR-Budhigere )</t>
  </si>
  <si>
    <t>LY1043779</t>
  </si>
  <si>
    <t>20-11-2025 23:54:07 (DS-IBBLR-Nagondanahalli )</t>
  </si>
  <si>
    <t>LY1044075</t>
  </si>
  <si>
    <t>21-11-2025 00:30:35 (DS-IBBLR-Peenya PH-3)</t>
  </si>
  <si>
    <t>LY1048673</t>
  </si>
  <si>
    <t>22-11-2025 23:53:38 (DS-IBBLR-Attibele)</t>
  </si>
  <si>
    <t>LY1048720</t>
  </si>
  <si>
    <t>22-11-2025 23:14:52 (DS-IBBLR-Nagondanahalli )</t>
  </si>
  <si>
    <t>LY1048790</t>
  </si>
  <si>
    <t>22-11-2025 23:31:22 (DS-IBBLR-Budhigere )</t>
  </si>
  <si>
    <t>LY1048916</t>
  </si>
  <si>
    <t>23-11-2025 00:23:37 (DS-IBBLR-Peenya PH-3)</t>
  </si>
  <si>
    <t>LY1050945</t>
  </si>
  <si>
    <t>23-11-2025 23:44:45 (DS-IBBLR-Attibele)</t>
  </si>
  <si>
    <t>LY1051032</t>
  </si>
  <si>
    <t>23-11-2025 23:23:38 (DS-IBBLR-Nagondanahalli )</t>
  </si>
  <si>
    <t>LY1051241</t>
  </si>
  <si>
    <t>24-11-2025 00:12:10 (DS-IBBLR-Peenya PH-3)</t>
  </si>
  <si>
    <t>DS-IBBLR-Chinappalay FV</t>
  </si>
  <si>
    <t>LY1053394</t>
  </si>
  <si>
    <t>DS-IBBLR-Chinappalay</t>
  </si>
  <si>
    <t>24-11-2025 23:02:21 (DS-IBBLR-Chinappalay)</t>
  </si>
  <si>
    <t>DS-IBBLR-Jigani FV</t>
  </si>
  <si>
    <t>LY1053398</t>
  </si>
  <si>
    <t>DS-IBBLR-Jigani</t>
  </si>
  <si>
    <t>24-11-2025 23:42:25 (DS-IBBLR-Jigani)</t>
  </si>
  <si>
    <t>LY1053405</t>
  </si>
  <si>
    <t>24-11-2025 23:49:24 (DS-IBBLR-Attibele)</t>
  </si>
  <si>
    <t>LY1053423</t>
  </si>
  <si>
    <t>24-11-2025 23:14:48 (DS-IBBLR-Budhigere )</t>
  </si>
  <si>
    <t>LY1053472</t>
  </si>
  <si>
    <t>24-11-2025 23:49:03 (DS-IBBLR-Nagondanahalli )</t>
  </si>
  <si>
    <t>DS-IBBLR-Jakkasandra FV</t>
  </si>
  <si>
    <t>LY1053442</t>
  </si>
  <si>
    <t>DS-IBBLR-Jakkasandra</t>
  </si>
  <si>
    <t>25-11-2025 00:55:56 (DS-IBBLR-Jakkasandra)</t>
  </si>
  <si>
    <t>DS-IBBLR-HAL FV</t>
  </si>
  <si>
    <t>LY1053692</t>
  </si>
  <si>
    <t>DS-IBBLR-HAL</t>
  </si>
  <si>
    <t>24-11-2025 23:57:00 (DS-IBBLR-HAL )</t>
  </si>
  <si>
    <t>DS-IBBLR-Kallahalli FV</t>
  </si>
  <si>
    <t>LY1053696</t>
  </si>
  <si>
    <t>DS-IBBLR-Kallahalli</t>
  </si>
  <si>
    <t>25-11-2025 00:10:32 (DS-IBBLR-Kallahalli )</t>
  </si>
  <si>
    <t>DS-BNBLR-HRBR FV</t>
  </si>
  <si>
    <t>LY1053718</t>
  </si>
  <si>
    <t>DS-BNBLR-HRBR</t>
  </si>
  <si>
    <t>25-11-2025 00:17:04 (DS-BNBLR-HRBR)</t>
  </si>
  <si>
    <t>DS-IBBLR-Lingarajapu FV</t>
  </si>
  <si>
    <t>LY1053724</t>
  </si>
  <si>
    <t>DS-IBBLR-Lingarajapu</t>
  </si>
  <si>
    <t>25-11-2025 01:23:53 (DS-IBBLR-Lingarajapu)</t>
  </si>
  <si>
    <t>LY1053728</t>
  </si>
  <si>
    <t>25-11-2025 00:25:09 (DS-IBBLR-Peenya PH-3)</t>
  </si>
  <si>
    <t>DS-IBBLR-Bellahalli FV</t>
  </si>
  <si>
    <t>LY1053827</t>
  </si>
  <si>
    <t>DS-IBBLR-Bellahalli</t>
  </si>
  <si>
    <t>25-11-2025 01:01:28 (DS-IBBLR-Bellahalli)</t>
  </si>
  <si>
    <t>DS-IBBLR-Benson Town FV</t>
  </si>
  <si>
    <t>LY1053842</t>
  </si>
  <si>
    <t>DS-IBBLR-Benson Town</t>
  </si>
  <si>
    <t>25-11-2025 00:57:24 (DS-IBBLR-Benson Town)</t>
  </si>
  <si>
    <t>DS-IBBLR-Jala halli FV</t>
  </si>
  <si>
    <t>LY1053846</t>
  </si>
  <si>
    <t>DS-IBBLR-Jala halli</t>
  </si>
  <si>
    <t>25-11-2025 01:12:37 (DS-IBBLR-Jala halli)</t>
  </si>
  <si>
    <t>DS-IBBLR-Devanahalli FV</t>
  </si>
  <si>
    <t>LY1053927</t>
  </si>
  <si>
    <t>DS-IBBLR-Devanahalli</t>
  </si>
  <si>
    <t>25-11-2025 01:18:44 (DS-IBBLR-Devanahalli)</t>
  </si>
  <si>
    <t>LY1055948</t>
  </si>
  <si>
    <t>25-11-2025 23:44:17 (DS-IBBLR-Attibele)</t>
  </si>
  <si>
    <t>LY1056033</t>
  </si>
  <si>
    <t>25-11-2025 22:57:08 (DS-IBBLR-Nagondanahalli )</t>
  </si>
  <si>
    <t>LY1056077</t>
  </si>
  <si>
    <t>26-11-2025 00:26:14 (DS-IBBLR-Jigani)</t>
  </si>
  <si>
    <t>LY1056100</t>
  </si>
  <si>
    <t>25-11-2025 23:02:29 (DS-IBBLR-Chinappalay)</t>
  </si>
  <si>
    <t>LY1056198</t>
  </si>
  <si>
    <t>25-11-2025 23:49:26 (DS-IBBLR-Kallahalli )</t>
  </si>
  <si>
    <t>LY1056248</t>
  </si>
  <si>
    <t>25-11-2025 23:32:49 (DS-IBBLR-Budhigere )</t>
  </si>
  <si>
    <t>LY1056287</t>
  </si>
  <si>
    <t>26-11-2025 00:50:16 (DS-BNBLR-HRBR)</t>
  </si>
  <si>
    <t>LY1056372</t>
  </si>
  <si>
    <t>26-11-2025 00:25:34 (DS-IBBLR-Peenya PH-3)</t>
  </si>
  <si>
    <t>LY1056375</t>
  </si>
  <si>
    <t>26-11-2025 00:56:49 (DS-IBBLR-Bellahalli)</t>
  </si>
  <si>
    <t>LY1056378</t>
  </si>
  <si>
    <t>26-11-2025 00:26:51 (DS-IBBLR-HAL )</t>
  </si>
  <si>
    <t>LY1056379</t>
  </si>
  <si>
    <t>26-11-2025 01:19:51 (DS-IBBLR-Devanahalli)</t>
  </si>
  <si>
    <t>LY1056390</t>
  </si>
  <si>
    <t>26-11-2025 01:27:57 (DS-IBBLR-Lingarajapu)</t>
  </si>
  <si>
    <t>LY1056426</t>
  </si>
  <si>
    <t>26-11-2025 00:50:54 (DS-IBBLR-Jakkasandra)</t>
  </si>
  <si>
    <t>LY1056761</t>
  </si>
  <si>
    <t>26-11-2025 01:28:59 (DS-IBBLR-Benson Town)</t>
  </si>
  <si>
    <t>LY1056921</t>
  </si>
  <si>
    <t>26-11-2025 02:27:43 (DS-IBBLR-Jala halli)</t>
  </si>
  <si>
    <t>LY1058578</t>
  </si>
  <si>
    <t>26-11-2025 23:25:20 (DS-IBBLR-Attibele)</t>
  </si>
  <si>
    <t>LY1058579</t>
  </si>
  <si>
    <t>26-11-2025 23:21:30 (DS-IBBLR-Budhigere )</t>
  </si>
  <si>
    <t>LY1058581</t>
  </si>
  <si>
    <t>26-11-2025 23:50:39 (DS-IBBLR-Jigani)</t>
  </si>
  <si>
    <t>LY1058593</t>
  </si>
  <si>
    <t>26-11-2025 23:02:41 (DS-IBBLR-Chinappalay)</t>
  </si>
  <si>
    <t>LY1059014</t>
  </si>
  <si>
    <t>27-11-2025 01:01:55 (DS-IBBLR-Peenya PH-3)</t>
  </si>
  <si>
    <t>LY1059018</t>
  </si>
  <si>
    <t>27-11-2025 00:41:48 (DS-IBBLR-Kallahalli )</t>
  </si>
  <si>
    <t>LY1059021</t>
  </si>
  <si>
    <t>27-11-2025 01:14:18 (DS-BNBLR-HRBR)</t>
  </si>
  <si>
    <t>LY1059030</t>
  </si>
  <si>
    <t>27-11-2025 01:49:39 (DS-IBBLR-Benson Town)</t>
  </si>
  <si>
    <t>LY1059066</t>
  </si>
  <si>
    <t>27-11-2025 00:54:50 (DS-IBBLR-Bellahalli)</t>
  </si>
  <si>
    <t>LY1059068</t>
  </si>
  <si>
    <t>27-11-2025 02:10:57 (DS-IBBLR-Devanahalli)</t>
  </si>
  <si>
    <t>LY1059071</t>
  </si>
  <si>
    <t>27-11-2025 01:34:32 (DS-IBBLR-Chikkasandr)</t>
  </si>
  <si>
    <t>LY1059391</t>
  </si>
  <si>
    <t>27-11-2025 01:33:14 (DS-IBBLR-Jala halli)</t>
  </si>
  <si>
    <t>LY1059410</t>
  </si>
  <si>
    <t>27-11-2025 02:09:44 (DS-IBBLR-Lingarajapu)</t>
  </si>
  <si>
    <t>LY1061003</t>
  </si>
  <si>
    <t>27-11-2025 23:34:11 (DS-IBBLR-Jigani)</t>
  </si>
  <si>
    <t>LY1061007</t>
  </si>
  <si>
    <t>27-11-2025 22:47:27 (DS-IBBLR-Chinappalay)</t>
  </si>
  <si>
    <t>LY1061008</t>
  </si>
  <si>
    <t>27-11-2025 23:45:09 (DS-IBBLR-Attibele)</t>
  </si>
  <si>
    <t>LY1061081</t>
  </si>
  <si>
    <t>27-11-2025 23:16:36 (DS-IBBLR-Nagondanahalli )</t>
  </si>
  <si>
    <t>LY1061050</t>
  </si>
  <si>
    <t>28-11-2025 01:05:01 (DS-IBBLR-Jakkasandra)</t>
  </si>
  <si>
    <t>LY1061435</t>
  </si>
  <si>
    <t>28-11-2025 00:23:26 (DS-IBBLR-HAL )</t>
  </si>
  <si>
    <t>LY1061475</t>
  </si>
  <si>
    <t>28-11-2025 01:43:02 (DS-IBBLR-Devanahalli)</t>
  </si>
  <si>
    <t>LY1061478</t>
  </si>
  <si>
    <t>28-11-2025 00:30:10 (DS-IBBLR-Peenya PH-3)</t>
  </si>
  <si>
    <t>LY1061510</t>
  </si>
  <si>
    <t>28-11-2025 01:17:22 (DS-IBBLR-Bellahalli)</t>
  </si>
  <si>
    <t>LY1061522</t>
  </si>
  <si>
    <t>28-11-2025 01:47:55 (DS-BNBLR-HRBR)</t>
  </si>
  <si>
    <t>LY1061908</t>
  </si>
  <si>
    <t>28-11-2025 02:33:38 (DS-IBBLR-Lingarajapu)</t>
  </si>
  <si>
    <t>LY1061910</t>
  </si>
  <si>
    <t>28-11-2025 02:14:11 (DS-IBBLR-Benson Town)</t>
  </si>
  <si>
    <t>LY1061915</t>
  </si>
  <si>
    <t>28-11-2025 02:52:42 (DS-IBBLR-Jala halli)</t>
  </si>
  <si>
    <t>LY1063420</t>
  </si>
  <si>
    <t>28-11-2025 22:44:05 (DS-IBBLR-Chinappalay)</t>
  </si>
  <si>
    <t>LY1063421</t>
  </si>
  <si>
    <t>28-11-2025 23:36:46 (DS-IBBLR-Jigani)</t>
  </si>
  <si>
    <t>LY1063422</t>
  </si>
  <si>
    <t>28-11-2025 23:48:04 (DS-IBBLR-Attibele)</t>
  </si>
  <si>
    <t>LY1063472</t>
  </si>
  <si>
    <t>28-11-2025 23:33:36 (DS-IBBLR-Nagondanahalli )</t>
  </si>
  <si>
    <t>LY1063455</t>
  </si>
  <si>
    <t>29-11-2025 00:59:25 (DS-IBBLR-Jakkasandra)</t>
  </si>
  <si>
    <t>LY1063768</t>
  </si>
  <si>
    <t>28-11-2025 23:50:33 (DS-IBBLR-Budhigere )</t>
  </si>
  <si>
    <t>LY1063782</t>
  </si>
  <si>
    <t>29-11-2025 00:14:33 (DS-IBBLR-HAL )</t>
  </si>
  <si>
    <t>LY1063829</t>
  </si>
  <si>
    <t>29-11-2025 00:41:29 (DS-BNBLR-HRBR)</t>
  </si>
  <si>
    <t>LY1063840</t>
  </si>
  <si>
    <t>29-11-2025 00:14:48 (DS-IBBLR-Peenya PH-3)</t>
  </si>
  <si>
    <t>LY1063851</t>
  </si>
  <si>
    <t>29-11-2025 01:18:20 (DS-IBBLR-Devanahalli)</t>
  </si>
  <si>
    <t>LY1064163</t>
  </si>
  <si>
    <t>29-11-2025 01:50:31 (DS-IBBLR-Lingarajapu)</t>
  </si>
  <si>
    <t>LY1064164</t>
  </si>
  <si>
    <t>29-11-2025 02:14:02 (DS-IBBLR-Devanahalli)</t>
  </si>
  <si>
    <t>LY1064322</t>
  </si>
  <si>
    <t>29-11-2025 02:12:10 (DS-IBBLR-Jala halli)</t>
  </si>
  <si>
    <t>LY1064335</t>
  </si>
  <si>
    <t>29-11-2025 02:37:40 (DS-IBBLR-Benson Town)</t>
  </si>
  <si>
    <t>LY1065781</t>
  </si>
  <si>
    <t>30-11-2025 00:17:05 (DS-IBBLR-Jigani)</t>
  </si>
  <si>
    <t>LY1065917</t>
  </si>
  <si>
    <t>30-11-2025 00:12:12 (DS-IBBLR-Nagondanahalli )</t>
  </si>
  <si>
    <t>LY1065911</t>
  </si>
  <si>
    <t>30-11-2025 02:00:56 (DS-IBBLR-Jakkasandra)</t>
  </si>
  <si>
    <t>LY1065991</t>
  </si>
  <si>
    <t>30-11-2025 00:00:50 (DS-IBBLR-Attibele)</t>
  </si>
  <si>
    <t>LY1065995</t>
  </si>
  <si>
    <t>29-11-2025 23:39:19 (DS-IBBLR-Budhigere )</t>
  </si>
  <si>
    <t>LY1066009</t>
  </si>
  <si>
    <t>29-11-2025 23:27:27 (DS-IBBLR-Chinappalay)</t>
  </si>
  <si>
    <t>LY1066225</t>
  </si>
  <si>
    <t>30-11-2025 00:28:40 (DS-IBBLR-Peenya PH-3)</t>
  </si>
  <si>
    <t>LY1066238</t>
  </si>
  <si>
    <t>30-11-2025 01:27:06 (DS-BNBLR-HRBR)</t>
  </si>
  <si>
    <t>LY1066240</t>
  </si>
  <si>
    <t>30-11-2025 01:09:05 (DS-IBBLR-Bellahalli)</t>
  </si>
  <si>
    <t>LY1066244</t>
  </si>
  <si>
    <t>30-11-2025 01:51:20 (DS-IBBLR-Chikkasandr)</t>
  </si>
  <si>
    <t>LY1066252</t>
  </si>
  <si>
    <t>30-11-2025 00:45:45 (DS-IBBLR-Kallahalli )</t>
  </si>
  <si>
    <t>LY1066253</t>
  </si>
  <si>
    <t>30-11-2025 02:26:14 (DS-IBBLR-Devanahalli)</t>
  </si>
  <si>
    <t>LY1066259</t>
  </si>
  <si>
    <t>30-11-2025 01:05:37 (DS-IBBLR-HAL )</t>
  </si>
  <si>
    <t>LY1066521</t>
  </si>
  <si>
    <t>30-11-2025 01:46:52 (DS-IBBLR-Lingarajapu)</t>
  </si>
  <si>
    <t>LY1066698</t>
  </si>
  <si>
    <t>30-11-2025 01:34:32 (DS-IBBLR-Benson Town)</t>
  </si>
  <si>
    <t>LY1066708</t>
  </si>
  <si>
    <t>30-11-2025 02:15:02 (DS-IBBLR-Jala halli)</t>
  </si>
  <si>
    <t>LY1068527</t>
  </si>
  <si>
    <t>01-12-2025 00:00:17 (DS-IBBLR-Attibele)</t>
  </si>
  <si>
    <t>LY1068529</t>
  </si>
  <si>
    <t>30-11-2025 23:10:38 (DS-IBBLR-Budhigere )</t>
  </si>
  <si>
    <t>LY1068573</t>
  </si>
  <si>
    <t>30-11-2025 23:42:17 (DS-IBBLR-Nagondanahalli )</t>
  </si>
  <si>
    <t>LY1068790</t>
  </si>
  <si>
    <t>01-12-2025 00:19:14 (DS-IBBLR-Jigani)</t>
  </si>
  <si>
    <t>LY1068802</t>
  </si>
  <si>
    <t>30-11-2025 23:14:11 (DS-IBBLR-Chinappalay)</t>
  </si>
  <si>
    <t>LY1068817</t>
  </si>
  <si>
    <t>01-12-2025 00:39:54 (DS-IBBLR-Kallahalli )</t>
  </si>
  <si>
    <t>LY1068891</t>
  </si>
  <si>
    <t>01-12-2025 00:37:43 (DS-IBBLR-HAL )</t>
  </si>
  <si>
    <t>LY1068896</t>
  </si>
  <si>
    <t>01-12-2025 02:46:50 (DS-IBBLR-Bellahalli)</t>
  </si>
  <si>
    <t>LY1068900</t>
  </si>
  <si>
    <t>01-12-2025 02:53:41 (DS-IBBLR-Benson Town)</t>
  </si>
  <si>
    <t>LY1068924</t>
  </si>
  <si>
    <t>01-12-2025 01:51:09 (DS-IBBLR-Devanahalli)</t>
  </si>
  <si>
    <t>LY1068955</t>
  </si>
  <si>
    <t>01-12-2025 01:23:01 (DS-BNBLR-HRBR)</t>
  </si>
  <si>
    <t>LY1069000</t>
  </si>
  <si>
    <t>01-12-2025 01:47:23 (DS-IBBLR-Peenya PH-3)</t>
  </si>
  <si>
    <t>LY1071076</t>
  </si>
  <si>
    <t>01-12-2025 23:53:00 (DS-IBBLR-Attibele)</t>
  </si>
  <si>
    <t>LY1071190</t>
  </si>
  <si>
    <t>01-12-2025 23:51:20 (DS-IBBLR-Nagondanahalli )</t>
  </si>
  <si>
    <t>LY1071204</t>
  </si>
  <si>
    <t>01-12-2025 23:44:08 (DS-IBBLR-Budhigere )</t>
  </si>
  <si>
    <t>LY1071206</t>
  </si>
  <si>
    <t>LY1071213</t>
  </si>
  <si>
    <t>LY1071487</t>
  </si>
  <si>
    <t>02-12-2025 00:15:51 (DS-IBBLR-HAL )</t>
  </si>
  <si>
    <t>LY1071501</t>
  </si>
  <si>
    <t>02-12-2025 01:58:55 (DS-IBBLR-Chikkasandr)</t>
  </si>
  <si>
    <t>LY1071502</t>
  </si>
  <si>
    <t>02-12-2025 01:21:39 (DS-BNBLR-HRBR)</t>
  </si>
  <si>
    <t>LY1071505</t>
  </si>
  <si>
    <t>02-12-2025 01:13:08 (DS-IBBLR-Kallahalli )</t>
  </si>
  <si>
    <t>LY1071519</t>
  </si>
  <si>
    <t>02-12-2025 00:32:51 (DS-IBBLR-Peenya PH-3)</t>
  </si>
  <si>
    <t>LY1071536</t>
  </si>
  <si>
    <t>02-12-2025 02:26:26 (DS-IBBLR-Devanahalli)</t>
  </si>
  <si>
    <t>LY1071597</t>
  </si>
  <si>
    <t>02-12-2025 01:10:20 (DS-IBBLR-Bellahalli)</t>
  </si>
  <si>
    <t>LY1071123</t>
  </si>
  <si>
    <t>02-12-2025 01:56:54 (DS-IBBLR-Jakkasandra)</t>
  </si>
  <si>
    <t>LY1071703</t>
  </si>
  <si>
    <t>02-12-2025 02:12:19 (DS-IBBLR-Lingarajapu)</t>
  </si>
  <si>
    <t>LY1071857</t>
  </si>
  <si>
    <t>02-12-2025 01:47:06 (DS-IBBLR-Benson Town)</t>
  </si>
  <si>
    <t>LY1072093</t>
  </si>
  <si>
    <t>02-12-2025 02:56:01 (DS-IBBLR-Jala halli)</t>
  </si>
  <si>
    <t>LY1074014</t>
  </si>
  <si>
    <t>03-12-2025 00:05:44 (DS-IBBLR-Jigani)</t>
  </si>
  <si>
    <t>LY1074017</t>
  </si>
  <si>
    <t>02-12-2025 23:47:18 (DS-IBBLR-Attibele)</t>
  </si>
  <si>
    <t>LY1074019</t>
  </si>
  <si>
    <t>02-12-2025 23:45:16 (DS-IBBLR-Budhigere )</t>
  </si>
  <si>
    <t>LY1074290</t>
  </si>
  <si>
    <t>03-12-2025 00:27:15 (DS-IBBLR-Kallahalli )</t>
  </si>
  <si>
    <t>LY1074307</t>
  </si>
  <si>
    <t>03-12-2025 01:12:31 (DS-BNBLR-HRBR)</t>
  </si>
  <si>
    <t>LY1074310</t>
  </si>
  <si>
    <t>03-12-2025 01:13:42 (DS-IBBLR-Chikkasandr)</t>
  </si>
  <si>
    <t>LY1074314</t>
  </si>
  <si>
    <t>03-12-2025 02:10:55 (DS-IBBLR-Devanahalli)</t>
  </si>
  <si>
    <t>LY1074386</t>
  </si>
  <si>
    <t>03-12-2025 01:01:53 (DS-IBBLR-HAL )</t>
  </si>
  <si>
    <t>LY1074439</t>
  </si>
  <si>
    <t>03-12-2025 01:30:27 (DS-IBBLR-Bellahalli)</t>
  </si>
  <si>
    <t>LY1073950</t>
  </si>
  <si>
    <t>03-12-2025 01:15:29 (DS-IBBLR-Jakkasandra)</t>
  </si>
  <si>
    <t>LY1077057</t>
  </si>
  <si>
    <t>04-12-2025 01:22:17 (DS-BNBLR-HRBR)</t>
  </si>
  <si>
    <t>LY1076808</t>
  </si>
  <si>
    <t>03-12-2025 23:33:43 (DS-IBBLR-Attibele)</t>
  </si>
  <si>
    <t>LY1076933</t>
  </si>
  <si>
    <t>03-12-2025 23:52:48 (DS-IBBLR-Budhigere )</t>
  </si>
  <si>
    <t>LY1076958</t>
  </si>
  <si>
    <t>04-12-2025 01:45:01 (DS-IBBLR-Chikkasandr)</t>
  </si>
  <si>
    <t>LY1076814</t>
  </si>
  <si>
    <t>03-12-2025 22:45:48 (DS-IBBLR-Chinappalay)</t>
  </si>
  <si>
    <t>LY1077109</t>
  </si>
  <si>
    <t>04-12-2025 01:39:04 (DS-IBBLR-Devanahalli)</t>
  </si>
  <si>
    <t>LY1077153</t>
  </si>
  <si>
    <t>04-12-2025 00:17:57 (DS-IBBLR-HAL )</t>
  </si>
  <si>
    <t>LY1076861</t>
  </si>
  <si>
    <t>04-12-2025 01:24:21 (DS-IBBLR-Jakkasandra)</t>
  </si>
  <si>
    <t>LY1076815</t>
  </si>
  <si>
    <t>03-12-2025 23:28:36 (DS-IBBLR-Jigani)</t>
  </si>
  <si>
    <t>LY1077361</t>
  </si>
  <si>
    <t>04-12-2025 00:38:54 (DS-IBBLR-Kallahalli )</t>
  </si>
  <si>
    <t>LY1077146</t>
  </si>
  <si>
    <t>03-12-2025 23:45:07 (DS-IBBLR-Nagondanahalli )</t>
  </si>
  <si>
    <t>LY1074443</t>
  </si>
  <si>
    <t>03-12-2025 00:57:41 (DS-IBBLR-Peenya PH-3)</t>
  </si>
  <si>
    <t>LY1077329</t>
  </si>
  <si>
    <t>04-12-2025 01:09:13 (DS-IBBLR-Bellahalli)</t>
  </si>
  <si>
    <t>LY1077562</t>
  </si>
  <si>
    <t>04-12-2025 01:39:10 (DS-IBBLR-Benson Town)</t>
  </si>
  <si>
    <t>LY1077815</t>
  </si>
  <si>
    <t>04-12-2025 02:33:27 (DS-IBBLR-Jala halli)</t>
  </si>
  <si>
    <t>LY1078781</t>
  </si>
  <si>
    <t>04-12-2025 14:41:13 (DS-IBBLR-Peenya PH-3)</t>
  </si>
  <si>
    <t>LY1079635</t>
  </si>
  <si>
    <t>04-12-2025 22:48:32 (DS-IBBLR-Chinappalay)</t>
  </si>
  <si>
    <t>LY1079637</t>
  </si>
  <si>
    <t>04-12-2025 23:43:20 (DS-IBBLR-Jigani)</t>
  </si>
  <si>
    <t>LY1079641</t>
  </si>
  <si>
    <t>04-12-2025 23:34:55 (DS-IBBLR-Attibele)</t>
  </si>
  <si>
    <t>LY1079649</t>
  </si>
  <si>
    <t>05-12-2025 00:14:05 (DS-IBBLR-Budhigere )</t>
  </si>
  <si>
    <t>LY1079724</t>
  </si>
  <si>
    <t>05-12-2025 00:11:32 (DS-IBBLR-Nagondanahalli )</t>
  </si>
  <si>
    <t>LY1080036</t>
  </si>
  <si>
    <t>05-12-2025 00:18:12 (DS-IBBLR-HAL )</t>
  </si>
  <si>
    <t>LY1080044</t>
  </si>
  <si>
    <t>05-12-2025 00:14:10 (DS-IBBLR-Kallahalli )</t>
  </si>
  <si>
    <t>LY1080104</t>
  </si>
  <si>
    <t>05-12-2025 00:58:23 (DS-BNBLR-HRBR)</t>
  </si>
  <si>
    <t>LY1080109</t>
  </si>
  <si>
    <t>05-12-2025 02:22:08 (DS-IBBLR-Devanahalli)</t>
  </si>
  <si>
    <t>LY1080118</t>
  </si>
  <si>
    <t>05-12-2025 02:36:22 (DS-IBBLR-Benson Town)</t>
  </si>
  <si>
    <t>LY1080123</t>
  </si>
  <si>
    <t>05-12-2025 00:49:58 (DS-IBBLR-Peenya PH-3)</t>
  </si>
  <si>
    <t>LY1080126</t>
  </si>
  <si>
    <t>05-12-2025 01:33:12 (DS-IBBLR-Chikkasandr)</t>
  </si>
  <si>
    <t>LY1080130</t>
  </si>
  <si>
    <t>05-12-2025 01:39:39 (DS-IBBLR-Bellahalli)</t>
  </si>
  <si>
    <t>LY1083129</t>
  </si>
  <si>
    <t>06-12-2025 02:04:25 (DS-IBBLR-Devanahalli)</t>
  </si>
  <si>
    <t>LY1083195</t>
  </si>
  <si>
    <t>06-12-2025 01:48:10 (DS-IBBLR-Kallahalli )</t>
  </si>
  <si>
    <t>LY1083430</t>
  </si>
  <si>
    <t>06-12-2025 02:31:29 (DS-IBBLR-Jala halli)</t>
  </si>
  <si>
    <t>LY1085546</t>
  </si>
  <si>
    <t>07-12-2025 00:09:39 (DS-IBBLR-Nagondanahalli )</t>
  </si>
  <si>
    <t>LY1085504</t>
  </si>
  <si>
    <t>07-12-2025 01:51:09 (DS-IBBLR-Jakkasandra)</t>
  </si>
  <si>
    <t>LY1085499</t>
  </si>
  <si>
    <t>07-12-2025 01:06:46 (DS-IBBLR-Jigani)</t>
  </si>
  <si>
    <t>LY1085592</t>
  </si>
  <si>
    <t>07-12-2025 00:19:20 (DS-IBBLR-Attibele)</t>
  </si>
  <si>
    <t>LY1085597</t>
  </si>
  <si>
    <t>07-12-2025 00:02:24 (DS-IBBLR-Chinappalay)</t>
  </si>
  <si>
    <t>LY1085705</t>
  </si>
  <si>
    <t>07-12-2025 00:42:09 (DS-IBBLR-Budhigere )</t>
  </si>
  <si>
    <t>LY1085718</t>
  </si>
  <si>
    <t>07-12-2025 01:15:54 (DS-BNBLR-HRBR)</t>
  </si>
  <si>
    <t>LY1085725</t>
  </si>
  <si>
    <t>07-12-2025 00:31:05 (DS-IBBLR-Bellahalli)</t>
  </si>
  <si>
    <t>LY1085728</t>
  </si>
  <si>
    <t>06-12-2025 23:46:16 (DS-IBBLR-Peenya PH-3)</t>
  </si>
  <si>
    <t>LY1085801</t>
  </si>
  <si>
    <t>07-12-2025 00:30:21 (DS-IBBLR-Lingarajapu)</t>
  </si>
  <si>
    <t>LY1085835</t>
  </si>
  <si>
    <t>07-12-2025 00:09:27 (DS-IBBLR-Chikkasandr)</t>
  </si>
  <si>
    <t>LY1085922</t>
  </si>
  <si>
    <t>07-12-2025 00:52:43 (DS-IBBLR-HAL )</t>
  </si>
  <si>
    <t>LY1085798</t>
  </si>
  <si>
    <t>07-12-2025 02:08:18 (DS-IBBLR-Devanahalli)</t>
  </si>
  <si>
    <t>LY1085952</t>
  </si>
  <si>
    <t>07-12-2025 01:31:25 (DS-IBBLR-Kallahalli )</t>
  </si>
  <si>
    <t>LY1086013</t>
  </si>
  <si>
    <t>07-12-2025 01:51:53 (DS-IBBLR-Benson Town)</t>
  </si>
  <si>
    <t>LY1086034</t>
  </si>
  <si>
    <t>07-12-2025 01:57:46 (DS-IBBLR-Jala halli)</t>
  </si>
  <si>
    <t>LY1087711</t>
  </si>
  <si>
    <t>07-12-2025 23:22:03 (DS-IBBLR-Attibele)</t>
  </si>
  <si>
    <t>LY1087713</t>
  </si>
  <si>
    <t>07-12-2025 23:00:21 (DS-IBBLR-Chinappalay)</t>
  </si>
  <si>
    <t>LY1087715</t>
  </si>
  <si>
    <t>07-12-2025 23:53:38 (DS-IBBLR-Jigani)</t>
  </si>
  <si>
    <t>LY1087759</t>
  </si>
  <si>
    <t>07-12-2025 23:48:34 (DS-IBBLR-Nagondanahalli )</t>
  </si>
  <si>
    <t>LY1087753</t>
  </si>
  <si>
    <t>08-12-2025 01:19:46 (DS-IBBLR-Jakkasandra)</t>
  </si>
  <si>
    <t>LY1087834</t>
  </si>
  <si>
    <t>08-12-2025 00:56:17 (DS-IBBLR-Budhigere )</t>
  </si>
  <si>
    <t>LY1087957</t>
  </si>
  <si>
    <t>07-12-2025 23:12:13 (DS-IBBLR-Peenya PH-3)</t>
  </si>
  <si>
    <t>LY1087988</t>
  </si>
  <si>
    <t>08-12-2025 01:17:46 (DS-IBBLR-Chikkasandr)</t>
  </si>
  <si>
    <t>LY1087993</t>
  </si>
  <si>
    <t>08-12-2025 01:41:33 (DS-BNBLR-HRBR)</t>
  </si>
  <si>
    <t>LY1088090</t>
  </si>
  <si>
    <t>08-12-2025 00:37:16 (DS-IBBLR-HAL )</t>
  </si>
  <si>
    <t>LY1088137</t>
  </si>
  <si>
    <t>08-12-2025 00:50:21 (DS-IBBLR-Kallahalli )</t>
  </si>
  <si>
    <t>LY1088150</t>
  </si>
  <si>
    <t>08-12-2025 01:17:14 (DS-IBBLR-Lingarajapu)</t>
  </si>
  <si>
    <t>LY1088227</t>
  </si>
  <si>
    <t>08-12-2025 01:15:00 (DS-IBBLR-Bellahalli)</t>
  </si>
  <si>
    <t>LY1088447</t>
  </si>
  <si>
    <t>08-12-2025 03:09:21 (DS-IBBLR-Devanahalli)</t>
  </si>
  <si>
    <t>LY1088631</t>
  </si>
  <si>
    <t>08-12-2025 02:37:03 (DS-IBBLR-Jala halli)</t>
  </si>
  <si>
    <t>LY1088681</t>
  </si>
  <si>
    <t>08-12-2025 03:58:09 (DS-IBBLR-Benson Town)</t>
  </si>
  <si>
    <t>LY1088782</t>
  </si>
  <si>
    <t>08-12-2025 07:09:30 (DS-IBBLR-Chikkasandr)</t>
  </si>
  <si>
    <t>LY1090252</t>
  </si>
  <si>
    <t>08-12-2025 23:28:11 (DS-IBBLR-Attibele)</t>
  </si>
  <si>
    <t>LY1090257</t>
  </si>
  <si>
    <t>08-12-2025 23:48:07 (DS-IBBLR-Jigani)</t>
  </si>
  <si>
    <t>LY1090344</t>
  </si>
  <si>
    <t>08-12-2025 23:57:35 (DS-IBBLR-Nagondanahalli )</t>
  </si>
  <si>
    <t>LY1090380</t>
  </si>
  <si>
    <t>08-12-2025 22:48:47 (DS-IBBLR-Chinappalay)</t>
  </si>
  <si>
    <t>LY1090527</t>
  </si>
  <si>
    <t>09-12-2025 00:48:15 (DS-BNBLR-HRBR)</t>
  </si>
  <si>
    <t>LY1090610</t>
  </si>
  <si>
    <t>09-12-2025 00:04:10 (DS-IBBLR-Peenya PH-3)</t>
  </si>
  <si>
    <t>LY1090612</t>
  </si>
  <si>
    <t>09-12-2025 00:21:49 (DS-IBBLR-Chikkasandr)</t>
  </si>
  <si>
    <t>LY1090622</t>
  </si>
  <si>
    <t>09-12-2025 02:06:12 (DS-IBBLR-Devanahalli)</t>
  </si>
  <si>
    <t>LY1090725</t>
  </si>
  <si>
    <t>09-12-2025 00:41:37 (DS-IBBLR-Kallahalli )</t>
  </si>
  <si>
    <t>LY1090738</t>
  </si>
  <si>
    <t>09-12-2025 00:49:12 (DS-IBBLR-Bellahalli)</t>
  </si>
  <si>
    <t>LY1090739</t>
  </si>
  <si>
    <t>09-12-2025 00:23:11 (DS-IBBLR-HAL )</t>
  </si>
  <si>
    <t>LY1090741</t>
  </si>
  <si>
    <t>09-12-2025 01:15:07 (DS-IBBLR-Lingarajapu)</t>
  </si>
  <si>
    <t>LY1090973</t>
  </si>
  <si>
    <t>09-12-2025 02:38:17 (DS-IBBLR-Benson Town)</t>
  </si>
  <si>
    <t>LY1091036</t>
  </si>
  <si>
    <t>09-12-2025 02:17:03 (DS-IBBLR-Jala halli)</t>
  </si>
  <si>
    <t>LY1092987</t>
  </si>
  <si>
    <t>10-12-2025 00:14:08 (DS-IBBLR-Nagondanahalli )</t>
  </si>
  <si>
    <t>LY1093034</t>
  </si>
  <si>
    <t>09-12-2025 23:54:14 (DS-IBBLR-Jigani)</t>
  </si>
  <si>
    <t>LY1093053</t>
  </si>
  <si>
    <t>09-12-2025 23:12:06 (DS-IBBLR-Chinappalay)</t>
  </si>
  <si>
    <t>LY1093214</t>
  </si>
  <si>
    <t>10-12-2025 01:29:02 (DS-BNBLR-HRBR)</t>
  </si>
  <si>
    <t>LY1093283</t>
  </si>
  <si>
    <t>10-12-2025 02:24:43 (DS-IBBLR-Chikkasandr)</t>
  </si>
  <si>
    <t>LY1093303</t>
  </si>
  <si>
    <t>10-12-2025 00:55:43 (DS-IBBLR-Bellahalli)</t>
  </si>
  <si>
    <t>LY1093315</t>
  </si>
  <si>
    <t>10-12-2025 00:36:23 (DS-IBBLR-Peenya PH-3)</t>
  </si>
  <si>
    <t>LY1093323</t>
  </si>
  <si>
    <t>10-12-2025 00:30:47 (DS-IBBLR-HAL )</t>
  </si>
  <si>
    <t>LY1093377</t>
  </si>
  <si>
    <t>10-12-2025 02:25:29 (DS-IBBLR-Devanahalli)</t>
  </si>
  <si>
    <t>LY1092969</t>
  </si>
  <si>
    <t>10-12-2025 01:32:03 (DS-IBBLR-Jakkasandra)</t>
  </si>
  <si>
    <t>LY1093709</t>
  </si>
  <si>
    <t>10-12-2025 02:41:42 (DS-IBBLR-Lingarajapu)</t>
  </si>
  <si>
    <t>LY1093734</t>
  </si>
  <si>
    <t>10-12-2025 02:05:34 (DS-IBBLR-Devanahalli)</t>
  </si>
  <si>
    <t>LY1095631</t>
  </si>
  <si>
    <t>10-12-2025 23:32:06 (DS-IBBLR-Attibele)</t>
  </si>
  <si>
    <t>LY1095636</t>
  </si>
  <si>
    <t>10-12-2025 22:38:05 (DS-IBBLR-Chinappalay)</t>
  </si>
  <si>
    <t>LY1095660</t>
  </si>
  <si>
    <t>11-12-2025 00:09:29 (DS-IBBLR-Jigani)</t>
  </si>
  <si>
    <t>LY1095752</t>
  </si>
  <si>
    <t>11-12-2025 00:03:43 (DS-IBBLR-Nagondanahalli )</t>
  </si>
  <si>
    <t>LY1095684</t>
  </si>
  <si>
    <t>11-12-2025 01:10:05 (DS-IBBLR-Jakkasandra)</t>
  </si>
  <si>
    <t>LY1096025</t>
  </si>
  <si>
    <t>11-12-2025 00:24:27 (DS-IBBLR-HAL )</t>
  </si>
  <si>
    <t>LY1096063</t>
  </si>
  <si>
    <t>11-12-2025 01:25:43 (DS-IBBLR-Chikkasandr)</t>
  </si>
  <si>
    <t>LY1096079</t>
  </si>
  <si>
    <t>11-12-2025 02:20:15 (DS-BNBLR-HRBR)</t>
  </si>
  <si>
    <t>LY1096088</t>
  </si>
  <si>
    <t>11-12-2025 02:53:38 (DS-IBBLR-Devanahalli)</t>
  </si>
  <si>
    <t>LY1096097</t>
  </si>
  <si>
    <t>11-12-2025 01:41:11 (DS-IBBLR-Bellahalli)</t>
  </si>
  <si>
    <t>LY1096352</t>
  </si>
  <si>
    <t>11-12-2025 01:19:18 (DS-IBBLR-Lingarajapu)</t>
  </si>
  <si>
    <t>LY1096360</t>
  </si>
  <si>
    <t>11-12-2025 02:34:09 (DS-IBBLR-Benson Town)</t>
  </si>
  <si>
    <t>LY1096622</t>
  </si>
  <si>
    <t>11-12-2025 03:03:25 (DS-IBBLR-Jala halli)</t>
  </si>
  <si>
    <t>LY1098467</t>
  </si>
  <si>
    <t>11-12-2025 23:56:45 (DS-IBBLR-Jigani)</t>
  </si>
  <si>
    <t>LY1098470</t>
  </si>
  <si>
    <t>11-12-2025 23:54:51 (DS-IBBLR-Attibele)</t>
  </si>
  <si>
    <t>LY1098495</t>
  </si>
  <si>
    <t>11-12-2025 23:39:46 (DS-IBBLR-Chinappalay)</t>
  </si>
  <si>
    <t>LY1098579</t>
  </si>
  <si>
    <t>12-12-2025 00:39:05 (DS-IBBLR-Nagondanahalli )</t>
  </si>
  <si>
    <t>LY1098877</t>
  </si>
  <si>
    <t>12-12-2025 02:05:04 (DS-BNBLR-HRBR)</t>
  </si>
  <si>
    <t>LY1098879</t>
  </si>
  <si>
    <t>12-12-2025 02:14:44 (DS-IBBLR-Chikkasandr)</t>
  </si>
  <si>
    <t>LY1098889</t>
  </si>
  <si>
    <t>12-12-2025 02:07:05 (DS-IBBLR-Lingarajapu)</t>
  </si>
  <si>
    <t>LY1098894</t>
  </si>
  <si>
    <t>12-12-2025 01:25:28 (DS-IBBLR-Peenya PH-3)</t>
  </si>
  <si>
    <t>LY1098899</t>
  </si>
  <si>
    <t>12-12-2025 01:54:27 (DS-IBBLR-Bellahalli)</t>
  </si>
  <si>
    <t>LY1098902</t>
  </si>
  <si>
    <t>12-12-2025 02:08:45 (DS-IBBLR-Devanahalli)</t>
  </si>
  <si>
    <t>LY1098526</t>
  </si>
  <si>
    <t>12-12-2025 01:52:29 (DS-IBBLR-Jakkasandra)</t>
  </si>
  <si>
    <t>LY1099184</t>
  </si>
  <si>
    <t>12-12-2025 01:23:36 (DS-IBBLR-HAL )</t>
  </si>
  <si>
    <t>LY1099252</t>
  </si>
  <si>
    <t>12-12-2025 02:16:34 (DS-IBBLR-Jigani)</t>
  </si>
  <si>
    <t>LY1099474</t>
  </si>
  <si>
    <t>12-12-2025 03:24:52 (DS-IBBLR-Benson Town)</t>
  </si>
  <si>
    <t>LY1099482</t>
  </si>
  <si>
    <t>12-12-2025 03:33:08 (DS-IBBLR-Benson Town)</t>
  </si>
  <si>
    <t>LY1099492</t>
  </si>
  <si>
    <t>12-12-2025 03:19:52 (DS-IBBLR-Jala halli)</t>
  </si>
  <si>
    <t>LY1101313</t>
  </si>
  <si>
    <t>13-12-2025 00:22:57 (DS-IBBLR-Jigani)</t>
  </si>
  <si>
    <t>LY1101320</t>
  </si>
  <si>
    <t>12-12-2025 23:19:47 (DS-IBBLR-Chinappalay)</t>
  </si>
  <si>
    <t>LY1101415</t>
  </si>
  <si>
    <t>12-12-2025 23:53:21 (DS-IBBLR-Attibele)</t>
  </si>
  <si>
    <t>LY1101675</t>
  </si>
  <si>
    <t>13-12-2025 01:26:55 (DS-BNBLR-HRBR)</t>
  </si>
  <si>
    <t>LY1101676</t>
  </si>
  <si>
    <t>13-12-2025 00:50:19 (DS-IBBLR-Peenya PH-3)</t>
  </si>
  <si>
    <t>LY1101678</t>
  </si>
  <si>
    <t>13-12-2025 01:00:56 (DS-IBBLR-Lingarajapu)</t>
  </si>
  <si>
    <t>LY1101692</t>
  </si>
  <si>
    <t>13-12-2025 00:54:09 (DS-IBBLR-Chikkasandr)</t>
  </si>
  <si>
    <t>LY1101706</t>
  </si>
  <si>
    <t>13-12-2025 02:38:43 (DS-IBBLR-Devanahalli)</t>
  </si>
  <si>
    <t>LY1101736</t>
  </si>
  <si>
    <t>13-12-2025 01:44:53 (DS-IBBLR-Bellahalli)</t>
  </si>
  <si>
    <t>LY1101966</t>
  </si>
  <si>
    <t>13-12-2025 01:16:15 (DS-IBBLR-HAL )</t>
  </si>
  <si>
    <t>LY1101984</t>
  </si>
  <si>
    <t>13-12-2025 00:52:35 (DS-IBBLR-Peenya PH-3)</t>
  </si>
  <si>
    <t>LY1102047</t>
  </si>
  <si>
    <t>13-12-2025 01:56:38 (DS-IBBLR-Jakkasandra)</t>
  </si>
  <si>
    <t>LY1102200</t>
  </si>
  <si>
    <t>13-12-2025 02:00:47 (DS-IBBLR-Jala halli)</t>
  </si>
  <si>
    <t>LY1102158</t>
  </si>
  <si>
    <t>13-12-2025 03:15:52 (DS-IBBLR-Benson Town)</t>
  </si>
  <si>
    <t>LY1104075</t>
  </si>
  <si>
    <t>14-12-2025 00:28:57 (DS-IBBLR-Jigani)</t>
  </si>
  <si>
    <t>LY1104080</t>
  </si>
  <si>
    <t>13-12-2025 23:37:38 (DS-IBBLR-Attibele)</t>
  </si>
  <si>
    <t>LY1104391</t>
  </si>
  <si>
    <t>13-12-2025 23:51:21 (DS-IBBLR-Chinappalay)</t>
  </si>
  <si>
    <t>LY1104433</t>
  </si>
  <si>
    <t>14-12-2025 00:09:47 (DS-IBBLR-Peenya PH-3)</t>
  </si>
  <si>
    <t>LY1104439</t>
  </si>
  <si>
    <t>14-12-2025 01:12:32 (DS-IBBLR-Bellahalli)</t>
  </si>
  <si>
    <t>LY1104468</t>
  </si>
  <si>
    <t>14-12-2025 01:36:29 (DS-BNBLR-HRBR)</t>
  </si>
  <si>
    <t>LY1104472</t>
  </si>
  <si>
    <t>14-12-2025 01:26:25 (DS-IBBLR-Chikkasandr)</t>
  </si>
  <si>
    <t>LY1104481</t>
  </si>
  <si>
    <t>14-12-2025 01:08:29 (DS-IBBLR-Lingarajapu)</t>
  </si>
  <si>
    <t>LY1104514</t>
  </si>
  <si>
    <t>14-12-2025 02:04:14 (DS-IBBLR-Devanahalli)</t>
  </si>
  <si>
    <t>LY1104092</t>
  </si>
  <si>
    <t>14-12-2025 00:32:07 (DS-IBBLR-Nagondanahalli )</t>
  </si>
  <si>
    <t>LY1104132</t>
  </si>
  <si>
    <t>14-12-2025 01:35:56 (DS-IBBLR-Jakkasandra)</t>
  </si>
  <si>
    <t>LY1104717</t>
  </si>
  <si>
    <t>14-12-2025 01:13:48 (DS-IBBLR-HAL )</t>
  </si>
  <si>
    <t>LY1104952</t>
  </si>
  <si>
    <t>14-12-2025 03:36:46 (DS-IBBLR-Benson Town)</t>
  </si>
  <si>
    <t>LY1104972</t>
  </si>
  <si>
    <t>14-12-2025 02:44:35 (DS-IBBLR-Jala halli)</t>
  </si>
  <si>
    <t>LY1106490</t>
  </si>
  <si>
    <t>14-12-2025 22:43:29 (DS-IBBLR-Chinappalay)</t>
  </si>
  <si>
    <t>LY1106514</t>
  </si>
  <si>
    <t>15-12-2025 01:49:11 (DS-IBBLR-Budhigere )</t>
  </si>
  <si>
    <t>LY1106608</t>
  </si>
  <si>
    <t>14-12-2025 23:47:06 (DS-IBBLR-Nagondanahalli )</t>
  </si>
  <si>
    <t>LY1106534</t>
  </si>
  <si>
    <t>15-12-2025 02:01:01 (DS-IBBLR-Jakkasandra)</t>
  </si>
  <si>
    <t>LY1106612</t>
  </si>
  <si>
    <t>15-12-2025 00:30:14 (DS-IBBLR-Jigani)</t>
  </si>
  <si>
    <t>LY1106613</t>
  </si>
  <si>
    <t>14-12-2025 23:54:58 (DS-IBBLR-Attibele)</t>
  </si>
  <si>
    <t>LY1106848</t>
  </si>
  <si>
    <t>15-12-2025 02:07:36 (DS-BNBLR-HRBR)</t>
  </si>
  <si>
    <t>LY1106849</t>
  </si>
  <si>
    <t>15-12-2025 00:15:15 (DS-IBBLR-HAL )</t>
  </si>
  <si>
    <t>LY1106850</t>
  </si>
  <si>
    <t>15-12-2025 00:31:34 (DS-IBBLR-Chikkasandr)</t>
  </si>
  <si>
    <t>LY1106853</t>
  </si>
  <si>
    <t>15-12-2025 00:25:14 (DS-IBBLR-Peenya PH-3)</t>
  </si>
  <si>
    <t>LY1106868</t>
  </si>
  <si>
    <t>15-12-2025 00:39:35 (DS-IBBLR-Kallahalli )</t>
  </si>
  <si>
    <t>LY1106883</t>
  </si>
  <si>
    <t>15-12-2025 01:08:56 (DS-IBBLR-Bellahalli)</t>
  </si>
  <si>
    <t>LY1109245</t>
  </si>
  <si>
    <t>16-12-2025 00:22:07 (DS-IBBLR-Nagondanahalli )</t>
  </si>
  <si>
    <t>LY1109260</t>
  </si>
  <si>
    <t>16-12-2025 01:20:04 (DS-IBBLR-Jakkasandra)</t>
  </si>
  <si>
    <t>LY1109304</t>
  </si>
  <si>
    <t>15-12-2025 22:46:26 (DS-IBBLR-Chinappalay)</t>
  </si>
  <si>
    <t>LY1109314</t>
  </si>
  <si>
    <t>15-12-2025 23:57:42 (DS-IBBLR-Attibele)</t>
  </si>
  <si>
    <t>LY1109438</t>
  </si>
  <si>
    <t>16-12-2025 01:12:06 (DS-BNBLR-HRBR)</t>
  </si>
  <si>
    <t>LY1109441</t>
  </si>
  <si>
    <t>16-12-2025 02:00:37 (DS-IBBLR-Devanahalli)</t>
  </si>
  <si>
    <t>LY1109449</t>
  </si>
  <si>
    <t>16-12-2025 00:40:23 (DS-IBBLR-Peenya PH-3)</t>
  </si>
  <si>
    <t>LY1109463</t>
  </si>
  <si>
    <t>16-12-2025 01:05:45 (DS-IBBLR-Lingarajapu)</t>
  </si>
  <si>
    <t>LY1109467</t>
  </si>
  <si>
    <t>16-12-2025 01:03:03 (DS-IBBLR-Bellahalli)</t>
  </si>
  <si>
    <t>LY1109574</t>
  </si>
  <si>
    <t>15-12-2025 23:51:15 (DS-IBBLR-Chikkasandr)</t>
  </si>
  <si>
    <t>LY1109611</t>
  </si>
  <si>
    <t>16-12-2025 00:47:31 (DS-IBBLR-HAL )</t>
  </si>
  <si>
    <t>LY1110156</t>
  </si>
  <si>
    <t>16-12-2025 02:49:44 (DS-IBBLR-Benson Town)</t>
  </si>
  <si>
    <t>LY1110199</t>
  </si>
  <si>
    <t>16-12-2025 02:44:36 (DS-IBBLR-Jala halli)</t>
  </si>
  <si>
    <t>LY1111949</t>
  </si>
  <si>
    <t>16-12-2025 23:17:45 (DS-IBBLR-Attibele)</t>
  </si>
  <si>
    <t>LY1111951</t>
  </si>
  <si>
    <t>16-12-2025 22:31:02 (DS-IBBLR-Chinappalay)</t>
  </si>
  <si>
    <t>LY1111989</t>
  </si>
  <si>
    <t>16-12-2025 23:31:41 (DS-IBBLR-Jigani)</t>
  </si>
  <si>
    <t>LY1112023</t>
  </si>
  <si>
    <t>17-12-2025 00:43:23 (DS-IBBLR-Jakkasandra)</t>
  </si>
  <si>
    <t>LY1112039</t>
  </si>
  <si>
    <t>16-12-2025 23:29:37 (DS-IBBLR-Nagondanahalli )</t>
  </si>
  <si>
    <t>LY1112262</t>
  </si>
  <si>
    <t>17-12-2025 01:17:37 (DS-BNBLR-HRBR)</t>
  </si>
  <si>
    <t>LY1112265</t>
  </si>
  <si>
    <t>17-12-2025 00:03:19 (DS-IBBLR-Peenya PH-3)</t>
  </si>
  <si>
    <t>LY1112275</t>
  </si>
  <si>
    <t>17-12-2025 01:10:01 (DS-IBBLR-Bellahalli)</t>
  </si>
  <si>
    <t>LY1112289</t>
  </si>
  <si>
    <t>17-12-2025 02:07:48 (DS-IBBLR-Devanahalli)</t>
  </si>
  <si>
    <t>LY1112295</t>
  </si>
  <si>
    <t>17-12-2025 00:50:29 (DS-IBBLR-Chikkasandr)</t>
  </si>
  <si>
    <t>LY1112389</t>
  </si>
  <si>
    <t>17-12-2025 00:22:55 (DS-IBBLR-HAL )</t>
  </si>
  <si>
    <t>LY1112444</t>
  </si>
  <si>
    <t>17-12-2025 00:53:47 (DS-IBBLR-Lingarajapu)</t>
  </si>
  <si>
    <t>LY1112685</t>
  </si>
  <si>
    <t>17-12-2025 01:43:29 (DS-IBBLR-Jala halli)</t>
  </si>
  <si>
    <t>LY1112691</t>
  </si>
  <si>
    <t>17-12-2025 01:28:25 (DS-IBBLR-Benson Town)</t>
  </si>
  <si>
    <t>LY1112635</t>
  </si>
  <si>
    <t>17-12-2025 15:16:35 (DS-IBBLR-Lingarajapu)</t>
  </si>
  <si>
    <t>LY1114870</t>
  </si>
  <si>
    <t>17-12-2025 22:42:06 (DS-IBBLR-Chinappalay)</t>
  </si>
  <si>
    <t>LY1114963</t>
  </si>
  <si>
    <t>17-12-2025 23:31:13 (DS-IBBLR-Jigani)</t>
  </si>
  <si>
    <t>LY1114967</t>
  </si>
  <si>
    <t>17-12-2025 23:39:44 (DS-IBBLR-Attibele)</t>
  </si>
  <si>
    <t>LY1114916</t>
  </si>
  <si>
    <t>17-12-2025 23:42:55 (DS-IBBLR-Nagondanahalli )</t>
  </si>
  <si>
    <t>LY1115099</t>
  </si>
  <si>
    <t>17-12-2025 23:54:51 (DS-IBBLR-HAL )</t>
  </si>
  <si>
    <t>LY1115142</t>
  </si>
  <si>
    <t>18-12-2025 00:00:21 (DS-IBBLR-Peenya PH-3)</t>
  </si>
  <si>
    <t>LY1115207</t>
  </si>
  <si>
    <t>18-12-2025 00:30:48 (DS-IBBLR-Bellahalli)</t>
  </si>
  <si>
    <t>LY1115276</t>
  </si>
  <si>
    <t>18-12-2025 00:33:18 (DS-IBBLR-Chikkasandr)</t>
  </si>
  <si>
    <t>LY1115273</t>
  </si>
  <si>
    <t>18-12-2025 00:37:46 (DS-IBBLR-Lingarajapu)</t>
  </si>
  <si>
    <t>LY1115211</t>
  </si>
  <si>
    <t>18-12-2025 01:21:45 (DS-BNBLR-HRBR)</t>
  </si>
  <si>
    <t>LY1114949</t>
  </si>
  <si>
    <t>18-12-2025 01:26:31 (DS-IBBLR-Jakkasandra)</t>
  </si>
  <si>
    <t>LY1115218</t>
  </si>
  <si>
    <t>18-12-2025 01:33:08 (DS-IBBLR-Devanahalli)</t>
  </si>
  <si>
    <t>LY1115617</t>
  </si>
  <si>
    <t>18-12-2025 01:34:59 (DS-IBBLR-Benson Town)</t>
  </si>
  <si>
    <t>LY1115611</t>
  </si>
  <si>
    <t>18-12-2025 01:55:52 (DS-IBBLR-Jala halli)</t>
  </si>
  <si>
    <t>LY1117794</t>
  </si>
  <si>
    <t>19-12-2025 00:50:40 (DS-IBBLR-Jakkasandra)</t>
  </si>
  <si>
    <t>LY1117799</t>
  </si>
  <si>
    <t>19-12-2025 00:08:40 (DS-IBBLR-Nagondanahalli )</t>
  </si>
  <si>
    <t>LY1117972</t>
  </si>
  <si>
    <t>19-12-2025 00:29:00 (DS-IBBLR-Jigani)</t>
  </si>
  <si>
    <t>LY1117975</t>
  </si>
  <si>
    <t>18-12-2025 23:32:41 (DS-IBBLR-Chinappalay)</t>
  </si>
  <si>
    <t>LY1117982</t>
  </si>
  <si>
    <t>19-12-2025 00:10:43 (DS-IBBLR-Attibele)</t>
  </si>
  <si>
    <t>LY1118000</t>
  </si>
  <si>
    <t>19-12-2025 01:01:35 (DS-BNBLR-HRBR)</t>
  </si>
  <si>
    <t>LY1118001</t>
  </si>
  <si>
    <t>19-12-2025 00:28:58 (DS-IBBLR-Peenya PH-3)</t>
  </si>
  <si>
    <t>LY1118011</t>
  </si>
  <si>
    <t>19-12-2025 00:21:03 (DS-IBBLR-HAL )</t>
  </si>
  <si>
    <t>LY1118021</t>
  </si>
  <si>
    <t>19-12-2025 01:29:26 (DS-IBBLR-Devanahalli)</t>
  </si>
  <si>
    <t>LY1118031</t>
  </si>
  <si>
    <t>19-12-2025 01:03:10 (DS-IBBLR-Bellahalli)</t>
  </si>
  <si>
    <t>LY1118108</t>
  </si>
  <si>
    <t>19-12-2025 01:21:40 (DS-IBBLR-Lingarajapu)</t>
  </si>
  <si>
    <t>LY1118110</t>
  </si>
  <si>
    <t>19-12-2025 00:30:35 (DS-IBBLR-Chikkasandr)</t>
  </si>
  <si>
    <t>LY1118724</t>
  </si>
  <si>
    <t>19-12-2025 02:26:27 (DS-IBBLR-Benson Town)</t>
  </si>
  <si>
    <t>LY1118731</t>
  </si>
  <si>
    <t>19-12-2025 04:13:02 (DS-IBBLR-Devanahalli)</t>
  </si>
  <si>
    <t>LY1120565</t>
  </si>
  <si>
    <t>19-12-2025 22:53:32 (DS-IBBLR-Chinappalay)</t>
  </si>
  <si>
    <t>LY1120567</t>
  </si>
  <si>
    <t>20-12-2025 00:33:56 (DS-IBBLR-Jigani)</t>
  </si>
  <si>
    <t>LY1120568</t>
  </si>
  <si>
    <t>19-12-2025 23:21:42 (DS-IBBLR-Attibele)</t>
  </si>
  <si>
    <t>LY1120626</t>
  </si>
  <si>
    <t>20-12-2025 01:19:13 (DS-IBBLR-Jakkasandra)</t>
  </si>
  <si>
    <t>LY1120666</t>
  </si>
  <si>
    <t>19-12-2025 23:55:41 (DS-IBBLR-Nagondanahalli )</t>
  </si>
  <si>
    <t>LY1120966</t>
  </si>
  <si>
    <t>20-12-2025 00:11:01 (DS-IBBLR-Peenya PH-3)</t>
  </si>
  <si>
    <t>LY1120970</t>
  </si>
  <si>
    <t>20-12-2025 00:58:50 (DS-BNBLR-HRBR)</t>
  </si>
  <si>
    <t>LY1120983</t>
  </si>
  <si>
    <t>20-12-2025 00:30:37 (DS-IBBLR-HAL )</t>
  </si>
  <si>
    <t>LY1120986</t>
  </si>
  <si>
    <t>20-12-2025 00:55:54 (DS-IBBLR-Bellahalli)</t>
  </si>
  <si>
    <t>LY1120997</t>
  </si>
  <si>
    <t>20-12-2025 01:58:10 (DS-IBBLR-Chikkasandr)</t>
  </si>
  <si>
    <t>LY1120998</t>
  </si>
  <si>
    <t>20-12-2025 02:00:15 (DS-IBBLR-Devanahalli)</t>
  </si>
  <si>
    <t>LY1121000</t>
  </si>
  <si>
    <t>20-12-2025 01:10:29 (DS-IBBLR-Lingarajapu)</t>
  </si>
  <si>
    <t>LY1121518</t>
  </si>
  <si>
    <t>20-12-2025 02:43:27 (DS-IBBLR-Benson Town)</t>
  </si>
  <si>
    <t>LY1123447</t>
  </si>
  <si>
    <t>20-12-2025 23:39:06 (DS-IBBLR-Jigani)</t>
  </si>
  <si>
    <t>LY1123448</t>
  </si>
  <si>
    <t>20-12-2025 23:59:42 (DS-IBBLR-Attibele)</t>
  </si>
  <si>
    <t>LY1123498</t>
  </si>
  <si>
    <t>21-12-2025 00:53:47 (DS-IBBLR-Jakkasandra)</t>
  </si>
  <si>
    <t>LY1123506</t>
  </si>
  <si>
    <t>20-12-2025 23:52:14 (DS-IBBLR-Nagondanahalli )</t>
  </si>
  <si>
    <t>LY1123550</t>
  </si>
  <si>
    <t>20-12-2025 23:10:50 (DS-IBBLR-Chinappalay)</t>
  </si>
  <si>
    <t>LY1123771</t>
  </si>
  <si>
    <t>21-12-2025 00:22:35 (DS-IBBLR-HAL )</t>
  </si>
  <si>
    <t>LY1123796</t>
  </si>
  <si>
    <t>21-12-2025 00:26:19 (DS-IBBLR-Chikkasandr)</t>
  </si>
  <si>
    <t>LY1123797</t>
  </si>
  <si>
    <t>21-12-2025 00:30:36 (DS-IBBLR-Kallahalli )</t>
  </si>
  <si>
    <t>LY1123799</t>
  </si>
  <si>
    <t>21-12-2025 02:45:24 (DS-BNBLR-HRBR)</t>
  </si>
  <si>
    <t>LY1123801</t>
  </si>
  <si>
    <t>21-12-2025 01:50:54 (DS-IBBLR-Devanahalli)</t>
  </si>
  <si>
    <t>LY1123808</t>
  </si>
  <si>
    <t>21-12-2025 01:14:23 (DS-IBBLR-Peenya PH-3)</t>
  </si>
  <si>
    <t>LY1123849</t>
  </si>
  <si>
    <t>21-12-2025 01:18:00 (DS-IBBLR-Bellahalli)</t>
  </si>
  <si>
    <t>LY1124164</t>
  </si>
  <si>
    <t>21-12-2025 01:49:35 (DS-IBBLR-Lingarajapu)</t>
  </si>
  <si>
    <t>LY1124357</t>
  </si>
  <si>
    <t>21-12-2025 02:56:40 (DS-IBBLR-Benson Town)</t>
  </si>
  <si>
    <t>LY1124386</t>
  </si>
  <si>
    <t>21-12-2025 02:57:58 (DS-IBBLR-Jala halli)</t>
  </si>
  <si>
    <t>LY1125892</t>
  </si>
  <si>
    <t>22-12-2025 00:03:20 (DS-IBBLR-Jigani)</t>
  </si>
  <si>
    <t>LY1125894</t>
  </si>
  <si>
    <t>21-12-2025 23:17:48 (DS-IBBLR-Attibele)</t>
  </si>
  <si>
    <t>LY1125900</t>
  </si>
  <si>
    <t>21-12-2025 22:37:38 (DS-IBBLR-Chinappalay)</t>
  </si>
  <si>
    <t>LY1125977</t>
  </si>
  <si>
    <t>21-12-2025 23:37:37 (DS-IBBLR-Nagondanahalli )</t>
  </si>
  <si>
    <t>LY1125983</t>
  </si>
  <si>
    <t>22-12-2025 00:40:46 (DS-IBBLR-Jakkasandra)</t>
  </si>
  <si>
    <t>LY1126184</t>
  </si>
  <si>
    <t>21-12-2025 23:58:53 (DS-IBBLR-HAL )</t>
  </si>
  <si>
    <t>LY1126192</t>
  </si>
  <si>
    <t>22-12-2025 00:26:47 (DS-IBBLR-Bellahalli)</t>
  </si>
  <si>
    <t>LY1126194</t>
  </si>
  <si>
    <t>22-12-2025 00:42:04 (DS-BNBLR-HRBR)</t>
  </si>
  <si>
    <t>LY1126200</t>
  </si>
  <si>
    <t>22-12-2025 00:27:05 (DS-IBBLR-Chikkasandr)</t>
  </si>
  <si>
    <t>LY1126273</t>
  </si>
  <si>
    <t>22-12-2025 00:09:19 (DS-IBBLR-Peenya PH-3)</t>
  </si>
  <si>
    <t>LY1126395</t>
  </si>
  <si>
    <t>22-12-2025 01:04:00 (DS-IBBLR-Lingarajapu)</t>
  </si>
  <si>
    <t>LY1126602</t>
  </si>
  <si>
    <t>22-12-2025 02:02:42 (DS-IBBLR-Devanahalli)</t>
  </si>
  <si>
    <t>LY1126700</t>
  </si>
  <si>
    <t>22-12-2025 01:57:55 (DS-IBBLR-Jala halli)</t>
  </si>
  <si>
    <t>LY1126831</t>
  </si>
  <si>
    <t>22-12-2025 01:57:42 (DS-IBBLR-Benson Town)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</si>
</sst>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right" vertical="center"/>
    </xf>
    <xf numFmtId="21" fontId="2" fillId="0" borderId="0" xfId="0" applyNumberFormat="1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ed%20Muazzam\Downloads\Subscription_Pilot_Metrics_Tracker%20(3).xlsx" TargetMode="External"/><Relationship Id="rId1" Type="http://schemas.openxmlformats.org/officeDocument/2006/relationships/externalLinkPath" Target="/Users/Syed%20Muazzam/Downloads/Subscription_Pilot_Metrics_Tracker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order_modification_reports_sa_b"/>
      <sheetName val="credit-used-report-bb20-source-"/>
      <sheetName val="expressOrderReport"/>
      <sheetName val="Complaints"/>
      <sheetName val="Tour Summary Report"/>
      <sheetName val="B2B_ORDER_pICK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City Name</v>
          </cell>
          <cell r="C1" t="str">
            <v>Store Name</v>
          </cell>
          <cell r="E1" t="str">
            <v>Store Name (Short)</v>
          </cell>
        </row>
        <row r="2">
          <cell r="B2" t="str">
            <v>Bangalore-Nelamangla</v>
          </cell>
          <cell r="C2" t="str">
            <v>DS-IBBLR-Peenya PH-3</v>
          </cell>
          <cell r="E2" t="str">
            <v>Peenya</v>
          </cell>
        </row>
        <row r="3">
          <cell r="B3" t="str">
            <v>Bangalore-Nelamangla</v>
          </cell>
          <cell r="C3" t="str">
            <v>DS-IBBLR-Peenya PH-3</v>
          </cell>
          <cell r="E3" t="str">
            <v>Peenya</v>
          </cell>
        </row>
        <row r="4">
          <cell r="B4" t="str">
            <v>Bangalore-Nelamangla</v>
          </cell>
          <cell r="C4" t="str">
            <v>DS-IBBLR-Peenya PH-3</v>
          </cell>
          <cell r="E4" t="str">
            <v>Peenya</v>
          </cell>
        </row>
        <row r="5">
          <cell r="B5" t="str">
            <v>Bangalore-Nelamangla</v>
          </cell>
          <cell r="C5" t="str">
            <v>DS-IBBLR-Peenya PH-3</v>
          </cell>
          <cell r="E5" t="str">
            <v>Peenya</v>
          </cell>
        </row>
        <row r="6">
          <cell r="B6" t="str">
            <v>Bangalore-Nelamangla</v>
          </cell>
          <cell r="C6" t="str">
            <v>DS-IBBLR-Peenya PH-3</v>
          </cell>
          <cell r="E6" t="str">
            <v>Peenya</v>
          </cell>
        </row>
        <row r="7">
          <cell r="B7" t="str">
            <v>Bangalore-Nelamangla</v>
          </cell>
          <cell r="C7" t="str">
            <v>DS-IBBLR-Peenya PH-3</v>
          </cell>
          <cell r="E7" t="str">
            <v>Peenya</v>
          </cell>
        </row>
        <row r="8">
          <cell r="B8" t="str">
            <v>Bangalore-Nelamangla</v>
          </cell>
          <cell r="C8" t="str">
            <v>DS-IBBLR-Peenya PH-3</v>
          </cell>
          <cell r="E8" t="str">
            <v>Peenya</v>
          </cell>
        </row>
        <row r="9">
          <cell r="B9" t="str">
            <v>Bangalore-Nelamangla</v>
          </cell>
          <cell r="C9" t="str">
            <v>DS-IBBLR-Peenya PH-3</v>
          </cell>
          <cell r="E9" t="str">
            <v>Peenya</v>
          </cell>
        </row>
        <row r="10">
          <cell r="B10" t="str">
            <v>Bangalore-Nelamangla</v>
          </cell>
          <cell r="C10" t="str">
            <v>DS-IBBLR-Peenya PH-3</v>
          </cell>
          <cell r="E10" t="str">
            <v>Peenya</v>
          </cell>
        </row>
        <row r="11">
          <cell r="B11" t="str">
            <v>Bangalore-Nelamangla</v>
          </cell>
          <cell r="C11" t="str">
            <v>DS-IBBLR-Peenya PH-3</v>
          </cell>
          <cell r="E11" t="str">
            <v>Peenya</v>
          </cell>
        </row>
        <row r="12">
          <cell r="B12" t="str">
            <v>Bangalore-Nelamangla</v>
          </cell>
          <cell r="C12" t="str">
            <v>DS-IBBLR-Peenya PH-3</v>
          </cell>
          <cell r="E12" t="str">
            <v>Peenya</v>
          </cell>
        </row>
        <row r="13">
          <cell r="B13" t="str">
            <v>Bangalore-Soukya</v>
          </cell>
          <cell r="C13" t="str">
            <v>DS-IBBLR-Nagondanaha</v>
          </cell>
          <cell r="E13" t="str">
            <v>Nagondanahalli</v>
          </cell>
        </row>
        <row r="14">
          <cell r="B14" t="str">
            <v>Bangalore-Soukya</v>
          </cell>
          <cell r="C14" t="str">
            <v>DS-IBBLR-Nagondanaha</v>
          </cell>
          <cell r="E14" t="str">
            <v>Nagondanahalli</v>
          </cell>
        </row>
        <row r="15">
          <cell r="B15" t="str">
            <v>Bangalore-Soukya</v>
          </cell>
          <cell r="C15" t="str">
            <v>DS-IBBLR-Nagondanaha</v>
          </cell>
          <cell r="E15" t="str">
            <v>Nagondanahalli</v>
          </cell>
        </row>
        <row r="16">
          <cell r="B16" t="str">
            <v>Bangalore-Soukya</v>
          </cell>
          <cell r="C16" t="str">
            <v>DS-IBBLR-Nagondanaha</v>
          </cell>
          <cell r="E16" t="str">
            <v>Nagondanahalli</v>
          </cell>
        </row>
        <row r="17">
          <cell r="B17" t="str">
            <v>Bangalore-Soukya</v>
          </cell>
          <cell r="C17" t="str">
            <v>DS-IBBLR-Nagondanaha</v>
          </cell>
          <cell r="E17" t="str">
            <v>Nagondanahalli</v>
          </cell>
        </row>
        <row r="18">
          <cell r="B18" t="str">
            <v>Bangalore-Soukya</v>
          </cell>
          <cell r="C18" t="str">
            <v>DS-IBBLR-Nagondanaha</v>
          </cell>
          <cell r="E18" t="str">
            <v>Nagondanahalli</v>
          </cell>
        </row>
        <row r="19">
          <cell r="B19" t="str">
            <v>Bangalore-Soukya</v>
          </cell>
          <cell r="C19" t="str">
            <v>DS-IBBLR-Nagondanaha</v>
          </cell>
          <cell r="E19" t="str">
            <v>Nagondanahalli</v>
          </cell>
        </row>
        <row r="20">
          <cell r="B20" t="str">
            <v>Bangalore-Soukya</v>
          </cell>
          <cell r="C20" t="str">
            <v>DS-IBBLR-Nagondanaha</v>
          </cell>
          <cell r="E20" t="str">
            <v>Nagondanahalli</v>
          </cell>
        </row>
        <row r="21">
          <cell r="B21" t="str">
            <v>Bangalore-Soukya</v>
          </cell>
          <cell r="C21" t="str">
            <v>DS-IBBLR-Nagondanaha</v>
          </cell>
          <cell r="E21" t="str">
            <v>Nagondanahalli</v>
          </cell>
        </row>
        <row r="22">
          <cell r="B22" t="str">
            <v>Bangalore-Soukya</v>
          </cell>
          <cell r="C22" t="str">
            <v>DS-IBBLR-Nagondanaha</v>
          </cell>
          <cell r="E22" t="str">
            <v>Nagondanahalli</v>
          </cell>
        </row>
        <row r="23">
          <cell r="B23" t="str">
            <v>Bangalore-Soukya</v>
          </cell>
          <cell r="C23" t="str">
            <v>DS-IBBLR-Budhigere</v>
          </cell>
          <cell r="E23" t="str">
            <v>Budhigere</v>
          </cell>
        </row>
        <row r="24">
          <cell r="B24" t="str">
            <v>Bangalore-Soukya</v>
          </cell>
          <cell r="C24" t="str">
            <v>DS-IBBLR-Budhigere</v>
          </cell>
          <cell r="E24" t="str">
            <v>Budhigere</v>
          </cell>
        </row>
        <row r="25">
          <cell r="B25" t="str">
            <v>Bangalore-Soukya</v>
          </cell>
          <cell r="C25" t="str">
            <v>DS-IBBLR-Budhigere</v>
          </cell>
          <cell r="E25" t="str">
            <v>Budhigere</v>
          </cell>
        </row>
        <row r="26">
          <cell r="B26" t="str">
            <v>Bangalore-Soukya</v>
          </cell>
          <cell r="C26" t="str">
            <v>DS-IBBLR-Budhigere</v>
          </cell>
          <cell r="E26" t="str">
            <v>Budhigere</v>
          </cell>
        </row>
        <row r="27">
          <cell r="B27" t="str">
            <v>Bangalore-Soukya</v>
          </cell>
          <cell r="C27" t="str">
            <v>DS-IBBLR-Nagondanaha</v>
          </cell>
          <cell r="E27" t="str">
            <v>Nagondanahalli</v>
          </cell>
        </row>
        <row r="28">
          <cell r="B28" t="str">
            <v>Bangalore-Soukya</v>
          </cell>
          <cell r="C28" t="str">
            <v>DS-IBBLR-Nagondanaha</v>
          </cell>
          <cell r="E28" t="str">
            <v>Nagondanahalli</v>
          </cell>
        </row>
        <row r="29">
          <cell r="B29" t="str">
            <v>Bangalore-Soukya</v>
          </cell>
          <cell r="C29" t="str">
            <v>DS-IBBLR-Nagondanaha</v>
          </cell>
          <cell r="E29" t="str">
            <v>Nagondanahalli</v>
          </cell>
        </row>
        <row r="30">
          <cell r="B30" t="str">
            <v>Bangalore-Soukya</v>
          </cell>
          <cell r="C30" t="str">
            <v>DS-IBBLR-Nagondanaha</v>
          </cell>
          <cell r="E30" t="str">
            <v>Nagondanahalli</v>
          </cell>
        </row>
        <row r="31">
          <cell r="B31" t="str">
            <v>Bangalore-Soukya</v>
          </cell>
          <cell r="C31" t="str">
            <v>DS-IBBLR-Nagondanaha</v>
          </cell>
          <cell r="E31" t="str">
            <v>Nagondanahalli</v>
          </cell>
        </row>
        <row r="32">
          <cell r="B32" t="str">
            <v>Bangalore-Soukya</v>
          </cell>
          <cell r="C32" t="str">
            <v>DS-IBBLR-Nagondanaha</v>
          </cell>
          <cell r="E32" t="str">
            <v>Nagondanahalli</v>
          </cell>
        </row>
        <row r="33">
          <cell r="B33" t="str">
            <v>Bangalore-Soukya</v>
          </cell>
          <cell r="C33" t="str">
            <v>DS-IBBLR-Nagondanaha</v>
          </cell>
          <cell r="E33" t="str">
            <v>Nagondanahalli</v>
          </cell>
        </row>
        <row r="34">
          <cell r="B34" t="str">
            <v>Bangalore-Soukya</v>
          </cell>
          <cell r="C34" t="str">
            <v>DS-IBBLR-Attibele</v>
          </cell>
          <cell r="E34" t="str">
            <v>Attibele</v>
          </cell>
        </row>
        <row r="35">
          <cell r="B35" t="str">
            <v>Bangalore-Nelamangla</v>
          </cell>
          <cell r="C35" t="str">
            <v>DS-IBBLR-Chikkasandr</v>
          </cell>
          <cell r="E35" t="str">
            <v>Chikkasandra</v>
          </cell>
        </row>
        <row r="36">
          <cell r="B36" t="str">
            <v>Bangalore-Nelamangla</v>
          </cell>
          <cell r="C36" t="str">
            <v>DS-IBBLR-Chikkasandr</v>
          </cell>
          <cell r="E36" t="str">
            <v>Chikkasandra</v>
          </cell>
        </row>
        <row r="37">
          <cell r="B37" t="str">
            <v>Bangalore-Soukya</v>
          </cell>
          <cell r="C37" t="str">
            <v>DS-IBBLR-Attibele</v>
          </cell>
          <cell r="E37" t="str">
            <v>Attibele</v>
          </cell>
        </row>
        <row r="38">
          <cell r="B38" t="str">
            <v>Bangalore-Soukya</v>
          </cell>
          <cell r="C38" t="str">
            <v>DS-IBBLR-Attibele</v>
          </cell>
          <cell r="E38" t="str">
            <v>Attibele</v>
          </cell>
        </row>
        <row r="39">
          <cell r="B39" t="str">
            <v>Bangalore-Soukya</v>
          </cell>
          <cell r="C39" t="str">
            <v>DS-IBBLR-Nagondanaha</v>
          </cell>
          <cell r="E39" t="str">
            <v>Nagondanahalli</v>
          </cell>
        </row>
        <row r="40">
          <cell r="B40" t="str">
            <v>Bangalore-Nelamangla</v>
          </cell>
          <cell r="C40" t="str">
            <v>IBB-BLR-Chikkasandra-T1</v>
          </cell>
          <cell r="E40" t="str">
            <v>Chikkasandra</v>
          </cell>
        </row>
        <row r="41">
          <cell r="B41" t="str">
            <v>Bangalore-Nelamangla</v>
          </cell>
          <cell r="C41" t="str">
            <v>IBB-BLR-Chikkasandra-T1</v>
          </cell>
          <cell r="E41" t="str">
            <v>Chikkasandra</v>
          </cell>
        </row>
        <row r="42">
          <cell r="B42" t="str">
            <v>Bangalore-Nelamangla</v>
          </cell>
          <cell r="C42" t="str">
            <v>IBB-BLR-Chikkasandra-T1</v>
          </cell>
          <cell r="E42" t="str">
            <v>Chikkasandra</v>
          </cell>
        </row>
        <row r="43">
          <cell r="B43" t="str">
            <v>Bangalore-Soukya</v>
          </cell>
          <cell r="C43" t="str">
            <v>IBB-BLR-Attibele-T1</v>
          </cell>
          <cell r="E43" t="str">
            <v>Attibele</v>
          </cell>
        </row>
        <row r="44">
          <cell r="B44" t="str">
            <v>Bangalore-Nelamangla</v>
          </cell>
          <cell r="C44" t="str">
            <v>IBB-BLR-Chikkasandra-T1</v>
          </cell>
          <cell r="E44" t="str">
            <v>Chikkasandra</v>
          </cell>
        </row>
        <row r="45">
          <cell r="B45" t="str">
            <v>Bangalore-Soukya</v>
          </cell>
          <cell r="C45" t="str">
            <v>DS-IBBLR-Nagondanaha</v>
          </cell>
          <cell r="E45" t="str">
            <v>Nagondanahalli</v>
          </cell>
        </row>
        <row r="46">
          <cell r="B46" t="str">
            <v>Bangalore-Nelamangla</v>
          </cell>
          <cell r="C46" t="str">
            <v>DS-IBBLR-Peenya PH-3</v>
          </cell>
          <cell r="E46" t="str">
            <v>Peenya</v>
          </cell>
        </row>
        <row r="47">
          <cell r="B47" t="str">
            <v>Bangalore-Nelamangla</v>
          </cell>
          <cell r="C47" t="str">
            <v>DS-IBBLR-Chikkasandr</v>
          </cell>
          <cell r="E47" t="str">
            <v>Chikkasandra</v>
          </cell>
        </row>
        <row r="48">
          <cell r="B48" t="str">
            <v>Bangalore-Nelamangla</v>
          </cell>
          <cell r="C48" t="str">
            <v>DS-IBBLR-Chikkasandr</v>
          </cell>
          <cell r="E48" t="str">
            <v>Chikkasandra</v>
          </cell>
        </row>
        <row r="49">
          <cell r="B49" t="str">
            <v>Bangalore-Nelamangla</v>
          </cell>
          <cell r="C49" t="str">
            <v>DS-IBBLR-Chikkasandr</v>
          </cell>
          <cell r="E49" t="str">
            <v>Chikkasandra</v>
          </cell>
        </row>
        <row r="50">
          <cell r="B50" t="str">
            <v>Bangalore-Nelamangla</v>
          </cell>
          <cell r="C50" t="str">
            <v>DS-IBBLR-Chikkasandr</v>
          </cell>
          <cell r="E50" t="str">
            <v>Chikkasandra</v>
          </cell>
        </row>
        <row r="51">
          <cell r="B51" t="str">
            <v>Bangalore-Soukya</v>
          </cell>
          <cell r="C51" t="str">
            <v>DS-IBBLR-Attibele</v>
          </cell>
          <cell r="E51" t="str">
            <v>Attibele</v>
          </cell>
        </row>
        <row r="52">
          <cell r="B52" t="str">
            <v>Bangalore-Nelamangla</v>
          </cell>
          <cell r="C52" t="str">
            <v>DS-IBBLR-Chikkasandr</v>
          </cell>
          <cell r="E52" t="str">
            <v>Chikkasandra</v>
          </cell>
        </row>
        <row r="53">
          <cell r="B53" t="str">
            <v>Bangalore-Nelamangla</v>
          </cell>
          <cell r="C53" t="str">
            <v>DS-IBBLR-Chikkasandr</v>
          </cell>
          <cell r="E53" t="str">
            <v>Chikkasandra</v>
          </cell>
        </row>
        <row r="54">
          <cell r="B54" t="str">
            <v>Bangalore-Soukya</v>
          </cell>
          <cell r="C54" t="str">
            <v>DS-IBBLR-Benson Town</v>
          </cell>
          <cell r="E54" t="str">
            <v>BensonTown</v>
          </cell>
        </row>
        <row r="55">
          <cell r="B55" t="str">
            <v>Bangalore-Soukya</v>
          </cell>
          <cell r="C55" t="str">
            <v>DS-IBBLR-Kallahalli</v>
          </cell>
          <cell r="E55" t="str">
            <v>Kallahalli</v>
          </cell>
        </row>
        <row r="56">
          <cell r="B56" t="str">
            <v>Bangalore-Nelamangla</v>
          </cell>
          <cell r="C56" t="str">
            <v>DS-IBBLR-Bellahalli</v>
          </cell>
          <cell r="E56" t="str">
            <v>BellahalliRoad</v>
          </cell>
        </row>
        <row r="57">
          <cell r="B57" t="str">
            <v>Bangalore-Soukya</v>
          </cell>
          <cell r="C57" t="str">
            <v>DS-IBBLR-Chinappalay</v>
          </cell>
          <cell r="E57" t="str">
            <v>Chinappalay</v>
          </cell>
        </row>
        <row r="58">
          <cell r="B58" t="str">
            <v>Bangalore-Nelamangla</v>
          </cell>
          <cell r="C58" t="str">
            <v>DS-IBBLR-Jala halli</v>
          </cell>
          <cell r="E58" t="str">
            <v>Jalahalli</v>
          </cell>
        </row>
        <row r="59">
          <cell r="B59" t="str">
            <v>Bangalore-Nelamangla</v>
          </cell>
          <cell r="C59" t="str">
            <v>DS-IBBLR-Jala halli</v>
          </cell>
          <cell r="E59" t="str">
            <v>Jalahalli</v>
          </cell>
        </row>
        <row r="60">
          <cell r="B60" t="str">
            <v>Bangalore-Nelamangla</v>
          </cell>
          <cell r="C60" t="str">
            <v>DS-IBBLR-Jigani</v>
          </cell>
          <cell r="E60" t="str">
            <v>Jigani</v>
          </cell>
        </row>
        <row r="61">
          <cell r="B61" t="str">
            <v>Bangalore-Nelamangla</v>
          </cell>
          <cell r="C61" t="str">
            <v>DS-IBBLR-Bellahalli</v>
          </cell>
          <cell r="E61" t="str">
            <v>BellahalliRoad</v>
          </cell>
        </row>
        <row r="62">
          <cell r="B62" t="str">
            <v>Bangalore-Nelamangla</v>
          </cell>
          <cell r="C62" t="str">
            <v>DS-IBBLR-Jakkasandra</v>
          </cell>
          <cell r="E62" t="str">
            <v>Jakkasandra</v>
          </cell>
        </row>
        <row r="63">
          <cell r="B63" t="str">
            <v>Bangalore-Nelamangla</v>
          </cell>
          <cell r="C63" t="str">
            <v>DS-IBBLR-Jakkasandra</v>
          </cell>
          <cell r="E63" t="str">
            <v>Jakkasandra</v>
          </cell>
        </row>
        <row r="64">
          <cell r="B64" t="str">
            <v>Bangalore-Nelamangla</v>
          </cell>
          <cell r="C64" t="str">
            <v>DS-BNBLR-HRBR</v>
          </cell>
          <cell r="E64" t="str">
            <v>HRBR-044</v>
          </cell>
        </row>
        <row r="65">
          <cell r="B65" t="str">
            <v>Bangalore-Soukya</v>
          </cell>
          <cell r="C65" t="str">
            <v>DS-IBBLR-HAL</v>
          </cell>
          <cell r="E65" t="str">
            <v>HAL</v>
          </cell>
        </row>
        <row r="66">
          <cell r="B66" t="str">
            <v>Bangalore-Nelamangla</v>
          </cell>
          <cell r="C66" t="str">
            <v>DS-IBBLR-Jigani</v>
          </cell>
          <cell r="E66" t="str">
            <v>Jigani</v>
          </cell>
        </row>
        <row r="67">
          <cell r="B67" t="str">
            <v>Bangalore-Nelamangla</v>
          </cell>
          <cell r="C67" t="str">
            <v>DS-IBBLR-Bellahalli</v>
          </cell>
          <cell r="E67" t="str">
            <v>BellahalliRoad</v>
          </cell>
        </row>
        <row r="68">
          <cell r="B68" t="str">
            <v>Bangalore-Soukya</v>
          </cell>
          <cell r="C68" t="str">
            <v>DS-IBBLR-HAL</v>
          </cell>
          <cell r="E68" t="str">
            <v>HAL</v>
          </cell>
        </row>
        <row r="69">
          <cell r="B69" t="str">
            <v>Bangalore-Nelamangla</v>
          </cell>
          <cell r="C69" t="str">
            <v>DS-IBBLR-Jakkasandra</v>
          </cell>
          <cell r="E69" t="str">
            <v>Jakkasandra</v>
          </cell>
        </row>
        <row r="70">
          <cell r="B70" t="str">
            <v>Bangalore-Soukya</v>
          </cell>
          <cell r="C70" t="str">
            <v>DS-IBBLR-HAL</v>
          </cell>
          <cell r="E70" t="str">
            <v>HAL</v>
          </cell>
        </row>
        <row r="71">
          <cell r="B71" t="str">
            <v>Bangalore-Nelamangla</v>
          </cell>
          <cell r="C71" t="str">
            <v>DS-BNBLR-HRBR</v>
          </cell>
          <cell r="E71" t="str">
            <v>HRBR-044</v>
          </cell>
        </row>
        <row r="72">
          <cell r="B72" t="str">
            <v>Bangalore-Soukya</v>
          </cell>
          <cell r="C72" t="str">
            <v>DS-IBBLR-HAL</v>
          </cell>
          <cell r="E72" t="str">
            <v>HAL</v>
          </cell>
        </row>
        <row r="73">
          <cell r="B73" t="str">
            <v>Bangalore-Nelamangla</v>
          </cell>
          <cell r="C73" t="str">
            <v>DS-IBBLR-Jakkasandra</v>
          </cell>
          <cell r="E73" t="str">
            <v>Jakkasandra</v>
          </cell>
        </row>
        <row r="74">
          <cell r="B74" t="str">
            <v>Bangalore-Nelamangla</v>
          </cell>
          <cell r="C74" t="str">
            <v>DS-IBBLR-Bellahalli</v>
          </cell>
          <cell r="E74" t="str">
            <v>BellahalliRoad</v>
          </cell>
        </row>
        <row r="75">
          <cell r="B75" t="str">
            <v>Bangalore-Nelamangla</v>
          </cell>
          <cell r="C75" t="str">
            <v>DS-IBBLR-Bellahalli</v>
          </cell>
          <cell r="E75" t="str">
            <v>BellahalliRoad</v>
          </cell>
        </row>
        <row r="76">
          <cell r="B76" t="str">
            <v>Bangalore-Soukya</v>
          </cell>
          <cell r="C76" t="str">
            <v>DS-IBBLR-Chinappalay</v>
          </cell>
          <cell r="E76" t="str">
            <v>Chinappalay</v>
          </cell>
        </row>
        <row r="77">
          <cell r="B77" t="str">
            <v>Bangalore-Nelamangla</v>
          </cell>
          <cell r="C77" t="str">
            <v>DS-IBBLR-Jala halli</v>
          </cell>
          <cell r="E77" t="str">
            <v>Jalahalli</v>
          </cell>
        </row>
        <row r="78">
          <cell r="B78" t="str">
            <v>Bangalore-Soukya</v>
          </cell>
          <cell r="C78" t="str">
            <v>DS-IBBLR-HAL</v>
          </cell>
          <cell r="E78" t="str">
            <v>HAL</v>
          </cell>
        </row>
        <row r="79">
          <cell r="B79" t="str">
            <v>Bangalore-Nelamangla</v>
          </cell>
          <cell r="C79" t="str">
            <v>DS-IBBLR-Bellahalli</v>
          </cell>
          <cell r="E79" t="str">
            <v>BellahalliRoad</v>
          </cell>
        </row>
        <row r="80">
          <cell r="B80" t="str">
            <v>Bangalore-Nelamangla</v>
          </cell>
          <cell r="C80" t="str">
            <v>DS-BNBLR-HRBR</v>
          </cell>
          <cell r="E80" t="str">
            <v>HRBR-044</v>
          </cell>
        </row>
        <row r="81">
          <cell r="B81" t="str">
            <v>Bangalore-Soukya</v>
          </cell>
          <cell r="C81" t="str">
            <v>DS-IBBLR-Lingarajapu</v>
          </cell>
          <cell r="E81" t="str">
            <v>Lingarajapu</v>
          </cell>
        </row>
        <row r="82">
          <cell r="B82" t="str">
            <v>Bangalore-Nelamangla</v>
          </cell>
          <cell r="C82" t="str">
            <v>DS-IBBLR-Jala halli</v>
          </cell>
          <cell r="E82" t="str">
            <v>Jalahalli</v>
          </cell>
        </row>
        <row r="83">
          <cell r="B83" t="str">
            <v>Bangalore-Nelamangla</v>
          </cell>
          <cell r="C83" t="str">
            <v>DS-IBBLR-Devanahalli</v>
          </cell>
          <cell r="E83" t="str">
            <v>Devanahalli</v>
          </cell>
        </row>
        <row r="84">
          <cell r="B84" t="str">
            <v>Bangalore-Nelamangla</v>
          </cell>
          <cell r="C84" t="str">
            <v>DS-IBBLR-Bellahalli</v>
          </cell>
          <cell r="E84" t="str">
            <v>BellahalliRoad</v>
          </cell>
        </row>
        <row r="85">
          <cell r="B85" t="str">
            <v>Bangalore-Nelamangla</v>
          </cell>
          <cell r="C85" t="str">
            <v>DS-IBBLR-Jakkasandra</v>
          </cell>
          <cell r="E85" t="str">
            <v>Jakkasandra</v>
          </cell>
        </row>
        <row r="86">
          <cell r="B86" t="str">
            <v>Bangalore-Soukya</v>
          </cell>
          <cell r="C86" t="str">
            <v>DS-BNBLR-HRBR</v>
          </cell>
          <cell r="E86" t="str">
            <v>HRBR-044</v>
          </cell>
        </row>
        <row r="87">
          <cell r="B87" t="str">
            <v>Bangalore-Nelamangla</v>
          </cell>
          <cell r="C87" t="str">
            <v>DS-IBBLR-Devanahalli</v>
          </cell>
          <cell r="E87" t="str">
            <v>Devanahalli</v>
          </cell>
        </row>
        <row r="88">
          <cell r="B88" t="str">
            <v>Bangalore-Nelamangla</v>
          </cell>
          <cell r="C88" t="str">
            <v>DS-IBBLR-Jala halli</v>
          </cell>
          <cell r="E88" t="str">
            <v>Jalahalli</v>
          </cell>
        </row>
        <row r="89">
          <cell r="B89" t="str">
            <v>Bangalore-Soukya</v>
          </cell>
          <cell r="C89" t="str">
            <v>DS-IBBLR-HAL</v>
          </cell>
          <cell r="E89" t="str">
            <v>HAL</v>
          </cell>
        </row>
        <row r="90">
          <cell r="B90" t="str">
            <v>Bangalore-Nelamangla</v>
          </cell>
          <cell r="C90" t="str">
            <v>DS-IBBLR-Bellahalli</v>
          </cell>
          <cell r="E90" t="str">
            <v>BellahalliRoad</v>
          </cell>
        </row>
        <row r="91">
          <cell r="B91" t="str">
            <v>Bangalore-Nelamangla</v>
          </cell>
          <cell r="C91" t="str">
            <v>DS-IBBLR-Jakkasandra</v>
          </cell>
          <cell r="E91" t="str">
            <v>Jakkasandra</v>
          </cell>
        </row>
        <row r="92">
          <cell r="B92" t="str">
            <v>Bangalore-Soukya</v>
          </cell>
          <cell r="C92" t="str">
            <v>DS-IBBLR-Kallahalli</v>
          </cell>
          <cell r="E92" t="str">
            <v>Kallahalli</v>
          </cell>
        </row>
        <row r="93">
          <cell r="B93" t="str">
            <v>Bangalore-Nelamangla</v>
          </cell>
          <cell r="C93" t="str">
            <v>DS-BNBLR-HRBR</v>
          </cell>
          <cell r="E93" t="str">
            <v>HRBR-044</v>
          </cell>
        </row>
        <row r="94">
          <cell r="B94" t="str">
            <v>Bangalore-Nelamangla</v>
          </cell>
          <cell r="C94" t="str">
            <v>DS-IBBLR-Jala halli</v>
          </cell>
          <cell r="E94" t="str">
            <v>Jalahalli</v>
          </cell>
        </row>
        <row r="95">
          <cell r="B95" t="str">
            <v>Bangalore-Soukya</v>
          </cell>
          <cell r="C95" t="str">
            <v>DS-IBBLR-Chinappalay</v>
          </cell>
          <cell r="E95" t="str">
            <v>Chinappalay</v>
          </cell>
        </row>
        <row r="96">
          <cell r="B96" t="str">
            <v>Bangalore-Nelamangla</v>
          </cell>
          <cell r="C96" t="str">
            <v>DS-BNBLR-HRBR</v>
          </cell>
          <cell r="E96" t="str">
            <v>HRBR-044</v>
          </cell>
        </row>
        <row r="97">
          <cell r="B97" t="str">
            <v>Bangalore-Nelamangla</v>
          </cell>
          <cell r="C97" t="str">
            <v>DS-IBBLR-Devanahalli</v>
          </cell>
          <cell r="E97" t="str">
            <v>Devanahalli</v>
          </cell>
        </row>
        <row r="98">
          <cell r="B98" t="str">
            <v>Bangalore-Soukya</v>
          </cell>
          <cell r="C98" t="str">
            <v>DS-IBBLR-HAL</v>
          </cell>
          <cell r="E98" t="str">
            <v>HAL</v>
          </cell>
        </row>
        <row r="99">
          <cell r="B99" t="str">
            <v>Bangalore-Nelamangla</v>
          </cell>
          <cell r="C99" t="str">
            <v>DS-IBBLR-Jakkasandra</v>
          </cell>
          <cell r="E99" t="str">
            <v>Jakkasandra</v>
          </cell>
        </row>
        <row r="100">
          <cell r="B100" t="str">
            <v>Bangalore-Soukya</v>
          </cell>
          <cell r="C100" t="str">
            <v>DS-IBBLR-Lingarajapu</v>
          </cell>
          <cell r="E100" t="str">
            <v>Lingarajapu</v>
          </cell>
        </row>
        <row r="101">
          <cell r="B101" t="str">
            <v>Bangalore-Nelamangla</v>
          </cell>
          <cell r="C101" t="str">
            <v>DS-IBBLR-Jigani</v>
          </cell>
          <cell r="E101" t="str">
            <v>Jigani</v>
          </cell>
        </row>
        <row r="102">
          <cell r="B102" t="str">
            <v>Bangalore-Soukya</v>
          </cell>
          <cell r="C102" t="str">
            <v>DS-BNBLR-HRBR</v>
          </cell>
          <cell r="E102" t="str">
            <v>HRBR-044</v>
          </cell>
        </row>
        <row r="103">
          <cell r="B103" t="str">
            <v>Bangalore-Soukya</v>
          </cell>
          <cell r="C103" t="str">
            <v>DS-IBBLR-HAL</v>
          </cell>
          <cell r="E103" t="str">
            <v>HAL</v>
          </cell>
        </row>
        <row r="104">
          <cell r="B104" t="str">
            <v>Bangalore-Nelamangla</v>
          </cell>
          <cell r="C104" t="str">
            <v>DS-IBBLR-Jakkasandra</v>
          </cell>
          <cell r="E104" t="str">
            <v>Jakkasandra</v>
          </cell>
        </row>
        <row r="105">
          <cell r="B105" t="str">
            <v>Bangalore-Nelamangla</v>
          </cell>
          <cell r="C105" t="str">
            <v>DS-IBBLR-Jakkasandra</v>
          </cell>
          <cell r="E105" t="str">
            <v>Jakkasandra</v>
          </cell>
        </row>
        <row r="106">
          <cell r="B106" t="str">
            <v>Bangalore-Nelamangla</v>
          </cell>
          <cell r="C106" t="str">
            <v>DS-BNBLR-HRBR</v>
          </cell>
          <cell r="E106" t="str">
            <v>HRBR-044</v>
          </cell>
        </row>
        <row r="107">
          <cell r="B107" t="str">
            <v>Bangalore-Nelamangla</v>
          </cell>
          <cell r="C107" t="str">
            <v>DS-BNBLR-HRBR</v>
          </cell>
          <cell r="E107" t="str">
            <v>HRBR-044</v>
          </cell>
        </row>
        <row r="108">
          <cell r="B108" t="str">
            <v>Bangalore-Nelamangla</v>
          </cell>
          <cell r="C108" t="str">
            <v>DS-BNBLR-HRBR</v>
          </cell>
          <cell r="E108" t="str">
            <v>HRBR-044</v>
          </cell>
        </row>
        <row r="109">
          <cell r="B109" t="str">
            <v>Bangalore-Soukya</v>
          </cell>
          <cell r="C109" t="str">
            <v>DS-IBBLR-Nagondanaha</v>
          </cell>
          <cell r="E109" t="str">
            <v>Nagondanahalli</v>
          </cell>
        </row>
        <row r="110">
          <cell r="B110" t="str">
            <v>Bangalore-Soukya</v>
          </cell>
          <cell r="C110" t="str">
            <v>DS-IBBLR-Nagondanaha</v>
          </cell>
          <cell r="E110" t="str">
            <v>Nagondanahalli</v>
          </cell>
        </row>
        <row r="111">
          <cell r="B111" t="str">
            <v>Bangalore-Soukya</v>
          </cell>
          <cell r="C111" t="str">
            <v>DS-IBBLR-Nagondanaha</v>
          </cell>
          <cell r="E111" t="str">
            <v>Nagondanahalli</v>
          </cell>
        </row>
        <row r="112">
          <cell r="B112" t="str">
            <v>Bangalore-Soukya</v>
          </cell>
          <cell r="C112" t="str">
            <v>DS-IBBLR-Nagondanaha</v>
          </cell>
          <cell r="E112" t="str">
            <v>Nagondanahalli</v>
          </cell>
        </row>
        <row r="113">
          <cell r="B113" t="str">
            <v>Bangalore-Soukya</v>
          </cell>
          <cell r="C113" t="str">
            <v>DS-IBBLR-Nagondanaha</v>
          </cell>
          <cell r="E113" t="str">
            <v>Nagondanahalli</v>
          </cell>
        </row>
        <row r="114">
          <cell r="B114" t="str">
            <v>Bangalore-Soukya</v>
          </cell>
          <cell r="C114" t="str">
            <v>DS-IBBLR-Nagondanaha</v>
          </cell>
          <cell r="E114" t="str">
            <v>Nagondanahalli</v>
          </cell>
        </row>
        <row r="115">
          <cell r="B115" t="str">
            <v>Bangalore-Soukya</v>
          </cell>
          <cell r="C115" t="str">
            <v>DS-IBBLR-Nagondanaha</v>
          </cell>
          <cell r="E115" t="str">
            <v>Nagondanahalli</v>
          </cell>
        </row>
        <row r="116">
          <cell r="B116" t="str">
            <v>Bangalore-Soukya</v>
          </cell>
          <cell r="C116" t="str">
            <v>DS-IBBLR-Nagondanaha</v>
          </cell>
          <cell r="E116" t="str">
            <v>Nagondanahalli</v>
          </cell>
        </row>
        <row r="117">
          <cell r="B117" t="str">
            <v>Bangalore-Soukya</v>
          </cell>
          <cell r="C117" t="str">
            <v>DS-IBBLR-Nagondanaha</v>
          </cell>
          <cell r="E117" t="str">
            <v>Nagondanahalli</v>
          </cell>
        </row>
        <row r="118">
          <cell r="B118" t="str">
            <v>Bangalore-Soukya</v>
          </cell>
          <cell r="C118" t="str">
            <v>DS-IBBLR-Nagondanaha</v>
          </cell>
          <cell r="E118" t="str">
            <v>Nagondanahalli</v>
          </cell>
        </row>
        <row r="119">
          <cell r="B119" t="str">
            <v>Bangalore-Soukya</v>
          </cell>
          <cell r="C119" t="str">
            <v>DS-IBBLR-Nagondanaha</v>
          </cell>
          <cell r="E119" t="str">
            <v>Nagondanahalli</v>
          </cell>
        </row>
        <row r="120">
          <cell r="B120" t="str">
            <v>Bangalore-Soukya</v>
          </cell>
          <cell r="C120" t="str">
            <v>DS-IBBLR-Nagondanaha</v>
          </cell>
          <cell r="E120" t="str">
            <v>Nagondanahalli</v>
          </cell>
        </row>
        <row r="121">
          <cell r="B121" t="str">
            <v>Bangalore-Soukya</v>
          </cell>
          <cell r="C121" t="str">
            <v>DS-IBBLR-Nagondanaha</v>
          </cell>
          <cell r="E121" t="str">
            <v>Nagondanahalli</v>
          </cell>
        </row>
        <row r="122">
          <cell r="B122" t="str">
            <v>Bangalore-Soukya</v>
          </cell>
          <cell r="C122" t="str">
            <v>DS-IBBLR-Nagondanaha</v>
          </cell>
          <cell r="E122" t="str">
            <v>Nagondanahalli</v>
          </cell>
        </row>
        <row r="123">
          <cell r="B123" t="str">
            <v>Bangalore-Soukya</v>
          </cell>
          <cell r="C123" t="str">
            <v>DS-IBBLR-Nagondanaha</v>
          </cell>
          <cell r="E123" t="str">
            <v>Nagondanahalli</v>
          </cell>
        </row>
        <row r="124">
          <cell r="B124" t="str">
            <v>Bangalore-Soukya</v>
          </cell>
          <cell r="C124" t="str">
            <v>DS-IBBLR-Nagondanaha</v>
          </cell>
          <cell r="E124" t="str">
            <v>Nagondanahalli</v>
          </cell>
        </row>
        <row r="125">
          <cell r="B125" t="str">
            <v>Bangalore-Soukya</v>
          </cell>
          <cell r="C125" t="str">
            <v>DS-IBBLR-Nagondanaha</v>
          </cell>
          <cell r="E125" t="str">
            <v>Nagondanahalli</v>
          </cell>
        </row>
        <row r="126">
          <cell r="B126" t="str">
            <v>Bangalore-Soukya</v>
          </cell>
          <cell r="C126" t="str">
            <v>DS-IBBLR-Nagondanaha</v>
          </cell>
          <cell r="E126" t="str">
            <v>Nagondanahalli</v>
          </cell>
        </row>
        <row r="127">
          <cell r="B127" t="str">
            <v>Bangalore-Soukya</v>
          </cell>
          <cell r="C127" t="str">
            <v>DS-IBBLR-Nagondanaha</v>
          </cell>
          <cell r="E127" t="str">
            <v>Nagondanahalli</v>
          </cell>
        </row>
        <row r="128">
          <cell r="B128" t="str">
            <v>Bangalore-Soukya</v>
          </cell>
          <cell r="C128" t="str">
            <v>DS-IBBLR-Nagondanaha</v>
          </cell>
          <cell r="E128" t="str">
            <v>Nagondanahalli</v>
          </cell>
        </row>
        <row r="129">
          <cell r="B129" t="str">
            <v>Bangalore-Soukya</v>
          </cell>
          <cell r="C129" t="str">
            <v>DS-IBBLR-Nagondanaha</v>
          </cell>
          <cell r="E129" t="str">
            <v>Nagondanahalli</v>
          </cell>
        </row>
        <row r="130">
          <cell r="B130" t="str">
            <v>Bangalore-Soukya</v>
          </cell>
          <cell r="C130" t="str">
            <v>DS-IBBLR-Nagondanaha</v>
          </cell>
          <cell r="E130" t="str">
            <v>Nagondanahalli</v>
          </cell>
        </row>
        <row r="131">
          <cell r="B131" t="str">
            <v>Bangalore-Soukya</v>
          </cell>
          <cell r="C131" t="str">
            <v>DS-IBBLR-Nagondanaha</v>
          </cell>
          <cell r="E131" t="str">
            <v>Nagondanahalli</v>
          </cell>
        </row>
        <row r="132">
          <cell r="B132" t="str">
            <v>Bangalore-Soukya</v>
          </cell>
          <cell r="C132" t="str">
            <v>DS-IBBLR-Nagondanaha</v>
          </cell>
          <cell r="E132" t="str">
            <v>Nagondanahalli</v>
          </cell>
        </row>
        <row r="133">
          <cell r="B133" t="str">
            <v>Bangalore-Soukya</v>
          </cell>
          <cell r="C133" t="str">
            <v>DS-IBBLR-Nagondanaha</v>
          </cell>
          <cell r="E133" t="str">
            <v>Nagondanahalli</v>
          </cell>
        </row>
        <row r="134">
          <cell r="B134" t="str">
            <v>Bangalore-Soukya</v>
          </cell>
          <cell r="C134" t="str">
            <v>DS-IBBLR-Nagondanaha</v>
          </cell>
          <cell r="E134" t="str">
            <v>Nagondanahalli</v>
          </cell>
        </row>
        <row r="135">
          <cell r="B135" t="str">
            <v>Bangalore-Soukya</v>
          </cell>
          <cell r="C135" t="str">
            <v>DS-IBBLR-Nagondanaha</v>
          </cell>
          <cell r="E135" t="str">
            <v>Nagondanahalli</v>
          </cell>
        </row>
        <row r="136">
          <cell r="B136" t="str">
            <v>Bangalore-Soukya</v>
          </cell>
          <cell r="C136" t="str">
            <v>DS-IBBLR-Nagondanaha</v>
          </cell>
          <cell r="E136" t="str">
            <v>Nagondanahalli</v>
          </cell>
        </row>
        <row r="137">
          <cell r="B137" t="str">
            <v>Bangalore-Soukya</v>
          </cell>
          <cell r="C137" t="str">
            <v>DS-IBBLR-Nagondanaha</v>
          </cell>
          <cell r="E137" t="str">
            <v>Nagondanahalli</v>
          </cell>
        </row>
        <row r="138">
          <cell r="B138" t="str">
            <v>Bangalore-Soukya</v>
          </cell>
          <cell r="C138" t="str">
            <v>DS-IBBLR-Nagondanaha</v>
          </cell>
          <cell r="E138" t="str">
            <v>Nagondanahalli</v>
          </cell>
        </row>
        <row r="139">
          <cell r="B139" t="str">
            <v>Bangalore-Soukya</v>
          </cell>
          <cell r="C139" t="str">
            <v>DS-IBBLR-Nagondanaha</v>
          </cell>
          <cell r="E139" t="str">
            <v>Nagondanahalli</v>
          </cell>
        </row>
        <row r="140">
          <cell r="B140" t="str">
            <v>Bangalore-Soukya</v>
          </cell>
          <cell r="C140" t="str">
            <v>DS-IBBLR-Nagondanaha</v>
          </cell>
          <cell r="E140" t="str">
            <v>Nagondanahalli</v>
          </cell>
        </row>
        <row r="141">
          <cell r="B141" t="str">
            <v>Bangalore-Soukya</v>
          </cell>
          <cell r="C141" t="str">
            <v>DS-IBBLR-Nagondanaha</v>
          </cell>
          <cell r="E141" t="str">
            <v>Nagondanahalli</v>
          </cell>
        </row>
        <row r="142">
          <cell r="B142" t="str">
            <v>Bangalore-Soukya</v>
          </cell>
          <cell r="C142" t="str">
            <v>DS-IBBLR-Nagondanaha</v>
          </cell>
          <cell r="E142" t="str">
            <v>Nagondanahalli</v>
          </cell>
        </row>
        <row r="143">
          <cell r="B143" t="str">
            <v>Bangalore-Soukya</v>
          </cell>
          <cell r="C143" t="str">
            <v>DS-IBBLR-Budhigere</v>
          </cell>
          <cell r="E143" t="str">
            <v>Budhigere</v>
          </cell>
        </row>
        <row r="144">
          <cell r="B144" t="str">
            <v>Bangalore-Soukya</v>
          </cell>
          <cell r="C144" t="str">
            <v>DS-IBBLR-Budhigere</v>
          </cell>
          <cell r="E144" t="str">
            <v>Budhigere</v>
          </cell>
        </row>
        <row r="145">
          <cell r="B145" t="str">
            <v>Bangalore-Soukya</v>
          </cell>
          <cell r="C145" t="str">
            <v>DS-IBBLR-Budhigere</v>
          </cell>
          <cell r="E145" t="str">
            <v>Budhigere</v>
          </cell>
        </row>
        <row r="146">
          <cell r="B146" t="str">
            <v>Bangalore-Soukya</v>
          </cell>
          <cell r="C146" t="str">
            <v>DS-IBBLR-Budhigere</v>
          </cell>
          <cell r="E146" t="str">
            <v>Budhigere</v>
          </cell>
        </row>
        <row r="147">
          <cell r="B147" t="str">
            <v>Bangalore-Soukya</v>
          </cell>
          <cell r="C147" t="str">
            <v>DS-IBBLR-Budhigere</v>
          </cell>
          <cell r="E147" t="str">
            <v>Budhigere</v>
          </cell>
        </row>
        <row r="148">
          <cell r="B148" t="str">
            <v>Bangalore-Soukya</v>
          </cell>
          <cell r="C148" t="str">
            <v>DS-IBBLR-Budhigere</v>
          </cell>
          <cell r="E148" t="str">
            <v>Budhigere</v>
          </cell>
        </row>
        <row r="149">
          <cell r="B149" t="str">
            <v>Bangalore-Soukya</v>
          </cell>
          <cell r="C149" t="str">
            <v>DS-IBBLR-Budhigere</v>
          </cell>
          <cell r="E149" t="str">
            <v>Budhigere</v>
          </cell>
        </row>
        <row r="150">
          <cell r="B150" t="str">
            <v>Bangalore-Soukya</v>
          </cell>
          <cell r="C150" t="str">
            <v>DS-IBBLR-Budhigere</v>
          </cell>
          <cell r="E150" t="str">
            <v>Budhigere</v>
          </cell>
        </row>
        <row r="151">
          <cell r="B151" t="str">
            <v>Bangalore-Soukya</v>
          </cell>
          <cell r="C151" t="str">
            <v>DS-IBBLR-Budhigere</v>
          </cell>
          <cell r="E151" t="str">
            <v>Budhigere</v>
          </cell>
        </row>
        <row r="152">
          <cell r="B152" t="str">
            <v>Bangalore-Soukya</v>
          </cell>
          <cell r="C152" t="str">
            <v>DS-IBBLR-Budhigere</v>
          </cell>
          <cell r="E152" t="str">
            <v>Budhigere</v>
          </cell>
        </row>
        <row r="153">
          <cell r="B153" t="str">
            <v>Bangalore-Soukya</v>
          </cell>
          <cell r="C153" t="str">
            <v>DS-IBBLR-Budhigere</v>
          </cell>
          <cell r="E153" t="str">
            <v>Budhigere</v>
          </cell>
        </row>
        <row r="154">
          <cell r="B154" t="str">
            <v>Bangalore-Soukya</v>
          </cell>
          <cell r="C154" t="str">
            <v>DS-IBBLR-Nagondanaha</v>
          </cell>
          <cell r="E154" t="str">
            <v>Nagondanahalli</v>
          </cell>
        </row>
        <row r="155">
          <cell r="B155" t="str">
            <v>Bangalore-Soukya</v>
          </cell>
          <cell r="C155" t="str">
            <v>DS-IBBLR-Nagondanaha</v>
          </cell>
          <cell r="E155" t="str">
            <v>Nagondanahalli</v>
          </cell>
        </row>
        <row r="156">
          <cell r="B156" t="str">
            <v>Bangalore-Soukya</v>
          </cell>
          <cell r="C156" t="str">
            <v>DS-IBBLR-Nagondanaha</v>
          </cell>
          <cell r="E156" t="str">
            <v>Nagondanahalli</v>
          </cell>
        </row>
        <row r="157">
          <cell r="B157" t="str">
            <v>Bangalore-Soukya</v>
          </cell>
          <cell r="C157" t="str">
            <v>DS-IBBLR-Nagondanaha</v>
          </cell>
          <cell r="E157" t="str">
            <v>Nagondanahalli</v>
          </cell>
        </row>
        <row r="158">
          <cell r="B158" t="str">
            <v>Bangalore-Soukya</v>
          </cell>
          <cell r="C158" t="str">
            <v>DS-IBBLR-Nagondanaha</v>
          </cell>
          <cell r="E158" t="str">
            <v>Nagondanahalli</v>
          </cell>
        </row>
        <row r="159">
          <cell r="B159" t="str">
            <v>Bangalore-Soukya</v>
          </cell>
          <cell r="C159" t="str">
            <v>DS-IBBLR-Nagondanaha</v>
          </cell>
          <cell r="E159" t="str">
            <v>Nagondanahalli</v>
          </cell>
        </row>
        <row r="160">
          <cell r="B160" t="str">
            <v>Bangalore-Soukya</v>
          </cell>
          <cell r="C160" t="str">
            <v>DS-IBBLR-Nagondanaha</v>
          </cell>
          <cell r="E160" t="str">
            <v>Nagondanahalli</v>
          </cell>
        </row>
        <row r="161">
          <cell r="B161" t="str">
            <v>Bangalore-Soukya</v>
          </cell>
          <cell r="C161" t="str">
            <v>DS-IBBLR-Nagondanaha</v>
          </cell>
          <cell r="E161" t="str">
            <v>Nagondanahalli</v>
          </cell>
        </row>
        <row r="162">
          <cell r="B162" t="str">
            <v>Bangalore-Soukya</v>
          </cell>
          <cell r="C162" t="str">
            <v>DS-IBBLR-Nagondanaha</v>
          </cell>
          <cell r="E162" t="str">
            <v>Nagondanahalli</v>
          </cell>
        </row>
        <row r="163">
          <cell r="B163" t="str">
            <v>Bangalore-Soukya</v>
          </cell>
          <cell r="C163" t="str">
            <v>DS-IBBLR-Nagondanaha</v>
          </cell>
          <cell r="E163" t="str">
            <v>Nagondanahalli</v>
          </cell>
        </row>
        <row r="164">
          <cell r="B164" t="str">
            <v>Bangalore-Soukya</v>
          </cell>
          <cell r="C164" t="str">
            <v>DS-IBBLR-Nagondanaha</v>
          </cell>
          <cell r="E164" t="str">
            <v>Nagondanahalli</v>
          </cell>
        </row>
        <row r="165">
          <cell r="B165" t="str">
            <v>Bangalore-Soukya</v>
          </cell>
          <cell r="C165" t="str">
            <v>DS-IBBLR-Nagondanaha</v>
          </cell>
          <cell r="E165" t="str">
            <v>Nagondanahalli</v>
          </cell>
        </row>
        <row r="166">
          <cell r="B166" t="str">
            <v>Bangalore-Soukya</v>
          </cell>
          <cell r="C166" t="str">
            <v>DS-IBBLR-Nagondanaha</v>
          </cell>
          <cell r="E166" t="str">
            <v>Nagondanahalli</v>
          </cell>
        </row>
        <row r="167">
          <cell r="B167" t="str">
            <v>Bangalore-Soukya</v>
          </cell>
          <cell r="C167" t="str">
            <v>DS-IBBLR-Nagondanaha</v>
          </cell>
          <cell r="E167" t="str">
            <v>Nagondanahalli</v>
          </cell>
        </row>
        <row r="168">
          <cell r="B168" t="str">
            <v>Bangalore-Soukya</v>
          </cell>
          <cell r="C168" t="str">
            <v>DS-IBBLR-Nagondanaha</v>
          </cell>
          <cell r="E168" t="str">
            <v>Nagondanahalli</v>
          </cell>
        </row>
        <row r="169">
          <cell r="B169" t="str">
            <v>Bangalore-Soukya</v>
          </cell>
          <cell r="C169" t="str">
            <v>DS-IBBLR-Nagondanaha</v>
          </cell>
          <cell r="E169" t="str">
            <v>Nagondanahalli</v>
          </cell>
        </row>
        <row r="170">
          <cell r="B170" t="str">
            <v>Bangalore-Soukya</v>
          </cell>
          <cell r="C170" t="str">
            <v>DS-IBBLR-Nagondanaha</v>
          </cell>
          <cell r="E170" t="str">
            <v>Nagondanahalli</v>
          </cell>
        </row>
        <row r="171">
          <cell r="B171" t="str">
            <v>Bangalore-Soukya</v>
          </cell>
          <cell r="C171" t="str">
            <v>DS-IBBLR-Nagondanaha</v>
          </cell>
          <cell r="E171" t="str">
            <v>Nagondanahalli</v>
          </cell>
        </row>
        <row r="172">
          <cell r="B172" t="str">
            <v>Bangalore-Soukya</v>
          </cell>
          <cell r="C172" t="str">
            <v>DS-IBBLR-Nagondanaha</v>
          </cell>
          <cell r="E172" t="str">
            <v>Nagondanahalli</v>
          </cell>
        </row>
        <row r="173">
          <cell r="B173" t="str">
            <v>Bangalore-Soukya</v>
          </cell>
          <cell r="C173" t="str">
            <v>DS-IBBLR-Nagondanaha</v>
          </cell>
          <cell r="E173" t="str">
            <v>Nagondanahalli</v>
          </cell>
        </row>
        <row r="174">
          <cell r="B174" t="str">
            <v>Bangalore-Soukya</v>
          </cell>
          <cell r="C174" t="str">
            <v>DS-IBBLR-Nagondanaha</v>
          </cell>
          <cell r="E174" t="str">
            <v>Nagondanahalli</v>
          </cell>
        </row>
        <row r="175">
          <cell r="B175" t="str">
            <v>Bangalore-Soukya</v>
          </cell>
          <cell r="C175" t="str">
            <v>DS-IBBLR-Nagondanaha</v>
          </cell>
          <cell r="E175" t="str">
            <v>Nagondanahalli</v>
          </cell>
        </row>
        <row r="176">
          <cell r="B176" t="str">
            <v>Bangalore-Soukya</v>
          </cell>
          <cell r="C176" t="str">
            <v>DS-IBBLR-Nagondanaha</v>
          </cell>
          <cell r="E176" t="str">
            <v>Nagondanahalli</v>
          </cell>
        </row>
        <row r="177">
          <cell r="B177" t="str">
            <v>Bangalore-Soukya</v>
          </cell>
          <cell r="C177" t="str">
            <v>DS-IBBLR-Nagondanaha</v>
          </cell>
          <cell r="E177" t="str">
            <v>Nagondanahalli</v>
          </cell>
        </row>
        <row r="178">
          <cell r="B178" t="str">
            <v>Bangalore-Soukya</v>
          </cell>
          <cell r="C178" t="str">
            <v>DS-IBBLR-Nagondanaha</v>
          </cell>
          <cell r="E178" t="str">
            <v>Nagondanahalli</v>
          </cell>
        </row>
        <row r="179">
          <cell r="B179" t="str">
            <v>Bangalore-Soukya</v>
          </cell>
          <cell r="C179" t="str">
            <v>DS-IBBLR-Nagondanaha</v>
          </cell>
          <cell r="E179" t="str">
            <v>Nagondanahalli</v>
          </cell>
        </row>
        <row r="180">
          <cell r="B180" t="str">
            <v>Bangalore-Soukya</v>
          </cell>
          <cell r="C180" t="str">
            <v>DS-IBBLR-Nagondanaha</v>
          </cell>
          <cell r="E180" t="str">
            <v>Nagondanahalli</v>
          </cell>
        </row>
        <row r="181">
          <cell r="B181" t="str">
            <v>Bangalore-Soukya</v>
          </cell>
          <cell r="C181" t="str">
            <v>DS-IBBLR-Nagondanaha</v>
          </cell>
          <cell r="E181" t="str">
            <v>Nagondanahalli</v>
          </cell>
        </row>
        <row r="182">
          <cell r="B182" t="str">
            <v>Bangalore-Soukya</v>
          </cell>
          <cell r="C182" t="str">
            <v>DS-IBBLR-Nagondanaha</v>
          </cell>
          <cell r="E182" t="str">
            <v>Nagondanahalli</v>
          </cell>
        </row>
        <row r="183">
          <cell r="B183" t="str">
            <v>Bangalore-Soukya</v>
          </cell>
          <cell r="C183" t="str">
            <v>DS-IBBLR-Nagondanaha</v>
          </cell>
          <cell r="E183" t="str">
            <v>Nagondanahalli</v>
          </cell>
        </row>
        <row r="184">
          <cell r="B184" t="str">
            <v>Bangalore-Soukya</v>
          </cell>
          <cell r="C184" t="str">
            <v>DS-IBBLR-Nagondanaha</v>
          </cell>
          <cell r="E184" t="str">
            <v>Nagondanahalli</v>
          </cell>
        </row>
        <row r="185">
          <cell r="B185" t="str">
            <v>Bangalore-Soukya</v>
          </cell>
          <cell r="C185" t="str">
            <v>DS-IBBLR-Nagondanaha</v>
          </cell>
          <cell r="E185" t="str">
            <v>Nagondanahalli</v>
          </cell>
        </row>
        <row r="186">
          <cell r="B186" t="str">
            <v>Bangalore-Soukya</v>
          </cell>
          <cell r="C186" t="str">
            <v>DS-IBBLR-Nagondanaha</v>
          </cell>
          <cell r="E186" t="str">
            <v>Nagondanahalli</v>
          </cell>
        </row>
        <row r="187">
          <cell r="B187" t="str">
            <v>Bangalore-Soukya</v>
          </cell>
          <cell r="C187" t="str">
            <v>DS-IBBLR-Nagondanaha</v>
          </cell>
          <cell r="E187" t="str">
            <v>Nagondanahalli</v>
          </cell>
        </row>
        <row r="188">
          <cell r="B188" t="str">
            <v>Bangalore-Soukya</v>
          </cell>
          <cell r="C188" t="str">
            <v>DS-IBBLR-Nagondanaha</v>
          </cell>
          <cell r="E188" t="str">
            <v>Nagondanahalli</v>
          </cell>
        </row>
        <row r="189">
          <cell r="B189" t="str">
            <v>Bangalore-Soukya</v>
          </cell>
          <cell r="C189" t="str">
            <v>DS-IBBLR-Nagondanaha</v>
          </cell>
          <cell r="E189" t="str">
            <v>Nagondanahalli</v>
          </cell>
        </row>
        <row r="190">
          <cell r="B190" t="str">
            <v>Bangalore-Soukya</v>
          </cell>
          <cell r="C190" t="str">
            <v>DS-IBBLR-Nagondanaha</v>
          </cell>
          <cell r="E190" t="str">
            <v>Nagondanahalli</v>
          </cell>
        </row>
        <row r="191">
          <cell r="B191" t="str">
            <v>Bangalore-Soukya</v>
          </cell>
          <cell r="C191" t="str">
            <v>DS-IBBLR-Nagondanaha</v>
          </cell>
          <cell r="E191" t="str">
            <v>Nagondanahalli</v>
          </cell>
        </row>
        <row r="192">
          <cell r="B192" t="str">
            <v>Bangalore-Soukya</v>
          </cell>
          <cell r="C192" t="str">
            <v>DS-IBBLR-Nagondanaha</v>
          </cell>
          <cell r="E192" t="str">
            <v>Nagondanahalli</v>
          </cell>
        </row>
        <row r="193">
          <cell r="B193" t="str">
            <v>Bangalore-Soukya</v>
          </cell>
          <cell r="C193" t="str">
            <v>DS-IBBLR-Nagondanaha</v>
          </cell>
          <cell r="E193" t="str">
            <v>Nagondanahalli</v>
          </cell>
        </row>
        <row r="194">
          <cell r="B194" t="str">
            <v>Bangalore-Soukya</v>
          </cell>
          <cell r="C194" t="str">
            <v>DS-IBBLR-Nagondanaha</v>
          </cell>
          <cell r="E194" t="str">
            <v>Nagondanahalli</v>
          </cell>
        </row>
        <row r="195">
          <cell r="B195" t="str">
            <v>Bangalore-Soukya</v>
          </cell>
          <cell r="C195" t="str">
            <v>DS-IBBLR-Nagondanaha</v>
          </cell>
          <cell r="E195" t="str">
            <v>Nagondanahalli</v>
          </cell>
        </row>
        <row r="196">
          <cell r="B196" t="str">
            <v>Bangalore-Soukya</v>
          </cell>
          <cell r="C196" t="str">
            <v>DS-IBBLR-Nagondanaha</v>
          </cell>
          <cell r="E196" t="str">
            <v>Nagondanahalli</v>
          </cell>
        </row>
        <row r="197">
          <cell r="B197" t="str">
            <v>Bangalore-Soukya</v>
          </cell>
          <cell r="C197" t="str">
            <v>DS-IBBLR-Nagondanaha</v>
          </cell>
          <cell r="E197" t="str">
            <v>Nagondanahalli</v>
          </cell>
        </row>
        <row r="198">
          <cell r="B198" t="str">
            <v>Bangalore-Soukya</v>
          </cell>
          <cell r="C198" t="str">
            <v>DS-IBBLR-Nagondanaha</v>
          </cell>
          <cell r="E198" t="str">
            <v>Nagondanahalli</v>
          </cell>
        </row>
        <row r="199">
          <cell r="B199" t="str">
            <v>Bangalore-Soukya</v>
          </cell>
          <cell r="C199" t="str">
            <v>DS-IBBLR-Nagondanaha</v>
          </cell>
          <cell r="E199" t="str">
            <v>Nagondanahalli</v>
          </cell>
        </row>
        <row r="200">
          <cell r="B200" t="str">
            <v>Bangalore-Soukya</v>
          </cell>
          <cell r="C200" t="str">
            <v>DS-IBBLR-Nagondanaha</v>
          </cell>
          <cell r="E200" t="str">
            <v>Nagondanahalli</v>
          </cell>
        </row>
        <row r="201">
          <cell r="B201" t="str">
            <v>Bangalore-Soukya</v>
          </cell>
          <cell r="C201" t="str">
            <v>DS-IBBLR-Nagondanaha</v>
          </cell>
          <cell r="E201" t="str">
            <v>Nagondanahalli</v>
          </cell>
        </row>
        <row r="202">
          <cell r="B202" t="str">
            <v>Bangalore-Soukya</v>
          </cell>
          <cell r="C202" t="str">
            <v>DS-IBBLR-Nagondanaha</v>
          </cell>
          <cell r="E202" t="str">
            <v>Nagondanahalli</v>
          </cell>
        </row>
        <row r="203">
          <cell r="B203" t="str">
            <v>Bangalore-Soukya</v>
          </cell>
          <cell r="C203" t="str">
            <v>DS-IBBLR-Nagondanaha</v>
          </cell>
          <cell r="E203" t="str">
            <v>Nagondanahalli</v>
          </cell>
        </row>
        <row r="204">
          <cell r="B204" t="str">
            <v>Bangalore-Soukya</v>
          </cell>
          <cell r="C204" t="str">
            <v>DS-IBBLR-Nagondanaha</v>
          </cell>
          <cell r="E204" t="str">
            <v>Nagondanahalli</v>
          </cell>
        </row>
        <row r="205">
          <cell r="B205" t="str">
            <v>Bangalore-Nelamangla</v>
          </cell>
          <cell r="C205" t="str">
            <v>DS-IBBLR-Peenya PH-3</v>
          </cell>
          <cell r="E205" t="str">
            <v>Peenya</v>
          </cell>
        </row>
        <row r="206">
          <cell r="B206" t="str">
            <v>Bangalore-Nelamangla</v>
          </cell>
          <cell r="C206" t="str">
            <v>DS-IBBLR-Peenya PH-3</v>
          </cell>
          <cell r="E206" t="str">
            <v>Peenya</v>
          </cell>
        </row>
        <row r="207">
          <cell r="B207" t="str">
            <v>Bangalore-Nelamangla</v>
          </cell>
          <cell r="C207" t="str">
            <v>DS-IBBLR-Peenya PH-3</v>
          </cell>
          <cell r="E207" t="str">
            <v>Peenya</v>
          </cell>
        </row>
        <row r="208">
          <cell r="B208" t="str">
            <v>Bangalore-Nelamangla</v>
          </cell>
          <cell r="C208" t="str">
            <v>DS-IBBLR-Peenya PH-3</v>
          </cell>
          <cell r="E208" t="str">
            <v>Peenya</v>
          </cell>
        </row>
        <row r="209">
          <cell r="B209" t="str">
            <v>Bangalore-Nelamangla</v>
          </cell>
          <cell r="C209" t="str">
            <v>DS-BNBLR-HRBR</v>
          </cell>
          <cell r="E209" t="str">
            <v>HRBR-044</v>
          </cell>
        </row>
        <row r="210">
          <cell r="B210" t="str">
            <v>Bangalore-Nelamangla</v>
          </cell>
          <cell r="C210" t="str">
            <v>DS-IBBLR-Bellahalli</v>
          </cell>
          <cell r="E210" t="str">
            <v>BellahalliRoad</v>
          </cell>
        </row>
        <row r="211">
          <cell r="B211" t="str">
            <v>Bangalore-Soukya</v>
          </cell>
          <cell r="C211" t="str">
            <v>DS-IBBLR-Lingarajapu</v>
          </cell>
          <cell r="E211" t="str">
            <v>Lingarajapu</v>
          </cell>
        </row>
        <row r="212">
          <cell r="B212" t="str">
            <v>Bangalore-Nelamangla</v>
          </cell>
          <cell r="C212" t="str">
            <v>DS-IBBLR-Chikkasandr</v>
          </cell>
          <cell r="E212" t="str">
            <v>Chikkasandra</v>
          </cell>
        </row>
        <row r="213">
          <cell r="B213" t="str">
            <v>Bangalore-Soukya</v>
          </cell>
          <cell r="C213" t="str">
            <v>DS-IBBLR-Kallahalli</v>
          </cell>
          <cell r="E213" t="str">
            <v>Kallahalli</v>
          </cell>
        </row>
        <row r="214">
          <cell r="B214" t="str">
            <v>Bangalore-Soukya</v>
          </cell>
          <cell r="C214" t="str">
            <v>DS-IBBLR-Chinappalay</v>
          </cell>
          <cell r="E214" t="str">
            <v>Chinappalay</v>
          </cell>
        </row>
        <row r="215">
          <cell r="B215" t="str">
            <v>Bangalore-Nelamangla</v>
          </cell>
          <cell r="C215" t="str">
            <v>DS-BNBLR-HRBR</v>
          </cell>
          <cell r="E215" t="str">
            <v>HRBR-044</v>
          </cell>
        </row>
        <row r="216">
          <cell r="B216" t="str">
            <v>Bangalore-Nelamangla</v>
          </cell>
          <cell r="C216" t="str">
            <v>DS-IBBLR-Jala halli</v>
          </cell>
          <cell r="E216" t="str">
            <v>Jalahalli</v>
          </cell>
        </row>
        <row r="217">
          <cell r="B217" t="str">
            <v>Bangalore-Nelamangla</v>
          </cell>
          <cell r="C217" t="str">
            <v>DS-IBBLR-Benson Town</v>
          </cell>
          <cell r="E217" t="str">
            <v>BensonTown</v>
          </cell>
        </row>
        <row r="218">
          <cell r="B218" t="str">
            <v>Bangalore-Soukya</v>
          </cell>
          <cell r="C218" t="str">
            <v>DS-IBBLR-Chinappalay</v>
          </cell>
          <cell r="E218" t="str">
            <v>Chinappalay</v>
          </cell>
        </row>
        <row r="219">
          <cell r="B219" t="str">
            <v>Bangalore-Soukya</v>
          </cell>
          <cell r="C219" t="str">
            <v>DS-IBBLR-Attibele</v>
          </cell>
          <cell r="E219" t="str">
            <v>Attibele</v>
          </cell>
        </row>
        <row r="220">
          <cell r="B220" t="str">
            <v>Bangalore-Nelamangla</v>
          </cell>
          <cell r="C220" t="str">
            <v>DS-BNBLR-HRBR</v>
          </cell>
          <cell r="E220" t="str">
            <v>HRBR-044</v>
          </cell>
        </row>
        <row r="221">
          <cell r="B221" t="str">
            <v>Bangalore-Nelamangla</v>
          </cell>
          <cell r="C221" t="str">
            <v>DS-IBBLR-Bellahalli</v>
          </cell>
          <cell r="E221" t="str">
            <v>BellahalliRoad</v>
          </cell>
        </row>
        <row r="222">
          <cell r="B222" t="str">
            <v>Bangalore-Soukya</v>
          </cell>
          <cell r="C222" t="str">
            <v>DS-IBBLR-Kallahalli</v>
          </cell>
          <cell r="E222" t="str">
            <v>Kallahalli</v>
          </cell>
        </row>
        <row r="223">
          <cell r="B223" t="str">
            <v>Bangalore-Nelamangla</v>
          </cell>
          <cell r="C223" t="str">
            <v>DS-IBBLR-Jakkasandra</v>
          </cell>
          <cell r="E223" t="str">
            <v>Jakkasandra</v>
          </cell>
        </row>
        <row r="224">
          <cell r="B224" t="str">
            <v>Bangalore-Nelamangla</v>
          </cell>
          <cell r="C224" t="str">
            <v>DS-IBBLR-Jakkasandra</v>
          </cell>
          <cell r="E224" t="str">
            <v>Jakkasandra</v>
          </cell>
        </row>
        <row r="225">
          <cell r="B225" t="str">
            <v>Bangalore-Soukya</v>
          </cell>
          <cell r="C225" t="str">
            <v>DS-IBBLR-Kallahalli</v>
          </cell>
          <cell r="E225" t="str">
            <v>Kallahalli</v>
          </cell>
        </row>
        <row r="226">
          <cell r="B226" t="str">
            <v>Bangalore-Soukya</v>
          </cell>
          <cell r="C226" t="str">
            <v>DS-IBBLR-Chinappalay</v>
          </cell>
          <cell r="E226" t="str">
            <v>Chinappalay</v>
          </cell>
        </row>
        <row r="227">
          <cell r="B227" t="str">
            <v>Bangalore-Nelamangla</v>
          </cell>
          <cell r="C227" t="str">
            <v>DS-IBBLR-Jala halli</v>
          </cell>
          <cell r="E227" t="str">
            <v>Jalahalli</v>
          </cell>
        </row>
        <row r="228">
          <cell r="B228" t="str">
            <v>Bangalore-Soukya</v>
          </cell>
          <cell r="C228" t="str">
            <v>DS-IBBLR-Chinappalay</v>
          </cell>
          <cell r="E228" t="str">
            <v>Chinappalay</v>
          </cell>
        </row>
        <row r="229">
          <cell r="B229" t="str">
            <v>Bangalore-Nelamangla</v>
          </cell>
          <cell r="C229" t="str">
            <v>DS-IBBLR-Jakkasandra</v>
          </cell>
          <cell r="E229" t="str">
            <v>Jakkasandra</v>
          </cell>
        </row>
        <row r="230">
          <cell r="B230" t="str">
            <v>Bangalore-Soukya</v>
          </cell>
          <cell r="C230" t="str">
            <v>DS-IBBLR-Kallahalli</v>
          </cell>
          <cell r="E230" t="str">
            <v>Kallahalli</v>
          </cell>
        </row>
        <row r="231">
          <cell r="B231" t="str">
            <v>Bangalore-Soukya</v>
          </cell>
          <cell r="C231" t="str">
            <v>DS-IBBLR-Chinappalay</v>
          </cell>
          <cell r="E231" t="str">
            <v>Chinappalay</v>
          </cell>
        </row>
        <row r="232">
          <cell r="B232" t="str">
            <v>Bangalore-Soukya</v>
          </cell>
          <cell r="C232" t="str">
            <v>DS-IBBLR-Chinappalay</v>
          </cell>
          <cell r="E232" t="str">
            <v>Chinappalay</v>
          </cell>
        </row>
        <row r="233">
          <cell r="B233" t="str">
            <v>Bangalore-Soukya</v>
          </cell>
          <cell r="C233" t="str">
            <v>DS-IBBLR-Lingarajapu</v>
          </cell>
          <cell r="E233" t="str">
            <v>Lingarajapu</v>
          </cell>
        </row>
        <row r="234">
          <cell r="B234" t="str">
            <v>Bangalore-Nelamangla</v>
          </cell>
          <cell r="C234" t="str">
            <v>DS-IBBLR-Jakkasandra</v>
          </cell>
          <cell r="E234" t="str">
            <v>Jakkasandra</v>
          </cell>
        </row>
        <row r="235">
          <cell r="B235" t="str">
            <v>Bangalore-Nelamangla</v>
          </cell>
          <cell r="C235" t="str">
            <v>DS-IBBLR-Jakkasandra</v>
          </cell>
          <cell r="E235" t="str">
            <v>Jakkasandra</v>
          </cell>
        </row>
        <row r="236">
          <cell r="B236" t="str">
            <v>Bangalore-Soukya</v>
          </cell>
          <cell r="C236" t="str">
            <v>DS-IBBLR-Chinappalay</v>
          </cell>
          <cell r="E236" t="str">
            <v>Chinappalay</v>
          </cell>
        </row>
        <row r="237">
          <cell r="B237" t="str">
            <v>Bangalore-Soukya</v>
          </cell>
          <cell r="C237" t="str">
            <v>DS-IBBLR-Lingarajapu</v>
          </cell>
          <cell r="E237" t="str">
            <v>Lingarajapu</v>
          </cell>
        </row>
        <row r="238">
          <cell r="B238" t="str">
            <v>Bangalore-Soukya</v>
          </cell>
          <cell r="C238" t="str">
            <v>DS-IBBLR-Kallahalli</v>
          </cell>
          <cell r="E238" t="str">
            <v>Kallahalli</v>
          </cell>
        </row>
        <row r="239">
          <cell r="B239" t="str">
            <v>Bangalore-Soukya</v>
          </cell>
          <cell r="C239" t="str">
            <v>DS-IBBLR-Kallahalli</v>
          </cell>
          <cell r="E239" t="str">
            <v>Kallahalli</v>
          </cell>
        </row>
        <row r="240">
          <cell r="B240" t="str">
            <v>Bangalore-Soukya</v>
          </cell>
          <cell r="C240" t="str">
            <v>DS-IBBLR-Kallahalli</v>
          </cell>
          <cell r="E240" t="str">
            <v>Kallahalli</v>
          </cell>
        </row>
        <row r="241">
          <cell r="B241" t="str">
            <v>Bangalore-Soukya</v>
          </cell>
          <cell r="C241" t="str">
            <v>DS-IBBLR-Kallahalli</v>
          </cell>
          <cell r="E241" t="str">
            <v>Kallahalli</v>
          </cell>
        </row>
        <row r="242">
          <cell r="B242" t="str">
            <v>Bangalore-Nelamangla</v>
          </cell>
        </row>
        <row r="243">
          <cell r="B243" t="str">
            <v>Bangalore-Nelamangla</v>
          </cell>
        </row>
        <row r="244">
          <cell r="B244" t="str">
            <v>Bangalore-Nelamangla</v>
          </cell>
        </row>
        <row r="245">
          <cell r="B245" t="str">
            <v>Bangalore-Nelamangla</v>
          </cell>
        </row>
        <row r="246">
          <cell r="B246" t="str">
            <v>Bangalore-Nelamangla</v>
          </cell>
        </row>
        <row r="247">
          <cell r="B247" t="str">
            <v>Bangalore-Nelamangla</v>
          </cell>
        </row>
        <row r="248">
          <cell r="B248" t="str">
            <v>Bangalore-Nelamangla</v>
          </cell>
        </row>
        <row r="249">
          <cell r="B249" t="str">
            <v>Bangalore-Nelamangla</v>
          </cell>
        </row>
        <row r="250">
          <cell r="B250" t="str">
            <v>Bangalore-Nelamangla</v>
          </cell>
        </row>
        <row r="251">
          <cell r="B251" t="str">
            <v>Bangalore-Nelamangla</v>
          </cell>
        </row>
        <row r="252">
          <cell r="B252" t="str">
            <v>Bangalore-Nelamangla</v>
          </cell>
        </row>
        <row r="253">
          <cell r="B253" t="str">
            <v>Bangalore-Nelamangla</v>
          </cell>
        </row>
        <row r="254">
          <cell r="B254" t="str">
            <v>Bangalore-Nelamangla</v>
          </cell>
        </row>
        <row r="255">
          <cell r="B255" t="str">
            <v>Bangalore-Nelamangla</v>
          </cell>
        </row>
        <row r="256">
          <cell r="B256" t="str">
            <v>Bangalore-Nelamangla</v>
          </cell>
        </row>
        <row r="257">
          <cell r="B257" t="str">
            <v>Bangalore-Nelamangla</v>
          </cell>
        </row>
        <row r="258">
          <cell r="B258" t="str">
            <v>Bangalore-Nelamangla</v>
          </cell>
        </row>
        <row r="259">
          <cell r="B259" t="str">
            <v>Bangalore-Nelamangla</v>
          </cell>
        </row>
        <row r="260">
          <cell r="B260" t="str">
            <v>Bangalore-Nelamangla</v>
          </cell>
        </row>
        <row r="261">
          <cell r="B261" t="str">
            <v>Bangalore-Nelamangla</v>
          </cell>
        </row>
        <row r="262">
          <cell r="B262" t="str">
            <v>Bangalore-Nelamangla</v>
          </cell>
        </row>
        <row r="263">
          <cell r="B263" t="str">
            <v>Bangalore-Nelamangla</v>
          </cell>
        </row>
        <row r="264">
          <cell r="B264" t="str">
            <v>Bangalore-Nelamangla</v>
          </cell>
        </row>
        <row r="265">
          <cell r="B265" t="str">
            <v>Bangalore-Nelamangla</v>
          </cell>
        </row>
        <row r="266">
          <cell r="B266" t="str">
            <v>Bangalore-Nelamangla</v>
          </cell>
        </row>
        <row r="267">
          <cell r="B267" t="str">
            <v>Bangalore-Nelamangla</v>
          </cell>
        </row>
        <row r="268">
          <cell r="B268" t="str">
            <v>Bangalore-Nelamangla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29ED-A278-467D-AE94-707F81B988A5}">
  <sheetPr>
    <outlinePr summaryBelow="0" summaryRight="0"/>
  </sheetPr>
  <dimension ref="A1:O793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" customHeight="1" x14ac:dyDescent="0.25"/>
  <cols>
    <col min="1" max="1" width="25.85546875" customWidth="1"/>
    <col min="2" max="2" width="10.28515625" customWidth="1"/>
    <col min="3" max="3" width="13.140625" customWidth="1"/>
    <col min="4" max="4" width="16.140625" customWidth="1"/>
    <col min="5" max="5" width="22.7109375" customWidth="1"/>
    <col min="6" max="6" width="42.7109375" customWidth="1"/>
    <col min="7" max="7" width="12.7109375" customWidth="1"/>
    <col min="8" max="10" width="11.7109375" customWidth="1"/>
    <col min="11" max="11" width="24.5703125" customWidth="1"/>
    <col min="12" max="12" width="23.42578125" customWidth="1"/>
    <col min="13" max="13" width="24.140625" customWidth="1"/>
    <col min="14" max="15" width="11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</v>
      </c>
      <c r="N1" s="2" t="s">
        <v>12</v>
      </c>
      <c r="O1" s="2" t="s">
        <v>13</v>
      </c>
    </row>
    <row r="2" spans="1:15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>
        <v>45902</v>
      </c>
      <c r="H2" s="5">
        <f t="shared" ref="H2:H256" si="0">WEEKNUM(G2,11)</f>
        <v>36</v>
      </c>
      <c r="I2" s="5">
        <f t="shared" ref="I2:I256" si="1">MONTH(G2)</f>
        <v>9</v>
      </c>
      <c r="J2" s="6">
        <f t="shared" ref="J2:J256" si="2">MOD(MID(F2,12,8),1)</f>
        <v>1.2523148148148148E-2</v>
      </c>
      <c r="K2" s="5" t="s">
        <v>18</v>
      </c>
      <c r="L2" s="5" t="e">
        <f t="array" aca="1" ref="L2" ca="1">_xludf.XLOOKUP(E2,'[1]Migrated Societies Data'!C:C,'[1]Migrated Societies Data'!B:B)</f>
        <v>#NAME?</v>
      </c>
      <c r="M2" s="5" t="e">
        <f t="array" aca="1" ref="M2" ca="1">_xludf.XLOOKUP(E2,'[1]Migrated Societies Data'!C:C,'[1]Migrated Societies Data'!E:E)</f>
        <v>#NAME?</v>
      </c>
      <c r="N2" s="5" t="str">
        <f t="shared" ref="N2:N256" si="3">IF(OR(J2&lt;=TIME(3,30,0),J2&gt;TIME(23,0,0)),"Yes","No")</f>
        <v>Yes</v>
      </c>
      <c r="O2" s="7">
        <f t="shared" ref="O2:O256" si="4">MOD(J2+TIME(0,30,0),1)</f>
        <v>3.335648148148148E-2</v>
      </c>
    </row>
    <row r="3" spans="1:15" x14ac:dyDescent="0.25">
      <c r="A3" s="3" t="s">
        <v>14</v>
      </c>
      <c r="B3" s="3" t="s">
        <v>20</v>
      </c>
      <c r="C3" s="3" t="s">
        <v>16</v>
      </c>
      <c r="D3" s="3" t="s">
        <v>17</v>
      </c>
      <c r="E3" s="3" t="s">
        <v>18</v>
      </c>
      <c r="F3" s="3" t="s">
        <v>21</v>
      </c>
      <c r="G3" s="4">
        <v>45903</v>
      </c>
      <c r="H3" s="5">
        <f t="shared" si="0"/>
        <v>36</v>
      </c>
      <c r="I3" s="5">
        <f t="shared" si="1"/>
        <v>9</v>
      </c>
      <c r="J3" s="6">
        <f t="shared" si="2"/>
        <v>4.0393518518518521E-3</v>
      </c>
      <c r="K3" s="5" t="s">
        <v>18</v>
      </c>
      <c r="L3" s="5" t="e">
        <f t="array" aca="1" ref="L3" ca="1">_xludf.XLOOKUP(E3,'[1]Migrated Societies Data'!C:C,'[1]Migrated Societies Data'!B:B)</f>
        <v>#NAME?</v>
      </c>
      <c r="M3" s="5" t="e">
        <f t="array" aca="1" ref="M3" ca="1">_xludf.XLOOKUP(E3,'[1]Migrated Societies Data'!C:C,'[1]Migrated Societies Data'!E:E)</f>
        <v>#NAME?</v>
      </c>
      <c r="N3" s="5" t="str">
        <f t="shared" si="3"/>
        <v>Yes</v>
      </c>
      <c r="O3" s="7">
        <f t="shared" si="4"/>
        <v>2.4872685185185185E-2</v>
      </c>
    </row>
    <row r="4" spans="1:15" x14ac:dyDescent="0.25">
      <c r="A4" s="3" t="s">
        <v>14</v>
      </c>
      <c r="B4" s="3" t="s">
        <v>22</v>
      </c>
      <c r="C4" s="3" t="s">
        <v>16</v>
      </c>
      <c r="D4" s="3" t="s">
        <v>17</v>
      </c>
      <c r="E4" s="3" t="s">
        <v>18</v>
      </c>
      <c r="F4" s="3" t="s">
        <v>23</v>
      </c>
      <c r="G4" s="4">
        <v>45904</v>
      </c>
      <c r="H4" s="5">
        <f t="shared" si="0"/>
        <v>36</v>
      </c>
      <c r="I4" s="5">
        <f t="shared" si="1"/>
        <v>9</v>
      </c>
      <c r="J4" s="6">
        <f t="shared" si="2"/>
        <v>4.6064814814814814E-3</v>
      </c>
      <c r="K4" s="5" t="s">
        <v>18</v>
      </c>
      <c r="L4" s="5" t="e">
        <f t="array" aca="1" ref="L4" ca="1">_xludf.XLOOKUP(E4,'[1]Migrated Societies Data'!C:C,'[1]Migrated Societies Data'!B:B)</f>
        <v>#NAME?</v>
      </c>
      <c r="M4" s="5" t="e">
        <f t="array" aca="1" ref="M4" ca="1">_xludf.XLOOKUP(E4,'[1]Migrated Societies Data'!C:C,'[1]Migrated Societies Data'!E:E)</f>
        <v>#NAME?</v>
      </c>
      <c r="N4" s="5" t="str">
        <f t="shared" si="3"/>
        <v>Yes</v>
      </c>
      <c r="O4" s="7">
        <f t="shared" si="4"/>
        <v>2.5439814814814814E-2</v>
      </c>
    </row>
    <row r="5" spans="1:15" x14ac:dyDescent="0.25">
      <c r="A5" s="3" t="s">
        <v>14</v>
      </c>
      <c r="B5" s="3" t="s">
        <v>24</v>
      </c>
      <c r="C5" s="3" t="s">
        <v>16</v>
      </c>
      <c r="D5" s="3" t="s">
        <v>17</v>
      </c>
      <c r="E5" s="3" t="s">
        <v>18</v>
      </c>
      <c r="F5" s="3" t="s">
        <v>25</v>
      </c>
      <c r="G5" s="4">
        <v>45905</v>
      </c>
      <c r="H5" s="5">
        <f t="shared" si="0"/>
        <v>36</v>
      </c>
      <c r="I5" s="5">
        <f t="shared" si="1"/>
        <v>9</v>
      </c>
      <c r="J5" s="6">
        <f t="shared" si="2"/>
        <v>7.2337962962962963E-3</v>
      </c>
      <c r="K5" s="5" t="s">
        <v>18</v>
      </c>
      <c r="L5" s="5" t="e">
        <f t="array" aca="1" ref="L5" ca="1">_xludf.XLOOKUP(E5,'[1]Migrated Societies Data'!C:C,'[1]Migrated Societies Data'!B:B)</f>
        <v>#NAME?</v>
      </c>
      <c r="M5" s="5" t="e">
        <f t="array" aca="1" ref="M5" ca="1">_xludf.XLOOKUP(E5,'[1]Migrated Societies Data'!C:C,'[1]Migrated Societies Data'!E:E)</f>
        <v>#NAME?</v>
      </c>
      <c r="N5" s="5" t="str">
        <f t="shared" si="3"/>
        <v>Yes</v>
      </c>
      <c r="O5" s="7">
        <f t="shared" si="4"/>
        <v>2.8067129629629629E-2</v>
      </c>
    </row>
    <row r="6" spans="1:15" x14ac:dyDescent="0.25">
      <c r="A6" s="3" t="s">
        <v>14</v>
      </c>
      <c r="B6" s="3" t="s">
        <v>26</v>
      </c>
      <c r="C6" s="3" t="s">
        <v>16</v>
      </c>
      <c r="D6" s="3" t="s">
        <v>17</v>
      </c>
      <c r="E6" s="3" t="s">
        <v>18</v>
      </c>
      <c r="F6" s="3" t="s">
        <v>27</v>
      </c>
      <c r="G6" s="4">
        <v>45906</v>
      </c>
      <c r="H6" s="5">
        <f t="shared" si="0"/>
        <v>36</v>
      </c>
      <c r="I6" s="5">
        <f t="shared" si="1"/>
        <v>9</v>
      </c>
      <c r="J6" s="6">
        <f t="shared" si="2"/>
        <v>4.8842592592592592E-3</v>
      </c>
      <c r="K6" s="5" t="s">
        <v>18</v>
      </c>
      <c r="L6" s="5" t="e">
        <f t="array" aca="1" ref="L6" ca="1">_xludf.XLOOKUP(E6,'[1]Migrated Societies Data'!C:C,'[1]Migrated Societies Data'!B:B)</f>
        <v>#NAME?</v>
      </c>
      <c r="M6" s="5" t="e">
        <f t="array" aca="1" ref="M6" ca="1">_xludf.XLOOKUP(E6,'[1]Migrated Societies Data'!C:C,'[1]Migrated Societies Data'!E:E)</f>
        <v>#NAME?</v>
      </c>
      <c r="N6" s="5" t="str">
        <f t="shared" si="3"/>
        <v>Yes</v>
      </c>
      <c r="O6" s="7">
        <f t="shared" si="4"/>
        <v>2.5717592592592591E-2</v>
      </c>
    </row>
    <row r="7" spans="1:15" x14ac:dyDescent="0.25">
      <c r="A7" s="3" t="s">
        <v>14</v>
      </c>
      <c r="B7" s="3" t="s">
        <v>28</v>
      </c>
      <c r="C7" s="3" t="s">
        <v>16</v>
      </c>
      <c r="D7" s="3" t="s">
        <v>17</v>
      </c>
      <c r="E7" s="3" t="s">
        <v>18</v>
      </c>
      <c r="F7" s="3" t="s">
        <v>29</v>
      </c>
      <c r="G7" s="4">
        <v>45907</v>
      </c>
      <c r="H7" s="5">
        <f t="shared" si="0"/>
        <v>36</v>
      </c>
      <c r="I7" s="5">
        <f t="shared" si="1"/>
        <v>9</v>
      </c>
      <c r="J7" s="6">
        <f t="shared" si="2"/>
        <v>0.99531250000000004</v>
      </c>
      <c r="K7" s="5" t="s">
        <v>18</v>
      </c>
      <c r="L7" s="5" t="e">
        <f t="array" aca="1" ref="L7" ca="1">_xludf.XLOOKUP(E7,'[1]Migrated Societies Data'!C:C,'[1]Migrated Societies Data'!B:B)</f>
        <v>#NAME?</v>
      </c>
      <c r="M7" s="5" t="e">
        <f t="array" aca="1" ref="M7" ca="1">_xludf.XLOOKUP(E7,'[1]Migrated Societies Data'!C:C,'[1]Migrated Societies Data'!E:E)</f>
        <v>#NAME?</v>
      </c>
      <c r="N7" s="5" t="str">
        <f t="shared" si="3"/>
        <v>Yes</v>
      </c>
      <c r="O7" s="7">
        <f t="shared" si="4"/>
        <v>1.6145833333333304E-2</v>
      </c>
    </row>
    <row r="8" spans="1:15" x14ac:dyDescent="0.25">
      <c r="A8" s="3" t="s">
        <v>14</v>
      </c>
      <c r="B8" s="3" t="s">
        <v>30</v>
      </c>
      <c r="C8" s="3" t="s">
        <v>16</v>
      </c>
      <c r="D8" s="3" t="s">
        <v>17</v>
      </c>
      <c r="E8" s="3" t="s">
        <v>18</v>
      </c>
      <c r="F8" s="3" t="s">
        <v>31</v>
      </c>
      <c r="G8" s="4">
        <v>45908</v>
      </c>
      <c r="H8" s="5">
        <f t="shared" si="0"/>
        <v>37</v>
      </c>
      <c r="I8" s="5">
        <f t="shared" si="1"/>
        <v>9</v>
      </c>
      <c r="J8" s="6">
        <f t="shared" si="2"/>
        <v>0.99806712962962962</v>
      </c>
      <c r="K8" s="5" t="s">
        <v>18</v>
      </c>
      <c r="L8" s="5" t="e">
        <f t="array" aca="1" ref="L8" ca="1">_xludf.XLOOKUP(E8,'[1]Migrated Societies Data'!C:C,'[1]Migrated Societies Data'!B:B)</f>
        <v>#NAME?</v>
      </c>
      <c r="M8" s="5" t="e">
        <f t="array" aca="1" ref="M8" ca="1">_xludf.XLOOKUP(E8,'[1]Migrated Societies Data'!C:C,'[1]Migrated Societies Data'!E:E)</f>
        <v>#NAME?</v>
      </c>
      <c r="N8" s="5" t="str">
        <f t="shared" si="3"/>
        <v>Yes</v>
      </c>
      <c r="O8" s="7">
        <f t="shared" si="4"/>
        <v>1.8900462962962994E-2</v>
      </c>
    </row>
    <row r="9" spans="1:15" x14ac:dyDescent="0.25">
      <c r="A9" s="3" t="s">
        <v>14</v>
      </c>
      <c r="B9" s="3" t="s">
        <v>32</v>
      </c>
      <c r="C9" s="3" t="s">
        <v>33</v>
      </c>
      <c r="D9" s="3" t="s">
        <v>17</v>
      </c>
      <c r="E9" s="3" t="s">
        <v>18</v>
      </c>
      <c r="F9" s="3" t="s">
        <v>34</v>
      </c>
      <c r="G9" s="4">
        <v>45909</v>
      </c>
      <c r="H9" s="5">
        <f t="shared" si="0"/>
        <v>37</v>
      </c>
      <c r="I9" s="5">
        <f t="shared" si="1"/>
        <v>9</v>
      </c>
      <c r="J9" s="6">
        <f t="shared" si="2"/>
        <v>2.5925925925925925E-3</v>
      </c>
      <c r="K9" s="5" t="s">
        <v>18</v>
      </c>
      <c r="L9" s="5" t="e">
        <f t="array" aca="1" ref="L9" ca="1">_xludf.XLOOKUP(E9,'[1]Migrated Societies Data'!C:C,'[1]Migrated Societies Data'!B:B)</f>
        <v>#NAME?</v>
      </c>
      <c r="M9" s="5" t="e">
        <f t="array" aca="1" ref="M9" ca="1">_xludf.XLOOKUP(E9,'[1]Migrated Societies Data'!C:C,'[1]Migrated Societies Data'!E:E)</f>
        <v>#NAME?</v>
      </c>
      <c r="N9" s="5" t="str">
        <f t="shared" si="3"/>
        <v>Yes</v>
      </c>
      <c r="O9" s="7">
        <f t="shared" si="4"/>
        <v>2.3425925925925926E-2</v>
      </c>
    </row>
    <row r="10" spans="1:15" x14ac:dyDescent="0.25">
      <c r="A10" s="3" t="s">
        <v>14</v>
      </c>
      <c r="B10" s="3" t="s">
        <v>35</v>
      </c>
      <c r="C10" s="3" t="s">
        <v>36</v>
      </c>
      <c r="D10" s="3" t="s">
        <v>17</v>
      </c>
      <c r="E10" s="3" t="s">
        <v>18</v>
      </c>
      <c r="F10" s="3" t="s">
        <v>37</v>
      </c>
      <c r="G10" s="4">
        <v>45910</v>
      </c>
      <c r="H10" s="5">
        <f t="shared" si="0"/>
        <v>37</v>
      </c>
      <c r="I10" s="5">
        <f t="shared" si="1"/>
        <v>9</v>
      </c>
      <c r="J10" s="6">
        <f t="shared" si="2"/>
        <v>2.9421296296296296E-2</v>
      </c>
      <c r="K10" s="5" t="s">
        <v>18</v>
      </c>
      <c r="L10" s="5" t="e">
        <f t="array" aca="1" ref="L10" ca="1">_xludf.XLOOKUP(E10,'[1]Migrated Societies Data'!C:C,'[1]Migrated Societies Data'!B:B)</f>
        <v>#NAME?</v>
      </c>
      <c r="M10" s="5" t="e">
        <f t="array" aca="1" ref="M10" ca="1">_xludf.XLOOKUP(E10,'[1]Migrated Societies Data'!C:C,'[1]Migrated Societies Data'!E:E)</f>
        <v>#NAME?</v>
      </c>
      <c r="N10" s="5" t="str">
        <f t="shared" si="3"/>
        <v>Yes</v>
      </c>
      <c r="O10" s="7">
        <f t="shared" si="4"/>
        <v>5.0254629629629628E-2</v>
      </c>
    </row>
    <row r="11" spans="1:15" x14ac:dyDescent="0.25">
      <c r="A11" s="3" t="s">
        <v>14</v>
      </c>
      <c r="B11" s="3" t="s">
        <v>38</v>
      </c>
      <c r="C11" s="3" t="s">
        <v>16</v>
      </c>
      <c r="D11" s="3" t="s">
        <v>17</v>
      </c>
      <c r="E11" s="3" t="s">
        <v>18</v>
      </c>
      <c r="F11" s="3" t="s">
        <v>39</v>
      </c>
      <c r="G11" s="4">
        <v>45911</v>
      </c>
      <c r="H11" s="5">
        <f t="shared" si="0"/>
        <v>37</v>
      </c>
      <c r="I11" s="5">
        <f t="shared" si="1"/>
        <v>9</v>
      </c>
      <c r="J11" s="6">
        <f t="shared" si="2"/>
        <v>3.0439814814814813E-3</v>
      </c>
      <c r="K11" s="5" t="s">
        <v>18</v>
      </c>
      <c r="L11" s="5" t="e">
        <f t="array" aca="1" ref="L11" ca="1">_xludf.XLOOKUP(E11,'[1]Migrated Societies Data'!C:C,'[1]Migrated Societies Data'!B:B)</f>
        <v>#NAME?</v>
      </c>
      <c r="M11" s="5" t="e">
        <f t="array" aca="1" ref="M11" ca="1">_xludf.XLOOKUP(E11,'[1]Migrated Societies Data'!C:C,'[1]Migrated Societies Data'!E:E)</f>
        <v>#NAME?</v>
      </c>
      <c r="N11" s="5" t="str">
        <f t="shared" si="3"/>
        <v>Yes</v>
      </c>
      <c r="O11" s="7">
        <f t="shared" si="4"/>
        <v>2.3877314814814813E-2</v>
      </c>
    </row>
    <row r="12" spans="1:15" x14ac:dyDescent="0.25">
      <c r="A12" s="3" t="s">
        <v>14</v>
      </c>
      <c r="B12" s="3" t="s">
        <v>40</v>
      </c>
      <c r="C12" s="3" t="s">
        <v>16</v>
      </c>
      <c r="D12" s="3" t="s">
        <v>17</v>
      </c>
      <c r="E12" s="3" t="s">
        <v>18</v>
      </c>
      <c r="F12" s="3" t="s">
        <v>41</v>
      </c>
      <c r="G12" s="4">
        <v>45912</v>
      </c>
      <c r="H12" s="5">
        <f t="shared" si="0"/>
        <v>37</v>
      </c>
      <c r="I12" s="5">
        <f t="shared" si="1"/>
        <v>9</v>
      </c>
      <c r="J12" s="6">
        <f t="shared" si="2"/>
        <v>0.9997800925925926</v>
      </c>
      <c r="K12" s="5" t="s">
        <v>18</v>
      </c>
      <c r="L12" s="5" t="e">
        <f t="array" aca="1" ref="L12" ca="1">_xludf.XLOOKUP(E12,'[1]Migrated Societies Data'!C:C,'[1]Migrated Societies Data'!B:B)</f>
        <v>#NAME?</v>
      </c>
      <c r="M12" s="5" t="e">
        <f t="array" aca="1" ref="M12" ca="1">_xludf.XLOOKUP(E12,'[1]Migrated Societies Data'!C:C,'[1]Migrated Societies Data'!E:E)</f>
        <v>#NAME?</v>
      </c>
      <c r="N12" s="5" t="str">
        <f t="shared" si="3"/>
        <v>Yes</v>
      </c>
      <c r="O12" s="7">
        <f t="shared" si="4"/>
        <v>2.0613425925925855E-2</v>
      </c>
    </row>
    <row r="13" spans="1:15" x14ac:dyDescent="0.25">
      <c r="A13" s="3" t="s">
        <v>14</v>
      </c>
      <c r="B13" s="3" t="s">
        <v>42</v>
      </c>
      <c r="C13" s="3" t="s">
        <v>16</v>
      </c>
      <c r="D13" s="3" t="s">
        <v>17</v>
      </c>
      <c r="E13" s="3" t="s">
        <v>18</v>
      </c>
      <c r="F13" s="3" t="s">
        <v>43</v>
      </c>
      <c r="G13" s="4">
        <v>45913</v>
      </c>
      <c r="H13" s="5">
        <f t="shared" si="0"/>
        <v>37</v>
      </c>
      <c r="I13" s="5">
        <f t="shared" si="1"/>
        <v>9</v>
      </c>
      <c r="J13" s="6">
        <f t="shared" si="2"/>
        <v>0.99012731481481486</v>
      </c>
      <c r="K13" s="5" t="s">
        <v>44</v>
      </c>
      <c r="L13" s="5" t="e">
        <f t="array" aca="1" ref="L13" ca="1">_xludf.XLOOKUP(E13,'[1]Migrated Societies Data'!C:C,'[1]Migrated Societies Data'!B:B)</f>
        <v>#NAME?</v>
      </c>
      <c r="M13" s="5" t="e">
        <f t="array" aca="1" ref="M13" ca="1">_xludf.XLOOKUP(E13,'[1]Migrated Societies Data'!C:C,'[1]Migrated Societies Data'!E:E)</f>
        <v>#NAME?</v>
      </c>
      <c r="N13" s="5" t="str">
        <f t="shared" si="3"/>
        <v>Yes</v>
      </c>
      <c r="O13" s="7">
        <f t="shared" si="4"/>
        <v>1.0960648148148122E-2</v>
      </c>
    </row>
    <row r="14" spans="1:15" x14ac:dyDescent="0.25">
      <c r="A14" s="3" t="s">
        <v>14</v>
      </c>
      <c r="B14" s="3" t="s">
        <v>45</v>
      </c>
      <c r="C14" s="3" t="s">
        <v>16</v>
      </c>
      <c r="D14" s="3" t="s">
        <v>17</v>
      </c>
      <c r="E14" s="3" t="s">
        <v>18</v>
      </c>
      <c r="F14" s="3" t="s">
        <v>46</v>
      </c>
      <c r="G14" s="4">
        <v>45914</v>
      </c>
      <c r="H14" s="5">
        <f t="shared" si="0"/>
        <v>37</v>
      </c>
      <c r="I14" s="5">
        <f t="shared" si="1"/>
        <v>9</v>
      </c>
      <c r="J14" s="6">
        <f t="shared" si="2"/>
        <v>0.98938657407407404</v>
      </c>
      <c r="K14" s="5" t="s">
        <v>44</v>
      </c>
      <c r="L14" s="5" t="e">
        <f t="array" aca="1" ref="L14" ca="1">_xludf.XLOOKUP(E14,'[1]Migrated Societies Data'!C:C,'[1]Migrated Societies Data'!B:B)</f>
        <v>#NAME?</v>
      </c>
      <c r="M14" s="5" t="e">
        <f t="array" aca="1" ref="M14" ca="1">_xludf.XLOOKUP(E14,'[1]Migrated Societies Data'!C:C,'[1]Migrated Societies Data'!E:E)</f>
        <v>#NAME?</v>
      </c>
      <c r="N14" s="5" t="str">
        <f t="shared" si="3"/>
        <v>Yes</v>
      </c>
      <c r="O14" s="7">
        <f t="shared" si="4"/>
        <v>1.0219907407407414E-2</v>
      </c>
    </row>
    <row r="15" spans="1:15" x14ac:dyDescent="0.25">
      <c r="A15" s="3" t="s">
        <v>14</v>
      </c>
      <c r="B15" s="3" t="s">
        <v>47</v>
      </c>
      <c r="C15" s="3" t="s">
        <v>16</v>
      </c>
      <c r="D15" s="3" t="s">
        <v>17</v>
      </c>
      <c r="E15" s="3" t="s">
        <v>18</v>
      </c>
      <c r="F15" s="3" t="s">
        <v>48</v>
      </c>
      <c r="G15" s="4">
        <v>45915</v>
      </c>
      <c r="H15" s="5">
        <f t="shared" si="0"/>
        <v>38</v>
      </c>
      <c r="I15" s="5">
        <f t="shared" si="1"/>
        <v>9</v>
      </c>
      <c r="J15" s="6">
        <f t="shared" si="2"/>
        <v>0.99395833333333339</v>
      </c>
      <c r="K15" s="5" t="s">
        <v>44</v>
      </c>
      <c r="L15" s="5" t="e">
        <f t="array" aca="1" ref="L15" ca="1">_xludf.XLOOKUP(E15,'[1]Migrated Societies Data'!C:C,'[1]Migrated Societies Data'!B:B)</f>
        <v>#NAME?</v>
      </c>
      <c r="M15" s="5" t="e">
        <f t="array" aca="1" ref="M15" ca="1">_xludf.XLOOKUP(E15,'[1]Migrated Societies Data'!C:C,'[1]Migrated Societies Data'!E:E)</f>
        <v>#NAME?</v>
      </c>
      <c r="N15" s="5" t="str">
        <f t="shared" si="3"/>
        <v>Yes</v>
      </c>
      <c r="O15" s="7">
        <f t="shared" si="4"/>
        <v>1.4791666666666758E-2</v>
      </c>
    </row>
    <row r="16" spans="1:15" x14ac:dyDescent="0.25">
      <c r="A16" s="3" t="s">
        <v>14</v>
      </c>
      <c r="B16" s="3" t="s">
        <v>49</v>
      </c>
      <c r="C16" s="3" t="s">
        <v>16</v>
      </c>
      <c r="D16" s="3" t="s">
        <v>17</v>
      </c>
      <c r="E16" s="3" t="s">
        <v>18</v>
      </c>
      <c r="F16" s="3" t="s">
        <v>50</v>
      </c>
      <c r="G16" s="4">
        <v>45916</v>
      </c>
      <c r="H16" s="5">
        <f t="shared" si="0"/>
        <v>38</v>
      </c>
      <c r="I16" s="5">
        <f t="shared" si="1"/>
        <v>9</v>
      </c>
      <c r="J16" s="6">
        <f t="shared" si="2"/>
        <v>3.3217592592592591E-3</v>
      </c>
      <c r="K16" s="5" t="s">
        <v>44</v>
      </c>
      <c r="L16" s="5" t="e">
        <f t="array" aca="1" ref="L16" ca="1">_xludf.XLOOKUP(E16,'[1]Migrated Societies Data'!C:C,'[1]Migrated Societies Data'!B:B)</f>
        <v>#NAME?</v>
      </c>
      <c r="M16" s="5" t="e">
        <f t="array" aca="1" ref="M16" ca="1">_xludf.XLOOKUP(E16,'[1]Migrated Societies Data'!C:C,'[1]Migrated Societies Data'!E:E)</f>
        <v>#NAME?</v>
      </c>
      <c r="N16" s="5" t="str">
        <f t="shared" si="3"/>
        <v>Yes</v>
      </c>
      <c r="O16" s="7">
        <f t="shared" si="4"/>
        <v>2.4155092592592593E-2</v>
      </c>
    </row>
    <row r="17" spans="1:15" x14ac:dyDescent="0.25">
      <c r="A17" s="3" t="s">
        <v>14</v>
      </c>
      <c r="B17" s="3" t="s">
        <v>51</v>
      </c>
      <c r="C17" s="3" t="s">
        <v>16</v>
      </c>
      <c r="D17" s="3" t="s">
        <v>17</v>
      </c>
      <c r="E17" s="3" t="s">
        <v>18</v>
      </c>
      <c r="F17" s="3" t="s">
        <v>52</v>
      </c>
      <c r="G17" s="4">
        <v>45917</v>
      </c>
      <c r="H17" s="5">
        <f t="shared" si="0"/>
        <v>38</v>
      </c>
      <c r="I17" s="5">
        <f t="shared" si="1"/>
        <v>9</v>
      </c>
      <c r="J17" s="6">
        <f t="shared" si="2"/>
        <v>0.99858796296296293</v>
      </c>
      <c r="K17" s="5" t="s">
        <v>44</v>
      </c>
      <c r="L17" s="5" t="e">
        <f t="array" aca="1" ref="L17" ca="1">_xludf.XLOOKUP(E17,'[1]Migrated Societies Data'!C:C,'[1]Migrated Societies Data'!B:B)</f>
        <v>#NAME?</v>
      </c>
      <c r="M17" s="5" t="e">
        <f t="array" aca="1" ref="M17" ca="1">_xludf.XLOOKUP(E17,'[1]Migrated Societies Data'!C:C,'[1]Migrated Societies Data'!E:E)</f>
        <v>#NAME?</v>
      </c>
      <c r="N17" s="5" t="str">
        <f t="shared" si="3"/>
        <v>Yes</v>
      </c>
      <c r="O17" s="7">
        <f t="shared" si="4"/>
        <v>1.9421296296296298E-2</v>
      </c>
    </row>
    <row r="18" spans="1:15" x14ac:dyDescent="0.25">
      <c r="A18" s="3" t="s">
        <v>14</v>
      </c>
      <c r="B18" s="3" t="s">
        <v>53</v>
      </c>
      <c r="C18" s="3" t="s">
        <v>16</v>
      </c>
      <c r="D18" s="3" t="s">
        <v>17</v>
      </c>
      <c r="E18" s="3" t="s">
        <v>18</v>
      </c>
      <c r="F18" s="3" t="s">
        <v>54</v>
      </c>
      <c r="G18" s="4">
        <v>45918</v>
      </c>
      <c r="H18" s="5">
        <f t="shared" si="0"/>
        <v>38</v>
      </c>
      <c r="I18" s="5">
        <f t="shared" si="1"/>
        <v>9</v>
      </c>
      <c r="J18" s="6">
        <f t="shared" si="2"/>
        <v>0.99677083333333338</v>
      </c>
      <c r="K18" s="5" t="s">
        <v>44</v>
      </c>
      <c r="L18" s="5" t="e">
        <f t="array" aca="1" ref="L18" ca="1">_xludf.XLOOKUP(E18,'[1]Migrated Societies Data'!C:C,'[1]Migrated Societies Data'!B:B)</f>
        <v>#NAME?</v>
      </c>
      <c r="M18" s="5" t="e">
        <f t="array" aca="1" ref="M18" ca="1">_xludf.XLOOKUP(E18,'[1]Migrated Societies Data'!C:C,'[1]Migrated Societies Data'!E:E)</f>
        <v>#NAME?</v>
      </c>
      <c r="N18" s="5" t="str">
        <f t="shared" si="3"/>
        <v>Yes</v>
      </c>
      <c r="O18" s="7">
        <f t="shared" si="4"/>
        <v>1.7604166666666643E-2</v>
      </c>
    </row>
    <row r="19" spans="1:15" x14ac:dyDescent="0.25">
      <c r="A19" s="3" t="s">
        <v>14</v>
      </c>
      <c r="B19" s="3" t="s">
        <v>55</v>
      </c>
      <c r="C19" s="3" t="s">
        <v>16</v>
      </c>
      <c r="D19" s="3" t="s">
        <v>17</v>
      </c>
      <c r="E19" s="3" t="s">
        <v>18</v>
      </c>
      <c r="F19" s="3" t="s">
        <v>56</v>
      </c>
      <c r="G19" s="4">
        <v>45919</v>
      </c>
      <c r="H19" s="5">
        <f t="shared" si="0"/>
        <v>38</v>
      </c>
      <c r="I19" s="5">
        <f t="shared" si="1"/>
        <v>9</v>
      </c>
      <c r="J19" s="6">
        <f t="shared" si="2"/>
        <v>6.3541666666666668E-3</v>
      </c>
      <c r="K19" s="5" t="s">
        <v>44</v>
      </c>
      <c r="L19" s="5" t="e">
        <f t="array" aca="1" ref="L19" ca="1">_xludf.XLOOKUP(E19,'[1]Migrated Societies Data'!C:C,'[1]Migrated Societies Data'!B:B)</f>
        <v>#NAME?</v>
      </c>
      <c r="M19" s="5" t="e">
        <f t="array" aca="1" ref="M19" ca="1">_xludf.XLOOKUP(E19,'[1]Migrated Societies Data'!C:C,'[1]Migrated Societies Data'!E:E)</f>
        <v>#NAME?</v>
      </c>
      <c r="N19" s="5" t="str">
        <f t="shared" si="3"/>
        <v>Yes</v>
      </c>
      <c r="O19" s="7">
        <f t="shared" si="4"/>
        <v>2.71875E-2</v>
      </c>
    </row>
    <row r="20" spans="1:15" x14ac:dyDescent="0.25">
      <c r="A20" s="3" t="s">
        <v>14</v>
      </c>
      <c r="B20" s="3" t="s">
        <v>57</v>
      </c>
      <c r="C20" s="3" t="s">
        <v>16</v>
      </c>
      <c r="D20" s="3" t="s">
        <v>17</v>
      </c>
      <c r="E20" s="3" t="s">
        <v>18</v>
      </c>
      <c r="F20" s="3" t="s">
        <v>58</v>
      </c>
      <c r="G20" s="4">
        <v>45920</v>
      </c>
      <c r="H20" s="5">
        <f t="shared" si="0"/>
        <v>38</v>
      </c>
      <c r="I20" s="5">
        <f t="shared" si="1"/>
        <v>9</v>
      </c>
      <c r="J20" s="6">
        <f t="shared" si="2"/>
        <v>4.6064814814814814E-3</v>
      </c>
      <c r="K20" s="5" t="s">
        <v>44</v>
      </c>
      <c r="L20" s="5" t="e">
        <f t="array" aca="1" ref="L20" ca="1">_xludf.XLOOKUP(E20,'[1]Migrated Societies Data'!C:C,'[1]Migrated Societies Data'!B:B)</f>
        <v>#NAME?</v>
      </c>
      <c r="M20" s="5" t="e">
        <f t="array" aca="1" ref="M20" ca="1">_xludf.XLOOKUP(E20,'[1]Migrated Societies Data'!C:C,'[1]Migrated Societies Data'!E:E)</f>
        <v>#NAME?</v>
      </c>
      <c r="N20" s="5" t="str">
        <f t="shared" si="3"/>
        <v>Yes</v>
      </c>
      <c r="O20" s="7">
        <f t="shared" si="4"/>
        <v>2.5439814814814814E-2</v>
      </c>
    </row>
    <row r="21" spans="1:15" x14ac:dyDescent="0.25">
      <c r="A21" s="3" t="s">
        <v>14</v>
      </c>
      <c r="B21" s="3" t="s">
        <v>59</v>
      </c>
      <c r="C21" s="3" t="s">
        <v>16</v>
      </c>
      <c r="D21" s="3" t="s">
        <v>17</v>
      </c>
      <c r="E21" s="3" t="s">
        <v>18</v>
      </c>
      <c r="F21" s="3" t="s">
        <v>60</v>
      </c>
      <c r="G21" s="4">
        <v>45921</v>
      </c>
      <c r="H21" s="5">
        <f t="shared" si="0"/>
        <v>38</v>
      </c>
      <c r="I21" s="5">
        <f t="shared" si="1"/>
        <v>9</v>
      </c>
      <c r="J21" s="6">
        <f t="shared" si="2"/>
        <v>1.2939814814814815E-2</v>
      </c>
      <c r="K21" s="5" t="s">
        <v>44</v>
      </c>
      <c r="L21" s="5" t="e">
        <f t="array" aca="1" ref="L21" ca="1">_xludf.XLOOKUP(E21,'[1]Migrated Societies Data'!C:C,'[1]Migrated Societies Data'!B:B)</f>
        <v>#NAME?</v>
      </c>
      <c r="M21" s="5" t="e">
        <f t="array" aca="1" ref="M21" ca="1">_xludf.XLOOKUP(E21,'[1]Migrated Societies Data'!C:C,'[1]Migrated Societies Data'!E:E)</f>
        <v>#NAME?</v>
      </c>
      <c r="N21" s="5" t="str">
        <f t="shared" si="3"/>
        <v>Yes</v>
      </c>
      <c r="O21" s="7">
        <f t="shared" si="4"/>
        <v>3.3773148148148149E-2</v>
      </c>
    </row>
    <row r="22" spans="1:15" x14ac:dyDescent="0.25">
      <c r="A22" s="3" t="s">
        <v>14</v>
      </c>
      <c r="B22" s="3" t="s">
        <v>61</v>
      </c>
      <c r="C22" s="3" t="s">
        <v>16</v>
      </c>
      <c r="D22" s="3" t="s">
        <v>17</v>
      </c>
      <c r="E22" s="3" t="s">
        <v>18</v>
      </c>
      <c r="F22" s="3" t="s">
        <v>62</v>
      </c>
      <c r="G22" s="4">
        <v>45922</v>
      </c>
      <c r="H22" s="5">
        <f t="shared" si="0"/>
        <v>39</v>
      </c>
      <c r="I22" s="5">
        <f t="shared" si="1"/>
        <v>9</v>
      </c>
      <c r="J22" s="6">
        <f t="shared" si="2"/>
        <v>1.6435185185185185E-3</v>
      </c>
      <c r="K22" s="5" t="s">
        <v>44</v>
      </c>
      <c r="L22" s="5" t="e">
        <f t="array" aca="1" ref="L22" ca="1">_xludf.XLOOKUP(E22,'[1]Migrated Societies Data'!C:C,'[1]Migrated Societies Data'!B:B)</f>
        <v>#NAME?</v>
      </c>
      <c r="M22" s="5" t="e">
        <f t="array" aca="1" ref="M22" ca="1">_xludf.XLOOKUP(E22,'[1]Migrated Societies Data'!C:C,'[1]Migrated Societies Data'!E:E)</f>
        <v>#NAME?</v>
      </c>
      <c r="N22" s="5" t="str">
        <f t="shared" si="3"/>
        <v>Yes</v>
      </c>
      <c r="O22" s="7">
        <f t="shared" si="4"/>
        <v>2.2476851851851852E-2</v>
      </c>
    </row>
    <row r="23" spans="1:15" x14ac:dyDescent="0.25">
      <c r="A23" s="3" t="s">
        <v>14</v>
      </c>
      <c r="B23" s="3" t="s">
        <v>63</v>
      </c>
      <c r="C23" s="3" t="s">
        <v>16</v>
      </c>
      <c r="D23" s="3" t="s">
        <v>17</v>
      </c>
      <c r="E23" s="3" t="s">
        <v>18</v>
      </c>
      <c r="F23" s="3" t="s">
        <v>64</v>
      </c>
      <c r="G23" s="4">
        <v>45923</v>
      </c>
      <c r="H23" s="5">
        <f t="shared" si="0"/>
        <v>39</v>
      </c>
      <c r="I23" s="5">
        <f t="shared" si="1"/>
        <v>9</v>
      </c>
      <c r="J23" s="6">
        <f t="shared" si="2"/>
        <v>1.4421296296296297E-2</v>
      </c>
      <c r="K23" s="5" t="s">
        <v>44</v>
      </c>
      <c r="L23" s="5" t="e">
        <f t="array" aca="1" ref="L23" ca="1">_xludf.XLOOKUP(E23,'[1]Migrated Societies Data'!C:C,'[1]Migrated Societies Data'!B:B)</f>
        <v>#NAME?</v>
      </c>
      <c r="M23" s="5" t="e">
        <f t="array" aca="1" ref="M23" ca="1">_xludf.XLOOKUP(E23,'[1]Migrated Societies Data'!C:C,'[1]Migrated Societies Data'!E:E)</f>
        <v>#NAME?</v>
      </c>
      <c r="N23" s="5" t="str">
        <f t="shared" si="3"/>
        <v>Yes</v>
      </c>
      <c r="O23" s="7">
        <f t="shared" si="4"/>
        <v>3.5254629629629629E-2</v>
      </c>
    </row>
    <row r="24" spans="1:15" x14ac:dyDescent="0.25">
      <c r="A24" s="3" t="s">
        <v>65</v>
      </c>
      <c r="B24" s="3" t="s">
        <v>66</v>
      </c>
      <c r="C24" s="3" t="s">
        <v>16</v>
      </c>
      <c r="D24" s="3" t="s">
        <v>17</v>
      </c>
      <c r="E24" s="3" t="s">
        <v>18</v>
      </c>
      <c r="F24" s="3" t="s">
        <v>67</v>
      </c>
      <c r="G24" s="4">
        <v>45924</v>
      </c>
      <c r="H24" s="5">
        <f t="shared" si="0"/>
        <v>39</v>
      </c>
      <c r="I24" s="5">
        <f t="shared" si="1"/>
        <v>9</v>
      </c>
      <c r="J24" s="6">
        <f t="shared" si="2"/>
        <v>2.3067129629629628E-2</v>
      </c>
      <c r="K24" s="5" t="s">
        <v>44</v>
      </c>
      <c r="L24" s="5" t="e">
        <f t="array" aca="1" ref="L24" ca="1">_xludf.XLOOKUP(E24,'[1]Migrated Societies Data'!C:C,'[1]Migrated Societies Data'!B:B)</f>
        <v>#NAME?</v>
      </c>
      <c r="M24" s="5" t="e">
        <f t="array" aca="1" ref="M24" ca="1">_xludf.XLOOKUP(E24,'[1]Migrated Societies Data'!C:C,'[1]Migrated Societies Data'!E:E)</f>
        <v>#NAME?</v>
      </c>
      <c r="N24" s="5" t="str">
        <f t="shared" si="3"/>
        <v>Yes</v>
      </c>
      <c r="O24" s="7">
        <f t="shared" si="4"/>
        <v>4.3900462962962961E-2</v>
      </c>
    </row>
    <row r="25" spans="1:15" x14ac:dyDescent="0.25">
      <c r="A25" s="8" t="s">
        <v>14</v>
      </c>
      <c r="B25" s="8" t="s">
        <v>68</v>
      </c>
      <c r="C25" s="8" t="s">
        <v>16</v>
      </c>
      <c r="D25" s="8" t="s">
        <v>17</v>
      </c>
      <c r="E25" s="8" t="s">
        <v>18</v>
      </c>
      <c r="F25" s="8" t="s">
        <v>69</v>
      </c>
      <c r="G25" s="4">
        <v>45925</v>
      </c>
      <c r="H25" s="5">
        <f t="shared" si="0"/>
        <v>39</v>
      </c>
      <c r="I25" s="5">
        <f t="shared" si="1"/>
        <v>9</v>
      </c>
      <c r="J25" s="6">
        <f t="shared" si="2"/>
        <v>2.1527777777777778E-3</v>
      </c>
      <c r="K25" s="5" t="s">
        <v>44</v>
      </c>
      <c r="L25" s="5" t="e">
        <f t="array" aca="1" ref="L25" ca="1">_xludf.XLOOKUP(E25,'[1]Migrated Societies Data'!C:C,'[1]Migrated Societies Data'!B:B)</f>
        <v>#NAME?</v>
      </c>
      <c r="M25" s="5" t="e">
        <f t="array" aca="1" ref="M25" ca="1">_xludf.XLOOKUP(E25,'[1]Migrated Societies Data'!C:C,'[1]Migrated Societies Data'!E:E)</f>
        <v>#NAME?</v>
      </c>
      <c r="N25" s="5" t="str">
        <f t="shared" si="3"/>
        <v>Yes</v>
      </c>
      <c r="O25" s="7">
        <f t="shared" si="4"/>
        <v>2.298611111111111E-2</v>
      </c>
    </row>
    <row r="26" spans="1:15" x14ac:dyDescent="0.25">
      <c r="A26" s="8" t="s">
        <v>14</v>
      </c>
      <c r="B26" s="8" t="s">
        <v>70</v>
      </c>
      <c r="C26" s="8" t="s">
        <v>16</v>
      </c>
      <c r="D26" s="8" t="s">
        <v>17</v>
      </c>
      <c r="E26" s="8" t="s">
        <v>18</v>
      </c>
      <c r="F26" s="8" t="s">
        <v>71</v>
      </c>
      <c r="G26" s="4">
        <v>45926</v>
      </c>
      <c r="H26" s="5">
        <f t="shared" si="0"/>
        <v>39</v>
      </c>
      <c r="I26" s="5">
        <f t="shared" si="1"/>
        <v>9</v>
      </c>
      <c r="J26" s="6">
        <f t="shared" si="2"/>
        <v>0.99915509259259261</v>
      </c>
      <c r="K26" s="5" t="s">
        <v>44</v>
      </c>
      <c r="L26" s="5" t="e">
        <f t="array" aca="1" ref="L26" ca="1">_xludf.XLOOKUP(E26,'[1]Migrated Societies Data'!C:C,'[1]Migrated Societies Data'!B:B)</f>
        <v>#NAME?</v>
      </c>
      <c r="M26" s="5" t="e">
        <f t="array" aca="1" ref="M26" ca="1">_xludf.XLOOKUP(E26,'[1]Migrated Societies Data'!C:C,'[1]Migrated Societies Data'!E:E)</f>
        <v>#NAME?</v>
      </c>
      <c r="N26" s="5" t="str">
        <f t="shared" si="3"/>
        <v>Yes</v>
      </c>
      <c r="O26" s="7">
        <f t="shared" si="4"/>
        <v>1.9988425925925979E-2</v>
      </c>
    </row>
    <row r="27" spans="1:15" x14ac:dyDescent="0.25">
      <c r="A27" s="8" t="s">
        <v>14</v>
      </c>
      <c r="B27" s="8" t="s">
        <v>72</v>
      </c>
      <c r="C27" s="8" t="s">
        <v>16</v>
      </c>
      <c r="D27" s="8" t="s">
        <v>17</v>
      </c>
      <c r="E27" s="8" t="s">
        <v>18</v>
      </c>
      <c r="F27" s="8" t="s">
        <v>73</v>
      </c>
      <c r="G27" s="4">
        <v>45927</v>
      </c>
      <c r="H27" s="5">
        <f t="shared" si="0"/>
        <v>39</v>
      </c>
      <c r="I27" s="5">
        <f t="shared" si="1"/>
        <v>9</v>
      </c>
      <c r="J27" s="6">
        <f t="shared" si="2"/>
        <v>5.2777777777777779E-3</v>
      </c>
      <c r="K27" s="5" t="s">
        <v>44</v>
      </c>
      <c r="L27" s="5" t="e">
        <f t="array" aca="1" ref="L27" ca="1">_xludf.XLOOKUP(E27,'[1]Migrated Societies Data'!C:C,'[1]Migrated Societies Data'!B:B)</f>
        <v>#NAME?</v>
      </c>
      <c r="M27" s="5" t="e">
        <f t="array" aca="1" ref="M27" ca="1">_xludf.XLOOKUP(E27,'[1]Migrated Societies Data'!C:C,'[1]Migrated Societies Data'!E:E)</f>
        <v>#NAME?</v>
      </c>
      <c r="N27" s="5" t="str">
        <f t="shared" si="3"/>
        <v>Yes</v>
      </c>
      <c r="O27" s="7">
        <f t="shared" si="4"/>
        <v>2.6111111111111109E-2</v>
      </c>
    </row>
    <row r="28" spans="1:15" x14ac:dyDescent="0.25">
      <c r="A28" s="8" t="s">
        <v>14</v>
      </c>
      <c r="B28" s="8" t="s">
        <v>74</v>
      </c>
      <c r="C28" s="8" t="s">
        <v>16</v>
      </c>
      <c r="D28" s="8" t="s">
        <v>17</v>
      </c>
      <c r="E28" s="8" t="s">
        <v>18</v>
      </c>
      <c r="F28" s="8" t="s">
        <v>75</v>
      </c>
      <c r="G28" s="4">
        <v>45928</v>
      </c>
      <c r="H28" s="5">
        <f t="shared" si="0"/>
        <v>39</v>
      </c>
      <c r="I28" s="5">
        <f t="shared" si="1"/>
        <v>9</v>
      </c>
      <c r="J28" s="6">
        <f t="shared" si="2"/>
        <v>4.5787037037037036E-2</v>
      </c>
      <c r="K28" s="5" t="s">
        <v>44</v>
      </c>
      <c r="L28" s="5" t="e">
        <f t="array" aca="1" ref="L28" ca="1">_xludf.XLOOKUP(E28,'[1]Migrated Societies Data'!C:C,'[1]Migrated Societies Data'!B:B)</f>
        <v>#NAME?</v>
      </c>
      <c r="M28" s="5" t="e">
        <f t="array" aca="1" ref="M28" ca="1">_xludf.XLOOKUP(E28,'[1]Migrated Societies Data'!C:C,'[1]Migrated Societies Data'!E:E)</f>
        <v>#NAME?</v>
      </c>
      <c r="N28" s="5" t="str">
        <f t="shared" si="3"/>
        <v>Yes</v>
      </c>
      <c r="O28" s="7">
        <f t="shared" si="4"/>
        <v>6.6620370370370371E-2</v>
      </c>
    </row>
    <row r="29" spans="1:15" x14ac:dyDescent="0.25">
      <c r="A29" s="8" t="s">
        <v>14</v>
      </c>
      <c r="B29" s="8" t="s">
        <v>76</v>
      </c>
      <c r="C29" s="8" t="s">
        <v>16</v>
      </c>
      <c r="D29" s="8" t="s">
        <v>17</v>
      </c>
      <c r="E29" s="8" t="s">
        <v>18</v>
      </c>
      <c r="F29" s="8" t="s">
        <v>77</v>
      </c>
      <c r="G29" s="4">
        <v>45929</v>
      </c>
      <c r="H29" s="5">
        <f t="shared" si="0"/>
        <v>40</v>
      </c>
      <c r="I29" s="5">
        <f t="shared" si="1"/>
        <v>9</v>
      </c>
      <c r="J29" s="6">
        <f t="shared" si="2"/>
        <v>2.4664351851851851E-2</v>
      </c>
      <c r="K29" s="5" t="s">
        <v>44</v>
      </c>
      <c r="L29" s="5" t="e">
        <f t="array" aca="1" ref="L29" ca="1">_xludf.XLOOKUP(E29,'[1]Migrated Societies Data'!C:C,'[1]Migrated Societies Data'!B:B)</f>
        <v>#NAME?</v>
      </c>
      <c r="M29" s="5" t="e">
        <f t="array" aca="1" ref="M29" ca="1">_xludf.XLOOKUP(E29,'[1]Migrated Societies Data'!C:C,'[1]Migrated Societies Data'!E:E)</f>
        <v>#NAME?</v>
      </c>
      <c r="N29" s="5" t="str">
        <f t="shared" si="3"/>
        <v>Yes</v>
      </c>
      <c r="O29" s="7">
        <f t="shared" si="4"/>
        <v>4.5497685185185183E-2</v>
      </c>
    </row>
    <row r="30" spans="1:15" x14ac:dyDescent="0.25">
      <c r="A30" s="3" t="s">
        <v>14</v>
      </c>
      <c r="B30" s="3" t="s">
        <v>78</v>
      </c>
      <c r="C30" s="3" t="s">
        <v>16</v>
      </c>
      <c r="D30" s="3" t="s">
        <v>17</v>
      </c>
      <c r="E30" s="3" t="s">
        <v>18</v>
      </c>
      <c r="F30" s="3" t="s">
        <v>79</v>
      </c>
      <c r="G30" s="4">
        <v>45930</v>
      </c>
      <c r="H30" s="5">
        <f t="shared" si="0"/>
        <v>40</v>
      </c>
      <c r="I30" s="5">
        <f t="shared" si="1"/>
        <v>9</v>
      </c>
      <c r="J30" s="6">
        <f t="shared" si="2"/>
        <v>0.99615740740740744</v>
      </c>
      <c r="K30" s="5" t="s">
        <v>44</v>
      </c>
      <c r="L30" s="5" t="e">
        <f t="array" aca="1" ref="L30" ca="1">_xludf.XLOOKUP(E30,'[1]Migrated Societies Data'!C:C,'[1]Migrated Societies Data'!B:B)</f>
        <v>#NAME?</v>
      </c>
      <c r="M30" s="5" t="e">
        <f t="array" aca="1" ref="M30" ca="1">_xludf.XLOOKUP(E30,'[1]Migrated Societies Data'!C:C,'[1]Migrated Societies Data'!E:E)</f>
        <v>#NAME?</v>
      </c>
      <c r="N30" s="5" t="str">
        <f t="shared" si="3"/>
        <v>Yes</v>
      </c>
      <c r="O30" s="7">
        <f t="shared" si="4"/>
        <v>1.6990740740740806E-2</v>
      </c>
    </row>
    <row r="31" spans="1:15" x14ac:dyDescent="0.25">
      <c r="A31" s="3" t="s">
        <v>80</v>
      </c>
      <c r="B31" s="3" t="s">
        <v>81</v>
      </c>
      <c r="C31" s="3" t="s">
        <v>16</v>
      </c>
      <c r="D31" s="3" t="s">
        <v>82</v>
      </c>
      <c r="E31" s="3" t="s">
        <v>83</v>
      </c>
      <c r="F31" s="3" t="s">
        <v>84</v>
      </c>
      <c r="G31" s="4">
        <v>45931</v>
      </c>
      <c r="H31" s="5">
        <f t="shared" si="0"/>
        <v>40</v>
      </c>
      <c r="I31" s="5">
        <f t="shared" si="1"/>
        <v>10</v>
      </c>
      <c r="J31" s="6">
        <f t="shared" si="2"/>
        <v>0.16473379629629631</v>
      </c>
      <c r="K31" s="5" t="str">
        <f t="shared" ref="K31:K156" si="5">MID(F31,21,LEN(F31)-20)</f>
        <v>(DS-IBBLR-Nagondanahalli )</v>
      </c>
      <c r="L31" s="5" t="e">
        <f t="array" aca="1" ref="L31" ca="1">_xludf.XLOOKUP(E31,'[1]Migrated Societies Data'!C:C,'[1]Migrated Societies Data'!B:B)</f>
        <v>#NAME?</v>
      </c>
      <c r="M31" s="5" t="e">
        <f t="array" aca="1" ref="M31" ca="1">_xludf.XLOOKUP(E31,'[1]Migrated Societies Data'!C:C,'[1]Migrated Societies Data'!E:E)</f>
        <v>#NAME?</v>
      </c>
      <c r="N31" s="5" t="str">
        <f t="shared" si="3"/>
        <v>No</v>
      </c>
      <c r="O31" s="7">
        <f t="shared" si="4"/>
        <v>0.18556712962962965</v>
      </c>
    </row>
    <row r="32" spans="1:15" x14ac:dyDescent="0.25">
      <c r="A32" s="3" t="s">
        <v>85</v>
      </c>
      <c r="B32" s="3" t="s">
        <v>86</v>
      </c>
      <c r="C32" s="3" t="s">
        <v>16</v>
      </c>
      <c r="D32" s="3" t="s">
        <v>82</v>
      </c>
      <c r="E32" s="3" t="s">
        <v>87</v>
      </c>
      <c r="F32" s="3" t="s">
        <v>88</v>
      </c>
      <c r="G32" s="4">
        <v>45932</v>
      </c>
      <c r="H32" s="5">
        <f t="shared" si="0"/>
        <v>40</v>
      </c>
      <c r="I32" s="5">
        <f t="shared" si="1"/>
        <v>10</v>
      </c>
      <c r="J32" s="6">
        <f t="shared" si="2"/>
        <v>0.98493055555555553</v>
      </c>
      <c r="K32" s="5" t="str">
        <f t="shared" si="5"/>
        <v>(DS-IBBLR-Budhigere )</v>
      </c>
      <c r="L32" s="5" t="e">
        <f t="array" aca="1" ref="L32" ca="1">_xludf.XLOOKUP(E32,'[1]Migrated Societies Data'!C:C,'[1]Migrated Societies Data'!B:B)</f>
        <v>#NAME?</v>
      </c>
      <c r="M32" s="5" t="e">
        <f t="array" aca="1" ref="M32" ca="1">_xludf.XLOOKUP(E32,'[1]Migrated Societies Data'!C:C,'[1]Migrated Societies Data'!E:E)</f>
        <v>#NAME?</v>
      </c>
      <c r="N32" s="5" t="str">
        <f t="shared" si="3"/>
        <v>Yes</v>
      </c>
      <c r="O32" s="7">
        <f t="shared" si="4"/>
        <v>5.7638888888889017E-3</v>
      </c>
    </row>
    <row r="33" spans="1:15" x14ac:dyDescent="0.25">
      <c r="A33" s="3" t="s">
        <v>80</v>
      </c>
      <c r="B33" s="3" t="s">
        <v>89</v>
      </c>
      <c r="C33" s="3" t="s">
        <v>16</v>
      </c>
      <c r="D33" s="3" t="s">
        <v>82</v>
      </c>
      <c r="E33" s="3" t="s">
        <v>83</v>
      </c>
      <c r="F33" s="3" t="s">
        <v>90</v>
      </c>
      <c r="G33" s="4">
        <v>45932</v>
      </c>
      <c r="H33" s="5">
        <f t="shared" si="0"/>
        <v>40</v>
      </c>
      <c r="I33" s="5">
        <f t="shared" si="1"/>
        <v>10</v>
      </c>
      <c r="J33" s="6">
        <f t="shared" si="2"/>
        <v>0.1348148148148148</v>
      </c>
      <c r="K33" s="5" t="str">
        <f t="shared" si="5"/>
        <v>(DS-IBBLR-Nagondanahalli )</v>
      </c>
      <c r="L33" s="5" t="e">
        <f t="array" aca="1" ref="L33" ca="1">_xludf.XLOOKUP(E33,'[1]Migrated Societies Data'!C:C,'[1]Migrated Societies Data'!B:B)</f>
        <v>#NAME?</v>
      </c>
      <c r="M33" s="5" t="e">
        <f t="array" aca="1" ref="M33" ca="1">_xludf.XLOOKUP(E33,'[1]Migrated Societies Data'!C:C,'[1]Migrated Societies Data'!E:E)</f>
        <v>#NAME?</v>
      </c>
      <c r="N33" s="5" t="str">
        <f t="shared" si="3"/>
        <v>Yes</v>
      </c>
      <c r="O33" s="7">
        <f t="shared" si="4"/>
        <v>0.15564814814814815</v>
      </c>
    </row>
    <row r="34" spans="1:15" x14ac:dyDescent="0.25">
      <c r="A34" s="3" t="s">
        <v>14</v>
      </c>
      <c r="B34" s="3" t="s">
        <v>91</v>
      </c>
      <c r="C34" s="3" t="s">
        <v>16</v>
      </c>
      <c r="D34" s="3" t="s">
        <v>17</v>
      </c>
      <c r="E34" s="3" t="s">
        <v>18</v>
      </c>
      <c r="F34" s="3" t="s">
        <v>92</v>
      </c>
      <c r="G34" s="4">
        <v>45932</v>
      </c>
      <c r="H34" s="5">
        <f t="shared" si="0"/>
        <v>40</v>
      </c>
      <c r="I34" s="5">
        <f t="shared" si="1"/>
        <v>10</v>
      </c>
      <c r="J34" s="6">
        <f t="shared" si="2"/>
        <v>4.8726851851851848E-3</v>
      </c>
      <c r="K34" s="5" t="str">
        <f t="shared" si="5"/>
        <v>(DS-IBBLR-Peenya PH-3)</v>
      </c>
      <c r="L34" s="5" t="e">
        <f t="array" aca="1" ref="L34" ca="1">_xludf.XLOOKUP(E34,'[1]Migrated Societies Data'!C:C,'[1]Migrated Societies Data'!B:B)</f>
        <v>#NAME?</v>
      </c>
      <c r="M34" s="5" t="e">
        <f t="array" aca="1" ref="M34" ca="1">_xludf.XLOOKUP(E34,'[1]Migrated Societies Data'!C:C,'[1]Migrated Societies Data'!E:E)</f>
        <v>#NAME?</v>
      </c>
      <c r="N34" s="5" t="str">
        <f t="shared" si="3"/>
        <v>Yes</v>
      </c>
      <c r="O34" s="7">
        <f t="shared" si="4"/>
        <v>2.5706018518518517E-2</v>
      </c>
    </row>
    <row r="35" spans="1:15" x14ac:dyDescent="0.25">
      <c r="A35" s="3" t="s">
        <v>85</v>
      </c>
      <c r="B35" s="3" t="s">
        <v>93</v>
      </c>
      <c r="C35" s="3" t="s">
        <v>16</v>
      </c>
      <c r="D35" s="3" t="s">
        <v>82</v>
      </c>
      <c r="E35" s="3" t="s">
        <v>87</v>
      </c>
      <c r="F35" s="3" t="s">
        <v>94</v>
      </c>
      <c r="G35" s="4">
        <v>45933</v>
      </c>
      <c r="H35" s="5">
        <f t="shared" si="0"/>
        <v>40</v>
      </c>
      <c r="I35" s="5">
        <f t="shared" si="1"/>
        <v>10</v>
      </c>
      <c r="J35" s="6">
        <f t="shared" si="2"/>
        <v>0.96962962962962962</v>
      </c>
      <c r="K35" s="5" t="str">
        <f t="shared" si="5"/>
        <v>(DS-IBBLR-Budhigere )</v>
      </c>
      <c r="L35" s="5" t="e">
        <f t="array" aca="1" ref="L35" ca="1">_xludf.XLOOKUP(E35,'[1]Migrated Societies Data'!C:C,'[1]Migrated Societies Data'!B:B)</f>
        <v>#NAME?</v>
      </c>
      <c r="M35" s="5" t="e">
        <f t="array" aca="1" ref="M35" ca="1">_xludf.XLOOKUP(E35,'[1]Migrated Societies Data'!C:C,'[1]Migrated Societies Data'!E:E)</f>
        <v>#NAME?</v>
      </c>
      <c r="N35" s="5" t="str">
        <f t="shared" si="3"/>
        <v>Yes</v>
      </c>
      <c r="O35" s="7">
        <f t="shared" si="4"/>
        <v>0.99046296296296299</v>
      </c>
    </row>
    <row r="36" spans="1:15" x14ac:dyDescent="0.25">
      <c r="A36" s="3" t="s">
        <v>80</v>
      </c>
      <c r="B36" s="3" t="s">
        <v>95</v>
      </c>
      <c r="C36" s="3" t="s">
        <v>16</v>
      </c>
      <c r="D36" s="3" t="s">
        <v>82</v>
      </c>
      <c r="E36" s="3" t="s">
        <v>83</v>
      </c>
      <c r="F36" s="3" t="s">
        <v>96</v>
      </c>
      <c r="G36" s="4">
        <v>45933</v>
      </c>
      <c r="H36" s="5">
        <f t="shared" si="0"/>
        <v>40</v>
      </c>
      <c r="I36" s="5">
        <f t="shared" si="1"/>
        <v>10</v>
      </c>
      <c r="J36" s="6">
        <f t="shared" si="2"/>
        <v>8.7962962962962965E-2</v>
      </c>
      <c r="K36" s="5" t="str">
        <f t="shared" si="5"/>
        <v>(DS-IBBLR-Nagondanahalli )</v>
      </c>
      <c r="L36" s="5" t="e">
        <f t="array" aca="1" ref="L36" ca="1">_xludf.XLOOKUP(E36,'[1]Migrated Societies Data'!C:C,'[1]Migrated Societies Data'!B:B)</f>
        <v>#NAME?</v>
      </c>
      <c r="M36" s="5" t="e">
        <f t="array" aca="1" ref="M36" ca="1">_xludf.XLOOKUP(E36,'[1]Migrated Societies Data'!C:C,'[1]Migrated Societies Data'!E:E)</f>
        <v>#NAME?</v>
      </c>
      <c r="N36" s="5" t="str">
        <f t="shared" si="3"/>
        <v>Yes</v>
      </c>
      <c r="O36" s="7">
        <f t="shared" si="4"/>
        <v>0.10879629629629629</v>
      </c>
    </row>
    <row r="37" spans="1:15" x14ac:dyDescent="0.25">
      <c r="A37" s="3" t="s">
        <v>14</v>
      </c>
      <c r="B37" s="3" t="s">
        <v>97</v>
      </c>
      <c r="C37" s="3" t="s">
        <v>16</v>
      </c>
      <c r="D37" s="3" t="s">
        <v>17</v>
      </c>
      <c r="E37" s="3" t="s">
        <v>18</v>
      </c>
      <c r="F37" s="3" t="s">
        <v>98</v>
      </c>
      <c r="G37" s="4">
        <v>45933</v>
      </c>
      <c r="H37" s="5">
        <f t="shared" si="0"/>
        <v>40</v>
      </c>
      <c r="I37" s="5">
        <f t="shared" si="1"/>
        <v>10</v>
      </c>
      <c r="J37" s="6">
        <f t="shared" si="2"/>
        <v>4.8379629629629627E-2</v>
      </c>
      <c r="K37" s="5" t="str">
        <f t="shared" si="5"/>
        <v>(DS-IBBLR-Peenya PH-3)</v>
      </c>
      <c r="L37" s="5" t="e">
        <f t="array" aca="1" ref="L37" ca="1">_xludf.XLOOKUP(E37,'[1]Migrated Societies Data'!C:C,'[1]Migrated Societies Data'!B:B)</f>
        <v>#NAME?</v>
      </c>
      <c r="M37" s="5" t="e">
        <f t="array" aca="1" ref="M37" ca="1">_xludf.XLOOKUP(E37,'[1]Migrated Societies Data'!C:C,'[1]Migrated Societies Data'!E:E)</f>
        <v>#NAME?</v>
      </c>
      <c r="N37" s="5" t="str">
        <f t="shared" si="3"/>
        <v>Yes</v>
      </c>
      <c r="O37" s="7">
        <f t="shared" si="4"/>
        <v>6.9212962962962962E-2</v>
      </c>
    </row>
    <row r="38" spans="1:15" x14ac:dyDescent="0.25">
      <c r="A38" s="3" t="s">
        <v>85</v>
      </c>
      <c r="B38" s="3" t="s">
        <v>99</v>
      </c>
      <c r="C38" s="3" t="s">
        <v>16</v>
      </c>
      <c r="D38" s="3" t="s">
        <v>82</v>
      </c>
      <c r="E38" s="3" t="s">
        <v>87</v>
      </c>
      <c r="F38" s="3" t="s">
        <v>100</v>
      </c>
      <c r="G38" s="4">
        <v>45934</v>
      </c>
      <c r="H38" s="5">
        <f t="shared" si="0"/>
        <v>40</v>
      </c>
      <c r="I38" s="5">
        <f t="shared" si="1"/>
        <v>10</v>
      </c>
      <c r="J38" s="6">
        <f t="shared" si="2"/>
        <v>0.99005787037037041</v>
      </c>
      <c r="K38" s="5" t="str">
        <f t="shared" si="5"/>
        <v>(DS-IBBLR-Budhigere )</v>
      </c>
      <c r="L38" s="5" t="e">
        <f t="array" aca="1" ref="L38" ca="1">_xludf.XLOOKUP(E38,'[1]Migrated Societies Data'!C:C,'[1]Migrated Societies Data'!B:B)</f>
        <v>#NAME?</v>
      </c>
      <c r="M38" s="5" t="e">
        <f t="array" aca="1" ref="M38" ca="1">_xludf.XLOOKUP(E38,'[1]Migrated Societies Data'!C:C,'[1]Migrated Societies Data'!E:E)</f>
        <v>#NAME?</v>
      </c>
      <c r="N38" s="5" t="str">
        <f t="shared" si="3"/>
        <v>Yes</v>
      </c>
      <c r="O38" s="7">
        <f t="shared" si="4"/>
        <v>1.0891203703703667E-2</v>
      </c>
    </row>
    <row r="39" spans="1:15" x14ac:dyDescent="0.25">
      <c r="A39" s="3" t="s">
        <v>80</v>
      </c>
      <c r="B39" s="3" t="s">
        <v>101</v>
      </c>
      <c r="C39" s="3" t="s">
        <v>16</v>
      </c>
      <c r="D39" s="3" t="s">
        <v>82</v>
      </c>
      <c r="E39" s="3" t="s">
        <v>83</v>
      </c>
      <c r="F39" s="3" t="s">
        <v>102</v>
      </c>
      <c r="G39" s="4">
        <v>45934</v>
      </c>
      <c r="H39" s="5">
        <f t="shared" si="0"/>
        <v>40</v>
      </c>
      <c r="I39" s="5">
        <f t="shared" si="1"/>
        <v>10</v>
      </c>
      <c r="J39" s="6">
        <f t="shared" si="2"/>
        <v>9.3275462962962963E-2</v>
      </c>
      <c r="K39" s="5" t="str">
        <f t="shared" si="5"/>
        <v>(DS-IBBLR-Nagondanahalli )</v>
      </c>
      <c r="L39" s="5" t="e">
        <f t="array" aca="1" ref="L39" ca="1">_xludf.XLOOKUP(E39,'[1]Migrated Societies Data'!C:C,'[1]Migrated Societies Data'!B:B)</f>
        <v>#NAME?</v>
      </c>
      <c r="M39" s="5" t="e">
        <f t="array" aca="1" ref="M39" ca="1">_xludf.XLOOKUP(E39,'[1]Migrated Societies Data'!C:C,'[1]Migrated Societies Data'!E:E)</f>
        <v>#NAME?</v>
      </c>
      <c r="N39" s="5" t="str">
        <f t="shared" si="3"/>
        <v>Yes</v>
      </c>
      <c r="O39" s="7">
        <f t="shared" si="4"/>
        <v>0.11410879629629629</v>
      </c>
    </row>
    <row r="40" spans="1:15" x14ac:dyDescent="0.25">
      <c r="A40" s="3" t="s">
        <v>14</v>
      </c>
      <c r="B40" s="3" t="s">
        <v>103</v>
      </c>
      <c r="C40" s="3" t="s">
        <v>16</v>
      </c>
      <c r="D40" s="3" t="s">
        <v>17</v>
      </c>
      <c r="E40" s="3" t="s">
        <v>18</v>
      </c>
      <c r="F40" s="3" t="s">
        <v>104</v>
      </c>
      <c r="G40" s="4">
        <v>45934</v>
      </c>
      <c r="H40" s="5">
        <f t="shared" si="0"/>
        <v>40</v>
      </c>
      <c r="I40" s="5">
        <f t="shared" si="1"/>
        <v>10</v>
      </c>
      <c r="J40" s="6">
        <f t="shared" si="2"/>
        <v>3.8101851851851852E-2</v>
      </c>
      <c r="K40" s="5" t="str">
        <f t="shared" si="5"/>
        <v>(DS-IBBLR-Peenya PH-3)</v>
      </c>
      <c r="L40" s="5" t="e">
        <f t="array" aca="1" ref="L40" ca="1">_xludf.XLOOKUP(E40,'[1]Migrated Societies Data'!C:C,'[1]Migrated Societies Data'!B:B)</f>
        <v>#NAME?</v>
      </c>
      <c r="M40" s="5" t="e">
        <f t="array" aca="1" ref="M40" ca="1">_xludf.XLOOKUP(E40,'[1]Migrated Societies Data'!C:C,'[1]Migrated Societies Data'!E:E)</f>
        <v>#NAME?</v>
      </c>
      <c r="N40" s="5" t="str">
        <f t="shared" si="3"/>
        <v>Yes</v>
      </c>
      <c r="O40" s="7">
        <f t="shared" si="4"/>
        <v>5.8935185185185188E-2</v>
      </c>
    </row>
    <row r="41" spans="1:15" x14ac:dyDescent="0.25">
      <c r="A41" s="3" t="s">
        <v>85</v>
      </c>
      <c r="B41" s="3" t="s">
        <v>105</v>
      </c>
      <c r="C41" s="3" t="s">
        <v>16</v>
      </c>
      <c r="D41" s="3" t="s">
        <v>82</v>
      </c>
      <c r="E41" s="3" t="s">
        <v>87</v>
      </c>
      <c r="F41" s="3" t="s">
        <v>106</v>
      </c>
      <c r="G41" s="4">
        <v>45935</v>
      </c>
      <c r="H41" s="5">
        <f t="shared" si="0"/>
        <v>40</v>
      </c>
      <c r="I41" s="5">
        <f t="shared" si="1"/>
        <v>10</v>
      </c>
      <c r="J41" s="6">
        <f t="shared" si="2"/>
        <v>0.98157407407407404</v>
      </c>
      <c r="K41" s="5" t="str">
        <f t="shared" si="5"/>
        <v>(DS-IBBLR-Budhigere )</v>
      </c>
      <c r="L41" s="5" t="e">
        <f t="array" aca="1" ref="L41" ca="1">_xludf.XLOOKUP(E41,'[1]Migrated Societies Data'!C:C,'[1]Migrated Societies Data'!B:B)</f>
        <v>#NAME?</v>
      </c>
      <c r="M41" s="5" t="e">
        <f t="array" aca="1" ref="M41" ca="1">_xludf.XLOOKUP(E41,'[1]Migrated Societies Data'!C:C,'[1]Migrated Societies Data'!E:E)</f>
        <v>#NAME?</v>
      </c>
      <c r="N41" s="5" t="str">
        <f t="shared" si="3"/>
        <v>Yes</v>
      </c>
      <c r="O41" s="7">
        <f t="shared" si="4"/>
        <v>2.4074074074074137E-3</v>
      </c>
    </row>
    <row r="42" spans="1:15" x14ac:dyDescent="0.25">
      <c r="A42" s="3" t="s">
        <v>14</v>
      </c>
      <c r="B42" s="3" t="s">
        <v>107</v>
      </c>
      <c r="C42" s="3" t="s">
        <v>16</v>
      </c>
      <c r="D42" s="3" t="s">
        <v>17</v>
      </c>
      <c r="E42" s="3" t="s">
        <v>18</v>
      </c>
      <c r="F42" s="3" t="s">
        <v>108</v>
      </c>
      <c r="G42" s="4">
        <v>45935</v>
      </c>
      <c r="H42" s="5">
        <f t="shared" si="0"/>
        <v>40</v>
      </c>
      <c r="I42" s="5">
        <f t="shared" si="1"/>
        <v>10</v>
      </c>
      <c r="J42" s="6">
        <f t="shared" si="2"/>
        <v>4.4421296296296299E-2</v>
      </c>
      <c r="K42" s="5" t="str">
        <f t="shared" si="5"/>
        <v>(DS-IBBLR-Peenya PH-3)</v>
      </c>
      <c r="L42" s="5" t="e">
        <f t="array" aca="1" ref="L42" ca="1">_xludf.XLOOKUP(E42,'[1]Migrated Societies Data'!C:C,'[1]Migrated Societies Data'!B:B)</f>
        <v>#NAME?</v>
      </c>
      <c r="M42" s="5" t="e">
        <f t="array" aca="1" ref="M42" ca="1">_xludf.XLOOKUP(E42,'[1]Migrated Societies Data'!C:C,'[1]Migrated Societies Data'!E:E)</f>
        <v>#NAME?</v>
      </c>
      <c r="N42" s="5" t="str">
        <f t="shared" si="3"/>
        <v>Yes</v>
      </c>
      <c r="O42" s="7">
        <f t="shared" si="4"/>
        <v>6.5254629629629635E-2</v>
      </c>
    </row>
    <row r="43" spans="1:15" x14ac:dyDescent="0.25">
      <c r="A43" s="3" t="s">
        <v>85</v>
      </c>
      <c r="B43" s="3" t="s">
        <v>109</v>
      </c>
      <c r="C43" s="3" t="s">
        <v>16</v>
      </c>
      <c r="D43" s="3" t="s">
        <v>82</v>
      </c>
      <c r="E43" s="3" t="s">
        <v>87</v>
      </c>
      <c r="F43" s="3" t="s">
        <v>110</v>
      </c>
      <c r="G43" s="4">
        <v>45936</v>
      </c>
      <c r="H43" s="5">
        <f t="shared" si="0"/>
        <v>41</v>
      </c>
      <c r="I43" s="5">
        <f t="shared" si="1"/>
        <v>10</v>
      </c>
      <c r="J43" s="6">
        <f t="shared" si="2"/>
        <v>0.98050925925925925</v>
      </c>
      <c r="K43" s="5" t="str">
        <f t="shared" si="5"/>
        <v>(DS-IBBLR-Budhigere )</v>
      </c>
      <c r="L43" s="5" t="e">
        <f t="array" aca="1" ref="L43" ca="1">_xludf.XLOOKUP(E43,'[1]Migrated Societies Data'!C:C,'[1]Migrated Societies Data'!B:B)</f>
        <v>#NAME?</v>
      </c>
      <c r="M43" s="5" t="e">
        <f t="array" aca="1" ref="M43" ca="1">_xludf.XLOOKUP(E43,'[1]Migrated Societies Data'!C:C,'[1]Migrated Societies Data'!E:E)</f>
        <v>#NAME?</v>
      </c>
      <c r="N43" s="5" t="str">
        <f t="shared" si="3"/>
        <v>Yes</v>
      </c>
      <c r="O43" s="7">
        <f t="shared" si="4"/>
        <v>1.3425925925925064E-3</v>
      </c>
    </row>
    <row r="44" spans="1:15" x14ac:dyDescent="0.25">
      <c r="A44" s="3" t="s">
        <v>80</v>
      </c>
      <c r="B44" s="3" t="s">
        <v>111</v>
      </c>
      <c r="C44" s="3" t="s">
        <v>16</v>
      </c>
      <c r="D44" s="3" t="s">
        <v>82</v>
      </c>
      <c r="E44" s="3" t="s">
        <v>83</v>
      </c>
      <c r="F44" s="3" t="s">
        <v>112</v>
      </c>
      <c r="G44" s="4">
        <v>45936</v>
      </c>
      <c r="H44" s="5">
        <f t="shared" si="0"/>
        <v>41</v>
      </c>
      <c r="I44" s="5">
        <f t="shared" si="1"/>
        <v>10</v>
      </c>
      <c r="J44" s="6">
        <f t="shared" si="2"/>
        <v>0.12314814814814815</v>
      </c>
      <c r="K44" s="5" t="str">
        <f t="shared" si="5"/>
        <v>(DS-IBBLR-Nagondanahalli )</v>
      </c>
      <c r="L44" s="5" t="e">
        <f t="array" aca="1" ref="L44" ca="1">_xludf.XLOOKUP(E44,'[1]Migrated Societies Data'!C:C,'[1]Migrated Societies Data'!B:B)</f>
        <v>#NAME?</v>
      </c>
      <c r="M44" s="5" t="e">
        <f t="array" aca="1" ref="M44" ca="1">_xludf.XLOOKUP(E44,'[1]Migrated Societies Data'!C:C,'[1]Migrated Societies Data'!E:E)</f>
        <v>#NAME?</v>
      </c>
      <c r="N44" s="5" t="str">
        <f t="shared" si="3"/>
        <v>Yes</v>
      </c>
      <c r="O44" s="7">
        <f t="shared" si="4"/>
        <v>0.14398148148148149</v>
      </c>
    </row>
    <row r="45" spans="1:15" x14ac:dyDescent="0.25">
      <c r="A45" s="3" t="s">
        <v>14</v>
      </c>
      <c r="B45" s="3" t="s">
        <v>113</v>
      </c>
      <c r="C45" s="3" t="s">
        <v>16</v>
      </c>
      <c r="D45" s="3" t="s">
        <v>17</v>
      </c>
      <c r="E45" s="3" t="s">
        <v>18</v>
      </c>
      <c r="F45" s="3" t="s">
        <v>114</v>
      </c>
      <c r="G45" s="4">
        <v>45936</v>
      </c>
      <c r="H45" s="5">
        <f t="shared" si="0"/>
        <v>41</v>
      </c>
      <c r="I45" s="5">
        <f t="shared" si="1"/>
        <v>10</v>
      </c>
      <c r="J45" s="6">
        <f t="shared" si="2"/>
        <v>4.9340277777777775E-2</v>
      </c>
      <c r="K45" s="5" t="str">
        <f t="shared" si="5"/>
        <v>(DS-IBBLR-Peenya PH-3)</v>
      </c>
      <c r="L45" s="5" t="e">
        <f t="array" aca="1" ref="L45" ca="1">_xludf.XLOOKUP(E45,'[1]Migrated Societies Data'!C:C,'[1]Migrated Societies Data'!B:B)</f>
        <v>#NAME?</v>
      </c>
      <c r="M45" s="5" t="e">
        <f t="array" aca="1" ref="M45" ca="1">_xludf.XLOOKUP(E45,'[1]Migrated Societies Data'!C:C,'[1]Migrated Societies Data'!E:E)</f>
        <v>#NAME?</v>
      </c>
      <c r="N45" s="5" t="str">
        <f t="shared" si="3"/>
        <v>Yes</v>
      </c>
      <c r="O45" s="7">
        <f t="shared" si="4"/>
        <v>7.0173611111111103E-2</v>
      </c>
    </row>
    <row r="46" spans="1:15" x14ac:dyDescent="0.25">
      <c r="A46" s="3" t="s">
        <v>85</v>
      </c>
      <c r="B46" s="3" t="s">
        <v>115</v>
      </c>
      <c r="C46" s="3" t="s">
        <v>16</v>
      </c>
      <c r="D46" s="3" t="s">
        <v>82</v>
      </c>
      <c r="E46" s="3" t="s">
        <v>87</v>
      </c>
      <c r="F46" s="3" t="s">
        <v>116</v>
      </c>
      <c r="G46" s="4">
        <v>45937</v>
      </c>
      <c r="H46" s="5">
        <f t="shared" si="0"/>
        <v>41</v>
      </c>
      <c r="I46" s="5">
        <f t="shared" si="1"/>
        <v>10</v>
      </c>
      <c r="J46" s="6">
        <f t="shared" si="2"/>
        <v>0.97268518518518521</v>
      </c>
      <c r="K46" s="5" t="str">
        <f t="shared" si="5"/>
        <v>(DS-IBBLR-Budhigere )</v>
      </c>
      <c r="L46" s="5" t="e">
        <f t="array" aca="1" ref="L46" ca="1">_xludf.XLOOKUP(E46,'[1]Migrated Societies Data'!C:C,'[1]Migrated Societies Data'!B:B)</f>
        <v>#NAME?</v>
      </c>
      <c r="M46" s="5" t="e">
        <f t="array" aca="1" ref="M46" ca="1">_xludf.XLOOKUP(E46,'[1]Migrated Societies Data'!C:C,'[1]Migrated Societies Data'!E:E)</f>
        <v>#NAME?</v>
      </c>
      <c r="N46" s="5" t="str">
        <f t="shared" si="3"/>
        <v>Yes</v>
      </c>
      <c r="O46" s="7">
        <f t="shared" si="4"/>
        <v>0.99351851851851858</v>
      </c>
    </row>
    <row r="47" spans="1:15" x14ac:dyDescent="0.25">
      <c r="A47" s="3" t="s">
        <v>80</v>
      </c>
      <c r="B47" s="3" t="s">
        <v>117</v>
      </c>
      <c r="C47" s="3" t="s">
        <v>16</v>
      </c>
      <c r="D47" s="3" t="s">
        <v>82</v>
      </c>
      <c r="E47" s="3" t="s">
        <v>83</v>
      </c>
      <c r="F47" s="3" t="s">
        <v>118</v>
      </c>
      <c r="G47" s="4">
        <v>45937</v>
      </c>
      <c r="H47" s="5">
        <f t="shared" si="0"/>
        <v>41</v>
      </c>
      <c r="I47" s="5">
        <f t="shared" si="1"/>
        <v>10</v>
      </c>
      <c r="J47" s="6">
        <f t="shared" si="2"/>
        <v>0.16247685185185184</v>
      </c>
      <c r="K47" s="5" t="str">
        <f t="shared" si="5"/>
        <v>(DS-IBBLR-Nagondanahalli )</v>
      </c>
      <c r="L47" s="5" t="e">
        <f t="array" aca="1" ref="L47" ca="1">_xludf.XLOOKUP(E47,'[1]Migrated Societies Data'!C:C,'[1]Migrated Societies Data'!B:B)</f>
        <v>#NAME?</v>
      </c>
      <c r="M47" s="5" t="e">
        <f t="array" aca="1" ref="M47" ca="1">_xludf.XLOOKUP(E47,'[1]Migrated Societies Data'!C:C,'[1]Migrated Societies Data'!E:E)</f>
        <v>#NAME?</v>
      </c>
      <c r="N47" s="5" t="str">
        <f t="shared" si="3"/>
        <v>No</v>
      </c>
      <c r="O47" s="7">
        <f t="shared" si="4"/>
        <v>0.18331018518518519</v>
      </c>
    </row>
    <row r="48" spans="1:15" x14ac:dyDescent="0.25">
      <c r="A48" s="3" t="s">
        <v>14</v>
      </c>
      <c r="B48" s="3" t="s">
        <v>119</v>
      </c>
      <c r="C48" s="3" t="s">
        <v>16</v>
      </c>
      <c r="D48" s="3" t="s">
        <v>17</v>
      </c>
      <c r="E48" s="3" t="s">
        <v>18</v>
      </c>
      <c r="F48" s="3" t="s">
        <v>120</v>
      </c>
      <c r="G48" s="4">
        <v>45937</v>
      </c>
      <c r="H48" s="5">
        <f t="shared" si="0"/>
        <v>41</v>
      </c>
      <c r="I48" s="5">
        <f t="shared" si="1"/>
        <v>10</v>
      </c>
      <c r="J48" s="6">
        <f t="shared" si="2"/>
        <v>5.6180555555555553E-2</v>
      </c>
      <c r="K48" s="5" t="str">
        <f t="shared" si="5"/>
        <v>(DS-IBBLR-Peenya PH-3)</v>
      </c>
      <c r="L48" s="5" t="e">
        <f t="array" aca="1" ref="L48" ca="1">_xludf.XLOOKUP(E48,'[1]Migrated Societies Data'!C:C,'[1]Migrated Societies Data'!B:B)</f>
        <v>#NAME?</v>
      </c>
      <c r="M48" s="5" t="e">
        <f t="array" aca="1" ref="M48" ca="1">_xludf.XLOOKUP(E48,'[1]Migrated Societies Data'!C:C,'[1]Migrated Societies Data'!E:E)</f>
        <v>#NAME?</v>
      </c>
      <c r="N48" s="5" t="str">
        <f t="shared" si="3"/>
        <v>Yes</v>
      </c>
      <c r="O48" s="7">
        <f t="shared" si="4"/>
        <v>7.7013888888888882E-2</v>
      </c>
    </row>
    <row r="49" spans="1:15" x14ac:dyDescent="0.25">
      <c r="A49" s="3" t="s">
        <v>85</v>
      </c>
      <c r="B49" s="3" t="s">
        <v>121</v>
      </c>
      <c r="C49" s="3" t="s">
        <v>16</v>
      </c>
      <c r="D49" s="3" t="s">
        <v>82</v>
      </c>
      <c r="E49" s="3" t="s">
        <v>87</v>
      </c>
      <c r="F49" s="3" t="s">
        <v>122</v>
      </c>
      <c r="G49" s="4">
        <v>45938</v>
      </c>
      <c r="H49" s="5">
        <f t="shared" si="0"/>
        <v>41</v>
      </c>
      <c r="I49" s="5">
        <f t="shared" si="1"/>
        <v>10</v>
      </c>
      <c r="J49" s="6">
        <f t="shared" si="2"/>
        <v>0.98490740740740745</v>
      </c>
      <c r="K49" s="5" t="str">
        <f t="shared" si="5"/>
        <v>(DS-IBBLR-Budhigere )</v>
      </c>
      <c r="L49" s="5" t="e">
        <f t="array" aca="1" ref="L49" ca="1">_xludf.XLOOKUP(E49,'[1]Migrated Societies Data'!C:C,'[1]Migrated Societies Data'!B:B)</f>
        <v>#NAME?</v>
      </c>
      <c r="M49" s="5" t="e">
        <f t="array" aca="1" ref="M49" ca="1">_xludf.XLOOKUP(E49,'[1]Migrated Societies Data'!C:C,'[1]Migrated Societies Data'!E:E)</f>
        <v>#NAME?</v>
      </c>
      <c r="N49" s="5" t="str">
        <f t="shared" si="3"/>
        <v>Yes</v>
      </c>
      <c r="O49" s="7">
        <f t="shared" si="4"/>
        <v>5.740740740740824E-3</v>
      </c>
    </row>
    <row r="50" spans="1:15" x14ac:dyDescent="0.25">
      <c r="A50" s="3" t="s">
        <v>80</v>
      </c>
      <c r="B50" s="3" t="s">
        <v>123</v>
      </c>
      <c r="C50" s="3" t="s">
        <v>16</v>
      </c>
      <c r="D50" s="3" t="s">
        <v>82</v>
      </c>
      <c r="E50" s="3" t="s">
        <v>83</v>
      </c>
      <c r="F50" s="3" t="s">
        <v>124</v>
      </c>
      <c r="G50" s="4">
        <v>45938</v>
      </c>
      <c r="H50" s="5">
        <f t="shared" si="0"/>
        <v>41</v>
      </c>
      <c r="I50" s="5">
        <f t="shared" si="1"/>
        <v>10</v>
      </c>
      <c r="J50" s="6">
        <f t="shared" si="2"/>
        <v>0.23479166666666668</v>
      </c>
      <c r="K50" s="5" t="str">
        <f t="shared" si="5"/>
        <v>(DS-IBBLR-Nagondanahalli )</v>
      </c>
      <c r="L50" s="5" t="e">
        <f t="array" aca="1" ref="L50" ca="1">_xludf.XLOOKUP(E50,'[1]Migrated Societies Data'!C:C,'[1]Migrated Societies Data'!B:B)</f>
        <v>#NAME?</v>
      </c>
      <c r="M50" s="5" t="e">
        <f t="array" aca="1" ref="M50" ca="1">_xludf.XLOOKUP(E50,'[1]Migrated Societies Data'!C:C,'[1]Migrated Societies Data'!E:E)</f>
        <v>#NAME?</v>
      </c>
      <c r="N50" s="5" t="str">
        <f t="shared" si="3"/>
        <v>No</v>
      </c>
      <c r="O50" s="7">
        <f t="shared" si="4"/>
        <v>0.25562499999999999</v>
      </c>
    </row>
    <row r="51" spans="1:15" x14ac:dyDescent="0.25">
      <c r="A51" s="3" t="s">
        <v>14</v>
      </c>
      <c r="B51" s="3" t="s">
        <v>125</v>
      </c>
      <c r="C51" s="3" t="s">
        <v>16</v>
      </c>
      <c r="D51" s="3" t="s">
        <v>17</v>
      </c>
      <c r="E51" s="3" t="s">
        <v>18</v>
      </c>
      <c r="F51" s="3" t="s">
        <v>126</v>
      </c>
      <c r="G51" s="4">
        <v>45938</v>
      </c>
      <c r="H51" s="5">
        <f t="shared" si="0"/>
        <v>41</v>
      </c>
      <c r="I51" s="5">
        <f t="shared" si="1"/>
        <v>10</v>
      </c>
      <c r="J51" s="6">
        <f t="shared" si="2"/>
        <v>4.0682870370370369E-2</v>
      </c>
      <c r="K51" s="5" t="str">
        <f t="shared" si="5"/>
        <v>(DS-IBBLR-Peenya PH-3)</v>
      </c>
      <c r="L51" s="5" t="e">
        <f t="array" aca="1" ref="L51" ca="1">_xludf.XLOOKUP(E51,'[1]Migrated Societies Data'!C:C,'[1]Migrated Societies Data'!B:B)</f>
        <v>#NAME?</v>
      </c>
      <c r="M51" s="5" t="e">
        <f t="array" aca="1" ref="M51" ca="1">_xludf.XLOOKUP(E51,'[1]Migrated Societies Data'!C:C,'[1]Migrated Societies Data'!E:E)</f>
        <v>#NAME?</v>
      </c>
      <c r="N51" s="5" t="str">
        <f t="shared" si="3"/>
        <v>Yes</v>
      </c>
      <c r="O51" s="7">
        <f t="shared" si="4"/>
        <v>6.1516203703703698E-2</v>
      </c>
    </row>
    <row r="52" spans="1:15" x14ac:dyDescent="0.25">
      <c r="A52" s="3" t="s">
        <v>85</v>
      </c>
      <c r="B52" s="3" t="s">
        <v>127</v>
      </c>
      <c r="C52" s="3" t="s">
        <v>16</v>
      </c>
      <c r="D52" s="3" t="s">
        <v>82</v>
      </c>
      <c r="E52" s="3" t="s">
        <v>87</v>
      </c>
      <c r="F52" s="3" t="s">
        <v>128</v>
      </c>
      <c r="G52" s="4">
        <v>45939</v>
      </c>
      <c r="H52" s="5">
        <f t="shared" si="0"/>
        <v>41</v>
      </c>
      <c r="I52" s="5">
        <f t="shared" si="1"/>
        <v>10</v>
      </c>
      <c r="J52" s="6">
        <f t="shared" si="2"/>
        <v>0.97586805555555556</v>
      </c>
      <c r="K52" s="5" t="str">
        <f t="shared" si="5"/>
        <v>(DS-IBBLR-Budhigere )</v>
      </c>
      <c r="L52" s="5" t="e">
        <f t="array" aca="1" ref="L52" ca="1">_xludf.XLOOKUP(E52,'[1]Migrated Societies Data'!C:C,'[1]Migrated Societies Data'!B:B)</f>
        <v>#NAME?</v>
      </c>
      <c r="M52" s="5" t="e">
        <f t="array" aca="1" ref="M52" ca="1">_xludf.XLOOKUP(E52,'[1]Migrated Societies Data'!C:C,'[1]Migrated Societies Data'!E:E)</f>
        <v>#NAME?</v>
      </c>
      <c r="N52" s="5" t="str">
        <f t="shared" si="3"/>
        <v>Yes</v>
      </c>
      <c r="O52" s="7">
        <f t="shared" si="4"/>
        <v>0.99670138888888893</v>
      </c>
    </row>
    <row r="53" spans="1:15" x14ac:dyDescent="0.25">
      <c r="A53" s="3" t="s">
        <v>80</v>
      </c>
      <c r="B53" s="3" t="s">
        <v>129</v>
      </c>
      <c r="C53" s="3" t="s">
        <v>16</v>
      </c>
      <c r="D53" s="3" t="s">
        <v>82</v>
      </c>
      <c r="E53" s="3" t="s">
        <v>83</v>
      </c>
      <c r="F53" s="3" t="s">
        <v>130</v>
      </c>
      <c r="G53" s="4">
        <v>45939</v>
      </c>
      <c r="H53" s="5">
        <f t="shared" si="0"/>
        <v>41</v>
      </c>
      <c r="I53" s="5">
        <f t="shared" si="1"/>
        <v>10</v>
      </c>
      <c r="J53" s="6">
        <f t="shared" si="2"/>
        <v>5.7175925925925929E-2</v>
      </c>
      <c r="K53" s="5" t="str">
        <f t="shared" si="5"/>
        <v>(DS-IBBLR-Nagondanahalli )</v>
      </c>
      <c r="L53" s="5" t="e">
        <f t="array" aca="1" ref="L53" ca="1">_xludf.XLOOKUP(E53,'[1]Migrated Societies Data'!C:C,'[1]Migrated Societies Data'!B:B)</f>
        <v>#NAME?</v>
      </c>
      <c r="M53" s="5" t="e">
        <f t="array" aca="1" ref="M53" ca="1">_xludf.XLOOKUP(E53,'[1]Migrated Societies Data'!C:C,'[1]Migrated Societies Data'!E:E)</f>
        <v>#NAME?</v>
      </c>
      <c r="N53" s="5" t="str">
        <f t="shared" si="3"/>
        <v>Yes</v>
      </c>
      <c r="O53" s="7">
        <f t="shared" si="4"/>
        <v>7.8009259259259264E-2</v>
      </c>
    </row>
    <row r="54" spans="1:15" x14ac:dyDescent="0.25">
      <c r="A54" s="3" t="s">
        <v>14</v>
      </c>
      <c r="B54" s="3" t="s">
        <v>131</v>
      </c>
      <c r="C54" s="3" t="s">
        <v>16</v>
      </c>
      <c r="D54" s="3" t="s">
        <v>17</v>
      </c>
      <c r="E54" s="3" t="s">
        <v>18</v>
      </c>
      <c r="F54" s="3" t="s">
        <v>132</v>
      </c>
      <c r="G54" s="4">
        <v>45939</v>
      </c>
      <c r="H54" s="5">
        <f t="shared" si="0"/>
        <v>41</v>
      </c>
      <c r="I54" s="5">
        <f t="shared" si="1"/>
        <v>10</v>
      </c>
      <c r="J54" s="6">
        <f t="shared" si="2"/>
        <v>5.395833333333333E-2</v>
      </c>
      <c r="K54" s="5" t="str">
        <f t="shared" si="5"/>
        <v>(DS-IBBLR-Peenya PH-3)</v>
      </c>
      <c r="L54" s="5" t="e">
        <f t="array" aca="1" ref="L54" ca="1">_xludf.XLOOKUP(E54,'[1]Migrated Societies Data'!C:C,'[1]Migrated Societies Data'!B:B)</f>
        <v>#NAME?</v>
      </c>
      <c r="M54" s="5" t="e">
        <f t="array" aca="1" ref="M54" ca="1">_xludf.XLOOKUP(E54,'[1]Migrated Societies Data'!C:C,'[1]Migrated Societies Data'!E:E)</f>
        <v>#NAME?</v>
      </c>
      <c r="N54" s="5" t="str">
        <f t="shared" si="3"/>
        <v>Yes</v>
      </c>
      <c r="O54" s="7">
        <f t="shared" si="4"/>
        <v>7.4791666666666659E-2</v>
      </c>
    </row>
    <row r="55" spans="1:15" x14ac:dyDescent="0.25">
      <c r="A55" s="3" t="s">
        <v>85</v>
      </c>
      <c r="B55" s="3" t="s">
        <v>133</v>
      </c>
      <c r="C55" s="3" t="s">
        <v>16</v>
      </c>
      <c r="D55" s="3" t="s">
        <v>82</v>
      </c>
      <c r="E55" s="3" t="s">
        <v>87</v>
      </c>
      <c r="F55" s="3" t="s">
        <v>134</v>
      </c>
      <c r="G55" s="4">
        <v>45940</v>
      </c>
      <c r="H55" s="5">
        <f t="shared" si="0"/>
        <v>41</v>
      </c>
      <c r="I55" s="5">
        <f t="shared" si="1"/>
        <v>10</v>
      </c>
      <c r="J55" s="6">
        <f t="shared" si="2"/>
        <v>0.98078703703703707</v>
      </c>
      <c r="K55" s="5" t="str">
        <f t="shared" si="5"/>
        <v>(DS-IBBLR-Budhigere )</v>
      </c>
      <c r="L55" s="5" t="e">
        <f t="array" aca="1" ref="L55" ca="1">_xludf.XLOOKUP(E55,'[1]Migrated Societies Data'!C:C,'[1]Migrated Societies Data'!B:B)</f>
        <v>#NAME?</v>
      </c>
      <c r="M55" s="5" t="e">
        <f t="array" aca="1" ref="M55" ca="1">_xludf.XLOOKUP(E55,'[1]Migrated Societies Data'!C:C,'[1]Migrated Societies Data'!E:E)</f>
        <v>#NAME?</v>
      </c>
      <c r="N55" s="5" t="str">
        <f t="shared" si="3"/>
        <v>Yes</v>
      </c>
      <c r="O55" s="7">
        <f t="shared" si="4"/>
        <v>1.6203703703703276E-3</v>
      </c>
    </row>
    <row r="56" spans="1:15" x14ac:dyDescent="0.25">
      <c r="A56" s="3" t="s">
        <v>14</v>
      </c>
      <c r="B56" s="3" t="s">
        <v>135</v>
      </c>
      <c r="C56" s="3" t="s">
        <v>16</v>
      </c>
      <c r="D56" s="3" t="s">
        <v>17</v>
      </c>
      <c r="E56" s="3" t="s">
        <v>18</v>
      </c>
      <c r="F56" s="3" t="s">
        <v>136</v>
      </c>
      <c r="G56" s="4">
        <v>45940</v>
      </c>
      <c r="H56" s="5">
        <f t="shared" si="0"/>
        <v>41</v>
      </c>
      <c r="I56" s="5">
        <f t="shared" si="1"/>
        <v>10</v>
      </c>
      <c r="J56" s="6">
        <f t="shared" si="2"/>
        <v>7.8877314814814817E-2</v>
      </c>
      <c r="K56" s="5" t="str">
        <f t="shared" si="5"/>
        <v>(DS-IBBLR-Peenya PH-3)</v>
      </c>
      <c r="L56" s="5" t="e">
        <f t="array" aca="1" ref="L56" ca="1">_xludf.XLOOKUP(E56,'[1]Migrated Societies Data'!C:C,'[1]Migrated Societies Data'!B:B)</f>
        <v>#NAME?</v>
      </c>
      <c r="M56" s="5" t="e">
        <f t="array" aca="1" ref="M56" ca="1">_xludf.XLOOKUP(E56,'[1]Migrated Societies Data'!C:C,'[1]Migrated Societies Data'!E:E)</f>
        <v>#NAME?</v>
      </c>
      <c r="N56" s="5" t="str">
        <f t="shared" si="3"/>
        <v>Yes</v>
      </c>
      <c r="O56" s="7">
        <f t="shared" si="4"/>
        <v>9.9710648148148145E-2</v>
      </c>
    </row>
    <row r="57" spans="1:15" x14ac:dyDescent="0.25">
      <c r="A57" s="3" t="s">
        <v>85</v>
      </c>
      <c r="B57" s="3" t="s">
        <v>137</v>
      </c>
      <c r="C57" s="3" t="s">
        <v>16</v>
      </c>
      <c r="D57" s="3" t="s">
        <v>82</v>
      </c>
      <c r="E57" s="3" t="s">
        <v>87</v>
      </c>
      <c r="F57" s="3" t="s">
        <v>138</v>
      </c>
      <c r="G57" s="4">
        <v>45941</v>
      </c>
      <c r="H57" s="5">
        <f t="shared" si="0"/>
        <v>41</v>
      </c>
      <c r="I57" s="5">
        <f t="shared" si="1"/>
        <v>10</v>
      </c>
      <c r="J57" s="6">
        <f t="shared" si="2"/>
        <v>0.98532407407407407</v>
      </c>
      <c r="K57" s="5" t="str">
        <f t="shared" si="5"/>
        <v>(DS-IBBLR-Budhigere )</v>
      </c>
      <c r="L57" s="5" t="e">
        <f t="array" aca="1" ref="L57" ca="1">_xludf.XLOOKUP(E57,'[1]Migrated Societies Data'!C:C,'[1]Migrated Societies Data'!B:B)</f>
        <v>#NAME?</v>
      </c>
      <c r="M57" s="5" t="e">
        <f t="array" aca="1" ref="M57" ca="1">_xludf.XLOOKUP(E57,'[1]Migrated Societies Data'!C:C,'[1]Migrated Societies Data'!E:E)</f>
        <v>#NAME?</v>
      </c>
      <c r="N57" s="5" t="str">
        <f t="shared" si="3"/>
        <v>Yes</v>
      </c>
      <c r="O57" s="7">
        <f t="shared" si="4"/>
        <v>6.1574074074073337E-3</v>
      </c>
    </row>
    <row r="58" spans="1:15" x14ac:dyDescent="0.25">
      <c r="A58" s="3" t="s">
        <v>80</v>
      </c>
      <c r="B58" s="3" t="s">
        <v>139</v>
      </c>
      <c r="C58" s="3" t="s">
        <v>16</v>
      </c>
      <c r="D58" s="3" t="s">
        <v>82</v>
      </c>
      <c r="E58" s="3" t="s">
        <v>83</v>
      </c>
      <c r="F58" s="3" t="s">
        <v>140</v>
      </c>
      <c r="G58" s="4">
        <v>45941</v>
      </c>
      <c r="H58" s="5">
        <f t="shared" si="0"/>
        <v>41</v>
      </c>
      <c r="I58" s="5">
        <f t="shared" si="1"/>
        <v>10</v>
      </c>
      <c r="J58" s="6">
        <f t="shared" si="2"/>
        <v>8.1620370370370371E-2</v>
      </c>
      <c r="K58" s="5" t="str">
        <f t="shared" si="5"/>
        <v>(DS-IBBLR-Nagondanahalli )</v>
      </c>
      <c r="L58" s="5" t="e">
        <f t="array" aca="1" ref="L58" ca="1">_xludf.XLOOKUP(E58,'[1]Migrated Societies Data'!C:C,'[1]Migrated Societies Data'!B:B)</f>
        <v>#NAME?</v>
      </c>
      <c r="M58" s="5" t="e">
        <f t="array" aca="1" ref="M58" ca="1">_xludf.XLOOKUP(E58,'[1]Migrated Societies Data'!C:C,'[1]Migrated Societies Data'!E:E)</f>
        <v>#NAME?</v>
      </c>
      <c r="N58" s="5" t="str">
        <f t="shared" si="3"/>
        <v>Yes</v>
      </c>
      <c r="O58" s="7">
        <f t="shared" si="4"/>
        <v>0.1024537037037037</v>
      </c>
    </row>
    <row r="59" spans="1:15" x14ac:dyDescent="0.25">
      <c r="A59" s="3" t="s">
        <v>14</v>
      </c>
      <c r="B59" s="3" t="s">
        <v>141</v>
      </c>
      <c r="C59" s="3" t="s">
        <v>16</v>
      </c>
      <c r="D59" s="3" t="s">
        <v>17</v>
      </c>
      <c r="E59" s="3" t="s">
        <v>18</v>
      </c>
      <c r="F59" s="3" t="s">
        <v>142</v>
      </c>
      <c r="G59" s="4">
        <v>45941</v>
      </c>
      <c r="H59" s="5">
        <f t="shared" si="0"/>
        <v>41</v>
      </c>
      <c r="I59" s="5">
        <f t="shared" si="1"/>
        <v>10</v>
      </c>
      <c r="J59" s="6">
        <f t="shared" si="2"/>
        <v>7.4918981481481475E-2</v>
      </c>
      <c r="K59" s="5" t="str">
        <f t="shared" si="5"/>
        <v>(DS-IBBLR-Peenya PH-3)</v>
      </c>
      <c r="L59" s="5" t="e">
        <f t="array" aca="1" ref="L59" ca="1">_xludf.XLOOKUP(E59,'[1]Migrated Societies Data'!C:C,'[1]Migrated Societies Data'!B:B)</f>
        <v>#NAME?</v>
      </c>
      <c r="M59" s="5" t="e">
        <f t="array" aca="1" ref="M59" ca="1">_xludf.XLOOKUP(E59,'[1]Migrated Societies Data'!C:C,'[1]Migrated Societies Data'!E:E)</f>
        <v>#NAME?</v>
      </c>
      <c r="N59" s="5" t="str">
        <f t="shared" si="3"/>
        <v>Yes</v>
      </c>
      <c r="O59" s="7">
        <f t="shared" si="4"/>
        <v>9.5752314814814804E-2</v>
      </c>
    </row>
    <row r="60" spans="1:15" x14ac:dyDescent="0.25">
      <c r="A60" s="3" t="s">
        <v>85</v>
      </c>
      <c r="B60" s="3" t="s">
        <v>143</v>
      </c>
      <c r="C60" s="3" t="s">
        <v>16</v>
      </c>
      <c r="D60" s="3" t="s">
        <v>82</v>
      </c>
      <c r="E60" s="3" t="s">
        <v>87</v>
      </c>
      <c r="F60" s="3" t="s">
        <v>144</v>
      </c>
      <c r="G60" s="4">
        <v>45942</v>
      </c>
      <c r="H60" s="5">
        <f t="shared" si="0"/>
        <v>41</v>
      </c>
      <c r="I60" s="5">
        <f t="shared" si="1"/>
        <v>10</v>
      </c>
      <c r="J60" s="6">
        <f t="shared" si="2"/>
        <v>0.98576388888888888</v>
      </c>
      <c r="K60" s="5" t="str">
        <f t="shared" si="5"/>
        <v>(DS-IBBLR-Budhigere )</v>
      </c>
      <c r="L60" s="5" t="e">
        <f t="array" aca="1" ref="L60" ca="1">_xludf.XLOOKUP(E60,'[1]Migrated Societies Data'!C:C,'[1]Migrated Societies Data'!B:B)</f>
        <v>#NAME?</v>
      </c>
      <c r="M60" s="5" t="e">
        <f t="array" aca="1" ref="M60" ca="1">_xludf.XLOOKUP(E60,'[1]Migrated Societies Data'!C:C,'[1]Migrated Societies Data'!E:E)</f>
        <v>#NAME?</v>
      </c>
      <c r="N60" s="5" t="str">
        <f t="shared" si="3"/>
        <v>Yes</v>
      </c>
      <c r="O60" s="7">
        <f t="shared" si="4"/>
        <v>6.5972222222221433E-3</v>
      </c>
    </row>
    <row r="61" spans="1:15" x14ac:dyDescent="0.25">
      <c r="A61" s="3" t="s">
        <v>80</v>
      </c>
      <c r="B61" s="3" t="s">
        <v>145</v>
      </c>
      <c r="C61" s="3" t="s">
        <v>16</v>
      </c>
      <c r="D61" s="3" t="s">
        <v>82</v>
      </c>
      <c r="E61" s="3" t="s">
        <v>83</v>
      </c>
      <c r="F61" s="3" t="s">
        <v>146</v>
      </c>
      <c r="G61" s="4">
        <v>45942</v>
      </c>
      <c r="H61" s="5">
        <f t="shared" si="0"/>
        <v>41</v>
      </c>
      <c r="I61" s="5">
        <f t="shared" si="1"/>
        <v>10</v>
      </c>
      <c r="J61" s="6">
        <f t="shared" si="2"/>
        <v>5.814814814814815E-2</v>
      </c>
      <c r="K61" s="5" t="str">
        <f t="shared" si="5"/>
        <v>(DS-IBBLR-Nagondanahalli )</v>
      </c>
      <c r="L61" s="5" t="e">
        <f t="array" aca="1" ref="L61" ca="1">_xludf.XLOOKUP(E61,'[1]Migrated Societies Data'!C:C,'[1]Migrated Societies Data'!B:B)</f>
        <v>#NAME?</v>
      </c>
      <c r="M61" s="5" t="e">
        <f t="array" aca="1" ref="M61" ca="1">_xludf.XLOOKUP(E61,'[1]Migrated Societies Data'!C:C,'[1]Migrated Societies Data'!E:E)</f>
        <v>#NAME?</v>
      </c>
      <c r="N61" s="5" t="str">
        <f t="shared" si="3"/>
        <v>Yes</v>
      </c>
      <c r="O61" s="7">
        <f t="shared" si="4"/>
        <v>7.8981481481481486E-2</v>
      </c>
    </row>
    <row r="62" spans="1:15" x14ac:dyDescent="0.25">
      <c r="A62" s="3" t="s">
        <v>14</v>
      </c>
      <c r="B62" s="3" t="s">
        <v>147</v>
      </c>
      <c r="C62" s="3" t="s">
        <v>16</v>
      </c>
      <c r="D62" s="3" t="s">
        <v>17</v>
      </c>
      <c r="E62" s="3" t="s">
        <v>18</v>
      </c>
      <c r="F62" s="3" t="s">
        <v>148</v>
      </c>
      <c r="G62" s="4">
        <v>45942</v>
      </c>
      <c r="H62" s="5">
        <f t="shared" si="0"/>
        <v>41</v>
      </c>
      <c r="I62" s="5">
        <f t="shared" si="1"/>
        <v>10</v>
      </c>
      <c r="J62" s="6">
        <f t="shared" si="2"/>
        <v>8.2719907407407409E-2</v>
      </c>
      <c r="K62" s="5" t="str">
        <f t="shared" si="5"/>
        <v>(DS-IBBLR-Peenya PH-3)</v>
      </c>
      <c r="L62" s="5" t="e">
        <f t="array" aca="1" ref="L62" ca="1">_xludf.XLOOKUP(E62,'[1]Migrated Societies Data'!C:C,'[1]Migrated Societies Data'!B:B)</f>
        <v>#NAME?</v>
      </c>
      <c r="M62" s="5" t="e">
        <f t="array" aca="1" ref="M62" ca="1">_xludf.XLOOKUP(E62,'[1]Migrated Societies Data'!C:C,'[1]Migrated Societies Data'!E:E)</f>
        <v>#NAME?</v>
      </c>
      <c r="N62" s="5" t="str">
        <f t="shared" si="3"/>
        <v>Yes</v>
      </c>
      <c r="O62" s="7">
        <f t="shared" si="4"/>
        <v>0.10355324074074074</v>
      </c>
    </row>
    <row r="63" spans="1:15" x14ac:dyDescent="0.25">
      <c r="A63" s="3" t="s">
        <v>85</v>
      </c>
      <c r="B63" s="3" t="s">
        <v>149</v>
      </c>
      <c r="C63" s="3" t="s">
        <v>16</v>
      </c>
      <c r="D63" s="3" t="s">
        <v>82</v>
      </c>
      <c r="E63" s="3" t="s">
        <v>87</v>
      </c>
      <c r="F63" s="3" t="s">
        <v>150</v>
      </c>
      <c r="G63" s="4">
        <v>45943</v>
      </c>
      <c r="H63" s="5">
        <f t="shared" si="0"/>
        <v>42</v>
      </c>
      <c r="I63" s="5">
        <f t="shared" si="1"/>
        <v>10</v>
      </c>
      <c r="J63" s="6">
        <f t="shared" si="2"/>
        <v>0.96432870370370372</v>
      </c>
      <c r="K63" s="5" t="str">
        <f t="shared" si="5"/>
        <v>(DS-IBBLR-Budhigere )</v>
      </c>
      <c r="L63" s="5" t="e">
        <f t="array" aca="1" ref="L63" ca="1">_xludf.XLOOKUP(E63,'[1]Migrated Societies Data'!C:C,'[1]Migrated Societies Data'!B:B)</f>
        <v>#NAME?</v>
      </c>
      <c r="M63" s="5" t="e">
        <f t="array" aca="1" ref="M63" ca="1">_xludf.XLOOKUP(E63,'[1]Migrated Societies Data'!C:C,'[1]Migrated Societies Data'!E:E)</f>
        <v>#NAME?</v>
      </c>
      <c r="N63" s="5" t="str">
        <f t="shared" si="3"/>
        <v>Yes</v>
      </c>
      <c r="O63" s="7">
        <f t="shared" si="4"/>
        <v>0.98516203703703709</v>
      </c>
    </row>
    <row r="64" spans="1:15" x14ac:dyDescent="0.25">
      <c r="A64" s="3" t="s">
        <v>80</v>
      </c>
      <c r="B64" s="3" t="s">
        <v>151</v>
      </c>
      <c r="C64" s="3" t="s">
        <v>16</v>
      </c>
      <c r="D64" s="3" t="s">
        <v>82</v>
      </c>
      <c r="E64" s="3" t="s">
        <v>83</v>
      </c>
      <c r="F64" s="3" t="s">
        <v>152</v>
      </c>
      <c r="G64" s="4">
        <v>45943</v>
      </c>
      <c r="H64" s="5">
        <f t="shared" si="0"/>
        <v>42</v>
      </c>
      <c r="I64" s="5">
        <f t="shared" si="1"/>
        <v>10</v>
      </c>
      <c r="J64" s="6">
        <f t="shared" si="2"/>
        <v>1.681712962962963E-2</v>
      </c>
      <c r="K64" s="5" t="str">
        <f t="shared" si="5"/>
        <v>(DS-IBBLR-Nagondanahalli )</v>
      </c>
      <c r="L64" s="5" t="e">
        <f t="array" aca="1" ref="L64" ca="1">_xludf.XLOOKUP(E64,'[1]Migrated Societies Data'!C:C,'[1]Migrated Societies Data'!B:B)</f>
        <v>#NAME?</v>
      </c>
      <c r="M64" s="5" t="e">
        <f t="array" aca="1" ref="M64" ca="1">_xludf.XLOOKUP(E64,'[1]Migrated Societies Data'!C:C,'[1]Migrated Societies Data'!E:E)</f>
        <v>#NAME?</v>
      </c>
      <c r="N64" s="5" t="str">
        <f t="shared" si="3"/>
        <v>Yes</v>
      </c>
      <c r="O64" s="7">
        <f t="shared" si="4"/>
        <v>3.7650462962962962E-2</v>
      </c>
    </row>
    <row r="65" spans="1:15" x14ac:dyDescent="0.25">
      <c r="A65" s="3" t="s">
        <v>14</v>
      </c>
      <c r="B65" s="3" t="s">
        <v>153</v>
      </c>
      <c r="C65" s="3" t="s">
        <v>16</v>
      </c>
      <c r="D65" s="3" t="s">
        <v>17</v>
      </c>
      <c r="E65" s="3" t="s">
        <v>18</v>
      </c>
      <c r="F65" s="3" t="s">
        <v>154</v>
      </c>
      <c r="G65" s="4">
        <v>45943</v>
      </c>
      <c r="H65" s="5">
        <f t="shared" si="0"/>
        <v>42</v>
      </c>
      <c r="I65" s="5">
        <f t="shared" si="1"/>
        <v>10</v>
      </c>
      <c r="J65" s="6">
        <f t="shared" si="2"/>
        <v>6.446759259259259E-2</v>
      </c>
      <c r="K65" s="5" t="str">
        <f t="shared" si="5"/>
        <v>(DS-IBBLR-Peenya PH-3)</v>
      </c>
      <c r="L65" s="5" t="e">
        <f t="array" aca="1" ref="L65" ca="1">_xludf.XLOOKUP(E65,'[1]Migrated Societies Data'!C:C,'[1]Migrated Societies Data'!B:B)</f>
        <v>#NAME?</v>
      </c>
      <c r="M65" s="5" t="e">
        <f t="array" aca="1" ref="M65" ca="1">_xludf.XLOOKUP(E65,'[1]Migrated Societies Data'!C:C,'[1]Migrated Societies Data'!E:E)</f>
        <v>#NAME?</v>
      </c>
      <c r="N65" s="5" t="str">
        <f t="shared" si="3"/>
        <v>Yes</v>
      </c>
      <c r="O65" s="7">
        <f t="shared" si="4"/>
        <v>8.5300925925925919E-2</v>
      </c>
    </row>
    <row r="66" spans="1:15" x14ac:dyDescent="0.25">
      <c r="A66" s="3" t="s">
        <v>85</v>
      </c>
      <c r="B66" s="3" t="s">
        <v>155</v>
      </c>
      <c r="C66" s="3" t="s">
        <v>16</v>
      </c>
      <c r="D66" s="3" t="s">
        <v>82</v>
      </c>
      <c r="E66" s="3" t="s">
        <v>87</v>
      </c>
      <c r="F66" s="3" t="s">
        <v>156</v>
      </c>
      <c r="G66" s="4">
        <v>45944</v>
      </c>
      <c r="H66" s="5">
        <f t="shared" si="0"/>
        <v>42</v>
      </c>
      <c r="I66" s="5">
        <f t="shared" si="1"/>
        <v>10</v>
      </c>
      <c r="J66" s="6">
        <f t="shared" si="2"/>
        <v>0.98864583333333333</v>
      </c>
      <c r="K66" s="5" t="str">
        <f t="shared" si="5"/>
        <v>(DS-IBBLR-Budhigere )</v>
      </c>
      <c r="L66" s="5" t="e">
        <f t="array" aca="1" ref="L66" ca="1">_xludf.XLOOKUP(E66,'[1]Migrated Societies Data'!C:C,'[1]Migrated Societies Data'!B:B)</f>
        <v>#NAME?</v>
      </c>
      <c r="M66" s="5" t="e">
        <f t="array" aca="1" ref="M66" ca="1">_xludf.XLOOKUP(E66,'[1]Migrated Societies Data'!C:C,'[1]Migrated Societies Data'!E:E)</f>
        <v>#NAME?</v>
      </c>
      <c r="N66" s="5" t="str">
        <f t="shared" si="3"/>
        <v>Yes</v>
      </c>
      <c r="O66" s="7">
        <f t="shared" si="4"/>
        <v>9.4791666666667052E-3</v>
      </c>
    </row>
    <row r="67" spans="1:15" x14ac:dyDescent="0.25">
      <c r="A67" s="3" t="s">
        <v>80</v>
      </c>
      <c r="B67" s="3" t="s">
        <v>157</v>
      </c>
      <c r="C67" s="3" t="s">
        <v>16</v>
      </c>
      <c r="D67" s="3" t="s">
        <v>82</v>
      </c>
      <c r="E67" s="3" t="s">
        <v>83</v>
      </c>
      <c r="F67" s="3" t="s">
        <v>158</v>
      </c>
      <c r="G67" s="4">
        <v>45944</v>
      </c>
      <c r="H67" s="5">
        <f t="shared" si="0"/>
        <v>42</v>
      </c>
      <c r="I67" s="5">
        <f t="shared" si="1"/>
        <v>10</v>
      </c>
      <c r="J67" s="6">
        <f t="shared" si="2"/>
        <v>1.5289351851851853E-2</v>
      </c>
      <c r="K67" s="5" t="str">
        <f t="shared" si="5"/>
        <v>(DS-IBBLR-Nagondanahalli )</v>
      </c>
      <c r="L67" s="5" t="e">
        <f t="array" aca="1" ref="L67" ca="1">_xludf.XLOOKUP(E67,'[1]Migrated Societies Data'!C:C,'[1]Migrated Societies Data'!B:B)</f>
        <v>#NAME?</v>
      </c>
      <c r="M67" s="5" t="e">
        <f t="array" aca="1" ref="M67" ca="1">_xludf.XLOOKUP(E67,'[1]Migrated Societies Data'!C:C,'[1]Migrated Societies Data'!E:E)</f>
        <v>#NAME?</v>
      </c>
      <c r="N67" s="5" t="str">
        <f t="shared" si="3"/>
        <v>Yes</v>
      </c>
      <c r="O67" s="7">
        <f t="shared" si="4"/>
        <v>3.6122685185185188E-2</v>
      </c>
    </row>
    <row r="68" spans="1:15" x14ac:dyDescent="0.25">
      <c r="A68" s="3" t="s">
        <v>14</v>
      </c>
      <c r="B68" s="3" t="s">
        <v>159</v>
      </c>
      <c r="C68" s="3" t="s">
        <v>16</v>
      </c>
      <c r="D68" s="3" t="s">
        <v>17</v>
      </c>
      <c r="E68" s="3" t="s">
        <v>18</v>
      </c>
      <c r="F68" s="3" t="s">
        <v>160</v>
      </c>
      <c r="G68" s="4">
        <v>45944</v>
      </c>
      <c r="H68" s="5">
        <f t="shared" si="0"/>
        <v>42</v>
      </c>
      <c r="I68" s="5">
        <f t="shared" si="1"/>
        <v>10</v>
      </c>
      <c r="J68" s="6">
        <f t="shared" si="2"/>
        <v>7.5335648148148152E-2</v>
      </c>
      <c r="K68" s="5" t="str">
        <f t="shared" si="5"/>
        <v>(DS-IBBLR-Peenya PH-3)</v>
      </c>
      <c r="L68" s="5" t="e">
        <f t="array" aca="1" ref="L68" ca="1">_xludf.XLOOKUP(E68,'[1]Migrated Societies Data'!C:C,'[1]Migrated Societies Data'!B:B)</f>
        <v>#NAME?</v>
      </c>
      <c r="M68" s="5" t="e">
        <f t="array" aca="1" ref="M68" ca="1">_xludf.XLOOKUP(E68,'[1]Migrated Societies Data'!C:C,'[1]Migrated Societies Data'!E:E)</f>
        <v>#NAME?</v>
      </c>
      <c r="N68" s="5" t="str">
        <f t="shared" si="3"/>
        <v>Yes</v>
      </c>
      <c r="O68" s="7">
        <f t="shared" si="4"/>
        <v>9.616898148148148E-2</v>
      </c>
    </row>
    <row r="69" spans="1:15" x14ac:dyDescent="0.25">
      <c r="A69" s="3" t="s">
        <v>85</v>
      </c>
      <c r="B69" s="3" t="s">
        <v>161</v>
      </c>
      <c r="C69" s="3" t="s">
        <v>16</v>
      </c>
      <c r="D69" s="3" t="s">
        <v>82</v>
      </c>
      <c r="E69" s="3" t="s">
        <v>87</v>
      </c>
      <c r="F69" s="3" t="s">
        <v>162</v>
      </c>
      <c r="G69" s="4">
        <v>45945</v>
      </c>
      <c r="H69" s="5">
        <f t="shared" si="0"/>
        <v>42</v>
      </c>
      <c r="I69" s="5">
        <f t="shared" si="1"/>
        <v>10</v>
      </c>
      <c r="J69" s="6">
        <f t="shared" si="2"/>
        <v>0.98428240740740736</v>
      </c>
      <c r="K69" s="5" t="str">
        <f t="shared" si="5"/>
        <v>(DS-IBBLR-Budhigere )</v>
      </c>
      <c r="L69" s="5" t="e">
        <f t="array" aca="1" ref="L69" ca="1">_xludf.XLOOKUP(E69,'[1]Migrated Societies Data'!C:C,'[1]Migrated Societies Data'!B:B)</f>
        <v>#NAME?</v>
      </c>
      <c r="M69" s="5" t="e">
        <f t="array" aca="1" ref="M69" ca="1">_xludf.XLOOKUP(E69,'[1]Migrated Societies Data'!C:C,'[1]Migrated Societies Data'!E:E)</f>
        <v>#NAME?</v>
      </c>
      <c r="N69" s="5" t="str">
        <f t="shared" si="3"/>
        <v>Yes</v>
      </c>
      <c r="O69" s="7">
        <f t="shared" si="4"/>
        <v>5.1157407407407263E-3</v>
      </c>
    </row>
    <row r="70" spans="1:15" x14ac:dyDescent="0.25">
      <c r="A70" s="3" t="s">
        <v>80</v>
      </c>
      <c r="B70" s="3" t="s">
        <v>163</v>
      </c>
      <c r="C70" s="3" t="s">
        <v>16</v>
      </c>
      <c r="D70" s="3" t="s">
        <v>82</v>
      </c>
      <c r="E70" s="3" t="s">
        <v>83</v>
      </c>
      <c r="F70" s="3" t="s">
        <v>164</v>
      </c>
      <c r="G70" s="4">
        <v>45945</v>
      </c>
      <c r="H70" s="5">
        <f t="shared" si="0"/>
        <v>42</v>
      </c>
      <c r="I70" s="5">
        <f t="shared" si="1"/>
        <v>10</v>
      </c>
      <c r="J70" s="6">
        <f t="shared" si="2"/>
        <v>0.99356481481481485</v>
      </c>
      <c r="K70" s="5" t="str">
        <f t="shared" si="5"/>
        <v>(DS-IBBLR-Nagondanahalli )</v>
      </c>
      <c r="L70" s="5" t="e">
        <f t="array" aca="1" ref="L70" ca="1">_xludf.XLOOKUP(E70,'[1]Migrated Societies Data'!C:C,'[1]Migrated Societies Data'!B:B)</f>
        <v>#NAME?</v>
      </c>
      <c r="M70" s="5" t="e">
        <f t="array" aca="1" ref="M70" ca="1">_xludf.XLOOKUP(E70,'[1]Migrated Societies Data'!C:C,'[1]Migrated Societies Data'!E:E)</f>
        <v>#NAME?</v>
      </c>
      <c r="N70" s="5" t="str">
        <f t="shared" si="3"/>
        <v>Yes</v>
      </c>
      <c r="O70" s="7">
        <f t="shared" si="4"/>
        <v>1.4398148148148104E-2</v>
      </c>
    </row>
    <row r="71" spans="1:15" x14ac:dyDescent="0.25">
      <c r="A71" s="3" t="s">
        <v>14</v>
      </c>
      <c r="B71" s="3" t="s">
        <v>165</v>
      </c>
      <c r="C71" s="3" t="s">
        <v>16</v>
      </c>
      <c r="D71" s="3" t="s">
        <v>17</v>
      </c>
      <c r="E71" s="3" t="s">
        <v>18</v>
      </c>
      <c r="F71" s="3" t="s">
        <v>166</v>
      </c>
      <c r="G71" s="4">
        <v>45945</v>
      </c>
      <c r="H71" s="5">
        <f t="shared" si="0"/>
        <v>42</v>
      </c>
      <c r="I71" s="5">
        <f t="shared" si="1"/>
        <v>10</v>
      </c>
      <c r="J71" s="6">
        <f t="shared" si="2"/>
        <v>7.3333333333333334E-2</v>
      </c>
      <c r="K71" s="5" t="str">
        <f t="shared" si="5"/>
        <v>(DS-IBBLR-Peenya PH-3)</v>
      </c>
      <c r="L71" s="5" t="e">
        <f t="array" aca="1" ref="L71" ca="1">_xludf.XLOOKUP(E71,'[1]Migrated Societies Data'!C:C,'[1]Migrated Societies Data'!B:B)</f>
        <v>#NAME?</v>
      </c>
      <c r="M71" s="5" t="e">
        <f t="array" aca="1" ref="M71" ca="1">_xludf.XLOOKUP(E71,'[1]Migrated Societies Data'!C:C,'[1]Migrated Societies Data'!E:E)</f>
        <v>#NAME?</v>
      </c>
      <c r="N71" s="5" t="str">
        <f t="shared" si="3"/>
        <v>Yes</v>
      </c>
      <c r="O71" s="7">
        <f t="shared" si="4"/>
        <v>9.4166666666666662E-2</v>
      </c>
    </row>
    <row r="72" spans="1:15" x14ac:dyDescent="0.25">
      <c r="A72" s="3" t="s">
        <v>85</v>
      </c>
      <c r="B72" s="3" t="s">
        <v>167</v>
      </c>
      <c r="C72" s="3" t="s">
        <v>16</v>
      </c>
      <c r="D72" s="3" t="s">
        <v>82</v>
      </c>
      <c r="E72" s="3" t="s">
        <v>87</v>
      </c>
      <c r="F72" s="3" t="s">
        <v>168</v>
      </c>
      <c r="G72" s="4">
        <v>45946</v>
      </c>
      <c r="H72" s="5">
        <f t="shared" si="0"/>
        <v>42</v>
      </c>
      <c r="I72" s="5">
        <f t="shared" si="1"/>
        <v>10</v>
      </c>
      <c r="J72" s="6">
        <f t="shared" si="2"/>
        <v>0.98026620370370365</v>
      </c>
      <c r="K72" s="5" t="str">
        <f t="shared" si="5"/>
        <v>(DS-IBBLR-Budhigere )</v>
      </c>
      <c r="L72" s="5" t="e">
        <f t="array" aca="1" ref="L72" ca="1">_xludf.XLOOKUP(E72,'[1]Migrated Societies Data'!C:C,'[1]Migrated Societies Data'!B:B)</f>
        <v>#NAME?</v>
      </c>
      <c r="M72" s="5" t="e">
        <f t="array" aca="1" ref="M72" ca="1">_xludf.XLOOKUP(E72,'[1]Migrated Societies Data'!C:C,'[1]Migrated Societies Data'!E:E)</f>
        <v>#NAME?</v>
      </c>
      <c r="N72" s="5" t="str">
        <f t="shared" si="3"/>
        <v>Yes</v>
      </c>
      <c r="O72" s="7">
        <f t="shared" si="4"/>
        <v>1.0995370370370239E-3</v>
      </c>
    </row>
    <row r="73" spans="1:15" x14ac:dyDescent="0.25">
      <c r="A73" s="3" t="s">
        <v>80</v>
      </c>
      <c r="B73" s="3" t="s">
        <v>169</v>
      </c>
      <c r="C73" s="3" t="s">
        <v>16</v>
      </c>
      <c r="D73" s="3" t="s">
        <v>82</v>
      </c>
      <c r="E73" s="3" t="s">
        <v>83</v>
      </c>
      <c r="F73" s="3" t="s">
        <v>170</v>
      </c>
      <c r="G73" s="4">
        <v>45946</v>
      </c>
      <c r="H73" s="5">
        <f t="shared" si="0"/>
        <v>42</v>
      </c>
      <c r="I73" s="5">
        <f t="shared" si="1"/>
        <v>10</v>
      </c>
      <c r="J73" s="6">
        <f t="shared" si="2"/>
        <v>1.0578703703703703E-2</v>
      </c>
      <c r="K73" s="5" t="str">
        <f t="shared" si="5"/>
        <v>(DS-IBBLR-Nagondanahalli )</v>
      </c>
      <c r="L73" s="5" t="e">
        <f t="array" aca="1" ref="L73" ca="1">_xludf.XLOOKUP(E73,'[1]Migrated Societies Data'!C:C,'[1]Migrated Societies Data'!B:B)</f>
        <v>#NAME?</v>
      </c>
      <c r="M73" s="5" t="e">
        <f t="array" aca="1" ref="M73" ca="1">_xludf.XLOOKUP(E73,'[1]Migrated Societies Data'!C:C,'[1]Migrated Societies Data'!E:E)</f>
        <v>#NAME?</v>
      </c>
      <c r="N73" s="5" t="str">
        <f t="shared" si="3"/>
        <v>Yes</v>
      </c>
      <c r="O73" s="7">
        <f t="shared" si="4"/>
        <v>3.1412037037037037E-2</v>
      </c>
    </row>
    <row r="74" spans="1:15" x14ac:dyDescent="0.25">
      <c r="A74" s="3" t="s">
        <v>14</v>
      </c>
      <c r="B74" s="3" t="s">
        <v>171</v>
      </c>
      <c r="C74" s="3" t="s">
        <v>16</v>
      </c>
      <c r="D74" s="3" t="s">
        <v>17</v>
      </c>
      <c r="E74" s="3" t="s">
        <v>18</v>
      </c>
      <c r="F74" s="3" t="s">
        <v>172</v>
      </c>
      <c r="G74" s="4">
        <v>45946</v>
      </c>
      <c r="H74" s="5">
        <f t="shared" si="0"/>
        <v>42</v>
      </c>
      <c r="I74" s="5">
        <f t="shared" si="1"/>
        <v>10</v>
      </c>
      <c r="J74" s="6">
        <f t="shared" si="2"/>
        <v>7.6631944444444447E-2</v>
      </c>
      <c r="K74" s="5" t="str">
        <f t="shared" si="5"/>
        <v>(DS-IBBLR-Peenya PH-3)</v>
      </c>
      <c r="L74" s="5" t="e">
        <f t="array" aca="1" ref="L74" ca="1">_xludf.XLOOKUP(E74,'[1]Migrated Societies Data'!C:C,'[1]Migrated Societies Data'!B:B)</f>
        <v>#NAME?</v>
      </c>
      <c r="M74" s="5" t="e">
        <f t="array" aca="1" ref="M74" ca="1">_xludf.XLOOKUP(E74,'[1]Migrated Societies Data'!C:C,'[1]Migrated Societies Data'!E:E)</f>
        <v>#NAME?</v>
      </c>
      <c r="N74" s="5" t="str">
        <f t="shared" si="3"/>
        <v>Yes</v>
      </c>
      <c r="O74" s="7">
        <f t="shared" si="4"/>
        <v>9.7465277777777776E-2</v>
      </c>
    </row>
    <row r="75" spans="1:15" x14ac:dyDescent="0.25">
      <c r="A75" s="3" t="s">
        <v>85</v>
      </c>
      <c r="B75" s="3" t="s">
        <v>173</v>
      </c>
      <c r="C75" s="3" t="s">
        <v>16</v>
      </c>
      <c r="D75" s="3" t="s">
        <v>82</v>
      </c>
      <c r="E75" s="3" t="s">
        <v>87</v>
      </c>
      <c r="F75" s="3" t="s">
        <v>174</v>
      </c>
      <c r="G75" s="4">
        <v>45947</v>
      </c>
      <c r="H75" s="5">
        <f t="shared" si="0"/>
        <v>42</v>
      </c>
      <c r="I75" s="5">
        <f t="shared" si="1"/>
        <v>10</v>
      </c>
      <c r="J75" s="6">
        <f t="shared" si="2"/>
        <v>0.97646990740740736</v>
      </c>
      <c r="K75" s="5" t="str">
        <f t="shared" si="5"/>
        <v>(DS-IBBLR-Budhigere )</v>
      </c>
      <c r="L75" s="5" t="e">
        <f t="array" aca="1" ref="L75" ca="1">_xludf.XLOOKUP(E75,'[1]Migrated Societies Data'!C:C,'[1]Migrated Societies Data'!B:B)</f>
        <v>#NAME?</v>
      </c>
      <c r="M75" s="5" t="e">
        <f t="array" aca="1" ref="M75" ca="1">_xludf.XLOOKUP(E75,'[1]Migrated Societies Data'!C:C,'[1]Migrated Societies Data'!E:E)</f>
        <v>#NAME?</v>
      </c>
      <c r="N75" s="5" t="str">
        <f t="shared" si="3"/>
        <v>Yes</v>
      </c>
      <c r="O75" s="7">
        <f t="shared" si="4"/>
        <v>0.99730324074074073</v>
      </c>
    </row>
    <row r="76" spans="1:15" x14ac:dyDescent="0.25">
      <c r="A76" s="3" t="s">
        <v>80</v>
      </c>
      <c r="B76" s="3" t="s">
        <v>175</v>
      </c>
      <c r="C76" s="3" t="s">
        <v>16</v>
      </c>
      <c r="D76" s="3" t="s">
        <v>82</v>
      </c>
      <c r="E76" s="3" t="s">
        <v>83</v>
      </c>
      <c r="F76" s="3" t="s">
        <v>176</v>
      </c>
      <c r="G76" s="4">
        <v>45947</v>
      </c>
      <c r="H76" s="5">
        <f t="shared" si="0"/>
        <v>42</v>
      </c>
      <c r="I76" s="5">
        <f t="shared" si="1"/>
        <v>10</v>
      </c>
      <c r="J76" s="6">
        <f t="shared" si="2"/>
        <v>1.5659722222222221E-2</v>
      </c>
      <c r="K76" s="5" t="str">
        <f t="shared" si="5"/>
        <v>(DS-IBBLR-Nagondanahalli )</v>
      </c>
      <c r="L76" s="5" t="e">
        <f t="array" aca="1" ref="L76" ca="1">_xludf.XLOOKUP(E76,'[1]Migrated Societies Data'!C:C,'[1]Migrated Societies Data'!B:B)</f>
        <v>#NAME?</v>
      </c>
      <c r="M76" s="5" t="e">
        <f t="array" aca="1" ref="M76" ca="1">_xludf.XLOOKUP(E76,'[1]Migrated Societies Data'!C:C,'[1]Migrated Societies Data'!E:E)</f>
        <v>#NAME?</v>
      </c>
      <c r="N76" s="5" t="str">
        <f t="shared" si="3"/>
        <v>Yes</v>
      </c>
      <c r="O76" s="7">
        <f t="shared" si="4"/>
        <v>3.6493055555555556E-2</v>
      </c>
    </row>
    <row r="77" spans="1:15" x14ac:dyDescent="0.25">
      <c r="A77" s="3" t="s">
        <v>14</v>
      </c>
      <c r="B77" s="3" t="s">
        <v>177</v>
      </c>
      <c r="C77" s="3" t="s">
        <v>16</v>
      </c>
      <c r="D77" s="3" t="s">
        <v>17</v>
      </c>
      <c r="E77" s="3" t="s">
        <v>18</v>
      </c>
      <c r="F77" s="3" t="s">
        <v>178</v>
      </c>
      <c r="G77" s="4">
        <v>45947</v>
      </c>
      <c r="H77" s="5">
        <f t="shared" si="0"/>
        <v>42</v>
      </c>
      <c r="I77" s="5">
        <f t="shared" si="1"/>
        <v>10</v>
      </c>
      <c r="J77" s="6">
        <f t="shared" si="2"/>
        <v>1.0277777777777778E-2</v>
      </c>
      <c r="K77" s="5" t="str">
        <f t="shared" si="5"/>
        <v>(DS-IBBLR-Peenya PH-3)</v>
      </c>
      <c r="L77" s="5" t="e">
        <f t="array" aca="1" ref="L77" ca="1">_xludf.XLOOKUP(E77,'[1]Migrated Societies Data'!C:C,'[1]Migrated Societies Data'!B:B)</f>
        <v>#NAME?</v>
      </c>
      <c r="M77" s="5" t="e">
        <f t="array" aca="1" ref="M77" ca="1">_xludf.XLOOKUP(E77,'[1]Migrated Societies Data'!C:C,'[1]Migrated Societies Data'!E:E)</f>
        <v>#NAME?</v>
      </c>
      <c r="N77" s="5" t="str">
        <f t="shared" si="3"/>
        <v>Yes</v>
      </c>
      <c r="O77" s="7">
        <f t="shared" si="4"/>
        <v>3.111111111111111E-2</v>
      </c>
    </row>
    <row r="78" spans="1:15" x14ac:dyDescent="0.25">
      <c r="A78" s="3" t="s">
        <v>85</v>
      </c>
      <c r="B78" s="3" t="s">
        <v>179</v>
      </c>
      <c r="C78" s="3" t="s">
        <v>16</v>
      </c>
      <c r="D78" s="3" t="s">
        <v>82</v>
      </c>
      <c r="E78" s="3" t="s">
        <v>87</v>
      </c>
      <c r="F78" s="3" t="s">
        <v>180</v>
      </c>
      <c r="G78" s="4">
        <v>45948</v>
      </c>
      <c r="H78" s="5">
        <f t="shared" si="0"/>
        <v>42</v>
      </c>
      <c r="I78" s="5">
        <f t="shared" si="1"/>
        <v>10</v>
      </c>
      <c r="J78" s="6">
        <f t="shared" si="2"/>
        <v>0.99124999999999996</v>
      </c>
      <c r="K78" s="5" t="str">
        <f t="shared" si="5"/>
        <v>(DS-IBBLR-Budhigere )</v>
      </c>
      <c r="L78" s="5" t="e">
        <f t="array" aca="1" ref="L78" ca="1">_xludf.XLOOKUP(E78,'[1]Migrated Societies Data'!C:C,'[1]Migrated Societies Data'!B:B)</f>
        <v>#NAME?</v>
      </c>
      <c r="M78" s="5" t="e">
        <f t="array" aca="1" ref="M78" ca="1">_xludf.XLOOKUP(E78,'[1]Migrated Societies Data'!C:C,'[1]Migrated Societies Data'!E:E)</f>
        <v>#NAME?</v>
      </c>
      <c r="N78" s="5" t="str">
        <f t="shared" si="3"/>
        <v>Yes</v>
      </c>
      <c r="O78" s="7">
        <f t="shared" si="4"/>
        <v>1.2083333333333224E-2</v>
      </c>
    </row>
    <row r="79" spans="1:15" x14ac:dyDescent="0.25">
      <c r="A79" s="3" t="s">
        <v>80</v>
      </c>
      <c r="B79" s="3" t="s">
        <v>181</v>
      </c>
      <c r="C79" s="3" t="s">
        <v>16</v>
      </c>
      <c r="D79" s="3" t="s">
        <v>82</v>
      </c>
      <c r="E79" s="3" t="s">
        <v>83</v>
      </c>
      <c r="F79" s="3" t="s">
        <v>182</v>
      </c>
      <c r="G79" s="4">
        <v>45948</v>
      </c>
      <c r="H79" s="5">
        <f t="shared" si="0"/>
        <v>42</v>
      </c>
      <c r="I79" s="5">
        <f t="shared" si="1"/>
        <v>10</v>
      </c>
      <c r="J79" s="6">
        <f t="shared" si="2"/>
        <v>2.8530092592592593E-2</v>
      </c>
      <c r="K79" s="5" t="str">
        <f t="shared" si="5"/>
        <v>(DS-IBBLR-Nagondanahalli )</v>
      </c>
      <c r="L79" s="5" t="e">
        <f t="array" aca="1" ref="L79" ca="1">_xludf.XLOOKUP(E79,'[1]Migrated Societies Data'!C:C,'[1]Migrated Societies Data'!B:B)</f>
        <v>#NAME?</v>
      </c>
      <c r="M79" s="5" t="e">
        <f t="array" aca="1" ref="M79" ca="1">_xludf.XLOOKUP(E79,'[1]Migrated Societies Data'!C:C,'[1]Migrated Societies Data'!E:E)</f>
        <v>#NAME?</v>
      </c>
      <c r="N79" s="5" t="str">
        <f t="shared" si="3"/>
        <v>Yes</v>
      </c>
      <c r="O79" s="7">
        <f t="shared" si="4"/>
        <v>4.9363425925925922E-2</v>
      </c>
    </row>
    <row r="80" spans="1:15" x14ac:dyDescent="0.25">
      <c r="A80" s="3" t="s">
        <v>14</v>
      </c>
      <c r="B80" s="3" t="s">
        <v>183</v>
      </c>
      <c r="C80" s="3" t="s">
        <v>16</v>
      </c>
      <c r="D80" s="3" t="s">
        <v>17</v>
      </c>
      <c r="E80" s="3" t="s">
        <v>18</v>
      </c>
      <c r="F80" s="3" t="s">
        <v>184</v>
      </c>
      <c r="G80" s="4">
        <v>45948</v>
      </c>
      <c r="H80" s="5">
        <f t="shared" si="0"/>
        <v>42</v>
      </c>
      <c r="I80" s="5">
        <f t="shared" si="1"/>
        <v>10</v>
      </c>
      <c r="J80" s="6">
        <f t="shared" si="2"/>
        <v>1.3287037037037036E-2</v>
      </c>
      <c r="K80" s="5" t="str">
        <f t="shared" si="5"/>
        <v>(DS-IBBLR-Peenya PH-3)</v>
      </c>
      <c r="L80" s="5" t="e">
        <f t="array" aca="1" ref="L80" ca="1">_xludf.XLOOKUP(E80,'[1]Migrated Societies Data'!C:C,'[1]Migrated Societies Data'!B:B)</f>
        <v>#NAME?</v>
      </c>
      <c r="M80" s="5" t="e">
        <f t="array" aca="1" ref="M80" ca="1">_xludf.XLOOKUP(E80,'[1]Migrated Societies Data'!C:C,'[1]Migrated Societies Data'!E:E)</f>
        <v>#NAME?</v>
      </c>
      <c r="N80" s="5" t="str">
        <f t="shared" si="3"/>
        <v>Yes</v>
      </c>
      <c r="O80" s="7">
        <f t="shared" si="4"/>
        <v>3.412037037037037E-2</v>
      </c>
    </row>
    <row r="81" spans="1:15" x14ac:dyDescent="0.25">
      <c r="A81" s="3" t="s">
        <v>85</v>
      </c>
      <c r="B81" s="3" t="s">
        <v>185</v>
      </c>
      <c r="C81" s="3" t="s">
        <v>16</v>
      </c>
      <c r="D81" s="3" t="s">
        <v>82</v>
      </c>
      <c r="E81" s="3" t="s">
        <v>87</v>
      </c>
      <c r="F81" s="3" t="s">
        <v>186</v>
      </c>
      <c r="G81" s="4">
        <v>45949</v>
      </c>
      <c r="H81" s="5">
        <f t="shared" si="0"/>
        <v>42</v>
      </c>
      <c r="I81" s="5">
        <f t="shared" si="1"/>
        <v>10</v>
      </c>
      <c r="J81" s="6">
        <f t="shared" si="2"/>
        <v>0.97693287037037035</v>
      </c>
      <c r="K81" s="5" t="str">
        <f t="shared" si="5"/>
        <v>(DS-IBBLR-Budhigere )</v>
      </c>
      <c r="L81" s="5" t="e">
        <f t="array" aca="1" ref="L81" ca="1">_xludf.XLOOKUP(E81,'[1]Migrated Societies Data'!C:C,'[1]Migrated Societies Data'!B:B)</f>
        <v>#NAME?</v>
      </c>
      <c r="M81" s="5" t="e">
        <f t="array" aca="1" ref="M81" ca="1">_xludf.XLOOKUP(E81,'[1]Migrated Societies Data'!C:C,'[1]Migrated Societies Data'!E:E)</f>
        <v>#NAME?</v>
      </c>
      <c r="N81" s="5" t="str">
        <f t="shared" si="3"/>
        <v>Yes</v>
      </c>
      <c r="O81" s="7">
        <f t="shared" si="4"/>
        <v>0.99776620370370372</v>
      </c>
    </row>
    <row r="82" spans="1:15" x14ac:dyDescent="0.25">
      <c r="A82" s="3" t="s">
        <v>80</v>
      </c>
      <c r="B82" s="3" t="s">
        <v>187</v>
      </c>
      <c r="C82" s="3" t="s">
        <v>16</v>
      </c>
      <c r="D82" s="3" t="s">
        <v>82</v>
      </c>
      <c r="E82" s="3" t="s">
        <v>83</v>
      </c>
      <c r="F82" s="3" t="s">
        <v>188</v>
      </c>
      <c r="G82" s="4">
        <v>45949</v>
      </c>
      <c r="H82" s="5">
        <f t="shared" si="0"/>
        <v>42</v>
      </c>
      <c r="I82" s="5">
        <f t="shared" si="1"/>
        <v>10</v>
      </c>
      <c r="J82" s="6">
        <f t="shared" si="2"/>
        <v>1.1747685185185186E-2</v>
      </c>
      <c r="K82" s="5" t="str">
        <f t="shared" si="5"/>
        <v>(DS-IBBLR-Nagondanahalli )</v>
      </c>
      <c r="L82" s="5" t="e">
        <f t="array" aca="1" ref="L82" ca="1">_xludf.XLOOKUP(E82,'[1]Migrated Societies Data'!C:C,'[1]Migrated Societies Data'!B:B)</f>
        <v>#NAME?</v>
      </c>
      <c r="M82" s="5" t="e">
        <f t="array" aca="1" ref="M82" ca="1">_xludf.XLOOKUP(E82,'[1]Migrated Societies Data'!C:C,'[1]Migrated Societies Data'!E:E)</f>
        <v>#NAME?</v>
      </c>
      <c r="N82" s="5" t="str">
        <f t="shared" si="3"/>
        <v>Yes</v>
      </c>
      <c r="O82" s="7">
        <f t="shared" si="4"/>
        <v>3.2581018518518516E-2</v>
      </c>
    </row>
    <row r="83" spans="1:15" x14ac:dyDescent="0.25">
      <c r="A83" s="3" t="s">
        <v>14</v>
      </c>
      <c r="B83" s="3" t="s">
        <v>189</v>
      </c>
      <c r="C83" s="3" t="s">
        <v>16</v>
      </c>
      <c r="D83" s="3" t="s">
        <v>17</v>
      </c>
      <c r="E83" s="3" t="s">
        <v>18</v>
      </c>
      <c r="F83" s="3" t="s">
        <v>190</v>
      </c>
      <c r="G83" s="4">
        <v>45949</v>
      </c>
      <c r="H83" s="5">
        <f t="shared" si="0"/>
        <v>42</v>
      </c>
      <c r="I83" s="5">
        <f t="shared" si="1"/>
        <v>10</v>
      </c>
      <c r="J83" s="6">
        <f t="shared" si="2"/>
        <v>2.3761574074074074E-2</v>
      </c>
      <c r="K83" s="5" t="str">
        <f t="shared" si="5"/>
        <v>(DS-IBBLR-Peenya PH-3)</v>
      </c>
      <c r="L83" s="5" t="e">
        <f t="array" aca="1" ref="L83" ca="1">_xludf.XLOOKUP(E83,'[1]Migrated Societies Data'!C:C,'[1]Migrated Societies Data'!B:B)</f>
        <v>#NAME?</v>
      </c>
      <c r="M83" s="5" t="e">
        <f t="array" aca="1" ref="M83" ca="1">_xludf.XLOOKUP(E83,'[1]Migrated Societies Data'!C:C,'[1]Migrated Societies Data'!E:E)</f>
        <v>#NAME?</v>
      </c>
      <c r="N83" s="5" t="str">
        <f t="shared" si="3"/>
        <v>Yes</v>
      </c>
      <c r="O83" s="7">
        <f t="shared" si="4"/>
        <v>4.4594907407407403E-2</v>
      </c>
    </row>
    <row r="84" spans="1:15" x14ac:dyDescent="0.25">
      <c r="A84" s="3" t="s">
        <v>85</v>
      </c>
      <c r="B84" s="3" t="s">
        <v>191</v>
      </c>
      <c r="C84" s="3" t="s">
        <v>16</v>
      </c>
      <c r="D84" s="3" t="s">
        <v>82</v>
      </c>
      <c r="E84" s="3" t="s">
        <v>87</v>
      </c>
      <c r="F84" s="3" t="s">
        <v>192</v>
      </c>
      <c r="G84" s="4">
        <v>45950</v>
      </c>
      <c r="H84" s="5">
        <f t="shared" si="0"/>
        <v>43</v>
      </c>
      <c r="I84" s="5">
        <f t="shared" si="1"/>
        <v>10</v>
      </c>
      <c r="J84" s="6">
        <f t="shared" si="2"/>
        <v>0.9763425925925926</v>
      </c>
      <c r="K84" s="5" t="str">
        <f t="shared" si="5"/>
        <v>(DS-IBBLR-Budhigere )</v>
      </c>
      <c r="L84" s="5" t="e">
        <f t="array" aca="1" ref="L84" ca="1">_xludf.XLOOKUP(E84,'[1]Migrated Societies Data'!C:C,'[1]Migrated Societies Data'!B:B)</f>
        <v>#NAME?</v>
      </c>
      <c r="M84" s="5" t="e">
        <f t="array" aca="1" ref="M84" ca="1">_xludf.XLOOKUP(E84,'[1]Migrated Societies Data'!C:C,'[1]Migrated Societies Data'!E:E)</f>
        <v>#NAME?</v>
      </c>
      <c r="N84" s="5" t="str">
        <f t="shared" si="3"/>
        <v>Yes</v>
      </c>
      <c r="O84" s="7">
        <f t="shared" si="4"/>
        <v>0.99717592592592597</v>
      </c>
    </row>
    <row r="85" spans="1:15" x14ac:dyDescent="0.25">
      <c r="A85" s="3" t="s">
        <v>80</v>
      </c>
      <c r="B85" s="3" t="s">
        <v>193</v>
      </c>
      <c r="C85" s="3" t="s">
        <v>16</v>
      </c>
      <c r="D85" s="3" t="s">
        <v>82</v>
      </c>
      <c r="E85" s="3" t="s">
        <v>83</v>
      </c>
      <c r="F85" s="3" t="s">
        <v>194</v>
      </c>
      <c r="G85" s="4">
        <v>45950</v>
      </c>
      <c r="H85" s="5">
        <f t="shared" si="0"/>
        <v>43</v>
      </c>
      <c r="I85" s="5">
        <f t="shared" si="1"/>
        <v>10</v>
      </c>
      <c r="J85" s="6">
        <f t="shared" si="2"/>
        <v>5.9270833333333335E-2</v>
      </c>
      <c r="K85" s="5" t="str">
        <f t="shared" si="5"/>
        <v>(DS-IBBLR-Nagondanahalli )</v>
      </c>
      <c r="L85" s="5" t="e">
        <f t="array" aca="1" ref="L85" ca="1">_xludf.XLOOKUP(E85,'[1]Migrated Societies Data'!C:C,'[1]Migrated Societies Data'!B:B)</f>
        <v>#NAME?</v>
      </c>
      <c r="M85" s="5" t="e">
        <f t="array" aca="1" ref="M85" ca="1">_xludf.XLOOKUP(E85,'[1]Migrated Societies Data'!C:C,'[1]Migrated Societies Data'!E:E)</f>
        <v>#NAME?</v>
      </c>
      <c r="N85" s="5" t="str">
        <f t="shared" si="3"/>
        <v>Yes</v>
      </c>
      <c r="O85" s="7">
        <f t="shared" si="4"/>
        <v>8.0104166666666671E-2</v>
      </c>
    </row>
    <row r="86" spans="1:15" x14ac:dyDescent="0.25">
      <c r="A86" s="3" t="s">
        <v>14</v>
      </c>
      <c r="B86" s="3" t="s">
        <v>195</v>
      </c>
      <c r="C86" s="3" t="s">
        <v>16</v>
      </c>
      <c r="D86" s="3" t="s">
        <v>17</v>
      </c>
      <c r="E86" s="3" t="s">
        <v>18</v>
      </c>
      <c r="F86" s="3" t="s">
        <v>196</v>
      </c>
      <c r="G86" s="4">
        <v>45950</v>
      </c>
      <c r="H86" s="5">
        <f t="shared" si="0"/>
        <v>43</v>
      </c>
      <c r="I86" s="5">
        <f t="shared" si="1"/>
        <v>10</v>
      </c>
      <c r="J86" s="6">
        <f t="shared" si="2"/>
        <v>2.5405092592592594E-2</v>
      </c>
      <c r="K86" s="5" t="str">
        <f t="shared" si="5"/>
        <v>(DS-IBBLR-Peenya PH-3)</v>
      </c>
      <c r="L86" s="5" t="e">
        <f t="array" aca="1" ref="L86" ca="1">_xludf.XLOOKUP(E86,'[1]Migrated Societies Data'!C:C,'[1]Migrated Societies Data'!B:B)</f>
        <v>#NAME?</v>
      </c>
      <c r="M86" s="5" t="e">
        <f t="array" aca="1" ref="M86" ca="1">_xludf.XLOOKUP(E86,'[1]Migrated Societies Data'!C:C,'[1]Migrated Societies Data'!E:E)</f>
        <v>#NAME?</v>
      </c>
      <c r="N86" s="5" t="str">
        <f t="shared" si="3"/>
        <v>Yes</v>
      </c>
      <c r="O86" s="7">
        <f t="shared" si="4"/>
        <v>4.6238425925925926E-2</v>
      </c>
    </row>
    <row r="87" spans="1:15" x14ac:dyDescent="0.25">
      <c r="A87" s="3" t="s">
        <v>85</v>
      </c>
      <c r="B87" s="3" t="s">
        <v>197</v>
      </c>
      <c r="C87" s="3" t="s">
        <v>16</v>
      </c>
      <c r="D87" s="3" t="s">
        <v>82</v>
      </c>
      <c r="E87" s="3" t="s">
        <v>87</v>
      </c>
      <c r="F87" s="3" t="s">
        <v>198</v>
      </c>
      <c r="G87" s="4">
        <v>45951</v>
      </c>
      <c r="H87" s="5">
        <f t="shared" si="0"/>
        <v>43</v>
      </c>
      <c r="I87" s="5">
        <f t="shared" si="1"/>
        <v>10</v>
      </c>
      <c r="J87" s="6">
        <f t="shared" si="2"/>
        <v>0.97253472222222226</v>
      </c>
      <c r="K87" s="5" t="str">
        <f t="shared" si="5"/>
        <v>(DS-IBBLR-Budhigere )</v>
      </c>
      <c r="L87" s="5" t="e">
        <f t="array" aca="1" ref="L87" ca="1">_xludf.XLOOKUP(E87,'[1]Migrated Societies Data'!C:C,'[1]Migrated Societies Data'!B:B)</f>
        <v>#NAME?</v>
      </c>
      <c r="M87" s="5" t="e">
        <f t="array" aca="1" ref="M87" ca="1">_xludf.XLOOKUP(E87,'[1]Migrated Societies Data'!C:C,'[1]Migrated Societies Data'!E:E)</f>
        <v>#NAME?</v>
      </c>
      <c r="N87" s="5" t="str">
        <f t="shared" si="3"/>
        <v>Yes</v>
      </c>
      <c r="O87" s="7">
        <f t="shared" si="4"/>
        <v>0.99336805555555563</v>
      </c>
    </row>
    <row r="88" spans="1:15" x14ac:dyDescent="0.25">
      <c r="A88" s="3" t="s">
        <v>80</v>
      </c>
      <c r="B88" s="3" t="s">
        <v>199</v>
      </c>
      <c r="C88" s="3" t="s">
        <v>16</v>
      </c>
      <c r="D88" s="3" t="s">
        <v>82</v>
      </c>
      <c r="E88" s="3" t="s">
        <v>83</v>
      </c>
      <c r="F88" s="3" t="s">
        <v>200</v>
      </c>
      <c r="G88" s="4">
        <v>45951</v>
      </c>
      <c r="H88" s="5">
        <f t="shared" si="0"/>
        <v>43</v>
      </c>
      <c r="I88" s="5">
        <f t="shared" si="1"/>
        <v>10</v>
      </c>
      <c r="J88" s="6">
        <f t="shared" si="2"/>
        <v>3.9849537037037037E-2</v>
      </c>
      <c r="K88" s="5" t="str">
        <f t="shared" si="5"/>
        <v>(DS-IBBLR-Nagondanahalli )</v>
      </c>
      <c r="L88" s="5" t="e">
        <f t="array" aca="1" ref="L88" ca="1">_xludf.XLOOKUP(E88,'[1]Migrated Societies Data'!C:C,'[1]Migrated Societies Data'!B:B)</f>
        <v>#NAME?</v>
      </c>
      <c r="M88" s="5" t="e">
        <f t="array" aca="1" ref="M88" ca="1">_xludf.XLOOKUP(E88,'[1]Migrated Societies Data'!C:C,'[1]Migrated Societies Data'!E:E)</f>
        <v>#NAME?</v>
      </c>
      <c r="N88" s="5" t="str">
        <f t="shared" si="3"/>
        <v>Yes</v>
      </c>
      <c r="O88" s="7">
        <f t="shared" si="4"/>
        <v>6.0682870370370373E-2</v>
      </c>
    </row>
    <row r="89" spans="1:15" x14ac:dyDescent="0.25">
      <c r="A89" s="3" t="s">
        <v>14</v>
      </c>
      <c r="B89" s="3" t="s">
        <v>201</v>
      </c>
      <c r="C89" s="3" t="s">
        <v>16</v>
      </c>
      <c r="D89" s="3" t="s">
        <v>17</v>
      </c>
      <c r="E89" s="3" t="s">
        <v>18</v>
      </c>
      <c r="F89" s="3" t="s">
        <v>202</v>
      </c>
      <c r="G89" s="4">
        <v>45951</v>
      </c>
      <c r="H89" s="5">
        <f t="shared" si="0"/>
        <v>43</v>
      </c>
      <c r="I89" s="5">
        <f t="shared" si="1"/>
        <v>10</v>
      </c>
      <c r="J89" s="6">
        <f t="shared" si="2"/>
        <v>1.5879629629629629E-2</v>
      </c>
      <c r="K89" s="5" t="str">
        <f t="shared" si="5"/>
        <v>(DS-IBBLR-Peenya PH-3)</v>
      </c>
      <c r="L89" s="5" t="e">
        <f t="array" aca="1" ref="L89" ca="1">_xludf.XLOOKUP(E89,'[1]Migrated Societies Data'!C:C,'[1]Migrated Societies Data'!B:B)</f>
        <v>#NAME?</v>
      </c>
      <c r="M89" s="5" t="e">
        <f t="array" aca="1" ref="M89" ca="1">_xludf.XLOOKUP(E89,'[1]Migrated Societies Data'!C:C,'[1]Migrated Societies Data'!E:E)</f>
        <v>#NAME?</v>
      </c>
      <c r="N89" s="5" t="str">
        <f t="shared" si="3"/>
        <v>Yes</v>
      </c>
      <c r="O89" s="7">
        <f t="shared" si="4"/>
        <v>3.6712962962962961E-2</v>
      </c>
    </row>
    <row r="90" spans="1:15" x14ac:dyDescent="0.25">
      <c r="A90" s="3" t="s">
        <v>85</v>
      </c>
      <c r="B90" s="3" t="s">
        <v>203</v>
      </c>
      <c r="C90" s="3" t="s">
        <v>16</v>
      </c>
      <c r="D90" s="3" t="s">
        <v>82</v>
      </c>
      <c r="E90" s="3" t="s">
        <v>87</v>
      </c>
      <c r="F90" s="3" t="s">
        <v>204</v>
      </c>
      <c r="G90" s="4">
        <v>45952</v>
      </c>
      <c r="H90" s="5">
        <f t="shared" si="0"/>
        <v>43</v>
      </c>
      <c r="I90" s="5">
        <f t="shared" si="1"/>
        <v>10</v>
      </c>
      <c r="J90" s="6">
        <f t="shared" si="2"/>
        <v>0.99130787037037038</v>
      </c>
      <c r="K90" s="5" t="str">
        <f t="shared" si="5"/>
        <v>(DS-IBBLR-Budhigere )</v>
      </c>
      <c r="L90" s="5" t="e">
        <f t="array" aca="1" ref="L90" ca="1">_xludf.XLOOKUP(E90,'[1]Migrated Societies Data'!C:C,'[1]Migrated Societies Data'!B:B)</f>
        <v>#NAME?</v>
      </c>
      <c r="M90" s="5" t="e">
        <f t="array" aca="1" ref="M90" ca="1">_xludf.XLOOKUP(E90,'[1]Migrated Societies Data'!C:C,'[1]Migrated Societies Data'!E:E)</f>
        <v>#NAME?</v>
      </c>
      <c r="N90" s="5" t="str">
        <f t="shared" si="3"/>
        <v>Yes</v>
      </c>
      <c r="O90" s="7">
        <f t="shared" si="4"/>
        <v>1.214120370370364E-2</v>
      </c>
    </row>
    <row r="91" spans="1:15" x14ac:dyDescent="0.25">
      <c r="A91" s="3" t="s">
        <v>80</v>
      </c>
      <c r="B91" s="3" t="s">
        <v>205</v>
      </c>
      <c r="C91" s="3" t="s">
        <v>16</v>
      </c>
      <c r="D91" s="3" t="s">
        <v>82</v>
      </c>
      <c r="E91" s="3" t="s">
        <v>83</v>
      </c>
      <c r="F91" s="3" t="s">
        <v>206</v>
      </c>
      <c r="G91" s="4">
        <v>45952</v>
      </c>
      <c r="H91" s="5">
        <f t="shared" si="0"/>
        <v>43</v>
      </c>
      <c r="I91" s="5">
        <f t="shared" si="1"/>
        <v>10</v>
      </c>
      <c r="J91" s="6">
        <f t="shared" si="2"/>
        <v>0.99873842592592588</v>
      </c>
      <c r="K91" s="5" t="str">
        <f t="shared" si="5"/>
        <v>(DS-IBBLR-Nagondanahalli )</v>
      </c>
      <c r="L91" s="5" t="e">
        <f t="array" aca="1" ref="L91" ca="1">_xludf.XLOOKUP(E91,'[1]Migrated Societies Data'!C:C,'[1]Migrated Societies Data'!B:B)</f>
        <v>#NAME?</v>
      </c>
      <c r="M91" s="5" t="e">
        <f t="array" aca="1" ref="M91" ca="1">_xludf.XLOOKUP(E91,'[1]Migrated Societies Data'!C:C,'[1]Migrated Societies Data'!E:E)</f>
        <v>#NAME?</v>
      </c>
      <c r="N91" s="5" t="str">
        <f t="shared" si="3"/>
        <v>Yes</v>
      </c>
      <c r="O91" s="7">
        <f t="shared" si="4"/>
        <v>1.9571759259259247E-2</v>
      </c>
    </row>
    <row r="92" spans="1:15" x14ac:dyDescent="0.25">
      <c r="A92" s="3" t="s">
        <v>14</v>
      </c>
      <c r="B92" s="3" t="s">
        <v>207</v>
      </c>
      <c r="C92" s="3" t="s">
        <v>16</v>
      </c>
      <c r="D92" s="3" t="s">
        <v>17</v>
      </c>
      <c r="E92" s="3" t="s">
        <v>18</v>
      </c>
      <c r="F92" s="3" t="s">
        <v>208</v>
      </c>
      <c r="G92" s="4">
        <v>45952</v>
      </c>
      <c r="H92" s="5">
        <f t="shared" si="0"/>
        <v>43</v>
      </c>
      <c r="I92" s="5">
        <f t="shared" si="1"/>
        <v>10</v>
      </c>
      <c r="J92" s="6">
        <f t="shared" si="2"/>
        <v>0.99828703703703703</v>
      </c>
      <c r="K92" s="5" t="str">
        <f t="shared" si="5"/>
        <v>(DS-IBBLR-Peenya PH-3)</v>
      </c>
      <c r="L92" s="5" t="e">
        <f t="array" aca="1" ref="L92" ca="1">_xludf.XLOOKUP(E92,'[1]Migrated Societies Data'!C:C,'[1]Migrated Societies Data'!B:B)</f>
        <v>#NAME?</v>
      </c>
      <c r="M92" s="5" t="e">
        <f t="array" aca="1" ref="M92" ca="1">_xludf.XLOOKUP(E92,'[1]Migrated Societies Data'!C:C,'[1]Migrated Societies Data'!E:E)</f>
        <v>#NAME?</v>
      </c>
      <c r="N92" s="5" t="str">
        <f t="shared" si="3"/>
        <v>Yes</v>
      </c>
      <c r="O92" s="7">
        <f t="shared" si="4"/>
        <v>1.9120370370370399E-2</v>
      </c>
    </row>
    <row r="93" spans="1:15" x14ac:dyDescent="0.25">
      <c r="A93" s="3" t="s">
        <v>85</v>
      </c>
      <c r="B93" s="3" t="s">
        <v>209</v>
      </c>
      <c r="C93" s="3" t="s">
        <v>16</v>
      </c>
      <c r="D93" s="3" t="s">
        <v>82</v>
      </c>
      <c r="E93" s="3" t="s">
        <v>87</v>
      </c>
      <c r="F93" s="3" t="s">
        <v>210</v>
      </c>
      <c r="G93" s="4">
        <v>45953</v>
      </c>
      <c r="H93" s="5">
        <f t="shared" si="0"/>
        <v>43</v>
      </c>
      <c r="I93" s="5">
        <f t="shared" si="1"/>
        <v>10</v>
      </c>
      <c r="J93" s="6">
        <f t="shared" si="2"/>
        <v>0.99202546296296301</v>
      </c>
      <c r="K93" s="5" t="str">
        <f t="shared" si="5"/>
        <v>(DS-IBBLR-Budhigere )</v>
      </c>
      <c r="L93" s="5" t="e">
        <f t="array" aca="1" ref="L93" ca="1">_xludf.XLOOKUP(E93,'[1]Migrated Societies Data'!C:C,'[1]Migrated Societies Data'!B:B)</f>
        <v>#NAME?</v>
      </c>
      <c r="M93" s="5" t="e">
        <f t="array" aca="1" ref="M93" ca="1">_xludf.XLOOKUP(E93,'[1]Migrated Societies Data'!C:C,'[1]Migrated Societies Data'!E:E)</f>
        <v>#NAME?</v>
      </c>
      <c r="N93" s="5" t="str">
        <f t="shared" si="3"/>
        <v>Yes</v>
      </c>
      <c r="O93" s="7">
        <f t="shared" si="4"/>
        <v>1.2858796296296271E-2</v>
      </c>
    </row>
    <row r="94" spans="1:15" x14ac:dyDescent="0.25">
      <c r="A94" s="3" t="s">
        <v>14</v>
      </c>
      <c r="B94" s="3" t="s">
        <v>211</v>
      </c>
      <c r="C94" s="3" t="s">
        <v>16</v>
      </c>
      <c r="D94" s="3" t="s">
        <v>17</v>
      </c>
      <c r="E94" s="3" t="s">
        <v>18</v>
      </c>
      <c r="F94" s="3" t="s">
        <v>212</v>
      </c>
      <c r="G94" s="4">
        <v>45953</v>
      </c>
      <c r="H94" s="5">
        <f t="shared" si="0"/>
        <v>43</v>
      </c>
      <c r="I94" s="5">
        <f t="shared" si="1"/>
        <v>10</v>
      </c>
      <c r="J94" s="6">
        <f t="shared" si="2"/>
        <v>2.3032407407407407E-3</v>
      </c>
      <c r="K94" s="5" t="str">
        <f t="shared" si="5"/>
        <v>(DS-IBBLR-Peenya PH-3)</v>
      </c>
      <c r="L94" s="5" t="e">
        <f t="array" aca="1" ref="L94" ca="1">_xludf.XLOOKUP(E94,'[1]Migrated Societies Data'!C:C,'[1]Migrated Societies Data'!B:B)</f>
        <v>#NAME?</v>
      </c>
      <c r="M94" s="5" t="e">
        <f t="array" aca="1" ref="M94" ca="1">_xludf.XLOOKUP(E94,'[1]Migrated Societies Data'!C:C,'[1]Migrated Societies Data'!E:E)</f>
        <v>#NAME?</v>
      </c>
      <c r="N94" s="5" t="str">
        <f t="shared" si="3"/>
        <v>Yes</v>
      </c>
      <c r="O94" s="7">
        <f t="shared" si="4"/>
        <v>2.3136574074074073E-2</v>
      </c>
    </row>
    <row r="95" spans="1:15" x14ac:dyDescent="0.25">
      <c r="A95" s="3" t="s">
        <v>80</v>
      </c>
      <c r="B95" s="3" t="s">
        <v>213</v>
      </c>
      <c r="C95" s="3" t="s">
        <v>16</v>
      </c>
      <c r="D95" s="3" t="s">
        <v>82</v>
      </c>
      <c r="E95" s="3" t="s">
        <v>83</v>
      </c>
      <c r="F95" s="3" t="s">
        <v>214</v>
      </c>
      <c r="G95" s="4">
        <v>45953</v>
      </c>
      <c r="H95" s="5">
        <f t="shared" si="0"/>
        <v>43</v>
      </c>
      <c r="I95" s="5">
        <f t="shared" si="1"/>
        <v>10</v>
      </c>
      <c r="J95" s="6">
        <f t="shared" si="2"/>
        <v>4.1458333333333333E-2</v>
      </c>
      <c r="K95" s="5" t="str">
        <f t="shared" si="5"/>
        <v>(DS-IBBLR-Nagondanahalli )</v>
      </c>
      <c r="L95" s="5" t="e">
        <f t="array" aca="1" ref="L95" ca="1">_xludf.XLOOKUP(E95,'[1]Migrated Societies Data'!C:C,'[1]Migrated Societies Data'!B:B)</f>
        <v>#NAME?</v>
      </c>
      <c r="M95" s="5" t="e">
        <f t="array" aca="1" ref="M95" ca="1">_xludf.XLOOKUP(E95,'[1]Migrated Societies Data'!C:C,'[1]Migrated Societies Data'!E:E)</f>
        <v>#NAME?</v>
      </c>
      <c r="N95" s="5" t="str">
        <f t="shared" si="3"/>
        <v>Yes</v>
      </c>
      <c r="O95" s="7">
        <f t="shared" si="4"/>
        <v>6.2291666666666662E-2</v>
      </c>
    </row>
    <row r="96" spans="1:15" x14ac:dyDescent="0.25">
      <c r="A96" s="3" t="s">
        <v>85</v>
      </c>
      <c r="B96" s="3" t="s">
        <v>215</v>
      </c>
      <c r="C96" s="3" t="s">
        <v>16</v>
      </c>
      <c r="D96" s="3" t="s">
        <v>82</v>
      </c>
      <c r="E96" s="3" t="s">
        <v>87</v>
      </c>
      <c r="F96" s="3" t="s">
        <v>216</v>
      </c>
      <c r="G96" s="4">
        <v>45954</v>
      </c>
      <c r="H96" s="5">
        <f t="shared" si="0"/>
        <v>43</v>
      </c>
      <c r="I96" s="5">
        <f t="shared" si="1"/>
        <v>10</v>
      </c>
      <c r="J96" s="6">
        <f t="shared" si="2"/>
        <v>0.98247685185185185</v>
      </c>
      <c r="K96" s="5" t="str">
        <f t="shared" si="5"/>
        <v>(DS-IBBLR-Budhigere )</v>
      </c>
      <c r="L96" s="5" t="e">
        <f t="array" aca="1" ref="L96" ca="1">_xludf.XLOOKUP(E96,'[1]Migrated Societies Data'!C:C,'[1]Migrated Societies Data'!B:B)</f>
        <v>#NAME?</v>
      </c>
      <c r="M96" s="5" t="e">
        <f t="array" aca="1" ref="M96" ca="1">_xludf.XLOOKUP(E96,'[1]Migrated Societies Data'!C:C,'[1]Migrated Societies Data'!E:E)</f>
        <v>#NAME?</v>
      </c>
      <c r="N96" s="5" t="str">
        <f t="shared" si="3"/>
        <v>Yes</v>
      </c>
      <c r="O96" s="7">
        <f t="shared" si="4"/>
        <v>3.3101851851851105E-3</v>
      </c>
    </row>
    <row r="97" spans="1:15" x14ac:dyDescent="0.25">
      <c r="A97" s="3" t="s">
        <v>14</v>
      </c>
      <c r="B97" s="3" t="s">
        <v>217</v>
      </c>
      <c r="C97" s="3" t="s">
        <v>16</v>
      </c>
      <c r="D97" s="3" t="s">
        <v>17</v>
      </c>
      <c r="E97" s="3" t="s">
        <v>18</v>
      </c>
      <c r="F97" s="3" t="s">
        <v>218</v>
      </c>
      <c r="G97" s="4">
        <v>45954</v>
      </c>
      <c r="H97" s="5">
        <f t="shared" si="0"/>
        <v>43</v>
      </c>
      <c r="I97" s="5">
        <f t="shared" si="1"/>
        <v>10</v>
      </c>
      <c r="J97" s="6">
        <f t="shared" si="2"/>
        <v>8.773148148148148E-3</v>
      </c>
      <c r="K97" s="5" t="str">
        <f t="shared" si="5"/>
        <v>(DS-IBBLR-Peenya PH-3)</v>
      </c>
      <c r="L97" s="5" t="e">
        <f t="array" aca="1" ref="L97" ca="1">_xludf.XLOOKUP(E97,'[1]Migrated Societies Data'!C:C,'[1]Migrated Societies Data'!B:B)</f>
        <v>#NAME?</v>
      </c>
      <c r="M97" s="5" t="e">
        <f t="array" aca="1" ref="M97" ca="1">_xludf.XLOOKUP(E97,'[1]Migrated Societies Data'!C:C,'[1]Migrated Societies Data'!E:E)</f>
        <v>#NAME?</v>
      </c>
      <c r="N97" s="5" t="str">
        <f t="shared" si="3"/>
        <v>Yes</v>
      </c>
      <c r="O97" s="7">
        <f t="shared" si="4"/>
        <v>2.960648148148148E-2</v>
      </c>
    </row>
    <row r="98" spans="1:15" x14ac:dyDescent="0.25">
      <c r="A98" s="3" t="s">
        <v>80</v>
      </c>
      <c r="B98" s="3" t="s">
        <v>219</v>
      </c>
      <c r="C98" s="3" t="s">
        <v>16</v>
      </c>
      <c r="D98" s="3" t="s">
        <v>82</v>
      </c>
      <c r="E98" s="3" t="s">
        <v>83</v>
      </c>
      <c r="F98" s="3" t="s">
        <v>220</v>
      </c>
      <c r="G98" s="4">
        <v>45954</v>
      </c>
      <c r="H98" s="5">
        <f t="shared" si="0"/>
        <v>43</v>
      </c>
      <c r="I98" s="5">
        <f t="shared" si="1"/>
        <v>10</v>
      </c>
      <c r="J98" s="6">
        <f t="shared" si="2"/>
        <v>1.846064814814815E-2</v>
      </c>
      <c r="K98" s="5" t="str">
        <f t="shared" si="5"/>
        <v>(DS-IBBLR-Nagondanahalli )</v>
      </c>
      <c r="L98" s="5" t="e">
        <f t="array" aca="1" ref="L98" ca="1">_xludf.XLOOKUP(E98,'[1]Migrated Societies Data'!C:C,'[1]Migrated Societies Data'!B:B)</f>
        <v>#NAME?</v>
      </c>
      <c r="M98" s="5" t="e">
        <f t="array" aca="1" ref="M98" ca="1">_xludf.XLOOKUP(E98,'[1]Migrated Societies Data'!C:C,'[1]Migrated Societies Data'!E:E)</f>
        <v>#NAME?</v>
      </c>
      <c r="N98" s="5" t="str">
        <f t="shared" si="3"/>
        <v>Yes</v>
      </c>
      <c r="O98" s="7">
        <f t="shared" si="4"/>
        <v>3.9293981481481485E-2</v>
      </c>
    </row>
    <row r="99" spans="1:15" x14ac:dyDescent="0.25">
      <c r="A99" s="3" t="s">
        <v>80</v>
      </c>
      <c r="B99" s="3" t="s">
        <v>221</v>
      </c>
      <c r="C99" s="3" t="s">
        <v>16</v>
      </c>
      <c r="D99" s="3" t="s">
        <v>82</v>
      </c>
      <c r="E99" s="3" t="s">
        <v>83</v>
      </c>
      <c r="F99" s="3" t="s">
        <v>222</v>
      </c>
      <c r="G99" s="4">
        <v>45955</v>
      </c>
      <c r="H99" s="5">
        <f t="shared" si="0"/>
        <v>43</v>
      </c>
      <c r="I99" s="5">
        <f t="shared" si="1"/>
        <v>10</v>
      </c>
      <c r="J99" s="6">
        <f t="shared" si="2"/>
        <v>2.7453703703703702E-2</v>
      </c>
      <c r="K99" s="5" t="str">
        <f t="shared" si="5"/>
        <v>(DS-IBBLR-Nagondanahalli )</v>
      </c>
      <c r="L99" s="5" t="e">
        <f t="array" aca="1" ref="L99" ca="1">_xludf.XLOOKUP(E99,'[1]Migrated Societies Data'!C:C,'[1]Migrated Societies Data'!B:B)</f>
        <v>#NAME?</v>
      </c>
      <c r="M99" s="5" t="e">
        <f t="array" aca="1" ref="M99" ca="1">_xludf.XLOOKUP(E99,'[1]Migrated Societies Data'!C:C,'[1]Migrated Societies Data'!E:E)</f>
        <v>#NAME?</v>
      </c>
      <c r="N99" s="5" t="str">
        <f t="shared" si="3"/>
        <v>Yes</v>
      </c>
      <c r="O99" s="7">
        <f t="shared" si="4"/>
        <v>4.8287037037037031E-2</v>
      </c>
    </row>
    <row r="100" spans="1:15" x14ac:dyDescent="0.25">
      <c r="A100" s="3" t="s">
        <v>85</v>
      </c>
      <c r="B100" s="3" t="s">
        <v>223</v>
      </c>
      <c r="C100" s="3" t="s">
        <v>16</v>
      </c>
      <c r="D100" s="3" t="s">
        <v>82</v>
      </c>
      <c r="E100" s="3" t="s">
        <v>87</v>
      </c>
      <c r="F100" s="3" t="s">
        <v>224</v>
      </c>
      <c r="G100" s="4">
        <v>45955</v>
      </c>
      <c r="H100" s="5">
        <f t="shared" si="0"/>
        <v>43</v>
      </c>
      <c r="I100" s="5">
        <f t="shared" si="1"/>
        <v>10</v>
      </c>
      <c r="J100" s="6">
        <f t="shared" si="2"/>
        <v>0.98614583333333339</v>
      </c>
      <c r="K100" s="5" t="str">
        <f t="shared" si="5"/>
        <v>(DS-IBBLR-Budhigere )</v>
      </c>
      <c r="L100" s="5" t="e">
        <f t="array" aca="1" ref="L100" ca="1">_xludf.XLOOKUP(E100,'[1]Migrated Societies Data'!C:C,'[1]Migrated Societies Data'!B:B)</f>
        <v>#NAME?</v>
      </c>
      <c r="M100" s="5" t="e">
        <f t="array" aca="1" ref="M100" ca="1">_xludf.XLOOKUP(E100,'[1]Migrated Societies Data'!C:C,'[1]Migrated Societies Data'!E:E)</f>
        <v>#NAME?</v>
      </c>
      <c r="N100" s="5" t="str">
        <f t="shared" si="3"/>
        <v>Yes</v>
      </c>
      <c r="O100" s="7">
        <f t="shared" si="4"/>
        <v>6.9791666666667584E-3</v>
      </c>
    </row>
    <row r="101" spans="1:15" x14ac:dyDescent="0.25">
      <c r="A101" s="3" t="s">
        <v>14</v>
      </c>
      <c r="B101" s="3" t="s">
        <v>225</v>
      </c>
      <c r="C101" s="3" t="s">
        <v>16</v>
      </c>
      <c r="D101" s="3" t="s">
        <v>17</v>
      </c>
      <c r="E101" s="3" t="s">
        <v>18</v>
      </c>
      <c r="F101" s="3" t="s">
        <v>226</v>
      </c>
      <c r="G101" s="4">
        <v>45955</v>
      </c>
      <c r="H101" s="5">
        <f t="shared" si="0"/>
        <v>43</v>
      </c>
      <c r="I101" s="5">
        <f t="shared" si="1"/>
        <v>10</v>
      </c>
      <c r="J101" s="6">
        <f t="shared" si="2"/>
        <v>1.9583333333333335E-2</v>
      </c>
      <c r="K101" s="5" t="str">
        <f t="shared" si="5"/>
        <v>(DS-IBBLR-Peenya PH-3)</v>
      </c>
      <c r="L101" s="5" t="e">
        <f t="array" aca="1" ref="L101" ca="1">_xludf.XLOOKUP(E101,'[1]Migrated Societies Data'!C:C,'[1]Migrated Societies Data'!B:B)</f>
        <v>#NAME?</v>
      </c>
      <c r="M101" s="5" t="e">
        <f t="array" aca="1" ref="M101" ca="1">_xludf.XLOOKUP(E101,'[1]Migrated Societies Data'!C:C,'[1]Migrated Societies Data'!E:E)</f>
        <v>#NAME?</v>
      </c>
      <c r="N101" s="5" t="str">
        <f t="shared" si="3"/>
        <v>Yes</v>
      </c>
      <c r="O101" s="7">
        <f t="shared" si="4"/>
        <v>4.041666666666667E-2</v>
      </c>
    </row>
    <row r="102" spans="1:15" x14ac:dyDescent="0.25">
      <c r="A102" s="3" t="s">
        <v>80</v>
      </c>
      <c r="B102" s="3" t="s">
        <v>227</v>
      </c>
      <c r="C102" s="3" t="s">
        <v>16</v>
      </c>
      <c r="D102" s="3" t="s">
        <v>82</v>
      </c>
      <c r="E102" s="3" t="s">
        <v>83</v>
      </c>
      <c r="F102" s="3" t="s">
        <v>228</v>
      </c>
      <c r="G102" s="4">
        <v>45956</v>
      </c>
      <c r="H102" s="5">
        <f t="shared" si="0"/>
        <v>43</v>
      </c>
      <c r="I102" s="5">
        <f t="shared" si="1"/>
        <v>10</v>
      </c>
      <c r="J102" s="6">
        <f t="shared" si="2"/>
        <v>3.0034722222222223E-2</v>
      </c>
      <c r="K102" s="5" t="str">
        <f t="shared" si="5"/>
        <v>(DS-IBBLR-Nagondanahalli )</v>
      </c>
      <c r="L102" s="5" t="e">
        <f t="array" aca="1" ref="L102" ca="1">_xludf.XLOOKUP(E102,'[1]Migrated Societies Data'!C:C,'[1]Migrated Societies Data'!B:B)</f>
        <v>#NAME?</v>
      </c>
      <c r="M102" s="5" t="e">
        <f t="array" aca="1" ref="M102" ca="1">_xludf.XLOOKUP(E102,'[1]Migrated Societies Data'!C:C,'[1]Migrated Societies Data'!E:E)</f>
        <v>#NAME?</v>
      </c>
      <c r="N102" s="5" t="str">
        <f t="shared" si="3"/>
        <v>Yes</v>
      </c>
      <c r="O102" s="7">
        <f t="shared" si="4"/>
        <v>5.0868055555555555E-2</v>
      </c>
    </row>
    <row r="103" spans="1:15" x14ac:dyDescent="0.25">
      <c r="A103" s="3" t="s">
        <v>85</v>
      </c>
      <c r="B103" s="3" t="s">
        <v>229</v>
      </c>
      <c r="C103" s="3" t="s">
        <v>16</v>
      </c>
      <c r="D103" s="3" t="s">
        <v>82</v>
      </c>
      <c r="E103" s="3" t="s">
        <v>87</v>
      </c>
      <c r="F103" s="3" t="s">
        <v>230</v>
      </c>
      <c r="G103" s="4">
        <v>45956</v>
      </c>
      <c r="H103" s="5">
        <f t="shared" si="0"/>
        <v>43</v>
      </c>
      <c r="I103" s="5">
        <f t="shared" si="1"/>
        <v>10</v>
      </c>
      <c r="J103" s="6">
        <f t="shared" si="2"/>
        <v>0.99127314814814815</v>
      </c>
      <c r="K103" s="5" t="str">
        <f t="shared" si="5"/>
        <v>(DS-IBBLR-Budhigere )</v>
      </c>
      <c r="L103" s="5" t="e">
        <f t="array" aca="1" ref="L103" ca="1">_xludf.XLOOKUP(E103,'[1]Migrated Societies Data'!C:C,'[1]Migrated Societies Data'!B:B)</f>
        <v>#NAME?</v>
      </c>
      <c r="M103" s="5" t="e">
        <f t="array" aca="1" ref="M103" ca="1">_xludf.XLOOKUP(E103,'[1]Migrated Societies Data'!C:C,'[1]Migrated Societies Data'!E:E)</f>
        <v>#NAME?</v>
      </c>
      <c r="N103" s="5" t="str">
        <f t="shared" si="3"/>
        <v>Yes</v>
      </c>
      <c r="O103" s="7">
        <f t="shared" si="4"/>
        <v>1.2106481481481524E-2</v>
      </c>
    </row>
    <row r="104" spans="1:15" x14ac:dyDescent="0.25">
      <c r="A104" s="3" t="s">
        <v>14</v>
      </c>
      <c r="B104" s="3" t="s">
        <v>231</v>
      </c>
      <c r="C104" s="3" t="s">
        <v>16</v>
      </c>
      <c r="D104" s="3" t="s">
        <v>17</v>
      </c>
      <c r="E104" s="3" t="s">
        <v>18</v>
      </c>
      <c r="F104" s="3" t="s">
        <v>232</v>
      </c>
      <c r="G104" s="4">
        <v>45956</v>
      </c>
      <c r="H104" s="5">
        <f t="shared" si="0"/>
        <v>43</v>
      </c>
      <c r="I104" s="5">
        <f t="shared" si="1"/>
        <v>10</v>
      </c>
      <c r="J104" s="6">
        <f t="shared" si="2"/>
        <v>2.5000000000000001E-2</v>
      </c>
      <c r="K104" s="5" t="str">
        <f t="shared" si="5"/>
        <v>(DS-IBBLR-Peenya PH-3)</v>
      </c>
      <c r="L104" s="5" t="e">
        <f t="array" aca="1" ref="L104" ca="1">_xludf.XLOOKUP(E104,'[1]Migrated Societies Data'!C:C,'[1]Migrated Societies Data'!B:B)</f>
        <v>#NAME?</v>
      </c>
      <c r="M104" s="5" t="e">
        <f t="array" aca="1" ref="M104" ca="1">_xludf.XLOOKUP(E104,'[1]Migrated Societies Data'!C:C,'[1]Migrated Societies Data'!E:E)</f>
        <v>#NAME?</v>
      </c>
      <c r="N104" s="5" t="str">
        <f t="shared" si="3"/>
        <v>Yes</v>
      </c>
      <c r="O104" s="7">
        <f t="shared" si="4"/>
        <v>4.5833333333333337E-2</v>
      </c>
    </row>
    <row r="105" spans="1:15" x14ac:dyDescent="0.25">
      <c r="A105" s="3" t="s">
        <v>80</v>
      </c>
      <c r="B105" s="3" t="s">
        <v>233</v>
      </c>
      <c r="C105" s="3" t="s">
        <v>16</v>
      </c>
      <c r="D105" s="3" t="s">
        <v>82</v>
      </c>
      <c r="E105" s="3" t="s">
        <v>83</v>
      </c>
      <c r="F105" s="3" t="s">
        <v>234</v>
      </c>
      <c r="G105" s="4">
        <v>45957</v>
      </c>
      <c r="H105" s="5">
        <f t="shared" si="0"/>
        <v>44</v>
      </c>
      <c r="I105" s="5">
        <f t="shared" si="1"/>
        <v>10</v>
      </c>
      <c r="J105" s="6">
        <f t="shared" si="2"/>
        <v>4.6655092592592595E-2</v>
      </c>
      <c r="K105" s="5" t="str">
        <f t="shared" si="5"/>
        <v>(DS-IBBLR-Nagondanahalli )</v>
      </c>
      <c r="L105" s="5" t="e">
        <f t="array" aca="1" ref="L105" ca="1">_xludf.XLOOKUP(E105,'[1]Migrated Societies Data'!C:C,'[1]Migrated Societies Data'!B:B)</f>
        <v>#NAME?</v>
      </c>
      <c r="M105" s="5" t="e">
        <f t="array" aca="1" ref="M105" ca="1">_xludf.XLOOKUP(E105,'[1]Migrated Societies Data'!C:C,'[1]Migrated Societies Data'!E:E)</f>
        <v>#NAME?</v>
      </c>
      <c r="N105" s="5" t="str">
        <f t="shared" si="3"/>
        <v>Yes</v>
      </c>
      <c r="O105" s="7">
        <f t="shared" si="4"/>
        <v>6.7488425925925924E-2</v>
      </c>
    </row>
    <row r="106" spans="1:15" x14ac:dyDescent="0.25">
      <c r="A106" s="3" t="s">
        <v>85</v>
      </c>
      <c r="B106" s="3" t="s">
        <v>235</v>
      </c>
      <c r="C106" s="3" t="s">
        <v>16</v>
      </c>
      <c r="D106" s="3" t="s">
        <v>82</v>
      </c>
      <c r="E106" s="3" t="s">
        <v>87</v>
      </c>
      <c r="F106" s="3" t="s">
        <v>236</v>
      </c>
      <c r="G106" s="4">
        <v>45957</v>
      </c>
      <c r="H106" s="5">
        <f t="shared" si="0"/>
        <v>44</v>
      </c>
      <c r="I106" s="5">
        <f t="shared" si="1"/>
        <v>10</v>
      </c>
      <c r="J106" s="6">
        <f t="shared" si="2"/>
        <v>0.99712962962962959</v>
      </c>
      <c r="K106" s="5" t="str">
        <f t="shared" si="5"/>
        <v>(DS-IBBLR-Budhigere )</v>
      </c>
      <c r="L106" s="5" t="e">
        <f t="array" aca="1" ref="L106" ca="1">_xludf.XLOOKUP(E106,'[1]Migrated Societies Data'!C:C,'[1]Migrated Societies Data'!B:B)</f>
        <v>#NAME?</v>
      </c>
      <c r="M106" s="5" t="e">
        <f t="array" aca="1" ref="M106" ca="1">_xludf.XLOOKUP(E106,'[1]Migrated Societies Data'!C:C,'[1]Migrated Societies Data'!E:E)</f>
        <v>#NAME?</v>
      </c>
      <c r="N106" s="5" t="str">
        <f t="shared" si="3"/>
        <v>Yes</v>
      </c>
      <c r="O106" s="7">
        <f t="shared" si="4"/>
        <v>1.7962962962962958E-2</v>
      </c>
    </row>
    <row r="107" spans="1:15" x14ac:dyDescent="0.25">
      <c r="A107" s="3" t="s">
        <v>14</v>
      </c>
      <c r="B107" s="3" t="s">
        <v>237</v>
      </c>
      <c r="C107" s="3" t="s">
        <v>16</v>
      </c>
      <c r="D107" s="3" t="s">
        <v>17</v>
      </c>
      <c r="E107" s="3" t="s">
        <v>18</v>
      </c>
      <c r="F107" s="3" t="s">
        <v>238</v>
      </c>
      <c r="G107" s="4">
        <v>45957</v>
      </c>
      <c r="H107" s="5">
        <f t="shared" si="0"/>
        <v>44</v>
      </c>
      <c r="I107" s="5">
        <f t="shared" si="1"/>
        <v>10</v>
      </c>
      <c r="J107" s="6">
        <f t="shared" si="2"/>
        <v>2.1435185185185186E-2</v>
      </c>
      <c r="K107" s="5" t="str">
        <f t="shared" si="5"/>
        <v>(DS-IBBLR-Peenya PH-3)</v>
      </c>
      <c r="L107" s="5" t="e">
        <f t="array" aca="1" ref="L107" ca="1">_xludf.XLOOKUP(E107,'[1]Migrated Societies Data'!C:C,'[1]Migrated Societies Data'!B:B)</f>
        <v>#NAME?</v>
      </c>
      <c r="M107" s="5" t="e">
        <f t="array" aca="1" ref="M107" ca="1">_xludf.XLOOKUP(E107,'[1]Migrated Societies Data'!C:C,'[1]Migrated Societies Data'!E:E)</f>
        <v>#NAME?</v>
      </c>
      <c r="N107" s="5" t="str">
        <f t="shared" si="3"/>
        <v>Yes</v>
      </c>
      <c r="O107" s="7">
        <f t="shared" si="4"/>
        <v>4.2268518518518518E-2</v>
      </c>
    </row>
    <row r="108" spans="1:15" x14ac:dyDescent="0.25">
      <c r="A108" s="3" t="s">
        <v>80</v>
      </c>
      <c r="B108" s="3" t="s">
        <v>239</v>
      </c>
      <c r="C108" s="3" t="s">
        <v>16</v>
      </c>
      <c r="D108" s="3" t="s">
        <v>82</v>
      </c>
      <c r="E108" s="3" t="s">
        <v>83</v>
      </c>
      <c r="F108" s="3" t="s">
        <v>240</v>
      </c>
      <c r="G108" s="4">
        <v>45958</v>
      </c>
      <c r="H108" s="5">
        <f t="shared" si="0"/>
        <v>44</v>
      </c>
      <c r="I108" s="5">
        <f t="shared" si="1"/>
        <v>10</v>
      </c>
      <c r="J108" s="6">
        <f t="shared" si="2"/>
        <v>7.4236111111111114E-2</v>
      </c>
      <c r="K108" s="5" t="str">
        <f t="shared" si="5"/>
        <v>(DS-IBBLR-Nagondanahalli )</v>
      </c>
      <c r="L108" s="5" t="e">
        <f t="array" aca="1" ref="L108" ca="1">_xludf.XLOOKUP(E108,'[1]Migrated Societies Data'!C:C,'[1]Migrated Societies Data'!B:B)</f>
        <v>#NAME?</v>
      </c>
      <c r="M108" s="5" t="e">
        <f t="array" aca="1" ref="M108" ca="1">_xludf.XLOOKUP(E108,'[1]Migrated Societies Data'!C:C,'[1]Migrated Societies Data'!E:E)</f>
        <v>#NAME?</v>
      </c>
      <c r="N108" s="5" t="str">
        <f t="shared" si="3"/>
        <v>Yes</v>
      </c>
      <c r="O108" s="7">
        <f t="shared" si="4"/>
        <v>9.5069444444444443E-2</v>
      </c>
    </row>
    <row r="109" spans="1:15" x14ac:dyDescent="0.25">
      <c r="A109" s="3" t="s">
        <v>85</v>
      </c>
      <c r="B109" s="3" t="s">
        <v>241</v>
      </c>
      <c r="C109" s="3" t="s">
        <v>16</v>
      </c>
      <c r="D109" s="3" t="s">
        <v>82</v>
      </c>
      <c r="E109" s="3" t="s">
        <v>87</v>
      </c>
      <c r="F109" s="3" t="s">
        <v>242</v>
      </c>
      <c r="G109" s="4">
        <v>45958</v>
      </c>
      <c r="H109" s="5">
        <f t="shared" si="0"/>
        <v>44</v>
      </c>
      <c r="I109" s="5">
        <f t="shared" si="1"/>
        <v>10</v>
      </c>
      <c r="J109" s="6">
        <f t="shared" si="2"/>
        <v>0.98260416666666661</v>
      </c>
      <c r="K109" s="5" t="str">
        <f t="shared" si="5"/>
        <v>(DS-IBBLR-Budhigere )</v>
      </c>
      <c r="L109" s="5" t="e">
        <f t="array" aca="1" ref="L109" ca="1">_xludf.XLOOKUP(E109,'[1]Migrated Societies Data'!C:C,'[1]Migrated Societies Data'!B:B)</f>
        <v>#NAME?</v>
      </c>
      <c r="M109" s="5" t="e">
        <f t="array" aca="1" ref="M109" ca="1">_xludf.XLOOKUP(E109,'[1]Migrated Societies Data'!C:C,'[1]Migrated Societies Data'!E:E)</f>
        <v>#NAME?</v>
      </c>
      <c r="N109" s="5" t="str">
        <f t="shared" si="3"/>
        <v>Yes</v>
      </c>
      <c r="O109" s="7">
        <f t="shared" si="4"/>
        <v>3.4374999999999822E-3</v>
      </c>
    </row>
    <row r="110" spans="1:15" x14ac:dyDescent="0.25">
      <c r="A110" s="3" t="s">
        <v>14</v>
      </c>
      <c r="B110" s="3" t="s">
        <v>243</v>
      </c>
      <c r="C110" s="3" t="s">
        <v>16</v>
      </c>
      <c r="D110" s="3" t="s">
        <v>17</v>
      </c>
      <c r="E110" s="3" t="s">
        <v>18</v>
      </c>
      <c r="F110" s="3" t="s">
        <v>244</v>
      </c>
      <c r="G110" s="4">
        <v>45958</v>
      </c>
      <c r="H110" s="5">
        <f t="shared" si="0"/>
        <v>44</v>
      </c>
      <c r="I110" s="5">
        <f t="shared" si="1"/>
        <v>10</v>
      </c>
      <c r="J110" s="6">
        <f t="shared" si="2"/>
        <v>2.8877314814814814E-2</v>
      </c>
      <c r="K110" s="5" t="str">
        <f t="shared" si="5"/>
        <v>(DS-IBBLR-Peenya PH-3)</v>
      </c>
      <c r="L110" s="5" t="e">
        <f t="array" aca="1" ref="L110" ca="1">_xludf.XLOOKUP(E110,'[1]Migrated Societies Data'!C:C,'[1]Migrated Societies Data'!B:B)</f>
        <v>#NAME?</v>
      </c>
      <c r="M110" s="5" t="e">
        <f t="array" aca="1" ref="M110" ca="1">_xludf.XLOOKUP(E110,'[1]Migrated Societies Data'!C:C,'[1]Migrated Societies Data'!E:E)</f>
        <v>#NAME?</v>
      </c>
      <c r="N110" s="5" t="str">
        <f t="shared" si="3"/>
        <v>Yes</v>
      </c>
      <c r="O110" s="7">
        <f t="shared" si="4"/>
        <v>4.9710648148148143E-2</v>
      </c>
    </row>
    <row r="111" spans="1:15" x14ac:dyDescent="0.25">
      <c r="A111" s="3" t="s">
        <v>80</v>
      </c>
      <c r="B111" s="3" t="s">
        <v>245</v>
      </c>
      <c r="C111" s="3" t="s">
        <v>16</v>
      </c>
      <c r="D111" s="3" t="s">
        <v>82</v>
      </c>
      <c r="E111" s="3" t="s">
        <v>83</v>
      </c>
      <c r="F111" s="3" t="s">
        <v>246</v>
      </c>
      <c r="G111" s="4">
        <v>45959</v>
      </c>
      <c r="H111" s="5">
        <f t="shared" si="0"/>
        <v>44</v>
      </c>
      <c r="I111" s="5">
        <f t="shared" si="1"/>
        <v>10</v>
      </c>
      <c r="J111" s="6">
        <f t="shared" si="2"/>
        <v>2.150462962962963E-2</v>
      </c>
      <c r="K111" s="5" t="str">
        <f t="shared" si="5"/>
        <v>(DS-IBBLR-Nagondanahalli )</v>
      </c>
      <c r="L111" s="5" t="e">
        <f t="array" aca="1" ref="L111" ca="1">_xludf.XLOOKUP(E111,'[1]Migrated Societies Data'!C:C,'[1]Migrated Societies Data'!B:B)</f>
        <v>#NAME?</v>
      </c>
      <c r="M111" s="5" t="e">
        <f t="array" aca="1" ref="M111" ca="1">_xludf.XLOOKUP(E111,'[1]Migrated Societies Data'!C:C,'[1]Migrated Societies Data'!E:E)</f>
        <v>#NAME?</v>
      </c>
      <c r="N111" s="5" t="str">
        <f t="shared" si="3"/>
        <v>Yes</v>
      </c>
      <c r="O111" s="7">
        <f t="shared" si="4"/>
        <v>4.2337962962962966E-2</v>
      </c>
    </row>
    <row r="112" spans="1:15" x14ac:dyDescent="0.25">
      <c r="A112" s="3" t="s">
        <v>85</v>
      </c>
      <c r="B112" s="3" t="s">
        <v>247</v>
      </c>
      <c r="C112" s="3" t="s">
        <v>16</v>
      </c>
      <c r="D112" s="3" t="s">
        <v>82</v>
      </c>
      <c r="E112" s="3" t="s">
        <v>87</v>
      </c>
      <c r="F112" s="3" t="s">
        <v>248</v>
      </c>
      <c r="G112" s="4">
        <v>45959</v>
      </c>
      <c r="H112" s="5">
        <f t="shared" si="0"/>
        <v>44</v>
      </c>
      <c r="I112" s="5">
        <f t="shared" si="1"/>
        <v>10</v>
      </c>
      <c r="J112" s="6">
        <f t="shared" si="2"/>
        <v>0.97466435185185185</v>
      </c>
      <c r="K112" s="5" t="str">
        <f t="shared" si="5"/>
        <v>(DS-IBBLR-Budhigere )</v>
      </c>
      <c r="L112" s="5" t="e">
        <f t="array" aca="1" ref="L112" ca="1">_xludf.XLOOKUP(E112,'[1]Migrated Societies Data'!C:C,'[1]Migrated Societies Data'!B:B)</f>
        <v>#NAME?</v>
      </c>
      <c r="M112" s="5" t="e">
        <f t="array" aca="1" ref="M112" ca="1">_xludf.XLOOKUP(E112,'[1]Migrated Societies Data'!C:C,'[1]Migrated Societies Data'!E:E)</f>
        <v>#NAME?</v>
      </c>
      <c r="N112" s="5" t="str">
        <f t="shared" si="3"/>
        <v>Yes</v>
      </c>
      <c r="O112" s="7">
        <f t="shared" si="4"/>
        <v>0.99549768518518522</v>
      </c>
    </row>
    <row r="113" spans="1:15" x14ac:dyDescent="0.25">
      <c r="A113" s="3" t="s">
        <v>14</v>
      </c>
      <c r="B113" s="3" t="s">
        <v>249</v>
      </c>
      <c r="C113" s="3" t="s">
        <v>16</v>
      </c>
      <c r="D113" s="3" t="s">
        <v>17</v>
      </c>
      <c r="E113" s="3" t="s">
        <v>18</v>
      </c>
      <c r="F113" s="3" t="s">
        <v>250</v>
      </c>
      <c r="G113" s="4">
        <v>45959</v>
      </c>
      <c r="H113" s="5">
        <f t="shared" si="0"/>
        <v>44</v>
      </c>
      <c r="I113" s="5">
        <f t="shared" si="1"/>
        <v>10</v>
      </c>
      <c r="J113" s="6">
        <f t="shared" si="2"/>
        <v>2.4872685185185185E-2</v>
      </c>
      <c r="K113" s="5" t="str">
        <f t="shared" si="5"/>
        <v>(DS-IBBLR-Peenya PH-3)</v>
      </c>
      <c r="L113" s="5" t="e">
        <f t="array" aca="1" ref="L113" ca="1">_xludf.XLOOKUP(E113,'[1]Migrated Societies Data'!C:C,'[1]Migrated Societies Data'!B:B)</f>
        <v>#NAME?</v>
      </c>
      <c r="M113" s="5" t="e">
        <f t="array" aca="1" ref="M113" ca="1">_xludf.XLOOKUP(E113,'[1]Migrated Societies Data'!C:C,'[1]Migrated Societies Data'!E:E)</f>
        <v>#NAME?</v>
      </c>
      <c r="N113" s="5" t="str">
        <f t="shared" si="3"/>
        <v>Yes</v>
      </c>
      <c r="O113" s="7">
        <f t="shared" si="4"/>
        <v>4.5706018518518521E-2</v>
      </c>
    </row>
    <row r="114" spans="1:15" x14ac:dyDescent="0.25">
      <c r="A114" s="3" t="s">
        <v>80</v>
      </c>
      <c r="B114" s="3" t="s">
        <v>251</v>
      </c>
      <c r="C114" s="3" t="s">
        <v>16</v>
      </c>
      <c r="D114" s="3" t="s">
        <v>82</v>
      </c>
      <c r="E114" s="3" t="s">
        <v>83</v>
      </c>
      <c r="F114" s="3" t="s">
        <v>252</v>
      </c>
      <c r="G114" s="4">
        <v>45960</v>
      </c>
      <c r="H114" s="5">
        <f t="shared" si="0"/>
        <v>44</v>
      </c>
      <c r="I114" s="5">
        <f t="shared" si="1"/>
        <v>10</v>
      </c>
      <c r="J114" s="6">
        <f t="shared" si="2"/>
        <v>5.5347222222222221E-2</v>
      </c>
      <c r="K114" s="5" t="str">
        <f t="shared" si="5"/>
        <v>(DS-IBBLR-Nagondanahalli )</v>
      </c>
      <c r="L114" s="5" t="e">
        <f t="array" aca="1" ref="L114" ca="1">_xludf.XLOOKUP(E114,'[1]Migrated Societies Data'!C:C,'[1]Migrated Societies Data'!B:B)</f>
        <v>#NAME?</v>
      </c>
      <c r="M114" s="5" t="e">
        <f t="array" aca="1" ref="M114" ca="1">_xludf.XLOOKUP(E114,'[1]Migrated Societies Data'!C:C,'[1]Migrated Societies Data'!E:E)</f>
        <v>#NAME?</v>
      </c>
      <c r="N114" s="5" t="str">
        <f t="shared" si="3"/>
        <v>Yes</v>
      </c>
      <c r="O114" s="7">
        <f t="shared" si="4"/>
        <v>7.6180555555555557E-2</v>
      </c>
    </row>
    <row r="115" spans="1:15" x14ac:dyDescent="0.25">
      <c r="A115" s="3" t="s">
        <v>85</v>
      </c>
      <c r="B115" s="3" t="s">
        <v>253</v>
      </c>
      <c r="C115" s="3" t="s">
        <v>16</v>
      </c>
      <c r="D115" s="3" t="s">
        <v>82</v>
      </c>
      <c r="E115" s="3" t="s">
        <v>87</v>
      </c>
      <c r="F115" s="3" t="s">
        <v>254</v>
      </c>
      <c r="G115" s="4">
        <v>45960</v>
      </c>
      <c r="H115" s="5">
        <f t="shared" si="0"/>
        <v>44</v>
      </c>
      <c r="I115" s="5">
        <f t="shared" si="1"/>
        <v>10</v>
      </c>
      <c r="J115" s="6">
        <f t="shared" si="2"/>
        <v>0.98427083333333332</v>
      </c>
      <c r="K115" s="5" t="str">
        <f t="shared" si="5"/>
        <v>(DS-IBBLR-Budhigere )</v>
      </c>
      <c r="L115" s="5" t="e">
        <f t="array" aca="1" ref="L115" ca="1">_xludf.XLOOKUP(E115,'[1]Migrated Societies Data'!C:C,'[1]Migrated Societies Data'!B:B)</f>
        <v>#NAME?</v>
      </c>
      <c r="M115" s="5" t="e">
        <f t="array" aca="1" ref="M115" ca="1">_xludf.XLOOKUP(E115,'[1]Migrated Societies Data'!C:C,'[1]Migrated Societies Data'!E:E)</f>
        <v>#NAME?</v>
      </c>
      <c r="N115" s="5" t="str">
        <f t="shared" si="3"/>
        <v>Yes</v>
      </c>
      <c r="O115" s="7">
        <f t="shared" si="4"/>
        <v>5.1041666666666874E-3</v>
      </c>
    </row>
    <row r="116" spans="1:15" x14ac:dyDescent="0.25">
      <c r="A116" s="3" t="s">
        <v>14</v>
      </c>
      <c r="B116" s="3" t="s">
        <v>255</v>
      </c>
      <c r="C116" s="3" t="s">
        <v>16</v>
      </c>
      <c r="D116" s="3" t="s">
        <v>17</v>
      </c>
      <c r="E116" s="3" t="s">
        <v>18</v>
      </c>
      <c r="F116" s="3" t="s">
        <v>256</v>
      </c>
      <c r="G116" s="4">
        <v>45960</v>
      </c>
      <c r="H116" s="5">
        <f t="shared" si="0"/>
        <v>44</v>
      </c>
      <c r="I116" s="5">
        <f t="shared" si="1"/>
        <v>10</v>
      </c>
      <c r="J116" s="6">
        <f t="shared" si="2"/>
        <v>4.085648148148148E-2</v>
      </c>
      <c r="K116" s="5" t="str">
        <f t="shared" si="5"/>
        <v>(DS-IBBLR-Peenya PH-3)</v>
      </c>
      <c r="L116" s="5" t="e">
        <f t="array" aca="1" ref="L116" ca="1">_xludf.XLOOKUP(E116,'[1]Migrated Societies Data'!C:C,'[1]Migrated Societies Data'!B:B)</f>
        <v>#NAME?</v>
      </c>
      <c r="M116" s="5" t="e">
        <f t="array" aca="1" ref="M116" ca="1">_xludf.XLOOKUP(E116,'[1]Migrated Societies Data'!C:C,'[1]Migrated Societies Data'!E:E)</f>
        <v>#NAME?</v>
      </c>
      <c r="N116" s="5" t="str">
        <f t="shared" si="3"/>
        <v>Yes</v>
      </c>
      <c r="O116" s="7">
        <f t="shared" si="4"/>
        <v>6.1689814814814808E-2</v>
      </c>
    </row>
    <row r="117" spans="1:15" x14ac:dyDescent="0.25">
      <c r="A117" s="3" t="s">
        <v>85</v>
      </c>
      <c r="B117" s="3" t="s">
        <v>257</v>
      </c>
      <c r="C117" s="3" t="s">
        <v>16</v>
      </c>
      <c r="D117" s="3" t="s">
        <v>82</v>
      </c>
      <c r="E117" s="3" t="s">
        <v>87</v>
      </c>
      <c r="F117" s="3" t="s">
        <v>258</v>
      </c>
      <c r="G117" s="4">
        <v>45961</v>
      </c>
      <c r="H117" s="5">
        <f t="shared" si="0"/>
        <v>44</v>
      </c>
      <c r="I117" s="5">
        <f t="shared" si="1"/>
        <v>10</v>
      </c>
      <c r="J117" s="6">
        <f t="shared" si="2"/>
        <v>6.3310185185185188E-3</v>
      </c>
      <c r="K117" s="5" t="str">
        <f t="shared" si="5"/>
        <v>(DS-IBBLR-Budhigere )</v>
      </c>
      <c r="L117" s="5" t="e">
        <f t="array" aca="1" ref="L117" ca="1">_xludf.XLOOKUP(E117,'[1]Migrated Societies Data'!C:C,'[1]Migrated Societies Data'!B:B)</f>
        <v>#NAME?</v>
      </c>
      <c r="M117" s="5" t="e">
        <f t="array" aca="1" ref="M117" ca="1">_xludf.XLOOKUP(E117,'[1]Migrated Societies Data'!C:C,'[1]Migrated Societies Data'!E:E)</f>
        <v>#NAME?</v>
      </c>
      <c r="N117" s="5" t="str">
        <f t="shared" si="3"/>
        <v>Yes</v>
      </c>
      <c r="O117" s="7">
        <f t="shared" si="4"/>
        <v>2.7164351851851849E-2</v>
      </c>
    </row>
    <row r="118" spans="1:15" x14ac:dyDescent="0.25">
      <c r="A118" s="3" t="s">
        <v>14</v>
      </c>
      <c r="B118" s="3" t="s">
        <v>259</v>
      </c>
      <c r="C118" s="3" t="s">
        <v>16</v>
      </c>
      <c r="D118" s="3" t="s">
        <v>17</v>
      </c>
      <c r="E118" s="3" t="s">
        <v>18</v>
      </c>
      <c r="F118" s="3" t="s">
        <v>260</v>
      </c>
      <c r="G118" s="4">
        <v>45961</v>
      </c>
      <c r="H118" s="5">
        <f t="shared" si="0"/>
        <v>44</v>
      </c>
      <c r="I118" s="5">
        <f t="shared" si="1"/>
        <v>10</v>
      </c>
      <c r="J118" s="6">
        <f t="shared" si="2"/>
        <v>4.0057870370370369E-2</v>
      </c>
      <c r="K118" s="5" t="str">
        <f t="shared" si="5"/>
        <v>(DS-IBBLR-Peenya PH-3)</v>
      </c>
      <c r="L118" s="5" t="e">
        <f t="array" aca="1" ref="L118" ca="1">_xludf.XLOOKUP(E118,'[1]Migrated Societies Data'!C:C,'[1]Migrated Societies Data'!B:B)</f>
        <v>#NAME?</v>
      </c>
      <c r="M118" s="5" t="e">
        <f t="array" aca="1" ref="M118" ca="1">_xludf.XLOOKUP(E118,'[1]Migrated Societies Data'!C:C,'[1]Migrated Societies Data'!E:E)</f>
        <v>#NAME?</v>
      </c>
      <c r="N118" s="5" t="str">
        <f t="shared" si="3"/>
        <v>Yes</v>
      </c>
      <c r="O118" s="7">
        <f t="shared" si="4"/>
        <v>6.0891203703703697E-2</v>
      </c>
    </row>
    <row r="119" spans="1:15" x14ac:dyDescent="0.25">
      <c r="A119" s="3" t="s">
        <v>80</v>
      </c>
      <c r="B119" s="3" t="s">
        <v>261</v>
      </c>
      <c r="C119" s="3" t="s">
        <v>16</v>
      </c>
      <c r="D119" s="3" t="s">
        <v>82</v>
      </c>
      <c r="E119" s="3" t="s">
        <v>83</v>
      </c>
      <c r="F119" s="3" t="s">
        <v>262</v>
      </c>
      <c r="G119" s="4">
        <v>45961</v>
      </c>
      <c r="H119" s="5">
        <f t="shared" si="0"/>
        <v>44</v>
      </c>
      <c r="I119" s="5">
        <f t="shared" si="1"/>
        <v>10</v>
      </c>
      <c r="J119" s="6">
        <f t="shared" si="2"/>
        <v>4.8576388888888891E-2</v>
      </c>
      <c r="K119" s="5" t="str">
        <f t="shared" si="5"/>
        <v>(DS-IBBLR-Nagondanahalli )</v>
      </c>
      <c r="L119" s="5" t="e">
        <f t="array" aca="1" ref="L119" ca="1">_xludf.XLOOKUP(E119,'[1]Migrated Societies Data'!C:C,'[1]Migrated Societies Data'!B:B)</f>
        <v>#NAME?</v>
      </c>
      <c r="M119" s="5" t="e">
        <f t="array" aca="1" ref="M119" ca="1">_xludf.XLOOKUP(E119,'[1]Migrated Societies Data'!C:C,'[1]Migrated Societies Data'!E:E)</f>
        <v>#NAME?</v>
      </c>
      <c r="N119" s="5" t="str">
        <f t="shared" si="3"/>
        <v>Yes</v>
      </c>
      <c r="O119" s="7">
        <f t="shared" si="4"/>
        <v>6.940972222222222E-2</v>
      </c>
    </row>
    <row r="120" spans="1:15" x14ac:dyDescent="0.25">
      <c r="A120" s="3" t="s">
        <v>80</v>
      </c>
      <c r="B120" s="3" t="s">
        <v>263</v>
      </c>
      <c r="C120" s="3" t="s">
        <v>16</v>
      </c>
      <c r="D120" s="3" t="s">
        <v>82</v>
      </c>
      <c r="E120" s="3" t="s">
        <v>83</v>
      </c>
      <c r="F120" s="3" t="s">
        <v>264</v>
      </c>
      <c r="G120" s="4">
        <v>45962</v>
      </c>
      <c r="H120" s="5">
        <f t="shared" si="0"/>
        <v>44</v>
      </c>
      <c r="I120" s="5">
        <f t="shared" si="1"/>
        <v>11</v>
      </c>
      <c r="J120" s="6">
        <f t="shared" si="2"/>
        <v>7.6967592592592587E-2</v>
      </c>
      <c r="K120" s="5" t="str">
        <f t="shared" si="5"/>
        <v>(DS-IBBLR-Nagondanahalli )</v>
      </c>
      <c r="L120" s="5" t="e">
        <f t="array" aca="1" ref="L120" ca="1">_xludf.XLOOKUP(E120,'[1]Migrated Societies Data'!C:C,'[1]Migrated Societies Data'!B:B)</f>
        <v>#NAME?</v>
      </c>
      <c r="M120" s="5" t="e">
        <f t="array" aca="1" ref="M120" ca="1">_xludf.XLOOKUP(E120,'[1]Migrated Societies Data'!C:C,'[1]Migrated Societies Data'!E:E)</f>
        <v>#NAME?</v>
      </c>
      <c r="N120" s="5" t="str">
        <f t="shared" si="3"/>
        <v>Yes</v>
      </c>
      <c r="O120" s="7">
        <f t="shared" si="4"/>
        <v>9.7800925925925916E-2</v>
      </c>
    </row>
    <row r="121" spans="1:15" x14ac:dyDescent="0.25">
      <c r="A121" s="3" t="s">
        <v>85</v>
      </c>
      <c r="B121" s="3" t="s">
        <v>265</v>
      </c>
      <c r="C121" s="3" t="s">
        <v>16</v>
      </c>
      <c r="D121" s="3" t="s">
        <v>82</v>
      </c>
      <c r="E121" s="3" t="s">
        <v>87</v>
      </c>
      <c r="F121" s="3" t="s">
        <v>266</v>
      </c>
      <c r="G121" s="4">
        <v>45962</v>
      </c>
      <c r="H121" s="5">
        <f t="shared" si="0"/>
        <v>44</v>
      </c>
      <c r="I121" s="5">
        <f t="shared" si="1"/>
        <v>11</v>
      </c>
      <c r="J121" s="6">
        <f t="shared" si="2"/>
        <v>0.9762615740740741</v>
      </c>
      <c r="K121" s="5" t="str">
        <f t="shared" si="5"/>
        <v>(DS-IBBLR-Budhigere )</v>
      </c>
      <c r="L121" s="5" t="e">
        <f t="array" aca="1" ref="L121" ca="1">_xludf.XLOOKUP(E121,'[1]Migrated Societies Data'!C:C,'[1]Migrated Societies Data'!B:B)</f>
        <v>#NAME?</v>
      </c>
      <c r="M121" s="5" t="e">
        <f t="array" aca="1" ref="M121" ca="1">_xludf.XLOOKUP(E121,'[1]Migrated Societies Data'!C:C,'[1]Migrated Societies Data'!E:E)</f>
        <v>#NAME?</v>
      </c>
      <c r="N121" s="5" t="str">
        <f t="shared" si="3"/>
        <v>Yes</v>
      </c>
      <c r="O121" s="7">
        <f t="shared" si="4"/>
        <v>0.99709490740740747</v>
      </c>
    </row>
    <row r="122" spans="1:15" x14ac:dyDescent="0.25">
      <c r="A122" s="3" t="s">
        <v>14</v>
      </c>
      <c r="B122" s="3" t="s">
        <v>267</v>
      </c>
      <c r="C122" s="3" t="s">
        <v>16</v>
      </c>
      <c r="D122" s="3" t="s">
        <v>17</v>
      </c>
      <c r="E122" s="3" t="s">
        <v>18</v>
      </c>
      <c r="F122" s="3" t="s">
        <v>268</v>
      </c>
      <c r="G122" s="4">
        <v>45962</v>
      </c>
      <c r="H122" s="5">
        <f t="shared" si="0"/>
        <v>44</v>
      </c>
      <c r="I122" s="5">
        <f t="shared" si="1"/>
        <v>11</v>
      </c>
      <c r="J122" s="6">
        <f t="shared" si="2"/>
        <v>5.3321759259259256E-2</v>
      </c>
      <c r="K122" s="5" t="str">
        <f t="shared" si="5"/>
        <v>(DS-IBBLR-Peenya PH-3)</v>
      </c>
      <c r="L122" s="5" t="e">
        <f t="array" aca="1" ref="L122" ca="1">_xludf.XLOOKUP(E122,'[1]Migrated Societies Data'!C:C,'[1]Migrated Societies Data'!B:B)</f>
        <v>#NAME?</v>
      </c>
      <c r="M122" s="5" t="e">
        <f t="array" aca="1" ref="M122" ca="1">_xludf.XLOOKUP(E122,'[1]Migrated Societies Data'!C:C,'[1]Migrated Societies Data'!E:E)</f>
        <v>#NAME?</v>
      </c>
      <c r="N122" s="5" t="str">
        <f t="shared" si="3"/>
        <v>Yes</v>
      </c>
      <c r="O122" s="7">
        <f t="shared" si="4"/>
        <v>7.4155092592592592E-2</v>
      </c>
    </row>
    <row r="123" spans="1:15" x14ac:dyDescent="0.25">
      <c r="A123" s="3" t="s">
        <v>80</v>
      </c>
      <c r="B123" s="3" t="s">
        <v>269</v>
      </c>
      <c r="C123" s="3" t="s">
        <v>16</v>
      </c>
      <c r="D123" s="3" t="s">
        <v>82</v>
      </c>
      <c r="E123" s="3" t="s">
        <v>83</v>
      </c>
      <c r="F123" s="3" t="s">
        <v>270</v>
      </c>
      <c r="G123" s="4">
        <v>45963</v>
      </c>
      <c r="H123" s="5">
        <f t="shared" si="0"/>
        <v>44</v>
      </c>
      <c r="I123" s="5">
        <f t="shared" si="1"/>
        <v>11</v>
      </c>
      <c r="J123" s="6">
        <f t="shared" si="2"/>
        <v>5.7662037037037039E-2</v>
      </c>
      <c r="K123" s="5" t="str">
        <f t="shared" si="5"/>
        <v>(DS-IBBLR-Nagondanahalli )</v>
      </c>
      <c r="L123" s="5" t="e">
        <f t="array" aca="1" ref="L123" ca="1">_xludf.XLOOKUP(E123,'[1]Migrated Societies Data'!C:C,'[1]Migrated Societies Data'!B:B)</f>
        <v>#NAME?</v>
      </c>
      <c r="M123" s="5" t="e">
        <f t="array" aca="1" ref="M123" ca="1">_xludf.XLOOKUP(E123,'[1]Migrated Societies Data'!C:C,'[1]Migrated Societies Data'!E:E)</f>
        <v>#NAME?</v>
      </c>
      <c r="N123" s="5" t="str">
        <f t="shared" si="3"/>
        <v>Yes</v>
      </c>
      <c r="O123" s="7">
        <f t="shared" si="4"/>
        <v>7.8495370370370368E-2</v>
      </c>
    </row>
    <row r="124" spans="1:15" x14ac:dyDescent="0.25">
      <c r="A124" s="3" t="s">
        <v>85</v>
      </c>
      <c r="B124" s="3" t="s">
        <v>271</v>
      </c>
      <c r="C124" s="3" t="s">
        <v>16</v>
      </c>
      <c r="D124" s="3" t="s">
        <v>82</v>
      </c>
      <c r="E124" s="3" t="s">
        <v>87</v>
      </c>
      <c r="F124" s="3" t="s">
        <v>272</v>
      </c>
      <c r="G124" s="4">
        <v>45963</v>
      </c>
      <c r="H124" s="5">
        <f t="shared" si="0"/>
        <v>44</v>
      </c>
      <c r="I124" s="5">
        <f t="shared" si="1"/>
        <v>11</v>
      </c>
      <c r="J124" s="6">
        <f t="shared" si="2"/>
        <v>0.97856481481481483</v>
      </c>
      <c r="K124" s="5" t="str">
        <f t="shared" si="5"/>
        <v>(DS-IBBLR-Budhigere )</v>
      </c>
      <c r="L124" s="5" t="e">
        <f t="array" aca="1" ref="L124" ca="1">_xludf.XLOOKUP(E124,'[1]Migrated Societies Data'!C:C,'[1]Migrated Societies Data'!B:B)</f>
        <v>#NAME?</v>
      </c>
      <c r="M124" s="5" t="e">
        <f t="array" aca="1" ref="M124" ca="1">_xludf.XLOOKUP(E124,'[1]Migrated Societies Data'!C:C,'[1]Migrated Societies Data'!E:E)</f>
        <v>#NAME?</v>
      </c>
      <c r="N124" s="5" t="str">
        <f t="shared" si="3"/>
        <v>Yes</v>
      </c>
      <c r="O124" s="7">
        <f t="shared" si="4"/>
        <v>0.9993981481481482</v>
      </c>
    </row>
    <row r="125" spans="1:15" x14ac:dyDescent="0.25">
      <c r="A125" s="3" t="s">
        <v>14</v>
      </c>
      <c r="B125" s="3" t="s">
        <v>273</v>
      </c>
      <c r="C125" s="3" t="s">
        <v>16</v>
      </c>
      <c r="D125" s="3" t="s">
        <v>17</v>
      </c>
      <c r="E125" s="3" t="s">
        <v>18</v>
      </c>
      <c r="F125" s="3" t="s">
        <v>274</v>
      </c>
      <c r="G125" s="4">
        <v>45963</v>
      </c>
      <c r="H125" s="5">
        <f t="shared" si="0"/>
        <v>44</v>
      </c>
      <c r="I125" s="5">
        <f t="shared" si="1"/>
        <v>11</v>
      </c>
      <c r="J125" s="6">
        <f t="shared" si="2"/>
        <v>3.2083333333333332E-2</v>
      </c>
      <c r="K125" s="5" t="str">
        <f t="shared" si="5"/>
        <v>(DS-IBBLR-Peenya PH-3)</v>
      </c>
      <c r="L125" s="5" t="e">
        <f t="array" aca="1" ref="L125" ca="1">_xludf.XLOOKUP(E125,'[1]Migrated Societies Data'!C:C,'[1]Migrated Societies Data'!B:B)</f>
        <v>#NAME?</v>
      </c>
      <c r="M125" s="5" t="e">
        <f t="array" aca="1" ref="M125" ca="1">_xludf.XLOOKUP(E125,'[1]Migrated Societies Data'!C:C,'[1]Migrated Societies Data'!E:E)</f>
        <v>#NAME?</v>
      </c>
      <c r="N125" s="5" t="str">
        <f t="shared" si="3"/>
        <v>Yes</v>
      </c>
      <c r="O125" s="7">
        <f t="shared" si="4"/>
        <v>5.2916666666666667E-2</v>
      </c>
    </row>
    <row r="126" spans="1:15" x14ac:dyDescent="0.25">
      <c r="A126" s="3" t="s">
        <v>14</v>
      </c>
      <c r="B126" s="3" t="s">
        <v>275</v>
      </c>
      <c r="C126" s="3" t="s">
        <v>16</v>
      </c>
      <c r="D126" s="3" t="s">
        <v>17</v>
      </c>
      <c r="E126" s="3" t="s">
        <v>18</v>
      </c>
      <c r="F126" s="3" t="s">
        <v>276</v>
      </c>
      <c r="G126" s="4">
        <v>45963</v>
      </c>
      <c r="H126" s="5">
        <f t="shared" si="0"/>
        <v>44</v>
      </c>
      <c r="I126" s="5">
        <f t="shared" si="1"/>
        <v>11</v>
      </c>
      <c r="J126" s="6">
        <f t="shared" si="2"/>
        <v>5.3263888888888888E-2</v>
      </c>
      <c r="K126" s="5" t="str">
        <f t="shared" si="5"/>
        <v>(DS-IBBLR-Peenya PH-3)</v>
      </c>
      <c r="L126" s="5" t="e">
        <f t="array" aca="1" ref="L126" ca="1">_xludf.XLOOKUP(E126,'[1]Migrated Societies Data'!C:C,'[1]Migrated Societies Data'!B:B)</f>
        <v>#NAME?</v>
      </c>
      <c r="M126" s="5" t="e">
        <f t="array" aca="1" ref="M126" ca="1">_xludf.XLOOKUP(E126,'[1]Migrated Societies Data'!C:C,'[1]Migrated Societies Data'!E:E)</f>
        <v>#NAME?</v>
      </c>
      <c r="N126" s="5" t="str">
        <f t="shared" si="3"/>
        <v>Yes</v>
      </c>
      <c r="O126" s="7">
        <f t="shared" si="4"/>
        <v>7.4097222222222217E-2</v>
      </c>
    </row>
    <row r="127" spans="1:15" x14ac:dyDescent="0.25">
      <c r="A127" s="3" t="s">
        <v>80</v>
      </c>
      <c r="B127" s="3" t="s">
        <v>277</v>
      </c>
      <c r="C127" s="3" t="s">
        <v>16</v>
      </c>
      <c r="D127" s="3" t="s">
        <v>82</v>
      </c>
      <c r="E127" s="3" t="s">
        <v>83</v>
      </c>
      <c r="F127" s="3" t="s">
        <v>278</v>
      </c>
      <c r="G127" s="4">
        <v>45964</v>
      </c>
      <c r="H127" s="5">
        <f t="shared" si="0"/>
        <v>45</v>
      </c>
      <c r="I127" s="5">
        <f t="shared" si="1"/>
        <v>11</v>
      </c>
      <c r="J127" s="6">
        <f t="shared" si="2"/>
        <v>6.1342592592592594E-2</v>
      </c>
      <c r="K127" s="5" t="str">
        <f t="shared" si="5"/>
        <v>(DS-IBBLR-Nagondanahalli )</v>
      </c>
      <c r="L127" s="5" t="e">
        <f t="array" aca="1" ref="L127" ca="1">_xludf.XLOOKUP(E127,'[1]Migrated Societies Data'!C:C,'[1]Migrated Societies Data'!B:B)</f>
        <v>#NAME?</v>
      </c>
      <c r="M127" s="5" t="e">
        <f t="array" aca="1" ref="M127" ca="1">_xludf.XLOOKUP(E127,'[1]Migrated Societies Data'!C:C,'[1]Migrated Societies Data'!E:E)</f>
        <v>#NAME?</v>
      </c>
      <c r="N127" s="5" t="str">
        <f t="shared" si="3"/>
        <v>Yes</v>
      </c>
      <c r="O127" s="7">
        <f t="shared" si="4"/>
        <v>8.217592592592593E-2</v>
      </c>
    </row>
    <row r="128" spans="1:15" x14ac:dyDescent="0.25">
      <c r="A128" s="3" t="s">
        <v>85</v>
      </c>
      <c r="B128" s="3" t="s">
        <v>279</v>
      </c>
      <c r="C128" s="3" t="s">
        <v>16</v>
      </c>
      <c r="D128" s="3" t="s">
        <v>82</v>
      </c>
      <c r="E128" s="3" t="s">
        <v>87</v>
      </c>
      <c r="F128" s="3" t="s">
        <v>280</v>
      </c>
      <c r="G128" s="4">
        <v>45964</v>
      </c>
      <c r="H128" s="5">
        <f t="shared" si="0"/>
        <v>45</v>
      </c>
      <c r="I128" s="5">
        <f t="shared" si="1"/>
        <v>11</v>
      </c>
      <c r="J128" s="6">
        <f t="shared" si="2"/>
        <v>0.98760416666666662</v>
      </c>
      <c r="K128" s="5" t="str">
        <f t="shared" si="5"/>
        <v>(DS-IBBLR-Budhigere )</v>
      </c>
      <c r="L128" s="5" t="e">
        <f t="array" aca="1" ref="L128" ca="1">_xludf.XLOOKUP(E128,'[1]Migrated Societies Data'!C:C,'[1]Migrated Societies Data'!B:B)</f>
        <v>#NAME?</v>
      </c>
      <c r="M128" s="5" t="e">
        <f t="array" aca="1" ref="M128" ca="1">_xludf.XLOOKUP(E128,'[1]Migrated Societies Data'!C:C,'[1]Migrated Societies Data'!E:E)</f>
        <v>#NAME?</v>
      </c>
      <c r="N128" s="5" t="str">
        <f t="shared" si="3"/>
        <v>Yes</v>
      </c>
      <c r="O128" s="7">
        <f t="shared" si="4"/>
        <v>8.4374999999998757E-3</v>
      </c>
    </row>
    <row r="129" spans="1:15" x14ac:dyDescent="0.25">
      <c r="A129" s="3" t="s">
        <v>14</v>
      </c>
      <c r="B129" s="3" t="s">
        <v>281</v>
      </c>
      <c r="C129" s="3" t="s">
        <v>16</v>
      </c>
      <c r="D129" s="3" t="s">
        <v>17</v>
      </c>
      <c r="E129" s="3" t="s">
        <v>18</v>
      </c>
      <c r="F129" s="3" t="s">
        <v>282</v>
      </c>
      <c r="G129" s="4">
        <v>45964</v>
      </c>
      <c r="H129" s="5">
        <f t="shared" si="0"/>
        <v>45</v>
      </c>
      <c r="I129" s="5">
        <f t="shared" si="1"/>
        <v>11</v>
      </c>
      <c r="J129" s="6">
        <f t="shared" si="2"/>
        <v>7.2685185185185188E-3</v>
      </c>
      <c r="K129" s="5" t="str">
        <f t="shared" si="5"/>
        <v>(DS-IBBLR-Peenya PH-3)</v>
      </c>
      <c r="L129" s="5" t="e">
        <f t="array" aca="1" ref="L129" ca="1">_xludf.XLOOKUP(E129,'[1]Migrated Societies Data'!C:C,'[1]Migrated Societies Data'!B:B)</f>
        <v>#NAME?</v>
      </c>
      <c r="M129" s="5" t="e">
        <f t="array" aca="1" ref="M129" ca="1">_xludf.XLOOKUP(E129,'[1]Migrated Societies Data'!C:C,'[1]Migrated Societies Data'!E:E)</f>
        <v>#NAME?</v>
      </c>
      <c r="N129" s="5" t="str">
        <f t="shared" si="3"/>
        <v>Yes</v>
      </c>
      <c r="O129" s="7">
        <f t="shared" si="4"/>
        <v>2.810185185185185E-2</v>
      </c>
    </row>
    <row r="130" spans="1:15" x14ac:dyDescent="0.25">
      <c r="A130" s="3" t="s">
        <v>80</v>
      </c>
      <c r="B130" s="3" t="s">
        <v>283</v>
      </c>
      <c r="C130" s="3" t="s">
        <v>16</v>
      </c>
      <c r="D130" s="3" t="s">
        <v>82</v>
      </c>
      <c r="E130" s="3" t="s">
        <v>83</v>
      </c>
      <c r="F130" s="3" t="s">
        <v>284</v>
      </c>
      <c r="G130" s="4">
        <v>45965</v>
      </c>
      <c r="H130" s="5">
        <f t="shared" si="0"/>
        <v>45</v>
      </c>
      <c r="I130" s="5">
        <f t="shared" si="1"/>
        <v>11</v>
      </c>
      <c r="J130" s="6">
        <f t="shared" si="2"/>
        <v>2.5810185185185186E-2</v>
      </c>
      <c r="K130" s="5" t="str">
        <f t="shared" si="5"/>
        <v>(DS-IBBLR-Nagondanahalli )</v>
      </c>
      <c r="L130" s="5" t="e">
        <f t="array" aca="1" ref="L130" ca="1">_xludf.XLOOKUP(E130,'[1]Migrated Societies Data'!C:C,'[1]Migrated Societies Data'!B:B)</f>
        <v>#NAME?</v>
      </c>
      <c r="M130" s="5" t="e">
        <f t="array" aca="1" ref="M130" ca="1">_xludf.XLOOKUP(E130,'[1]Migrated Societies Data'!C:C,'[1]Migrated Societies Data'!E:E)</f>
        <v>#NAME?</v>
      </c>
      <c r="N130" s="5" t="str">
        <f t="shared" si="3"/>
        <v>Yes</v>
      </c>
      <c r="O130" s="7">
        <f t="shared" si="4"/>
        <v>4.6643518518518515E-2</v>
      </c>
    </row>
    <row r="131" spans="1:15" x14ac:dyDescent="0.25">
      <c r="A131" s="3" t="s">
        <v>85</v>
      </c>
      <c r="B131" s="3" t="s">
        <v>285</v>
      </c>
      <c r="C131" s="3" t="s">
        <v>16</v>
      </c>
      <c r="D131" s="3" t="s">
        <v>82</v>
      </c>
      <c r="E131" s="3" t="s">
        <v>87</v>
      </c>
      <c r="F131" s="3" t="s">
        <v>286</v>
      </c>
      <c r="G131" s="4">
        <v>45965</v>
      </c>
      <c r="H131" s="5">
        <f t="shared" si="0"/>
        <v>45</v>
      </c>
      <c r="I131" s="5">
        <f t="shared" si="1"/>
        <v>11</v>
      </c>
      <c r="J131" s="6">
        <f t="shared" si="2"/>
        <v>0.99506944444444445</v>
      </c>
      <c r="K131" s="5" t="str">
        <f t="shared" si="5"/>
        <v>(DS-IBBLR-Budhigere )</v>
      </c>
      <c r="L131" s="5" t="e">
        <f t="array" aca="1" ref="L131" ca="1">_xludf.XLOOKUP(E131,'[1]Migrated Societies Data'!C:C,'[1]Migrated Societies Data'!B:B)</f>
        <v>#NAME?</v>
      </c>
      <c r="M131" s="5" t="e">
        <f t="array" aca="1" ref="M131" ca="1">_xludf.XLOOKUP(E131,'[1]Migrated Societies Data'!C:C,'[1]Migrated Societies Data'!E:E)</f>
        <v>#NAME?</v>
      </c>
      <c r="N131" s="5" t="str">
        <f t="shared" si="3"/>
        <v>Yes</v>
      </c>
      <c r="O131" s="7">
        <f t="shared" si="4"/>
        <v>1.5902777777777821E-2</v>
      </c>
    </row>
    <row r="132" spans="1:15" x14ac:dyDescent="0.25">
      <c r="A132" s="3" t="s">
        <v>14</v>
      </c>
      <c r="B132" s="3" t="s">
        <v>287</v>
      </c>
      <c r="C132" s="3" t="s">
        <v>16</v>
      </c>
      <c r="D132" s="3" t="s">
        <v>17</v>
      </c>
      <c r="E132" s="3" t="s">
        <v>18</v>
      </c>
      <c r="F132" s="3" t="s">
        <v>288</v>
      </c>
      <c r="G132" s="4">
        <v>45965</v>
      </c>
      <c r="H132" s="5">
        <f t="shared" si="0"/>
        <v>45</v>
      </c>
      <c r="I132" s="5">
        <f t="shared" si="1"/>
        <v>11</v>
      </c>
      <c r="J132" s="6">
        <f t="shared" si="2"/>
        <v>2.8391203703703703E-2</v>
      </c>
      <c r="K132" s="5" t="str">
        <f t="shared" si="5"/>
        <v>(DS-IBBLR-Peenya PH-3)</v>
      </c>
      <c r="L132" s="5" t="e">
        <f t="array" aca="1" ref="L132" ca="1">_xludf.XLOOKUP(E132,'[1]Migrated Societies Data'!C:C,'[1]Migrated Societies Data'!B:B)</f>
        <v>#NAME?</v>
      </c>
      <c r="M132" s="5" t="e">
        <f t="array" aca="1" ref="M132" ca="1">_xludf.XLOOKUP(E132,'[1]Migrated Societies Data'!C:C,'[1]Migrated Societies Data'!E:E)</f>
        <v>#NAME?</v>
      </c>
      <c r="N132" s="5" t="str">
        <f t="shared" si="3"/>
        <v>Yes</v>
      </c>
      <c r="O132" s="7">
        <f t="shared" si="4"/>
        <v>4.9224537037037039E-2</v>
      </c>
    </row>
    <row r="133" spans="1:15" x14ac:dyDescent="0.25">
      <c r="A133" s="3" t="s">
        <v>85</v>
      </c>
      <c r="B133" s="3" t="s">
        <v>289</v>
      </c>
      <c r="C133" s="3" t="s">
        <v>16</v>
      </c>
      <c r="D133" s="3" t="s">
        <v>82</v>
      </c>
      <c r="E133" s="3" t="s">
        <v>87</v>
      </c>
      <c r="F133" s="3" t="s">
        <v>290</v>
      </c>
      <c r="G133" s="4">
        <v>45966</v>
      </c>
      <c r="H133" s="5">
        <f t="shared" si="0"/>
        <v>45</v>
      </c>
      <c r="I133" s="5">
        <f t="shared" si="1"/>
        <v>11</v>
      </c>
      <c r="J133" s="6">
        <f t="shared" si="2"/>
        <v>0.98053240740740744</v>
      </c>
      <c r="K133" s="5" t="str">
        <f t="shared" si="5"/>
        <v>(DS-IBBLR-Budhigere )</v>
      </c>
      <c r="L133" s="5" t="e">
        <f t="array" aca="1" ref="L133" ca="1">_xludf.XLOOKUP(E133,'[1]Migrated Societies Data'!C:C,'[1]Migrated Societies Data'!B:B)</f>
        <v>#NAME?</v>
      </c>
      <c r="M133" s="5" t="e">
        <f t="array" aca="1" ref="M133" ca="1">_xludf.XLOOKUP(E133,'[1]Migrated Societies Data'!C:C,'[1]Migrated Societies Data'!E:E)</f>
        <v>#NAME?</v>
      </c>
      <c r="N133" s="5" t="str">
        <f t="shared" si="3"/>
        <v>Yes</v>
      </c>
      <c r="O133" s="7">
        <f t="shared" si="4"/>
        <v>1.3657407407408062E-3</v>
      </c>
    </row>
    <row r="134" spans="1:15" x14ac:dyDescent="0.25">
      <c r="A134" s="3" t="s">
        <v>80</v>
      </c>
      <c r="B134" s="3" t="s">
        <v>291</v>
      </c>
      <c r="C134" s="3" t="s">
        <v>16</v>
      </c>
      <c r="D134" s="3" t="s">
        <v>82</v>
      </c>
      <c r="E134" s="3" t="s">
        <v>83</v>
      </c>
      <c r="F134" s="3" t="s">
        <v>292</v>
      </c>
      <c r="G134" s="4">
        <v>45966</v>
      </c>
      <c r="H134" s="5">
        <f t="shared" si="0"/>
        <v>45</v>
      </c>
      <c r="I134" s="5">
        <f t="shared" si="1"/>
        <v>11</v>
      </c>
      <c r="J134" s="6">
        <f t="shared" si="2"/>
        <v>3.3530092592592591E-2</v>
      </c>
      <c r="K134" s="5" t="str">
        <f t="shared" si="5"/>
        <v>(DS-IBBLR-Nagondanahalli )</v>
      </c>
      <c r="L134" s="5" t="e">
        <f t="array" aca="1" ref="L134" ca="1">_xludf.XLOOKUP(E134,'[1]Migrated Societies Data'!C:C,'[1]Migrated Societies Data'!B:B)</f>
        <v>#NAME?</v>
      </c>
      <c r="M134" s="5" t="e">
        <f t="array" aca="1" ref="M134" ca="1">_xludf.XLOOKUP(E134,'[1]Migrated Societies Data'!C:C,'[1]Migrated Societies Data'!E:E)</f>
        <v>#NAME?</v>
      </c>
      <c r="N134" s="5" t="str">
        <f t="shared" si="3"/>
        <v>Yes</v>
      </c>
      <c r="O134" s="7">
        <f t="shared" si="4"/>
        <v>5.4363425925925926E-2</v>
      </c>
    </row>
    <row r="135" spans="1:15" x14ac:dyDescent="0.25">
      <c r="A135" s="3" t="s">
        <v>14</v>
      </c>
      <c r="B135" s="3" t="s">
        <v>293</v>
      </c>
      <c r="C135" s="3" t="s">
        <v>16</v>
      </c>
      <c r="D135" s="3" t="s">
        <v>17</v>
      </c>
      <c r="E135" s="3" t="s">
        <v>18</v>
      </c>
      <c r="F135" s="3" t="s">
        <v>294</v>
      </c>
      <c r="G135" s="4">
        <v>45966</v>
      </c>
      <c r="H135" s="5">
        <f t="shared" si="0"/>
        <v>45</v>
      </c>
      <c r="I135" s="5">
        <f t="shared" si="1"/>
        <v>11</v>
      </c>
      <c r="J135" s="6">
        <f t="shared" si="2"/>
        <v>1.4004629629629629E-3</v>
      </c>
      <c r="K135" s="5" t="str">
        <f t="shared" si="5"/>
        <v>(DS-IBBLR-Peenya PH-3)</v>
      </c>
      <c r="L135" s="5" t="e">
        <f t="array" aca="1" ref="L135" ca="1">_xludf.XLOOKUP(E135,'[1]Migrated Societies Data'!C:C,'[1]Migrated Societies Data'!B:B)</f>
        <v>#NAME?</v>
      </c>
      <c r="M135" s="5" t="e">
        <f t="array" aca="1" ref="M135" ca="1">_xludf.XLOOKUP(E135,'[1]Migrated Societies Data'!C:C,'[1]Migrated Societies Data'!E:E)</f>
        <v>#NAME?</v>
      </c>
      <c r="N135" s="5" t="str">
        <f t="shared" si="3"/>
        <v>Yes</v>
      </c>
      <c r="O135" s="7">
        <f t="shared" si="4"/>
        <v>2.2233796296296297E-2</v>
      </c>
    </row>
    <row r="136" spans="1:15" x14ac:dyDescent="0.25">
      <c r="A136" s="3" t="s">
        <v>80</v>
      </c>
      <c r="B136" s="3" t="s">
        <v>295</v>
      </c>
      <c r="C136" s="3" t="s">
        <v>16</v>
      </c>
      <c r="D136" s="3" t="s">
        <v>82</v>
      </c>
      <c r="E136" s="3" t="s">
        <v>83</v>
      </c>
      <c r="F136" s="3" t="s">
        <v>296</v>
      </c>
      <c r="G136" s="4">
        <v>45967</v>
      </c>
      <c r="H136" s="5">
        <f t="shared" si="0"/>
        <v>45</v>
      </c>
      <c r="I136" s="5">
        <f t="shared" si="1"/>
        <v>11</v>
      </c>
      <c r="J136" s="6">
        <f t="shared" si="2"/>
        <v>3.1087962962962963E-2</v>
      </c>
      <c r="K136" s="5" t="str">
        <f t="shared" si="5"/>
        <v>(DS-IBBLR-Nagondanahalli )</v>
      </c>
      <c r="L136" s="5" t="e">
        <f t="array" aca="1" ref="L136" ca="1">_xludf.XLOOKUP(E136,'[1]Migrated Societies Data'!C:C,'[1]Migrated Societies Data'!B:B)</f>
        <v>#NAME?</v>
      </c>
      <c r="M136" s="5" t="e">
        <f t="array" aca="1" ref="M136" ca="1">_xludf.XLOOKUP(E136,'[1]Migrated Societies Data'!C:C,'[1]Migrated Societies Data'!E:E)</f>
        <v>#NAME?</v>
      </c>
      <c r="N136" s="5" t="str">
        <f t="shared" si="3"/>
        <v>Yes</v>
      </c>
      <c r="O136" s="7">
        <f t="shared" si="4"/>
        <v>5.1921296296296299E-2</v>
      </c>
    </row>
    <row r="137" spans="1:15" x14ac:dyDescent="0.25">
      <c r="A137" s="3" t="s">
        <v>85</v>
      </c>
      <c r="B137" s="3" t="s">
        <v>297</v>
      </c>
      <c r="C137" s="3" t="s">
        <v>16</v>
      </c>
      <c r="D137" s="3" t="s">
        <v>82</v>
      </c>
      <c r="E137" s="3" t="s">
        <v>87</v>
      </c>
      <c r="F137" s="3" t="s">
        <v>298</v>
      </c>
      <c r="G137" s="4">
        <v>45967</v>
      </c>
      <c r="H137" s="5">
        <f t="shared" si="0"/>
        <v>45</v>
      </c>
      <c r="I137" s="5">
        <f t="shared" si="1"/>
        <v>11</v>
      </c>
      <c r="J137" s="6">
        <f t="shared" si="2"/>
        <v>0.99376157407407406</v>
      </c>
      <c r="K137" s="5" t="str">
        <f t="shared" si="5"/>
        <v>(DS-IBBLR-Budhigere )</v>
      </c>
      <c r="L137" s="5" t="e">
        <f t="array" aca="1" ref="L137" ca="1">_xludf.XLOOKUP(E137,'[1]Migrated Societies Data'!C:C,'[1]Migrated Societies Data'!B:B)</f>
        <v>#NAME?</v>
      </c>
      <c r="M137" s="5" t="e">
        <f t="array" aca="1" ref="M137" ca="1">_xludf.XLOOKUP(E137,'[1]Migrated Societies Data'!C:C,'[1]Migrated Societies Data'!E:E)</f>
        <v>#NAME?</v>
      </c>
      <c r="N137" s="5" t="str">
        <f t="shared" si="3"/>
        <v>Yes</v>
      </c>
      <c r="O137" s="7">
        <f t="shared" si="4"/>
        <v>1.4594907407407431E-2</v>
      </c>
    </row>
    <row r="138" spans="1:15" x14ac:dyDescent="0.25">
      <c r="A138" s="3" t="s">
        <v>14</v>
      </c>
      <c r="B138" s="3" t="s">
        <v>299</v>
      </c>
      <c r="C138" s="3" t="s">
        <v>16</v>
      </c>
      <c r="D138" s="3" t="s">
        <v>17</v>
      </c>
      <c r="E138" s="3" t="s">
        <v>18</v>
      </c>
      <c r="F138" s="3" t="s">
        <v>300</v>
      </c>
      <c r="G138" s="4">
        <v>45967</v>
      </c>
      <c r="H138" s="5">
        <f t="shared" si="0"/>
        <v>45</v>
      </c>
      <c r="I138" s="5">
        <f t="shared" si="1"/>
        <v>11</v>
      </c>
      <c r="J138" s="6">
        <f t="shared" si="2"/>
        <v>3.2673611111111112E-2</v>
      </c>
      <c r="K138" s="5" t="str">
        <f t="shared" si="5"/>
        <v>(DS-IBBLR-Peenya PH-3)</v>
      </c>
      <c r="L138" s="5" t="e">
        <f t="array" aca="1" ref="L138" ca="1">_xludf.XLOOKUP(E138,'[1]Migrated Societies Data'!C:C,'[1]Migrated Societies Data'!B:B)</f>
        <v>#NAME?</v>
      </c>
      <c r="M138" s="5" t="e">
        <f t="array" aca="1" ref="M138" ca="1">_xludf.XLOOKUP(E138,'[1]Migrated Societies Data'!C:C,'[1]Migrated Societies Data'!E:E)</f>
        <v>#NAME?</v>
      </c>
      <c r="N138" s="5" t="str">
        <f t="shared" si="3"/>
        <v>Yes</v>
      </c>
      <c r="O138" s="7">
        <f t="shared" si="4"/>
        <v>5.350694444444444E-2</v>
      </c>
    </row>
    <row r="139" spans="1:15" x14ac:dyDescent="0.25">
      <c r="A139" s="3" t="s">
        <v>80</v>
      </c>
      <c r="B139" s="3" t="s">
        <v>301</v>
      </c>
      <c r="C139" s="3" t="s">
        <v>16</v>
      </c>
      <c r="D139" s="3" t="s">
        <v>82</v>
      </c>
      <c r="E139" s="3" t="s">
        <v>83</v>
      </c>
      <c r="F139" s="3" t="s">
        <v>302</v>
      </c>
      <c r="G139" s="4">
        <v>45968</v>
      </c>
      <c r="H139" s="5">
        <f t="shared" si="0"/>
        <v>45</v>
      </c>
      <c r="I139" s="5">
        <f t="shared" si="1"/>
        <v>11</v>
      </c>
      <c r="J139" s="6">
        <f t="shared" si="2"/>
        <v>3.8321759259259257E-2</v>
      </c>
      <c r="K139" s="5" t="str">
        <f t="shared" si="5"/>
        <v>(DS-IBBLR-Nagondanahalli )</v>
      </c>
      <c r="L139" s="5" t="e">
        <f t="array" aca="1" ref="L139" ca="1">_xludf.XLOOKUP(E139,'[1]Migrated Societies Data'!C:C,'[1]Migrated Societies Data'!B:B)</f>
        <v>#NAME?</v>
      </c>
      <c r="M139" s="5" t="e">
        <f t="array" aca="1" ref="M139" ca="1">_xludf.XLOOKUP(E139,'[1]Migrated Societies Data'!C:C,'[1]Migrated Societies Data'!E:E)</f>
        <v>#NAME?</v>
      </c>
      <c r="N139" s="5" t="str">
        <f t="shared" si="3"/>
        <v>Yes</v>
      </c>
      <c r="O139" s="7">
        <f t="shared" si="4"/>
        <v>5.9155092592592592E-2</v>
      </c>
    </row>
    <row r="140" spans="1:15" x14ac:dyDescent="0.25">
      <c r="A140" s="3" t="s">
        <v>85</v>
      </c>
      <c r="B140" s="3" t="s">
        <v>303</v>
      </c>
      <c r="C140" s="3" t="s">
        <v>16</v>
      </c>
      <c r="D140" s="3" t="s">
        <v>82</v>
      </c>
      <c r="E140" s="3" t="s">
        <v>87</v>
      </c>
      <c r="F140" s="3" t="s">
        <v>304</v>
      </c>
      <c r="G140" s="4">
        <v>45968</v>
      </c>
      <c r="H140" s="5">
        <f t="shared" si="0"/>
        <v>45</v>
      </c>
      <c r="I140" s="5">
        <f t="shared" si="1"/>
        <v>11</v>
      </c>
      <c r="J140" s="6">
        <f t="shared" si="2"/>
        <v>0.97572916666666665</v>
      </c>
      <c r="K140" s="5" t="str">
        <f t="shared" si="5"/>
        <v>(DS-IBBLR-Budhigere )</v>
      </c>
      <c r="L140" s="5" t="e">
        <f t="array" aca="1" ref="L140" ca="1">_xludf.XLOOKUP(E140,'[1]Migrated Societies Data'!C:C,'[1]Migrated Societies Data'!B:B)</f>
        <v>#NAME?</v>
      </c>
      <c r="M140" s="5" t="e">
        <f t="array" aca="1" ref="M140" ca="1">_xludf.XLOOKUP(E140,'[1]Migrated Societies Data'!C:C,'[1]Migrated Societies Data'!E:E)</f>
        <v>#NAME?</v>
      </c>
      <c r="N140" s="5" t="str">
        <f t="shared" si="3"/>
        <v>Yes</v>
      </c>
      <c r="O140" s="7">
        <f t="shared" si="4"/>
        <v>0.99656250000000002</v>
      </c>
    </row>
    <row r="141" spans="1:15" x14ac:dyDescent="0.25">
      <c r="A141" s="3" t="s">
        <v>14</v>
      </c>
      <c r="B141" s="3" t="s">
        <v>305</v>
      </c>
      <c r="C141" s="3" t="s">
        <v>16</v>
      </c>
      <c r="D141" s="3" t="s">
        <v>17</v>
      </c>
      <c r="E141" s="3" t="s">
        <v>18</v>
      </c>
      <c r="F141" s="3" t="s">
        <v>306</v>
      </c>
      <c r="G141" s="4">
        <v>45968</v>
      </c>
      <c r="H141" s="5">
        <f t="shared" si="0"/>
        <v>45</v>
      </c>
      <c r="I141" s="5">
        <f t="shared" si="1"/>
        <v>11</v>
      </c>
      <c r="J141" s="6">
        <f t="shared" si="2"/>
        <v>3.0925925925925926E-2</v>
      </c>
      <c r="K141" s="5" t="str">
        <f t="shared" si="5"/>
        <v>(DS-IBBLR-Peenya PH-3)</v>
      </c>
      <c r="L141" s="5" t="e">
        <f t="array" aca="1" ref="L141" ca="1">_xludf.XLOOKUP(E141,'[1]Migrated Societies Data'!C:C,'[1]Migrated Societies Data'!B:B)</f>
        <v>#NAME?</v>
      </c>
      <c r="M141" s="5" t="e">
        <f t="array" aca="1" ref="M141" ca="1">_xludf.XLOOKUP(E141,'[1]Migrated Societies Data'!C:C,'[1]Migrated Societies Data'!E:E)</f>
        <v>#NAME?</v>
      </c>
      <c r="N141" s="5" t="str">
        <f t="shared" si="3"/>
        <v>Yes</v>
      </c>
      <c r="O141" s="7">
        <f t="shared" si="4"/>
        <v>5.1759259259259255E-2</v>
      </c>
    </row>
    <row r="142" spans="1:15" x14ac:dyDescent="0.25">
      <c r="A142" s="3" t="s">
        <v>85</v>
      </c>
      <c r="B142" s="3" t="s">
        <v>307</v>
      </c>
      <c r="C142" s="3" t="s">
        <v>16</v>
      </c>
      <c r="D142" s="3" t="s">
        <v>82</v>
      </c>
      <c r="E142" s="3" t="s">
        <v>87</v>
      </c>
      <c r="F142" s="3" t="s">
        <v>308</v>
      </c>
      <c r="G142" s="4">
        <v>45969</v>
      </c>
      <c r="H142" s="5">
        <f t="shared" si="0"/>
        <v>45</v>
      </c>
      <c r="I142" s="5">
        <f t="shared" si="1"/>
        <v>11</v>
      </c>
      <c r="J142" s="6">
        <f t="shared" si="2"/>
        <v>0.99215277777777777</v>
      </c>
      <c r="K142" s="5" t="str">
        <f t="shared" si="5"/>
        <v>(DS-IBBLR-Budhigere )</v>
      </c>
      <c r="L142" s="5" t="e">
        <f t="array" aca="1" ref="L142" ca="1">_xludf.XLOOKUP(E142,'[1]Migrated Societies Data'!C:C,'[1]Migrated Societies Data'!B:B)</f>
        <v>#NAME?</v>
      </c>
      <c r="M142" s="5" t="e">
        <f t="array" aca="1" ref="M142" ca="1">_xludf.XLOOKUP(E142,'[1]Migrated Societies Data'!C:C,'[1]Migrated Societies Data'!E:E)</f>
        <v>#NAME?</v>
      </c>
      <c r="N142" s="5" t="str">
        <f t="shared" si="3"/>
        <v>Yes</v>
      </c>
      <c r="O142" s="7">
        <f t="shared" si="4"/>
        <v>1.2986111111111143E-2</v>
      </c>
    </row>
    <row r="143" spans="1:15" x14ac:dyDescent="0.25">
      <c r="A143" s="3" t="s">
        <v>14</v>
      </c>
      <c r="B143" s="3" t="s">
        <v>309</v>
      </c>
      <c r="C143" s="3" t="s">
        <v>16</v>
      </c>
      <c r="D143" s="3" t="s">
        <v>17</v>
      </c>
      <c r="E143" s="3" t="s">
        <v>18</v>
      </c>
      <c r="F143" s="3" t="s">
        <v>310</v>
      </c>
      <c r="G143" s="4">
        <v>45969</v>
      </c>
      <c r="H143" s="5">
        <f t="shared" si="0"/>
        <v>45</v>
      </c>
      <c r="I143" s="5">
        <f t="shared" si="1"/>
        <v>11</v>
      </c>
      <c r="J143" s="6">
        <f t="shared" si="2"/>
        <v>4.5636574074074072E-2</v>
      </c>
      <c r="K143" s="5" t="str">
        <f t="shared" si="5"/>
        <v>(DS-IBBLR-Peenya PH-3)</v>
      </c>
      <c r="L143" s="5" t="e">
        <f t="array" aca="1" ref="L143" ca="1">_xludf.XLOOKUP(E143,'[1]Migrated Societies Data'!C:C,'[1]Migrated Societies Data'!B:B)</f>
        <v>#NAME?</v>
      </c>
      <c r="M143" s="5" t="e">
        <f t="array" aca="1" ref="M143" ca="1">_xludf.XLOOKUP(E143,'[1]Migrated Societies Data'!C:C,'[1]Migrated Societies Data'!E:E)</f>
        <v>#NAME?</v>
      </c>
      <c r="N143" s="5" t="str">
        <f t="shared" si="3"/>
        <v>Yes</v>
      </c>
      <c r="O143" s="7">
        <f t="shared" si="4"/>
        <v>6.6469907407407408E-2</v>
      </c>
    </row>
    <row r="144" spans="1:15" x14ac:dyDescent="0.25">
      <c r="A144" s="3" t="s">
        <v>80</v>
      </c>
      <c r="B144" s="3" t="s">
        <v>311</v>
      </c>
      <c r="C144" s="3" t="s">
        <v>16</v>
      </c>
      <c r="D144" s="3" t="s">
        <v>82</v>
      </c>
      <c r="E144" s="3" t="s">
        <v>83</v>
      </c>
      <c r="F144" s="3" t="s">
        <v>312</v>
      </c>
      <c r="G144" s="4">
        <v>45969</v>
      </c>
      <c r="H144" s="5">
        <f t="shared" si="0"/>
        <v>45</v>
      </c>
      <c r="I144" s="5">
        <f t="shared" si="1"/>
        <v>11</v>
      </c>
      <c r="J144" s="6">
        <f t="shared" si="2"/>
        <v>7.7245370370370367E-2</v>
      </c>
      <c r="K144" s="5" t="str">
        <f t="shared" si="5"/>
        <v>(DS-IBBLR-Nagondanahalli )</v>
      </c>
      <c r="L144" s="5" t="e">
        <f t="array" aca="1" ref="L144" ca="1">_xludf.XLOOKUP(E144,'[1]Migrated Societies Data'!C:C,'[1]Migrated Societies Data'!B:B)</f>
        <v>#NAME?</v>
      </c>
      <c r="M144" s="5" t="e">
        <f t="array" aca="1" ref="M144" ca="1">_xludf.XLOOKUP(E144,'[1]Migrated Societies Data'!C:C,'[1]Migrated Societies Data'!E:E)</f>
        <v>#NAME?</v>
      </c>
      <c r="N144" s="5" t="str">
        <f t="shared" si="3"/>
        <v>Yes</v>
      </c>
      <c r="O144" s="7">
        <f t="shared" si="4"/>
        <v>9.8078703703703696E-2</v>
      </c>
    </row>
    <row r="145" spans="1:15" x14ac:dyDescent="0.25">
      <c r="A145" s="3" t="s">
        <v>80</v>
      </c>
      <c r="B145" s="3" t="s">
        <v>313</v>
      </c>
      <c r="C145" s="3" t="s">
        <v>16</v>
      </c>
      <c r="D145" s="3" t="s">
        <v>82</v>
      </c>
      <c r="E145" s="3" t="s">
        <v>83</v>
      </c>
      <c r="F145" s="3" t="s">
        <v>314</v>
      </c>
      <c r="G145" s="4">
        <v>45970</v>
      </c>
      <c r="H145" s="5">
        <f t="shared" si="0"/>
        <v>45</v>
      </c>
      <c r="I145" s="5">
        <f t="shared" si="1"/>
        <v>11</v>
      </c>
      <c r="J145" s="6">
        <f t="shared" si="2"/>
        <v>6.340277777777778E-2</v>
      </c>
      <c r="K145" s="5" t="str">
        <f t="shared" si="5"/>
        <v>(DS-IBBLR-Nagondanahalli )</v>
      </c>
      <c r="L145" s="5" t="e">
        <f t="array" aca="1" ref="L145" ca="1">_xludf.XLOOKUP(E145,'[1]Migrated Societies Data'!C:C,'[1]Migrated Societies Data'!B:B)</f>
        <v>#NAME?</v>
      </c>
      <c r="M145" s="5" t="e">
        <f t="array" aca="1" ref="M145" ca="1">_xludf.XLOOKUP(E145,'[1]Migrated Societies Data'!C:C,'[1]Migrated Societies Data'!E:E)</f>
        <v>#NAME?</v>
      </c>
      <c r="N145" s="5" t="str">
        <f t="shared" si="3"/>
        <v>Yes</v>
      </c>
      <c r="O145" s="7">
        <f t="shared" si="4"/>
        <v>8.4236111111111109E-2</v>
      </c>
    </row>
    <row r="146" spans="1:15" x14ac:dyDescent="0.25">
      <c r="A146" s="3" t="s">
        <v>85</v>
      </c>
      <c r="B146" s="3" t="s">
        <v>315</v>
      </c>
      <c r="C146" s="3" t="s">
        <v>16</v>
      </c>
      <c r="D146" s="3" t="s">
        <v>82</v>
      </c>
      <c r="E146" s="3" t="s">
        <v>87</v>
      </c>
      <c r="F146" s="3" t="s">
        <v>316</v>
      </c>
      <c r="G146" s="4">
        <v>45970</v>
      </c>
      <c r="H146" s="5">
        <f t="shared" si="0"/>
        <v>45</v>
      </c>
      <c r="I146" s="5">
        <f t="shared" si="1"/>
        <v>11</v>
      </c>
      <c r="J146" s="6">
        <f t="shared" si="2"/>
        <v>0.9927083333333333</v>
      </c>
      <c r="K146" s="5" t="str">
        <f t="shared" si="5"/>
        <v>(DS-IBBLR-Budhigere )</v>
      </c>
      <c r="L146" s="5" t="e">
        <f t="array" aca="1" ref="L146" ca="1">_xludf.XLOOKUP(E146,'[1]Migrated Societies Data'!C:C,'[1]Migrated Societies Data'!B:B)</f>
        <v>#NAME?</v>
      </c>
      <c r="M146" s="5" t="e">
        <f t="array" aca="1" ref="M146" ca="1">_xludf.XLOOKUP(E146,'[1]Migrated Societies Data'!C:C,'[1]Migrated Societies Data'!E:E)</f>
        <v>#NAME?</v>
      </c>
      <c r="N146" s="5" t="str">
        <f t="shared" si="3"/>
        <v>Yes</v>
      </c>
      <c r="O146" s="7">
        <f t="shared" si="4"/>
        <v>1.3541666666666563E-2</v>
      </c>
    </row>
    <row r="147" spans="1:15" x14ac:dyDescent="0.25">
      <c r="A147" s="3" t="s">
        <v>14</v>
      </c>
      <c r="B147" s="3" t="s">
        <v>317</v>
      </c>
      <c r="C147" s="3" t="s">
        <v>16</v>
      </c>
      <c r="D147" s="3" t="s">
        <v>17</v>
      </c>
      <c r="E147" s="3" t="s">
        <v>18</v>
      </c>
      <c r="F147" s="3" t="s">
        <v>318</v>
      </c>
      <c r="G147" s="4">
        <v>45970</v>
      </c>
      <c r="H147" s="5">
        <f t="shared" si="0"/>
        <v>45</v>
      </c>
      <c r="I147" s="5">
        <f t="shared" si="1"/>
        <v>11</v>
      </c>
      <c r="J147" s="6">
        <f t="shared" si="2"/>
        <v>4.1840277777777775E-2</v>
      </c>
      <c r="K147" s="5" t="str">
        <f t="shared" si="5"/>
        <v>(DS-IBBLR-Peenya PH-3)</v>
      </c>
      <c r="L147" s="5" t="e">
        <f t="array" aca="1" ref="L147" ca="1">_xludf.XLOOKUP(E147,'[1]Migrated Societies Data'!C:C,'[1]Migrated Societies Data'!B:B)</f>
        <v>#NAME?</v>
      </c>
      <c r="M147" s="5" t="e">
        <f t="array" aca="1" ref="M147" ca="1">_xludf.XLOOKUP(E147,'[1]Migrated Societies Data'!C:C,'[1]Migrated Societies Data'!E:E)</f>
        <v>#NAME?</v>
      </c>
      <c r="N147" s="5" t="str">
        <f t="shared" si="3"/>
        <v>Yes</v>
      </c>
      <c r="O147" s="7">
        <f t="shared" si="4"/>
        <v>6.267361111111111E-2</v>
      </c>
    </row>
    <row r="148" spans="1:15" x14ac:dyDescent="0.25">
      <c r="A148" s="3" t="s">
        <v>80</v>
      </c>
      <c r="B148" s="3" t="s">
        <v>319</v>
      </c>
      <c r="C148" s="3" t="s">
        <v>16</v>
      </c>
      <c r="D148" s="3" t="s">
        <v>82</v>
      </c>
      <c r="E148" s="3" t="s">
        <v>83</v>
      </c>
      <c r="F148" s="3" t="s">
        <v>320</v>
      </c>
      <c r="G148" s="4">
        <v>45971</v>
      </c>
      <c r="H148" s="5">
        <f t="shared" si="0"/>
        <v>46</v>
      </c>
      <c r="I148" s="5">
        <f t="shared" si="1"/>
        <v>11</v>
      </c>
      <c r="J148" s="6">
        <f t="shared" si="2"/>
        <v>9.015046296296296E-2</v>
      </c>
      <c r="K148" s="5" t="str">
        <f t="shared" si="5"/>
        <v>(DS-IBBLR-Nagondanahalli )</v>
      </c>
      <c r="L148" s="5" t="e">
        <f t="array" aca="1" ref="L148" ca="1">_xludf.XLOOKUP(E148,'[1]Migrated Societies Data'!C:C,'[1]Migrated Societies Data'!B:B)</f>
        <v>#NAME?</v>
      </c>
      <c r="M148" s="5" t="e">
        <f t="array" aca="1" ref="M148" ca="1">_xludf.XLOOKUP(E148,'[1]Migrated Societies Data'!C:C,'[1]Migrated Societies Data'!E:E)</f>
        <v>#NAME?</v>
      </c>
      <c r="N148" s="5" t="str">
        <f t="shared" si="3"/>
        <v>Yes</v>
      </c>
      <c r="O148" s="7">
        <f t="shared" si="4"/>
        <v>0.11098379629629629</v>
      </c>
    </row>
    <row r="149" spans="1:15" x14ac:dyDescent="0.25">
      <c r="A149" s="3" t="s">
        <v>85</v>
      </c>
      <c r="B149" s="3" t="s">
        <v>321</v>
      </c>
      <c r="C149" s="3" t="s">
        <v>16</v>
      </c>
      <c r="D149" s="3" t="s">
        <v>82</v>
      </c>
      <c r="E149" s="3" t="s">
        <v>87</v>
      </c>
      <c r="F149" s="3" t="s">
        <v>322</v>
      </c>
      <c r="G149" s="4">
        <v>45971</v>
      </c>
      <c r="H149" s="5">
        <f t="shared" si="0"/>
        <v>46</v>
      </c>
      <c r="I149" s="5">
        <f t="shared" si="1"/>
        <v>11</v>
      </c>
      <c r="J149" s="6">
        <f t="shared" si="2"/>
        <v>0.98887731481481478</v>
      </c>
      <c r="K149" s="5" t="str">
        <f t="shared" si="5"/>
        <v>(DS-IBBLR-Budhigere )</v>
      </c>
      <c r="L149" s="5" t="e">
        <f t="array" aca="1" ref="L149" ca="1">_xludf.XLOOKUP(E149,'[1]Migrated Societies Data'!C:C,'[1]Migrated Societies Data'!B:B)</f>
        <v>#NAME?</v>
      </c>
      <c r="M149" s="5" t="e">
        <f t="array" aca="1" ref="M149" ca="1">_xludf.XLOOKUP(E149,'[1]Migrated Societies Data'!C:C,'[1]Migrated Societies Data'!E:E)</f>
        <v>#NAME?</v>
      </c>
      <c r="N149" s="5" t="str">
        <f t="shared" si="3"/>
        <v>Yes</v>
      </c>
      <c r="O149" s="7">
        <f t="shared" si="4"/>
        <v>9.7106481481481488E-3</v>
      </c>
    </row>
    <row r="150" spans="1:15" x14ac:dyDescent="0.25">
      <c r="A150" s="3" t="s">
        <v>14</v>
      </c>
      <c r="B150" s="3" t="s">
        <v>323</v>
      </c>
      <c r="C150" s="3" t="s">
        <v>16</v>
      </c>
      <c r="D150" s="3" t="s">
        <v>17</v>
      </c>
      <c r="E150" s="3" t="s">
        <v>18</v>
      </c>
      <c r="F150" s="3" t="s">
        <v>324</v>
      </c>
      <c r="G150" s="4">
        <v>45971</v>
      </c>
      <c r="H150" s="5">
        <f t="shared" si="0"/>
        <v>46</v>
      </c>
      <c r="I150" s="5">
        <f t="shared" si="1"/>
        <v>11</v>
      </c>
      <c r="J150" s="6">
        <f t="shared" si="2"/>
        <v>3.9236111111111112E-3</v>
      </c>
      <c r="K150" s="5" t="str">
        <f t="shared" si="5"/>
        <v>(DS-IBBLR-Peenya PH-3)</v>
      </c>
      <c r="L150" s="5" t="e">
        <f t="array" aca="1" ref="L150" ca="1">_xludf.XLOOKUP(E150,'[1]Migrated Societies Data'!C:C,'[1]Migrated Societies Data'!B:B)</f>
        <v>#NAME?</v>
      </c>
      <c r="M150" s="5" t="e">
        <f t="array" aca="1" ref="M150" ca="1">_xludf.XLOOKUP(E150,'[1]Migrated Societies Data'!C:C,'[1]Migrated Societies Data'!E:E)</f>
        <v>#NAME?</v>
      </c>
      <c r="N150" s="5" t="str">
        <f t="shared" si="3"/>
        <v>Yes</v>
      </c>
      <c r="O150" s="7">
        <f t="shared" si="4"/>
        <v>2.4756944444444443E-2</v>
      </c>
    </row>
    <row r="151" spans="1:15" x14ac:dyDescent="0.25">
      <c r="A151" s="3" t="s">
        <v>85</v>
      </c>
      <c r="B151" s="3" t="s">
        <v>325</v>
      </c>
      <c r="C151" s="3" t="s">
        <v>16</v>
      </c>
      <c r="D151" s="3" t="s">
        <v>82</v>
      </c>
      <c r="E151" s="3" t="s">
        <v>87</v>
      </c>
      <c r="F151" s="3" t="s">
        <v>326</v>
      </c>
      <c r="G151" s="4">
        <v>45972</v>
      </c>
      <c r="H151" s="5">
        <f t="shared" si="0"/>
        <v>46</v>
      </c>
      <c r="I151" s="5">
        <f t="shared" si="1"/>
        <v>11</v>
      </c>
      <c r="J151" s="6">
        <f t="shared" si="2"/>
        <v>0.99621527777777774</v>
      </c>
      <c r="K151" s="5" t="str">
        <f t="shared" si="5"/>
        <v>(DS-IBBLR-Budhigere )</v>
      </c>
      <c r="L151" s="5" t="e">
        <f t="array" aca="1" ref="L151" ca="1">_xludf.XLOOKUP(E151,'[1]Migrated Societies Data'!C:C,'[1]Migrated Societies Data'!B:B)</f>
        <v>#NAME?</v>
      </c>
      <c r="M151" s="5" t="e">
        <f t="array" aca="1" ref="M151" ca="1">_xludf.XLOOKUP(E151,'[1]Migrated Societies Data'!C:C,'[1]Migrated Societies Data'!E:E)</f>
        <v>#NAME?</v>
      </c>
      <c r="N151" s="5" t="str">
        <f t="shared" si="3"/>
        <v>Yes</v>
      </c>
      <c r="O151" s="7">
        <f t="shared" si="4"/>
        <v>1.7048611111111001E-2</v>
      </c>
    </row>
    <row r="152" spans="1:15" x14ac:dyDescent="0.25">
      <c r="A152" s="3" t="s">
        <v>14</v>
      </c>
      <c r="B152" s="3" t="s">
        <v>327</v>
      </c>
      <c r="C152" s="3" t="s">
        <v>16</v>
      </c>
      <c r="D152" s="3" t="s">
        <v>17</v>
      </c>
      <c r="E152" s="3" t="s">
        <v>18</v>
      </c>
      <c r="F152" s="3" t="s">
        <v>328</v>
      </c>
      <c r="G152" s="4">
        <v>45972</v>
      </c>
      <c r="H152" s="5">
        <f t="shared" si="0"/>
        <v>46</v>
      </c>
      <c r="I152" s="5">
        <f t="shared" si="1"/>
        <v>11</v>
      </c>
      <c r="J152" s="6">
        <f t="shared" si="2"/>
        <v>1.0266203703703704E-2</v>
      </c>
      <c r="K152" s="5" t="str">
        <f t="shared" si="5"/>
        <v>(DS-IBBLR-Peenya PH-3)</v>
      </c>
      <c r="L152" s="5" t="e">
        <f t="array" aca="1" ref="L152" ca="1">_xludf.XLOOKUP(E152,'[1]Migrated Societies Data'!C:C,'[1]Migrated Societies Data'!B:B)</f>
        <v>#NAME?</v>
      </c>
      <c r="M152" s="5" t="e">
        <f t="array" aca="1" ref="M152" ca="1">_xludf.XLOOKUP(E152,'[1]Migrated Societies Data'!C:C,'[1]Migrated Societies Data'!E:E)</f>
        <v>#NAME?</v>
      </c>
      <c r="N152" s="5" t="str">
        <f t="shared" si="3"/>
        <v>Yes</v>
      </c>
      <c r="O152" s="7">
        <f t="shared" si="4"/>
        <v>3.1099537037037037E-2</v>
      </c>
    </row>
    <row r="153" spans="1:15" x14ac:dyDescent="0.25">
      <c r="A153" s="3" t="s">
        <v>80</v>
      </c>
      <c r="B153" s="3" t="s">
        <v>329</v>
      </c>
      <c r="C153" s="3" t="s">
        <v>16</v>
      </c>
      <c r="D153" s="3" t="s">
        <v>82</v>
      </c>
      <c r="E153" s="3" t="s">
        <v>83</v>
      </c>
      <c r="F153" s="3" t="s">
        <v>330</v>
      </c>
      <c r="G153" s="4">
        <v>45972</v>
      </c>
      <c r="H153" s="5">
        <f t="shared" si="0"/>
        <v>46</v>
      </c>
      <c r="I153" s="5">
        <f t="shared" si="1"/>
        <v>11</v>
      </c>
      <c r="J153" s="6">
        <f t="shared" si="2"/>
        <v>4.3356481481481482E-2</v>
      </c>
      <c r="K153" s="5" t="str">
        <f t="shared" si="5"/>
        <v>(DS-IBBLR-Nagondanahalli )</v>
      </c>
      <c r="L153" s="5" t="e">
        <f t="array" aca="1" ref="L153" ca="1">_xludf.XLOOKUP(E153,'[1]Migrated Societies Data'!C:C,'[1]Migrated Societies Data'!B:B)</f>
        <v>#NAME?</v>
      </c>
      <c r="M153" s="5" t="e">
        <f t="array" aca="1" ref="M153" ca="1">_xludf.XLOOKUP(E153,'[1]Migrated Societies Data'!C:C,'[1]Migrated Societies Data'!E:E)</f>
        <v>#NAME?</v>
      </c>
      <c r="N153" s="5" t="str">
        <f t="shared" si="3"/>
        <v>Yes</v>
      </c>
      <c r="O153" s="7">
        <f t="shared" si="4"/>
        <v>6.4189814814814811E-2</v>
      </c>
    </row>
    <row r="154" spans="1:15" x14ac:dyDescent="0.25">
      <c r="A154" s="3" t="s">
        <v>331</v>
      </c>
      <c r="B154" s="3" t="s">
        <v>332</v>
      </c>
      <c r="C154" s="3" t="s">
        <v>16</v>
      </c>
      <c r="D154" s="3" t="s">
        <v>82</v>
      </c>
      <c r="E154" s="3" t="s">
        <v>333</v>
      </c>
      <c r="F154" s="3" t="s">
        <v>334</v>
      </c>
      <c r="G154" s="4">
        <v>45972</v>
      </c>
      <c r="H154" s="5">
        <f t="shared" si="0"/>
        <v>46</v>
      </c>
      <c r="I154" s="5">
        <f t="shared" si="1"/>
        <v>11</v>
      </c>
      <c r="J154" s="6">
        <f t="shared" si="2"/>
        <v>0.98343749999999996</v>
      </c>
      <c r="K154" s="5" t="str">
        <f t="shared" si="5"/>
        <v>(DS-IBBLR-Attibele)</v>
      </c>
      <c r="L154" s="5" t="e">
        <f t="array" aca="1" ref="L154" ca="1">_xludf.XLOOKUP(E154,'[1]Migrated Societies Data'!C:C,'[1]Migrated Societies Data'!B:B)</f>
        <v>#NAME?</v>
      </c>
      <c r="M154" s="5" t="e">
        <f t="array" aca="1" ref="M154" ca="1">_xludf.XLOOKUP(E154,'[1]Migrated Societies Data'!C:C,'[1]Migrated Societies Data'!E:E)</f>
        <v>#NAME?</v>
      </c>
      <c r="N154" s="5" t="str">
        <f t="shared" si="3"/>
        <v>Yes</v>
      </c>
      <c r="O154" s="7">
        <f t="shared" si="4"/>
        <v>4.2708333333332238E-3</v>
      </c>
    </row>
    <row r="155" spans="1:15" x14ac:dyDescent="0.25">
      <c r="A155" s="3" t="s">
        <v>331</v>
      </c>
      <c r="B155" s="3" t="s">
        <v>335</v>
      </c>
      <c r="C155" s="3" t="s">
        <v>16</v>
      </c>
      <c r="D155" s="3" t="s">
        <v>82</v>
      </c>
      <c r="E155" s="3" t="s">
        <v>333</v>
      </c>
      <c r="F155" s="3" t="s">
        <v>336</v>
      </c>
      <c r="G155" s="4">
        <v>45973</v>
      </c>
      <c r="H155" s="5">
        <f t="shared" si="0"/>
        <v>46</v>
      </c>
      <c r="I155" s="5">
        <f t="shared" si="1"/>
        <v>11</v>
      </c>
      <c r="J155" s="6">
        <f t="shared" si="2"/>
        <v>8.6921296296296295E-3</v>
      </c>
      <c r="K155" s="5" t="str">
        <f t="shared" si="5"/>
        <v>(DS-IBBLR-Attibele)</v>
      </c>
      <c r="L155" s="5" t="e">
        <f t="array" aca="1" ref="L155" ca="1">_xludf.XLOOKUP(E155,'[1]Migrated Societies Data'!C:C,'[1]Migrated Societies Data'!B:B)</f>
        <v>#NAME?</v>
      </c>
      <c r="M155" s="5" t="e">
        <f t="array" aca="1" ref="M155" ca="1">_xludf.XLOOKUP(E155,'[1]Migrated Societies Data'!C:C,'[1]Migrated Societies Data'!E:E)</f>
        <v>#NAME?</v>
      </c>
      <c r="N155" s="5" t="str">
        <f t="shared" si="3"/>
        <v>Yes</v>
      </c>
      <c r="O155" s="7">
        <f t="shared" si="4"/>
        <v>2.9525462962962962E-2</v>
      </c>
    </row>
    <row r="156" spans="1:15" x14ac:dyDescent="0.25">
      <c r="A156" s="3" t="s">
        <v>85</v>
      </c>
      <c r="B156" s="3" t="s">
        <v>337</v>
      </c>
      <c r="C156" s="3" t="s">
        <v>16</v>
      </c>
      <c r="D156" s="3" t="s">
        <v>82</v>
      </c>
      <c r="E156" s="3" t="s">
        <v>87</v>
      </c>
      <c r="F156" s="3" t="s">
        <v>338</v>
      </c>
      <c r="G156" s="4">
        <v>45973</v>
      </c>
      <c r="H156" s="5">
        <f t="shared" si="0"/>
        <v>46</v>
      </c>
      <c r="I156" s="5">
        <f t="shared" si="1"/>
        <v>11</v>
      </c>
      <c r="J156" s="6">
        <f t="shared" si="2"/>
        <v>0.97737268518518516</v>
      </c>
      <c r="K156" s="5" t="str">
        <f t="shared" si="5"/>
        <v>(DS-IBBLR-Budhigere )</v>
      </c>
      <c r="L156" s="5" t="e">
        <f t="array" aca="1" ref="L156" ca="1">_xludf.XLOOKUP(E156,'[1]Migrated Societies Data'!C:C,'[1]Migrated Societies Data'!B:B)</f>
        <v>#NAME?</v>
      </c>
      <c r="M156" s="5" t="e">
        <f t="array" aca="1" ref="M156" ca="1">_xludf.XLOOKUP(E156,'[1]Migrated Societies Data'!C:C,'[1]Migrated Societies Data'!E:E)</f>
        <v>#NAME?</v>
      </c>
      <c r="N156" s="5" t="str">
        <f t="shared" si="3"/>
        <v>Yes</v>
      </c>
      <c r="O156" s="7">
        <f t="shared" si="4"/>
        <v>0.99820601851851853</v>
      </c>
    </row>
    <row r="157" spans="1:15" x14ac:dyDescent="0.25">
      <c r="A157" s="3" t="s">
        <v>14</v>
      </c>
      <c r="B157" s="3" t="s">
        <v>339</v>
      </c>
      <c r="C157" s="3" t="s">
        <v>16</v>
      </c>
      <c r="D157" s="3" t="s">
        <v>17</v>
      </c>
      <c r="E157" s="3" t="s">
        <v>18</v>
      </c>
      <c r="F157" s="3" t="s">
        <v>328</v>
      </c>
      <c r="G157" s="4">
        <v>45973</v>
      </c>
      <c r="H157" s="5">
        <f t="shared" si="0"/>
        <v>46</v>
      </c>
      <c r="I157" s="5">
        <f t="shared" si="1"/>
        <v>11</v>
      </c>
      <c r="J157" s="6">
        <f t="shared" si="2"/>
        <v>1.0266203703703704E-2</v>
      </c>
      <c r="K157" s="5" t="s">
        <v>44</v>
      </c>
      <c r="L157" s="5" t="e">
        <f t="array" aca="1" ref="L157" ca="1">_xludf.XLOOKUP(E157,'[1]Migrated Societies Data'!C:C,'[1]Migrated Societies Data'!B:B)</f>
        <v>#NAME?</v>
      </c>
      <c r="M157" s="5" t="e">
        <f t="array" aca="1" ref="M157" ca="1">_xludf.XLOOKUP(E157,'[1]Migrated Societies Data'!C:C,'[1]Migrated Societies Data'!E:E)</f>
        <v>#NAME?</v>
      </c>
      <c r="N157" s="5" t="str">
        <f t="shared" si="3"/>
        <v>Yes</v>
      </c>
      <c r="O157" s="7">
        <f t="shared" si="4"/>
        <v>3.1099537037037037E-2</v>
      </c>
    </row>
    <row r="158" spans="1:15" x14ac:dyDescent="0.25">
      <c r="A158" s="3" t="s">
        <v>80</v>
      </c>
      <c r="B158" s="3" t="s">
        <v>340</v>
      </c>
      <c r="C158" s="3" t="s">
        <v>16</v>
      </c>
      <c r="D158" s="3" t="s">
        <v>82</v>
      </c>
      <c r="E158" s="3" t="s">
        <v>83</v>
      </c>
      <c r="F158" s="3" t="s">
        <v>341</v>
      </c>
      <c r="G158" s="4">
        <v>45973</v>
      </c>
      <c r="H158" s="5">
        <f t="shared" si="0"/>
        <v>46</v>
      </c>
      <c r="I158" s="5">
        <f t="shared" si="1"/>
        <v>11</v>
      </c>
      <c r="J158" s="6">
        <f t="shared" si="2"/>
        <v>6.8495370370370373E-2</v>
      </c>
      <c r="K158" s="5" t="str">
        <f t="shared" ref="K158:K412" si="6">MID(F158,21,LEN(F158)-20)</f>
        <v>(DS-IBBLR-Nagondanahalli )</v>
      </c>
      <c r="L158" s="5" t="e">
        <f t="array" aca="1" ref="L158" ca="1">_xludf.XLOOKUP(E158,'[1]Migrated Societies Data'!C:C,'[1]Migrated Societies Data'!B:B)</f>
        <v>#NAME?</v>
      </c>
      <c r="M158" s="5" t="e">
        <f t="array" aca="1" ref="M158" ca="1">_xludf.XLOOKUP(E158,'[1]Migrated Societies Data'!C:C,'[1]Migrated Societies Data'!E:E)</f>
        <v>#NAME?</v>
      </c>
      <c r="N158" s="5" t="str">
        <f t="shared" si="3"/>
        <v>Yes</v>
      </c>
      <c r="O158" s="7">
        <f t="shared" si="4"/>
        <v>8.9328703703703702E-2</v>
      </c>
    </row>
    <row r="159" spans="1:15" x14ac:dyDescent="0.25">
      <c r="A159" s="3" t="s">
        <v>342</v>
      </c>
      <c r="B159" s="3" t="s">
        <v>343</v>
      </c>
      <c r="C159" s="3" t="s">
        <v>16</v>
      </c>
      <c r="D159" s="3" t="s">
        <v>17</v>
      </c>
      <c r="E159" s="3" t="s">
        <v>344</v>
      </c>
      <c r="F159" s="3" t="s">
        <v>345</v>
      </c>
      <c r="G159" s="4">
        <v>45973</v>
      </c>
      <c r="H159" s="5">
        <f t="shared" si="0"/>
        <v>46</v>
      </c>
      <c r="I159" s="5">
        <f t="shared" si="1"/>
        <v>11</v>
      </c>
      <c r="J159" s="6">
        <f t="shared" si="2"/>
        <v>0.89978009259259262</v>
      </c>
      <c r="K159" s="5" t="str">
        <f t="shared" si="6"/>
        <v>(DS-IBBLR-Chikkasandr)</v>
      </c>
      <c r="L159" s="5" t="e">
        <f t="array" aca="1" ref="L159" ca="1">_xludf.XLOOKUP(E159,'[1]Migrated Societies Data'!C:C,'[1]Migrated Societies Data'!B:B)</f>
        <v>#NAME?</v>
      </c>
      <c r="M159" s="5" t="e">
        <f t="array" aca="1" ref="M159" ca="1">_xludf.XLOOKUP(E159,'[1]Migrated Societies Data'!C:C,'[1]Migrated Societies Data'!E:E)</f>
        <v>#NAME?</v>
      </c>
      <c r="N159" s="5" t="str">
        <f t="shared" si="3"/>
        <v>No</v>
      </c>
      <c r="O159" s="7">
        <f t="shared" si="4"/>
        <v>0.92061342592592599</v>
      </c>
    </row>
    <row r="160" spans="1:15" x14ac:dyDescent="0.25">
      <c r="A160" s="3" t="s">
        <v>80</v>
      </c>
      <c r="B160" s="3" t="s">
        <v>346</v>
      </c>
      <c r="C160" s="3" t="s">
        <v>16</v>
      </c>
      <c r="D160" s="3" t="s">
        <v>82</v>
      </c>
      <c r="E160" s="3" t="s">
        <v>83</v>
      </c>
      <c r="F160" s="3" t="s">
        <v>347</v>
      </c>
      <c r="G160" s="4">
        <v>45974</v>
      </c>
      <c r="H160" s="5">
        <f t="shared" si="0"/>
        <v>46</v>
      </c>
      <c r="I160" s="5">
        <f t="shared" si="1"/>
        <v>11</v>
      </c>
      <c r="J160" s="6">
        <f t="shared" si="2"/>
        <v>0.98354166666666665</v>
      </c>
      <c r="K160" s="5" t="str">
        <f t="shared" si="6"/>
        <v>(DS-IBBLR-Nagondanahalli )</v>
      </c>
      <c r="L160" s="5" t="e">
        <f t="array" aca="1" ref="L160" ca="1">_xludf.XLOOKUP(E160,'[1]Migrated Societies Data'!C:C,'[1]Migrated Societies Data'!B:B)</f>
        <v>#NAME?</v>
      </c>
      <c r="M160" s="5" t="e">
        <f t="array" aca="1" ref="M160" ca="1">_xludf.XLOOKUP(E160,'[1]Migrated Societies Data'!C:C,'[1]Migrated Societies Data'!E:E)</f>
        <v>#NAME?</v>
      </c>
      <c r="N160" s="5" t="str">
        <f t="shared" si="3"/>
        <v>Yes</v>
      </c>
      <c r="O160" s="7">
        <f t="shared" si="4"/>
        <v>4.3750000000000178E-3</v>
      </c>
    </row>
    <row r="161" spans="1:15" x14ac:dyDescent="0.25">
      <c r="A161" s="3" t="s">
        <v>331</v>
      </c>
      <c r="B161" s="3" t="s">
        <v>348</v>
      </c>
      <c r="C161" s="3" t="s">
        <v>16</v>
      </c>
      <c r="D161" s="3" t="s">
        <v>82</v>
      </c>
      <c r="E161" s="3" t="s">
        <v>333</v>
      </c>
      <c r="F161" s="3" t="s">
        <v>349</v>
      </c>
      <c r="G161" s="4">
        <v>45974</v>
      </c>
      <c r="H161" s="5">
        <f t="shared" si="0"/>
        <v>46</v>
      </c>
      <c r="I161" s="5">
        <f t="shared" si="1"/>
        <v>11</v>
      </c>
      <c r="J161" s="6">
        <f t="shared" si="2"/>
        <v>0.98981481481481481</v>
      </c>
      <c r="K161" s="5" t="str">
        <f t="shared" si="6"/>
        <v>(DS-IBBLR-Attibele)</v>
      </c>
      <c r="L161" s="5" t="e">
        <f t="array" aca="1" ref="L161" ca="1">_xludf.XLOOKUP(E161,'[1]Migrated Societies Data'!C:C,'[1]Migrated Societies Data'!B:B)</f>
        <v>#NAME?</v>
      </c>
      <c r="M161" s="5" t="e">
        <f t="array" aca="1" ref="M161" ca="1">_xludf.XLOOKUP(E161,'[1]Migrated Societies Data'!C:C,'[1]Migrated Societies Data'!E:E)</f>
        <v>#NAME?</v>
      </c>
      <c r="N161" s="5" t="str">
        <f t="shared" si="3"/>
        <v>Yes</v>
      </c>
      <c r="O161" s="7">
        <f t="shared" si="4"/>
        <v>1.0648148148148184E-2</v>
      </c>
    </row>
    <row r="162" spans="1:15" x14ac:dyDescent="0.25">
      <c r="A162" s="3" t="s">
        <v>85</v>
      </c>
      <c r="B162" s="3" t="s">
        <v>350</v>
      </c>
      <c r="C162" s="3" t="s">
        <v>16</v>
      </c>
      <c r="D162" s="3" t="s">
        <v>82</v>
      </c>
      <c r="E162" s="3" t="s">
        <v>87</v>
      </c>
      <c r="F162" s="3" t="s">
        <v>351</v>
      </c>
      <c r="G162" s="4">
        <v>45974</v>
      </c>
      <c r="H162" s="5">
        <f t="shared" si="0"/>
        <v>46</v>
      </c>
      <c r="I162" s="5">
        <f t="shared" si="1"/>
        <v>11</v>
      </c>
      <c r="J162" s="6">
        <f t="shared" si="2"/>
        <v>6.7129629629629625E-4</v>
      </c>
      <c r="K162" s="5" t="str">
        <f t="shared" si="6"/>
        <v>(DS-IBBLR-Budhigere )</v>
      </c>
      <c r="L162" s="5" t="e">
        <f t="array" aca="1" ref="L162" ca="1">_xludf.XLOOKUP(E162,'[1]Migrated Societies Data'!C:C,'[1]Migrated Societies Data'!B:B)</f>
        <v>#NAME?</v>
      </c>
      <c r="M162" s="5" t="e">
        <f t="array" aca="1" ref="M162" ca="1">_xludf.XLOOKUP(E162,'[1]Migrated Societies Data'!C:C,'[1]Migrated Societies Data'!E:E)</f>
        <v>#NAME?</v>
      </c>
      <c r="N162" s="5" t="str">
        <f t="shared" si="3"/>
        <v>Yes</v>
      </c>
      <c r="O162" s="7">
        <f t="shared" si="4"/>
        <v>2.1504629629629627E-2</v>
      </c>
    </row>
    <row r="163" spans="1:15" x14ac:dyDescent="0.25">
      <c r="A163" s="3" t="s">
        <v>14</v>
      </c>
      <c r="B163" s="3" t="s">
        <v>352</v>
      </c>
      <c r="C163" s="3" t="s">
        <v>16</v>
      </c>
      <c r="D163" s="3" t="s">
        <v>17</v>
      </c>
      <c r="E163" s="3" t="s">
        <v>18</v>
      </c>
      <c r="F163" s="3" t="s">
        <v>353</v>
      </c>
      <c r="G163" s="4">
        <v>45974</v>
      </c>
      <c r="H163" s="5">
        <f t="shared" si="0"/>
        <v>46</v>
      </c>
      <c r="I163" s="5">
        <f t="shared" si="1"/>
        <v>11</v>
      </c>
      <c r="J163" s="6">
        <f t="shared" si="2"/>
        <v>9.3981481481481485E-3</v>
      </c>
      <c r="K163" s="5" t="str">
        <f t="shared" si="6"/>
        <v>(DS-IBBLR-Peenya PH-3)</v>
      </c>
      <c r="L163" s="5" t="e">
        <f t="array" aca="1" ref="L163" ca="1">_xludf.XLOOKUP(E163,'[1]Migrated Societies Data'!C:C,'[1]Migrated Societies Data'!B:B)</f>
        <v>#NAME?</v>
      </c>
      <c r="M163" s="5" t="e">
        <f t="array" aca="1" ref="M163" ca="1">_xludf.XLOOKUP(E163,'[1]Migrated Societies Data'!C:C,'[1]Migrated Societies Data'!E:E)</f>
        <v>#NAME?</v>
      </c>
      <c r="N163" s="5" t="str">
        <f t="shared" si="3"/>
        <v>Yes</v>
      </c>
      <c r="O163" s="7">
        <f t="shared" si="4"/>
        <v>3.0231481481481481E-2</v>
      </c>
    </row>
    <row r="164" spans="1:15" x14ac:dyDescent="0.25">
      <c r="A164" s="3" t="s">
        <v>342</v>
      </c>
      <c r="B164" s="3" t="s">
        <v>354</v>
      </c>
      <c r="C164" s="3" t="s">
        <v>16</v>
      </c>
      <c r="D164" s="3" t="s">
        <v>17</v>
      </c>
      <c r="E164" s="3" t="s">
        <v>344</v>
      </c>
      <c r="F164" s="3" t="s">
        <v>355</v>
      </c>
      <c r="G164" s="4">
        <v>45974</v>
      </c>
      <c r="H164" s="5">
        <f t="shared" si="0"/>
        <v>46</v>
      </c>
      <c r="I164" s="5">
        <f t="shared" si="1"/>
        <v>11</v>
      </c>
      <c r="J164" s="6">
        <f t="shared" si="2"/>
        <v>0.12703703703703703</v>
      </c>
      <c r="K164" s="5" t="str">
        <f t="shared" si="6"/>
        <v>(DS-IBBLR-Chikkasandr)</v>
      </c>
      <c r="L164" s="5" t="e">
        <f t="array" aca="1" ref="L164" ca="1">_xludf.XLOOKUP(E164,'[1]Migrated Societies Data'!C:C,'[1]Migrated Societies Data'!B:B)</f>
        <v>#NAME?</v>
      </c>
      <c r="M164" s="5" t="e">
        <f t="array" aca="1" ref="M164" ca="1">_xludf.XLOOKUP(E164,'[1]Migrated Societies Data'!C:C,'[1]Migrated Societies Data'!E:E)</f>
        <v>#NAME?</v>
      </c>
      <c r="N164" s="5" t="str">
        <f t="shared" si="3"/>
        <v>Yes</v>
      </c>
      <c r="O164" s="7">
        <f t="shared" si="4"/>
        <v>0.14787037037037037</v>
      </c>
    </row>
    <row r="165" spans="1:15" x14ac:dyDescent="0.25">
      <c r="A165" s="3" t="s">
        <v>80</v>
      </c>
      <c r="B165" s="3" t="s">
        <v>356</v>
      </c>
      <c r="C165" s="3" t="s">
        <v>16</v>
      </c>
      <c r="D165" s="3" t="s">
        <v>82</v>
      </c>
      <c r="E165" s="3" t="s">
        <v>83</v>
      </c>
      <c r="F165" s="3" t="s">
        <v>357</v>
      </c>
      <c r="G165" s="4">
        <v>45975</v>
      </c>
      <c r="H165" s="5">
        <f t="shared" si="0"/>
        <v>46</v>
      </c>
      <c r="I165" s="5">
        <f t="shared" si="1"/>
        <v>11</v>
      </c>
      <c r="J165" s="6">
        <f t="shared" si="2"/>
        <v>0.96480324074074075</v>
      </c>
      <c r="K165" s="5" t="str">
        <f t="shared" si="6"/>
        <v>(DS-IBBLR-Nagondanahalli )</v>
      </c>
      <c r="L165" s="5" t="e">
        <f t="array" aca="1" ref="L165" ca="1">_xludf.XLOOKUP(E165,'[1]Migrated Societies Data'!C:C,'[1]Migrated Societies Data'!B:B)</f>
        <v>#NAME?</v>
      </c>
      <c r="M165" s="5" t="e">
        <f t="array" aca="1" ref="M165" ca="1">_xludf.XLOOKUP(E165,'[1]Migrated Societies Data'!C:C,'[1]Migrated Societies Data'!E:E)</f>
        <v>#NAME?</v>
      </c>
      <c r="N165" s="5" t="str">
        <f t="shared" si="3"/>
        <v>Yes</v>
      </c>
      <c r="O165" s="7">
        <f t="shared" si="4"/>
        <v>0.98563657407407412</v>
      </c>
    </row>
    <row r="166" spans="1:15" x14ac:dyDescent="0.25">
      <c r="A166" s="3" t="s">
        <v>85</v>
      </c>
      <c r="B166" s="3" t="s">
        <v>358</v>
      </c>
      <c r="C166" s="3" t="s">
        <v>16</v>
      </c>
      <c r="D166" s="3" t="s">
        <v>82</v>
      </c>
      <c r="E166" s="3" t="s">
        <v>87</v>
      </c>
      <c r="F166" s="3" t="s">
        <v>359</v>
      </c>
      <c r="G166" s="4">
        <v>45975</v>
      </c>
      <c r="H166" s="5">
        <f t="shared" si="0"/>
        <v>46</v>
      </c>
      <c r="I166" s="5">
        <f t="shared" si="1"/>
        <v>11</v>
      </c>
      <c r="J166" s="6">
        <f t="shared" si="2"/>
        <v>0.9846759259259259</v>
      </c>
      <c r="K166" s="5" t="str">
        <f t="shared" si="6"/>
        <v>(DS-IBBLR-Budhigere )</v>
      </c>
      <c r="L166" s="5" t="e">
        <f t="array" aca="1" ref="L166" ca="1">_xludf.XLOOKUP(E166,'[1]Migrated Societies Data'!C:C,'[1]Migrated Societies Data'!B:B)</f>
        <v>#NAME?</v>
      </c>
      <c r="M166" s="5" t="e">
        <f t="array" aca="1" ref="M166" ca="1">_xludf.XLOOKUP(E166,'[1]Migrated Societies Data'!C:C,'[1]Migrated Societies Data'!E:E)</f>
        <v>#NAME?</v>
      </c>
      <c r="N166" s="5" t="str">
        <f t="shared" si="3"/>
        <v>Yes</v>
      </c>
      <c r="O166" s="7">
        <f t="shared" si="4"/>
        <v>5.5092592592591583E-3</v>
      </c>
    </row>
    <row r="167" spans="1:15" x14ac:dyDescent="0.25">
      <c r="A167" s="3" t="s">
        <v>331</v>
      </c>
      <c r="B167" s="3" t="s">
        <v>360</v>
      </c>
      <c r="C167" s="3" t="s">
        <v>16</v>
      </c>
      <c r="D167" s="3" t="s">
        <v>82</v>
      </c>
      <c r="E167" s="3" t="s">
        <v>333</v>
      </c>
      <c r="F167" s="3" t="s">
        <v>361</v>
      </c>
      <c r="G167" s="4">
        <v>45975</v>
      </c>
      <c r="H167" s="5">
        <f t="shared" si="0"/>
        <v>46</v>
      </c>
      <c r="I167" s="5">
        <f t="shared" si="1"/>
        <v>11</v>
      </c>
      <c r="J167" s="6">
        <f t="shared" si="2"/>
        <v>9.1087962962962971E-3</v>
      </c>
      <c r="K167" s="5" t="str">
        <f t="shared" si="6"/>
        <v>(DS-IBBLR-Attibele)</v>
      </c>
      <c r="L167" s="5" t="e">
        <f t="array" aca="1" ref="L167" ca="1">_xludf.XLOOKUP(E167,'[1]Migrated Societies Data'!C:C,'[1]Migrated Societies Data'!B:B)</f>
        <v>#NAME?</v>
      </c>
      <c r="M167" s="5" t="e">
        <f t="array" aca="1" ref="M167" ca="1">_xludf.XLOOKUP(E167,'[1]Migrated Societies Data'!C:C,'[1]Migrated Societies Data'!E:E)</f>
        <v>#NAME?</v>
      </c>
      <c r="N167" s="5" t="str">
        <f t="shared" si="3"/>
        <v>Yes</v>
      </c>
      <c r="O167" s="7">
        <f t="shared" si="4"/>
        <v>2.9942129629629631E-2</v>
      </c>
    </row>
    <row r="168" spans="1:15" x14ac:dyDescent="0.25">
      <c r="A168" s="3" t="s">
        <v>14</v>
      </c>
      <c r="B168" s="3" t="s">
        <v>362</v>
      </c>
      <c r="C168" s="3" t="s">
        <v>16</v>
      </c>
      <c r="D168" s="3" t="s">
        <v>17</v>
      </c>
      <c r="E168" s="3" t="s">
        <v>18</v>
      </c>
      <c r="F168" s="3" t="s">
        <v>363</v>
      </c>
      <c r="G168" s="4">
        <v>45975</v>
      </c>
      <c r="H168" s="5">
        <f t="shared" si="0"/>
        <v>46</v>
      </c>
      <c r="I168" s="5">
        <f t="shared" si="1"/>
        <v>11</v>
      </c>
      <c r="J168" s="6">
        <f t="shared" si="2"/>
        <v>4.193287037037037E-2</v>
      </c>
      <c r="K168" s="5" t="str">
        <f t="shared" si="6"/>
        <v>(DS-IBBLR-Peenya PH-3)</v>
      </c>
      <c r="L168" s="5" t="e">
        <f t="array" aca="1" ref="L168" ca="1">_xludf.XLOOKUP(E168,'[1]Migrated Societies Data'!C:C,'[1]Migrated Societies Data'!B:B)</f>
        <v>#NAME?</v>
      </c>
      <c r="M168" s="5" t="e">
        <f t="array" aca="1" ref="M168" ca="1">_xludf.XLOOKUP(E168,'[1]Migrated Societies Data'!C:C,'[1]Migrated Societies Data'!E:E)</f>
        <v>#NAME?</v>
      </c>
      <c r="N168" s="5" t="str">
        <f t="shared" si="3"/>
        <v>Yes</v>
      </c>
      <c r="O168" s="7">
        <f t="shared" si="4"/>
        <v>6.2766203703703699E-2</v>
      </c>
    </row>
    <row r="169" spans="1:15" x14ac:dyDescent="0.25">
      <c r="A169" s="3" t="s">
        <v>342</v>
      </c>
      <c r="B169" s="3" t="s">
        <v>364</v>
      </c>
      <c r="C169" s="3" t="s">
        <v>16</v>
      </c>
      <c r="D169" s="3" t="s">
        <v>17</v>
      </c>
      <c r="E169" s="3" t="s">
        <v>344</v>
      </c>
      <c r="F169" s="3" t="s">
        <v>365</v>
      </c>
      <c r="G169" s="4">
        <v>45975</v>
      </c>
      <c r="H169" s="5">
        <f t="shared" si="0"/>
        <v>46</v>
      </c>
      <c r="I169" s="5">
        <f t="shared" si="1"/>
        <v>11</v>
      </c>
      <c r="J169" s="6">
        <f t="shared" si="2"/>
        <v>5.9594907407407409E-2</v>
      </c>
      <c r="K169" s="5" t="str">
        <f t="shared" si="6"/>
        <v>(DS-IBBLR-Chikkasandr)</v>
      </c>
      <c r="L169" s="5" t="e">
        <f t="array" aca="1" ref="L169" ca="1">_xludf.XLOOKUP(E169,'[1]Migrated Societies Data'!C:C,'[1]Migrated Societies Data'!B:B)</f>
        <v>#NAME?</v>
      </c>
      <c r="M169" s="5" t="e">
        <f t="array" aca="1" ref="M169" ca="1">_xludf.XLOOKUP(E169,'[1]Migrated Societies Data'!C:C,'[1]Migrated Societies Data'!E:E)</f>
        <v>#NAME?</v>
      </c>
      <c r="N169" s="5" t="str">
        <f t="shared" si="3"/>
        <v>Yes</v>
      </c>
      <c r="O169" s="7">
        <f t="shared" si="4"/>
        <v>8.0428240740740745E-2</v>
      </c>
    </row>
    <row r="170" spans="1:15" x14ac:dyDescent="0.25">
      <c r="A170" s="3" t="s">
        <v>331</v>
      </c>
      <c r="B170" s="3" t="s">
        <v>366</v>
      </c>
      <c r="C170" s="3" t="s">
        <v>16</v>
      </c>
      <c r="D170" s="3" t="s">
        <v>82</v>
      </c>
      <c r="E170" s="3" t="s">
        <v>333</v>
      </c>
      <c r="F170" s="3" t="s">
        <v>367</v>
      </c>
      <c r="G170" s="4">
        <v>45976</v>
      </c>
      <c r="H170" s="5">
        <f t="shared" si="0"/>
        <v>46</v>
      </c>
      <c r="I170" s="5">
        <f t="shared" si="1"/>
        <v>11</v>
      </c>
      <c r="J170" s="6">
        <f t="shared" si="2"/>
        <v>0.98225694444444445</v>
      </c>
      <c r="K170" s="5" t="str">
        <f t="shared" si="6"/>
        <v>(DS-IBBLR-Attibele)</v>
      </c>
      <c r="L170" s="5" t="e">
        <f t="array" aca="1" ref="L170" ca="1">_xludf.XLOOKUP(E170,'[1]Migrated Societies Data'!C:C,'[1]Migrated Societies Data'!B:B)</f>
        <v>#NAME?</v>
      </c>
      <c r="M170" s="5" t="e">
        <f t="array" aca="1" ref="M170" ca="1">_xludf.XLOOKUP(E170,'[1]Migrated Societies Data'!C:C,'[1]Migrated Societies Data'!E:E)</f>
        <v>#NAME?</v>
      </c>
      <c r="N170" s="5" t="str">
        <f t="shared" si="3"/>
        <v>Yes</v>
      </c>
      <c r="O170" s="7">
        <f t="shared" si="4"/>
        <v>3.0902777777777057E-3</v>
      </c>
    </row>
    <row r="171" spans="1:15" x14ac:dyDescent="0.25">
      <c r="A171" s="3" t="s">
        <v>85</v>
      </c>
      <c r="B171" s="3" t="s">
        <v>368</v>
      </c>
      <c r="C171" s="3" t="s">
        <v>16</v>
      </c>
      <c r="D171" s="3" t="s">
        <v>82</v>
      </c>
      <c r="E171" s="3" t="s">
        <v>87</v>
      </c>
      <c r="F171" s="3" t="s">
        <v>369</v>
      </c>
      <c r="G171" s="4">
        <v>45976</v>
      </c>
      <c r="H171" s="5">
        <f t="shared" si="0"/>
        <v>46</v>
      </c>
      <c r="I171" s="5">
        <f t="shared" si="1"/>
        <v>11</v>
      </c>
      <c r="J171" s="6">
        <f t="shared" si="2"/>
        <v>0.9693518518518518</v>
      </c>
      <c r="K171" s="5" t="str">
        <f t="shared" si="6"/>
        <v>(DS-IBBLR-Budhigere )</v>
      </c>
      <c r="L171" s="5" t="e">
        <f t="array" aca="1" ref="L171" ca="1">_xludf.XLOOKUP(E171,'[1]Migrated Societies Data'!C:C,'[1]Migrated Societies Data'!B:B)</f>
        <v>#NAME?</v>
      </c>
      <c r="M171" s="5" t="e">
        <f t="array" aca="1" ref="M171" ca="1">_xludf.XLOOKUP(E171,'[1]Migrated Societies Data'!C:C,'[1]Migrated Societies Data'!E:E)</f>
        <v>#NAME?</v>
      </c>
      <c r="N171" s="5" t="str">
        <f t="shared" si="3"/>
        <v>Yes</v>
      </c>
      <c r="O171" s="7">
        <f t="shared" si="4"/>
        <v>0.99018518518518517</v>
      </c>
    </row>
    <row r="172" spans="1:15" x14ac:dyDescent="0.25">
      <c r="A172" s="3" t="s">
        <v>80</v>
      </c>
      <c r="B172" s="3" t="s">
        <v>370</v>
      </c>
      <c r="C172" s="3" t="s">
        <v>16</v>
      </c>
      <c r="D172" s="3" t="s">
        <v>82</v>
      </c>
      <c r="E172" s="3" t="s">
        <v>83</v>
      </c>
      <c r="F172" s="3" t="s">
        <v>371</v>
      </c>
      <c r="G172" s="4">
        <v>45976</v>
      </c>
      <c r="H172" s="5">
        <f t="shared" si="0"/>
        <v>46</v>
      </c>
      <c r="I172" s="5">
        <f t="shared" si="1"/>
        <v>11</v>
      </c>
      <c r="J172" s="6">
        <f t="shared" si="2"/>
        <v>0.97361111111111109</v>
      </c>
      <c r="K172" s="5" t="str">
        <f t="shared" si="6"/>
        <v>(DS-IBBLR-Nagondanahalli )</v>
      </c>
      <c r="L172" s="5" t="e">
        <f t="array" aca="1" ref="L172" ca="1">_xludf.XLOOKUP(E172,'[1]Migrated Societies Data'!C:C,'[1]Migrated Societies Data'!B:B)</f>
        <v>#NAME?</v>
      </c>
      <c r="M172" s="5" t="e">
        <f t="array" aca="1" ref="M172" ca="1">_xludf.XLOOKUP(E172,'[1]Migrated Societies Data'!C:C,'[1]Migrated Societies Data'!E:E)</f>
        <v>#NAME?</v>
      </c>
      <c r="N172" s="5" t="str">
        <f t="shared" si="3"/>
        <v>Yes</v>
      </c>
      <c r="O172" s="7">
        <f t="shared" si="4"/>
        <v>0.99444444444444446</v>
      </c>
    </row>
    <row r="173" spans="1:15" x14ac:dyDescent="0.25">
      <c r="A173" s="3" t="s">
        <v>14</v>
      </c>
      <c r="B173" s="3" t="s">
        <v>372</v>
      </c>
      <c r="C173" s="3" t="s">
        <v>16</v>
      </c>
      <c r="D173" s="3" t="s">
        <v>17</v>
      </c>
      <c r="E173" s="3" t="s">
        <v>18</v>
      </c>
      <c r="F173" s="3" t="s">
        <v>373</v>
      </c>
      <c r="G173" s="4">
        <v>45976</v>
      </c>
      <c r="H173" s="5">
        <f t="shared" si="0"/>
        <v>46</v>
      </c>
      <c r="I173" s="5">
        <f t="shared" si="1"/>
        <v>11</v>
      </c>
      <c r="J173" s="6">
        <f t="shared" si="2"/>
        <v>4.7094907407407405E-2</v>
      </c>
      <c r="K173" s="5" t="str">
        <f t="shared" si="6"/>
        <v>(DS-IBBLR-Peenya PH-3)</v>
      </c>
      <c r="L173" s="5" t="e">
        <f t="array" aca="1" ref="L173" ca="1">_xludf.XLOOKUP(E173,'[1]Migrated Societies Data'!C:C,'[1]Migrated Societies Data'!B:B)</f>
        <v>#NAME?</v>
      </c>
      <c r="M173" s="5" t="e">
        <f t="array" aca="1" ref="M173" ca="1">_xludf.XLOOKUP(E173,'[1]Migrated Societies Data'!C:C,'[1]Migrated Societies Data'!E:E)</f>
        <v>#NAME?</v>
      </c>
      <c r="N173" s="5" t="str">
        <f t="shared" si="3"/>
        <v>Yes</v>
      </c>
      <c r="O173" s="7">
        <f t="shared" si="4"/>
        <v>6.7928240740740733E-2</v>
      </c>
    </row>
    <row r="174" spans="1:15" x14ac:dyDescent="0.25">
      <c r="A174" s="3" t="s">
        <v>342</v>
      </c>
      <c r="B174" s="3" t="s">
        <v>374</v>
      </c>
      <c r="C174" s="3" t="s">
        <v>16</v>
      </c>
      <c r="D174" s="3" t="s">
        <v>17</v>
      </c>
      <c r="E174" s="3" t="s">
        <v>344</v>
      </c>
      <c r="F174" s="3" t="s">
        <v>375</v>
      </c>
      <c r="G174" s="4">
        <v>45976</v>
      </c>
      <c r="H174" s="5">
        <f t="shared" si="0"/>
        <v>46</v>
      </c>
      <c r="I174" s="5">
        <f t="shared" si="1"/>
        <v>11</v>
      </c>
      <c r="J174" s="6">
        <f t="shared" si="2"/>
        <v>9.7083333333333327E-2</v>
      </c>
      <c r="K174" s="5" t="str">
        <f t="shared" si="6"/>
        <v>(DS-IBBLR-Chikkasandr)</v>
      </c>
      <c r="L174" s="5" t="e">
        <f t="array" aca="1" ref="L174" ca="1">_xludf.XLOOKUP(E174,'[1]Migrated Societies Data'!C:C,'[1]Migrated Societies Data'!B:B)</f>
        <v>#NAME?</v>
      </c>
      <c r="M174" s="5" t="e">
        <f t="array" aca="1" ref="M174" ca="1">_xludf.XLOOKUP(E174,'[1]Migrated Societies Data'!C:C,'[1]Migrated Societies Data'!E:E)</f>
        <v>#NAME?</v>
      </c>
      <c r="N174" s="5" t="str">
        <f t="shared" si="3"/>
        <v>Yes</v>
      </c>
      <c r="O174" s="7">
        <f t="shared" si="4"/>
        <v>0.11791666666666666</v>
      </c>
    </row>
    <row r="175" spans="1:15" x14ac:dyDescent="0.25">
      <c r="A175" s="3" t="s">
        <v>80</v>
      </c>
      <c r="B175" s="3" t="s">
        <v>376</v>
      </c>
      <c r="C175" s="3" t="s">
        <v>16</v>
      </c>
      <c r="D175" s="3" t="s">
        <v>82</v>
      </c>
      <c r="E175" s="3" t="s">
        <v>83</v>
      </c>
      <c r="F175" s="3" t="s">
        <v>377</v>
      </c>
      <c r="G175" s="4">
        <v>45977</v>
      </c>
      <c r="H175" s="5">
        <f t="shared" si="0"/>
        <v>46</v>
      </c>
      <c r="I175" s="5">
        <f t="shared" si="1"/>
        <v>11</v>
      </c>
      <c r="J175" s="6">
        <f t="shared" si="2"/>
        <v>0.99011574074074071</v>
      </c>
      <c r="K175" s="5" t="str">
        <f t="shared" si="6"/>
        <v>(DS-IBBLR-Nagondanahalli )</v>
      </c>
      <c r="L175" s="5" t="e">
        <f t="array" aca="1" ref="L175" ca="1">_xludf.XLOOKUP(E175,'[1]Migrated Societies Data'!C:C,'[1]Migrated Societies Data'!B:B)</f>
        <v>#NAME?</v>
      </c>
      <c r="M175" s="5" t="e">
        <f t="array" aca="1" ref="M175" ca="1">_xludf.XLOOKUP(E175,'[1]Migrated Societies Data'!C:C,'[1]Migrated Societies Data'!E:E)</f>
        <v>#NAME?</v>
      </c>
      <c r="N175" s="5" t="str">
        <f t="shared" si="3"/>
        <v>Yes</v>
      </c>
      <c r="O175" s="7">
        <f t="shared" si="4"/>
        <v>1.0949074074074083E-2</v>
      </c>
    </row>
    <row r="176" spans="1:15" x14ac:dyDescent="0.25">
      <c r="A176" s="3" t="s">
        <v>331</v>
      </c>
      <c r="B176" s="3" t="s">
        <v>378</v>
      </c>
      <c r="C176" s="3" t="s">
        <v>16</v>
      </c>
      <c r="D176" s="3" t="s">
        <v>82</v>
      </c>
      <c r="E176" s="3" t="s">
        <v>333</v>
      </c>
      <c r="F176" s="3" t="s">
        <v>379</v>
      </c>
      <c r="G176" s="4">
        <v>45977</v>
      </c>
      <c r="H176" s="5">
        <f t="shared" si="0"/>
        <v>46</v>
      </c>
      <c r="I176" s="5">
        <f t="shared" si="1"/>
        <v>11</v>
      </c>
      <c r="J176" s="6">
        <f t="shared" si="2"/>
        <v>1.1689814814814816E-3</v>
      </c>
      <c r="K176" s="5" t="str">
        <f t="shared" si="6"/>
        <v>(DS-IBBLR-Attibele)</v>
      </c>
      <c r="L176" s="5" t="e">
        <f t="array" aca="1" ref="L176" ca="1">_xludf.XLOOKUP(E176,'[1]Migrated Societies Data'!C:C,'[1]Migrated Societies Data'!B:B)</f>
        <v>#NAME?</v>
      </c>
      <c r="M176" s="5" t="e">
        <f t="array" aca="1" ref="M176" ca="1">_xludf.XLOOKUP(E176,'[1]Migrated Societies Data'!C:C,'[1]Migrated Societies Data'!E:E)</f>
        <v>#NAME?</v>
      </c>
      <c r="N176" s="5" t="str">
        <f t="shared" si="3"/>
        <v>Yes</v>
      </c>
      <c r="O176" s="7">
        <f t="shared" si="4"/>
        <v>2.2002314814814815E-2</v>
      </c>
    </row>
    <row r="177" spans="1:15" x14ac:dyDescent="0.25">
      <c r="A177" s="3" t="s">
        <v>85</v>
      </c>
      <c r="B177" s="3" t="s">
        <v>380</v>
      </c>
      <c r="C177" s="3" t="s">
        <v>16</v>
      </c>
      <c r="D177" s="3" t="s">
        <v>82</v>
      </c>
      <c r="E177" s="3" t="s">
        <v>87</v>
      </c>
      <c r="F177" s="3" t="s">
        <v>381</v>
      </c>
      <c r="G177" s="4">
        <v>45977</v>
      </c>
      <c r="H177" s="5">
        <f t="shared" si="0"/>
        <v>46</v>
      </c>
      <c r="I177" s="5">
        <f t="shared" si="1"/>
        <v>11</v>
      </c>
      <c r="J177" s="6">
        <f t="shared" si="2"/>
        <v>0.98414351851851856</v>
      </c>
      <c r="K177" s="5" t="str">
        <f t="shared" si="6"/>
        <v>(DS-IBBLR-Budhigere )</v>
      </c>
      <c r="L177" s="5" t="e">
        <f t="array" aca="1" ref="L177" ca="1">_xludf.XLOOKUP(E177,'[1]Migrated Societies Data'!C:C,'[1]Migrated Societies Data'!B:B)</f>
        <v>#NAME?</v>
      </c>
      <c r="M177" s="5" t="e">
        <f t="array" aca="1" ref="M177" ca="1">_xludf.XLOOKUP(E177,'[1]Migrated Societies Data'!C:C,'[1]Migrated Societies Data'!E:E)</f>
        <v>#NAME?</v>
      </c>
      <c r="N177" s="5" t="str">
        <f t="shared" si="3"/>
        <v>Yes</v>
      </c>
      <c r="O177" s="7">
        <f t="shared" si="4"/>
        <v>4.9768518518518157E-3</v>
      </c>
    </row>
    <row r="178" spans="1:15" x14ac:dyDescent="0.25">
      <c r="A178" s="3" t="s">
        <v>14</v>
      </c>
      <c r="B178" s="3" t="s">
        <v>382</v>
      </c>
      <c r="C178" s="3" t="s">
        <v>16</v>
      </c>
      <c r="D178" s="3" t="s">
        <v>17</v>
      </c>
      <c r="E178" s="3" t="s">
        <v>18</v>
      </c>
      <c r="F178" s="3" t="s">
        <v>383</v>
      </c>
      <c r="G178" s="4">
        <v>45977</v>
      </c>
      <c r="H178" s="5">
        <f t="shared" si="0"/>
        <v>46</v>
      </c>
      <c r="I178" s="5">
        <f t="shared" si="1"/>
        <v>11</v>
      </c>
      <c r="J178" s="6">
        <f t="shared" si="2"/>
        <v>1.6192129629629629E-2</v>
      </c>
      <c r="K178" s="5" t="str">
        <f t="shared" si="6"/>
        <v>(DS-IBBLR-Peenya PH-3)</v>
      </c>
      <c r="L178" s="5" t="e">
        <f t="array" aca="1" ref="L178" ca="1">_xludf.XLOOKUP(E178,'[1]Migrated Societies Data'!C:C,'[1]Migrated Societies Data'!B:B)</f>
        <v>#NAME?</v>
      </c>
      <c r="M178" s="5" t="e">
        <f t="array" aca="1" ref="M178" ca="1">_xludf.XLOOKUP(E178,'[1]Migrated Societies Data'!C:C,'[1]Migrated Societies Data'!E:E)</f>
        <v>#NAME?</v>
      </c>
      <c r="N178" s="5" t="str">
        <f t="shared" si="3"/>
        <v>Yes</v>
      </c>
      <c r="O178" s="7">
        <f t="shared" si="4"/>
        <v>3.7025462962962961E-2</v>
      </c>
    </row>
    <row r="179" spans="1:15" x14ac:dyDescent="0.25">
      <c r="A179" s="3" t="s">
        <v>342</v>
      </c>
      <c r="B179" s="3" t="s">
        <v>384</v>
      </c>
      <c r="C179" s="3" t="s">
        <v>16</v>
      </c>
      <c r="D179" s="3" t="s">
        <v>17</v>
      </c>
      <c r="E179" s="3" t="s">
        <v>344</v>
      </c>
      <c r="F179" s="3" t="s">
        <v>385</v>
      </c>
      <c r="G179" s="4">
        <v>45977</v>
      </c>
      <c r="H179" s="5">
        <f t="shared" si="0"/>
        <v>46</v>
      </c>
      <c r="I179" s="5">
        <f t="shared" si="1"/>
        <v>11</v>
      </c>
      <c r="J179" s="6">
        <f t="shared" si="2"/>
        <v>6.4490740740740737E-2</v>
      </c>
      <c r="K179" s="5" t="str">
        <f t="shared" si="6"/>
        <v>(DS-IBBLR-Chikkasandr)</v>
      </c>
      <c r="L179" s="5" t="e">
        <f t="array" aca="1" ref="L179" ca="1">_xludf.XLOOKUP(E179,'[1]Migrated Societies Data'!C:C,'[1]Migrated Societies Data'!B:B)</f>
        <v>#NAME?</v>
      </c>
      <c r="M179" s="5" t="e">
        <f t="array" aca="1" ref="M179" ca="1">_xludf.XLOOKUP(E179,'[1]Migrated Societies Data'!C:C,'[1]Migrated Societies Data'!E:E)</f>
        <v>#NAME?</v>
      </c>
      <c r="N179" s="5" t="str">
        <f t="shared" si="3"/>
        <v>Yes</v>
      </c>
      <c r="O179" s="7">
        <f t="shared" si="4"/>
        <v>8.5324074074074066E-2</v>
      </c>
    </row>
    <row r="180" spans="1:15" x14ac:dyDescent="0.25">
      <c r="A180" s="3" t="s">
        <v>331</v>
      </c>
      <c r="B180" s="3" t="s">
        <v>386</v>
      </c>
      <c r="C180" s="3" t="s">
        <v>16</v>
      </c>
      <c r="D180" s="3" t="s">
        <v>82</v>
      </c>
      <c r="E180" s="3" t="s">
        <v>333</v>
      </c>
      <c r="F180" s="3" t="s">
        <v>387</v>
      </c>
      <c r="G180" s="4">
        <v>45978</v>
      </c>
      <c r="H180" s="5">
        <f t="shared" si="0"/>
        <v>47</v>
      </c>
      <c r="I180" s="5">
        <f t="shared" si="1"/>
        <v>11</v>
      </c>
      <c r="J180" s="6">
        <f t="shared" si="2"/>
        <v>0.99516203703703698</v>
      </c>
      <c r="K180" s="5" t="str">
        <f t="shared" si="6"/>
        <v>(DS-IBBLR-Attibele)</v>
      </c>
      <c r="L180" s="5" t="e">
        <f t="array" aca="1" ref="L180" ca="1">_xludf.XLOOKUP(E180,'[1]Migrated Societies Data'!C:C,'[1]Migrated Societies Data'!B:B)</f>
        <v>#NAME?</v>
      </c>
      <c r="M180" s="5" t="e">
        <f t="array" aca="1" ref="M180" ca="1">_xludf.XLOOKUP(E180,'[1]Migrated Societies Data'!C:C,'[1]Migrated Societies Data'!E:E)</f>
        <v>#NAME?</v>
      </c>
      <c r="N180" s="5" t="str">
        <f t="shared" si="3"/>
        <v>Yes</v>
      </c>
      <c r="O180" s="7">
        <f t="shared" si="4"/>
        <v>1.5995370370370354E-2</v>
      </c>
    </row>
    <row r="181" spans="1:15" x14ac:dyDescent="0.25">
      <c r="A181" s="3" t="s">
        <v>85</v>
      </c>
      <c r="B181" s="3" t="s">
        <v>388</v>
      </c>
      <c r="C181" s="3" t="s">
        <v>16</v>
      </c>
      <c r="D181" s="3" t="s">
        <v>82</v>
      </c>
      <c r="E181" s="3" t="s">
        <v>87</v>
      </c>
      <c r="F181" s="3" t="s">
        <v>389</v>
      </c>
      <c r="G181" s="4">
        <v>45978</v>
      </c>
      <c r="H181" s="5">
        <f t="shared" si="0"/>
        <v>47</v>
      </c>
      <c r="I181" s="5">
        <f t="shared" si="1"/>
        <v>11</v>
      </c>
      <c r="J181" s="6">
        <f t="shared" si="2"/>
        <v>0.98130787037037037</v>
      </c>
      <c r="K181" s="5" t="str">
        <f t="shared" si="6"/>
        <v>(DS-IBBLR-Budhigere )</v>
      </c>
      <c r="L181" s="5" t="e">
        <f t="array" aca="1" ref="L181" ca="1">_xludf.XLOOKUP(E181,'[1]Migrated Societies Data'!C:C,'[1]Migrated Societies Data'!B:B)</f>
        <v>#NAME?</v>
      </c>
      <c r="M181" s="5" t="e">
        <f t="array" aca="1" ref="M181" ca="1">_xludf.XLOOKUP(E181,'[1]Migrated Societies Data'!C:C,'[1]Migrated Societies Data'!E:E)</f>
        <v>#NAME?</v>
      </c>
      <c r="N181" s="5" t="str">
        <f t="shared" si="3"/>
        <v>Yes</v>
      </c>
      <c r="O181" s="7">
        <f t="shared" si="4"/>
        <v>2.1412037037036313E-3</v>
      </c>
    </row>
    <row r="182" spans="1:15" x14ac:dyDescent="0.25">
      <c r="A182" s="3" t="s">
        <v>80</v>
      </c>
      <c r="B182" s="3" t="s">
        <v>390</v>
      </c>
      <c r="C182" s="3" t="s">
        <v>16</v>
      </c>
      <c r="D182" s="3" t="s">
        <v>82</v>
      </c>
      <c r="E182" s="3" t="s">
        <v>83</v>
      </c>
      <c r="F182" s="3" t="s">
        <v>391</v>
      </c>
      <c r="G182" s="4">
        <v>45978</v>
      </c>
      <c r="H182" s="5">
        <f t="shared" si="0"/>
        <v>47</v>
      </c>
      <c r="I182" s="5">
        <f t="shared" si="1"/>
        <v>11</v>
      </c>
      <c r="J182" s="6">
        <f t="shared" si="2"/>
        <v>0.96598379629629627</v>
      </c>
      <c r="K182" s="5" t="str">
        <f t="shared" si="6"/>
        <v>(DS-IBBLR-Nagondanahalli )</v>
      </c>
      <c r="L182" s="5" t="e">
        <f t="array" aca="1" ref="L182" ca="1">_xludf.XLOOKUP(E182,'[1]Migrated Societies Data'!C:C,'[1]Migrated Societies Data'!B:B)</f>
        <v>#NAME?</v>
      </c>
      <c r="M182" s="5" t="e">
        <f t="array" aca="1" ref="M182" ca="1">_xludf.XLOOKUP(E182,'[1]Migrated Societies Data'!C:C,'[1]Migrated Societies Data'!E:E)</f>
        <v>#NAME?</v>
      </c>
      <c r="N182" s="5" t="str">
        <f t="shared" si="3"/>
        <v>Yes</v>
      </c>
      <c r="O182" s="7">
        <f t="shared" si="4"/>
        <v>0.98681712962962964</v>
      </c>
    </row>
    <row r="183" spans="1:15" x14ac:dyDescent="0.25">
      <c r="A183" s="3" t="s">
        <v>14</v>
      </c>
      <c r="B183" s="3" t="s">
        <v>392</v>
      </c>
      <c r="C183" s="3" t="s">
        <v>16</v>
      </c>
      <c r="D183" s="3" t="s">
        <v>17</v>
      </c>
      <c r="E183" s="3" t="s">
        <v>18</v>
      </c>
      <c r="F183" s="3" t="s">
        <v>393</v>
      </c>
      <c r="G183" s="4">
        <v>45978</v>
      </c>
      <c r="H183" s="5">
        <f t="shared" si="0"/>
        <v>47</v>
      </c>
      <c r="I183" s="5">
        <f t="shared" si="1"/>
        <v>11</v>
      </c>
      <c r="J183" s="6">
        <f t="shared" si="2"/>
        <v>0.98422453703703705</v>
      </c>
      <c r="K183" s="5" t="str">
        <f t="shared" si="6"/>
        <v>(DS-IBBLR-Peenya PH-3)</v>
      </c>
      <c r="L183" s="5" t="e">
        <f t="array" aca="1" ref="L183" ca="1">_xludf.XLOOKUP(E183,'[1]Migrated Societies Data'!C:C,'[1]Migrated Societies Data'!B:B)</f>
        <v>#NAME?</v>
      </c>
      <c r="M183" s="5" t="e">
        <f t="array" aca="1" ref="M183" ca="1">_xludf.XLOOKUP(E183,'[1]Migrated Societies Data'!C:C,'[1]Migrated Societies Data'!E:E)</f>
        <v>#NAME?</v>
      </c>
      <c r="N183" s="5" t="str">
        <f t="shared" si="3"/>
        <v>Yes</v>
      </c>
      <c r="O183" s="7">
        <f t="shared" si="4"/>
        <v>5.0578703703703098E-3</v>
      </c>
    </row>
    <row r="184" spans="1:15" x14ac:dyDescent="0.25">
      <c r="A184" s="3" t="s">
        <v>342</v>
      </c>
      <c r="B184" s="3" t="s">
        <v>394</v>
      </c>
      <c r="C184" s="3" t="s">
        <v>16</v>
      </c>
      <c r="D184" s="3" t="s">
        <v>17</v>
      </c>
      <c r="E184" s="3" t="s">
        <v>344</v>
      </c>
      <c r="F184" s="3" t="s">
        <v>395</v>
      </c>
      <c r="G184" s="4">
        <v>45978</v>
      </c>
      <c r="H184" s="5">
        <f t="shared" si="0"/>
        <v>47</v>
      </c>
      <c r="I184" s="5">
        <f t="shared" si="1"/>
        <v>11</v>
      </c>
      <c r="J184" s="6">
        <f t="shared" si="2"/>
        <v>0.13793981481481482</v>
      </c>
      <c r="K184" s="5" t="str">
        <f t="shared" si="6"/>
        <v>(DS-IBBLR-Chikkasandr)</v>
      </c>
      <c r="L184" s="5" t="e">
        <f t="array" aca="1" ref="L184" ca="1">_xludf.XLOOKUP(E184,'[1]Migrated Societies Data'!C:C,'[1]Migrated Societies Data'!B:B)</f>
        <v>#NAME?</v>
      </c>
      <c r="M184" s="5" t="e">
        <f t="array" aca="1" ref="M184" ca="1">_xludf.XLOOKUP(E184,'[1]Migrated Societies Data'!C:C,'[1]Migrated Societies Data'!E:E)</f>
        <v>#NAME?</v>
      </c>
      <c r="N184" s="5" t="str">
        <f t="shared" si="3"/>
        <v>Yes</v>
      </c>
      <c r="O184" s="7">
        <f t="shared" si="4"/>
        <v>0.15877314814814816</v>
      </c>
    </row>
    <row r="185" spans="1:15" x14ac:dyDescent="0.25">
      <c r="A185" s="3" t="s">
        <v>342</v>
      </c>
      <c r="B185" s="3" t="s">
        <v>394</v>
      </c>
      <c r="C185" s="3" t="s">
        <v>16</v>
      </c>
      <c r="D185" s="3" t="s">
        <v>17</v>
      </c>
      <c r="E185" s="3" t="s">
        <v>344</v>
      </c>
      <c r="F185" s="3" t="s">
        <v>395</v>
      </c>
      <c r="G185" s="4">
        <v>45979</v>
      </c>
      <c r="H185" s="5">
        <f t="shared" si="0"/>
        <v>47</v>
      </c>
      <c r="I185" s="5">
        <f t="shared" si="1"/>
        <v>11</v>
      </c>
      <c r="J185" s="6">
        <f t="shared" si="2"/>
        <v>0.13793981481481482</v>
      </c>
      <c r="K185" s="5" t="str">
        <f t="shared" si="6"/>
        <v>(DS-IBBLR-Chikkasandr)</v>
      </c>
      <c r="L185" s="5" t="e">
        <f t="array" aca="1" ref="L185" ca="1">_xludf.XLOOKUP(E185,'[1]Migrated Societies Data'!C:C,'[1]Migrated Societies Data'!B:B)</f>
        <v>#NAME?</v>
      </c>
      <c r="M185" s="5" t="e">
        <f t="array" aca="1" ref="M185" ca="1">_xludf.XLOOKUP(E185,'[1]Migrated Societies Data'!C:C,'[1]Migrated Societies Data'!E:E)</f>
        <v>#NAME?</v>
      </c>
      <c r="N185" s="5" t="str">
        <f t="shared" si="3"/>
        <v>Yes</v>
      </c>
      <c r="O185" s="7">
        <f t="shared" si="4"/>
        <v>0.15877314814814816</v>
      </c>
    </row>
    <row r="186" spans="1:15" x14ac:dyDescent="0.25">
      <c r="A186" s="3" t="s">
        <v>80</v>
      </c>
      <c r="B186" s="3" t="s">
        <v>396</v>
      </c>
      <c r="C186" s="3" t="s">
        <v>16</v>
      </c>
      <c r="D186" s="3" t="s">
        <v>82</v>
      </c>
      <c r="E186" s="3" t="s">
        <v>83</v>
      </c>
      <c r="F186" s="3" t="s">
        <v>397</v>
      </c>
      <c r="G186" s="4">
        <v>45979</v>
      </c>
      <c r="H186" s="5">
        <f t="shared" si="0"/>
        <v>47</v>
      </c>
      <c r="I186" s="5">
        <f t="shared" si="1"/>
        <v>11</v>
      </c>
      <c r="J186" s="6">
        <f t="shared" si="2"/>
        <v>0.99228009259259264</v>
      </c>
      <c r="K186" s="5" t="str">
        <f t="shared" si="6"/>
        <v>(DS-IBBLR-Nagondanahalli )</v>
      </c>
      <c r="L186" s="5" t="e">
        <f t="array" aca="1" ref="L186" ca="1">_xludf.XLOOKUP(E186,'[1]Migrated Societies Data'!C:C,'[1]Migrated Societies Data'!B:B)</f>
        <v>#NAME?</v>
      </c>
      <c r="M186" s="5" t="e">
        <f t="array" aca="1" ref="M186" ca="1">_xludf.XLOOKUP(E186,'[1]Migrated Societies Data'!C:C,'[1]Migrated Societies Data'!E:E)</f>
        <v>#NAME?</v>
      </c>
      <c r="N186" s="5" t="str">
        <f t="shared" si="3"/>
        <v>Yes</v>
      </c>
      <c r="O186" s="7">
        <f t="shared" si="4"/>
        <v>1.3113425925926014E-2</v>
      </c>
    </row>
    <row r="187" spans="1:15" x14ac:dyDescent="0.25">
      <c r="A187" s="3" t="s">
        <v>85</v>
      </c>
      <c r="B187" s="3" t="s">
        <v>398</v>
      </c>
      <c r="C187" s="3" t="s">
        <v>16</v>
      </c>
      <c r="D187" s="3" t="s">
        <v>82</v>
      </c>
      <c r="E187" s="3" t="s">
        <v>87</v>
      </c>
      <c r="F187" s="3" t="s">
        <v>399</v>
      </c>
      <c r="G187" s="4">
        <v>45979</v>
      </c>
      <c r="H187" s="5">
        <f t="shared" si="0"/>
        <v>47</v>
      </c>
      <c r="I187" s="5">
        <f t="shared" si="1"/>
        <v>11</v>
      </c>
      <c r="J187" s="6">
        <f t="shared" si="2"/>
        <v>0.99131944444444442</v>
      </c>
      <c r="K187" s="5" t="str">
        <f t="shared" si="6"/>
        <v>(DS-IBBLR-Budhigere )</v>
      </c>
      <c r="L187" s="5" t="e">
        <f t="array" aca="1" ref="L187" ca="1">_xludf.XLOOKUP(E187,'[1]Migrated Societies Data'!C:C,'[1]Migrated Societies Data'!B:B)</f>
        <v>#NAME?</v>
      </c>
      <c r="M187" s="5" t="e">
        <f t="array" aca="1" ref="M187" ca="1">_xludf.XLOOKUP(E187,'[1]Migrated Societies Data'!C:C,'[1]Migrated Societies Data'!E:E)</f>
        <v>#NAME?</v>
      </c>
      <c r="N187" s="5" t="str">
        <f t="shared" si="3"/>
        <v>Yes</v>
      </c>
      <c r="O187" s="7">
        <f t="shared" si="4"/>
        <v>1.2152777777777679E-2</v>
      </c>
    </row>
    <row r="188" spans="1:15" x14ac:dyDescent="0.25">
      <c r="A188" s="3" t="s">
        <v>14</v>
      </c>
      <c r="B188" s="3" t="s">
        <v>400</v>
      </c>
      <c r="C188" s="3" t="s">
        <v>16</v>
      </c>
      <c r="D188" s="3" t="s">
        <v>17</v>
      </c>
      <c r="E188" s="3" t="s">
        <v>18</v>
      </c>
      <c r="F188" s="3" t="s">
        <v>401</v>
      </c>
      <c r="G188" s="4">
        <v>45979</v>
      </c>
      <c r="H188" s="5">
        <f t="shared" si="0"/>
        <v>47</v>
      </c>
      <c r="I188" s="5">
        <f t="shared" si="1"/>
        <v>11</v>
      </c>
      <c r="J188" s="6">
        <f t="shared" si="2"/>
        <v>1.1273148148148148E-2</v>
      </c>
      <c r="K188" s="5" t="str">
        <f t="shared" si="6"/>
        <v>(DS-IBBLR-Peenya PH-3)</v>
      </c>
      <c r="L188" s="5" t="e">
        <f t="array" aca="1" ref="L188" ca="1">_xludf.XLOOKUP(E188,'[1]Migrated Societies Data'!C:C,'[1]Migrated Societies Data'!B:B)</f>
        <v>#NAME?</v>
      </c>
      <c r="M188" s="5" t="e">
        <f t="array" aca="1" ref="M188" ca="1">_xludf.XLOOKUP(E188,'[1]Migrated Societies Data'!C:C,'[1]Migrated Societies Data'!E:E)</f>
        <v>#NAME?</v>
      </c>
      <c r="N188" s="5" t="str">
        <f t="shared" si="3"/>
        <v>Yes</v>
      </c>
      <c r="O188" s="7">
        <f t="shared" si="4"/>
        <v>3.2106481481481479E-2</v>
      </c>
    </row>
    <row r="189" spans="1:15" x14ac:dyDescent="0.25">
      <c r="A189" s="3" t="s">
        <v>80</v>
      </c>
      <c r="B189" s="3" t="s">
        <v>402</v>
      </c>
      <c r="C189" s="3" t="s">
        <v>16</v>
      </c>
      <c r="D189" s="3" t="s">
        <v>82</v>
      </c>
      <c r="E189" s="3" t="s">
        <v>83</v>
      </c>
      <c r="F189" s="3" t="s">
        <v>403</v>
      </c>
      <c r="G189" s="4">
        <v>45980</v>
      </c>
      <c r="H189" s="5">
        <f t="shared" si="0"/>
        <v>47</v>
      </c>
      <c r="I189" s="5">
        <f t="shared" si="1"/>
        <v>11</v>
      </c>
      <c r="J189" s="6">
        <f t="shared" si="2"/>
        <v>0.96711805555555552</v>
      </c>
      <c r="K189" s="5" t="str">
        <f t="shared" si="6"/>
        <v>(DS-IBBLR-Nagondanahalli )</v>
      </c>
      <c r="L189" s="5" t="e">
        <f t="array" aca="1" ref="L189" ca="1">_xludf.XLOOKUP(E189,'[1]Migrated Societies Data'!C:C,'[1]Migrated Societies Data'!B:B)</f>
        <v>#NAME?</v>
      </c>
      <c r="M189" s="5" t="e">
        <f t="array" aca="1" ref="M189" ca="1">_xludf.XLOOKUP(E189,'[1]Migrated Societies Data'!C:C,'[1]Migrated Societies Data'!E:E)</f>
        <v>#NAME?</v>
      </c>
      <c r="N189" s="5" t="str">
        <f t="shared" si="3"/>
        <v>Yes</v>
      </c>
      <c r="O189" s="7">
        <f t="shared" si="4"/>
        <v>0.98795138888888889</v>
      </c>
    </row>
    <row r="190" spans="1:15" x14ac:dyDescent="0.25">
      <c r="A190" s="3" t="s">
        <v>14</v>
      </c>
      <c r="B190" s="3" t="s">
        <v>404</v>
      </c>
      <c r="C190" s="3" t="s">
        <v>16</v>
      </c>
      <c r="D190" s="3" t="s">
        <v>17</v>
      </c>
      <c r="E190" s="3" t="s">
        <v>18</v>
      </c>
      <c r="F190" s="3" t="s">
        <v>405</v>
      </c>
      <c r="G190" s="4">
        <v>45980</v>
      </c>
      <c r="H190" s="5">
        <f t="shared" si="0"/>
        <v>47</v>
      </c>
      <c r="I190" s="5">
        <f t="shared" si="1"/>
        <v>11</v>
      </c>
      <c r="J190" s="6">
        <f t="shared" si="2"/>
        <v>4.0972222222222226E-3</v>
      </c>
      <c r="K190" s="5" t="str">
        <f t="shared" si="6"/>
        <v>(DS-IBBLR-Peenya PH-3)</v>
      </c>
      <c r="L190" s="5" t="e">
        <f t="array" aca="1" ref="L190" ca="1">_xludf.XLOOKUP(E190,'[1]Migrated Societies Data'!C:C,'[1]Migrated Societies Data'!B:B)</f>
        <v>#NAME?</v>
      </c>
      <c r="M190" s="5" t="e">
        <f t="array" aca="1" ref="M190" ca="1">_xludf.XLOOKUP(E190,'[1]Migrated Societies Data'!C:C,'[1]Migrated Societies Data'!E:E)</f>
        <v>#NAME?</v>
      </c>
      <c r="N190" s="5" t="str">
        <f t="shared" si="3"/>
        <v>Yes</v>
      </c>
      <c r="O190" s="7">
        <f t="shared" si="4"/>
        <v>2.4930555555555553E-2</v>
      </c>
    </row>
    <row r="191" spans="1:15" x14ac:dyDescent="0.25">
      <c r="A191" s="3" t="s">
        <v>342</v>
      </c>
      <c r="B191" s="3" t="s">
        <v>406</v>
      </c>
      <c r="C191" s="3" t="s">
        <v>33</v>
      </c>
      <c r="D191" s="3" t="s">
        <v>17</v>
      </c>
      <c r="E191" s="3" t="s">
        <v>344</v>
      </c>
      <c r="F191" s="3" t="s">
        <v>407</v>
      </c>
      <c r="G191" s="4">
        <v>45980</v>
      </c>
      <c r="H191" s="5">
        <f t="shared" si="0"/>
        <v>47</v>
      </c>
      <c r="I191" s="5">
        <f t="shared" si="1"/>
        <v>11</v>
      </c>
      <c r="J191" s="6">
        <f t="shared" si="2"/>
        <v>4.0567129629629627E-2</v>
      </c>
      <c r="K191" s="5" t="str">
        <f t="shared" si="6"/>
        <v>(DS-IBBLR-Chikkasandr)</v>
      </c>
      <c r="L191" s="5" t="e">
        <f t="array" aca="1" ref="L191" ca="1">_xludf.XLOOKUP(E191,'[1]Migrated Societies Data'!C:C,'[1]Migrated Societies Data'!B:B)</f>
        <v>#NAME?</v>
      </c>
      <c r="M191" s="5" t="e">
        <f t="array" aca="1" ref="M191" ca="1">_xludf.XLOOKUP(E191,'[1]Migrated Societies Data'!C:C,'[1]Migrated Societies Data'!E:E)</f>
        <v>#NAME?</v>
      </c>
      <c r="N191" s="5" t="str">
        <f t="shared" si="3"/>
        <v>Yes</v>
      </c>
      <c r="O191" s="7">
        <f t="shared" si="4"/>
        <v>6.1400462962962962E-2</v>
      </c>
    </row>
    <row r="192" spans="1:15" x14ac:dyDescent="0.25">
      <c r="A192" s="3" t="s">
        <v>331</v>
      </c>
      <c r="B192" s="3" t="s">
        <v>408</v>
      </c>
      <c r="C192" s="3" t="s">
        <v>16</v>
      </c>
      <c r="D192" s="3" t="s">
        <v>82</v>
      </c>
      <c r="E192" s="3" t="s">
        <v>333</v>
      </c>
      <c r="F192" s="3" t="s">
        <v>409</v>
      </c>
      <c r="G192" s="4">
        <v>45980</v>
      </c>
      <c r="H192" s="5">
        <f t="shared" si="0"/>
        <v>47</v>
      </c>
      <c r="I192" s="5">
        <f t="shared" si="1"/>
        <v>11</v>
      </c>
      <c r="J192" s="6">
        <f t="shared" si="2"/>
        <v>1.2048611111111111E-2</v>
      </c>
      <c r="K192" s="5" t="str">
        <f t="shared" si="6"/>
        <v>(DS-IBBLR-Attibele)</v>
      </c>
      <c r="L192" s="5" t="e">
        <f t="array" aca="1" ref="L192" ca="1">_xludf.XLOOKUP(E192,'[1]Migrated Societies Data'!C:C,'[1]Migrated Societies Data'!B:B)</f>
        <v>#NAME?</v>
      </c>
      <c r="M192" s="5" t="e">
        <f t="array" aca="1" ref="M192" ca="1">_xludf.XLOOKUP(E192,'[1]Migrated Societies Data'!C:C,'[1]Migrated Societies Data'!E:E)</f>
        <v>#NAME?</v>
      </c>
      <c r="N192" s="5" t="str">
        <f t="shared" si="3"/>
        <v>Yes</v>
      </c>
      <c r="O192" s="7">
        <f t="shared" si="4"/>
        <v>3.2881944444444443E-2</v>
      </c>
    </row>
    <row r="193" spans="1:15" x14ac:dyDescent="0.25">
      <c r="A193" s="3" t="s">
        <v>85</v>
      </c>
      <c r="B193" s="3" t="s">
        <v>410</v>
      </c>
      <c r="C193" s="3" t="s">
        <v>16</v>
      </c>
      <c r="D193" s="3" t="s">
        <v>82</v>
      </c>
      <c r="E193" s="3" t="s">
        <v>87</v>
      </c>
      <c r="F193" s="3" t="s">
        <v>411</v>
      </c>
      <c r="G193" s="4">
        <v>45980</v>
      </c>
      <c r="H193" s="5">
        <f t="shared" si="0"/>
        <v>47</v>
      </c>
      <c r="I193" s="5">
        <f t="shared" si="1"/>
        <v>11</v>
      </c>
      <c r="J193" s="6">
        <f t="shared" si="2"/>
        <v>0.98861111111111111</v>
      </c>
      <c r="K193" s="5" t="str">
        <f t="shared" si="6"/>
        <v>(DS-IBBLR-Budhigere )</v>
      </c>
      <c r="L193" s="5" t="e">
        <f t="array" aca="1" ref="L193" ca="1">_xludf.XLOOKUP(E193,'[1]Migrated Societies Data'!C:C,'[1]Migrated Societies Data'!B:B)</f>
        <v>#NAME?</v>
      </c>
      <c r="M193" s="5" t="e">
        <f t="array" aca="1" ref="M193" ca="1">_xludf.XLOOKUP(E193,'[1]Migrated Societies Data'!C:C,'[1]Migrated Societies Data'!E:E)</f>
        <v>#NAME?</v>
      </c>
      <c r="N193" s="5" t="str">
        <f t="shared" si="3"/>
        <v>Yes</v>
      </c>
      <c r="O193" s="7">
        <f t="shared" si="4"/>
        <v>9.4444444444443665E-3</v>
      </c>
    </row>
    <row r="194" spans="1:15" x14ac:dyDescent="0.25">
      <c r="A194" s="3" t="s">
        <v>331</v>
      </c>
      <c r="B194" s="3" t="s">
        <v>412</v>
      </c>
      <c r="C194" s="3" t="s">
        <v>16</v>
      </c>
      <c r="D194" s="3" t="s">
        <v>82</v>
      </c>
      <c r="E194" s="3" t="s">
        <v>333</v>
      </c>
      <c r="F194" s="3" t="s">
        <v>413</v>
      </c>
      <c r="G194" s="4">
        <v>45981</v>
      </c>
      <c r="H194" s="5">
        <f t="shared" si="0"/>
        <v>47</v>
      </c>
      <c r="I194" s="5">
        <f t="shared" si="1"/>
        <v>11</v>
      </c>
      <c r="J194" s="6">
        <f t="shared" si="2"/>
        <v>0.98250000000000004</v>
      </c>
      <c r="K194" s="5" t="str">
        <f t="shared" si="6"/>
        <v>(DS-IBBLR-Attibele)</v>
      </c>
      <c r="L194" s="5" t="e">
        <f t="array" aca="1" ref="L194" ca="1">_xludf.XLOOKUP(E194,'[1]Migrated Societies Data'!C:C,'[1]Migrated Societies Data'!B:B)</f>
        <v>#NAME?</v>
      </c>
      <c r="M194" s="5" t="e">
        <f t="array" aca="1" ref="M194" ca="1">_xludf.XLOOKUP(E194,'[1]Migrated Societies Data'!C:C,'[1]Migrated Societies Data'!E:E)</f>
        <v>#NAME?</v>
      </c>
      <c r="N194" s="5" t="str">
        <f t="shared" si="3"/>
        <v>Yes</v>
      </c>
      <c r="O194" s="7">
        <f t="shared" si="4"/>
        <v>3.3333333333334103E-3</v>
      </c>
    </row>
    <row r="195" spans="1:15" x14ac:dyDescent="0.25">
      <c r="A195" s="3" t="s">
        <v>80</v>
      </c>
      <c r="B195" s="3" t="s">
        <v>414</v>
      </c>
      <c r="C195" s="3" t="s">
        <v>16</v>
      </c>
      <c r="D195" s="3" t="s">
        <v>82</v>
      </c>
      <c r="E195" s="3" t="s">
        <v>83</v>
      </c>
      <c r="F195" s="3" t="s">
        <v>415</v>
      </c>
      <c r="G195" s="4">
        <v>45981</v>
      </c>
      <c r="H195" s="5">
        <f t="shared" si="0"/>
        <v>47</v>
      </c>
      <c r="I195" s="5">
        <f t="shared" si="1"/>
        <v>11</v>
      </c>
      <c r="J195" s="6">
        <f t="shared" si="2"/>
        <v>0.97092592592592597</v>
      </c>
      <c r="K195" s="5" t="str">
        <f t="shared" si="6"/>
        <v>(DS-IBBLR-Nagondanahalli )</v>
      </c>
      <c r="L195" s="5" t="e">
        <f t="array" aca="1" ref="L195" ca="1">_xludf.XLOOKUP(E195,'[1]Migrated Societies Data'!C:C,'[1]Migrated Societies Data'!B:B)</f>
        <v>#NAME?</v>
      </c>
      <c r="M195" s="5" t="e">
        <f t="array" aca="1" ref="M195" ca="1">_xludf.XLOOKUP(E195,'[1]Migrated Societies Data'!C:C,'[1]Migrated Societies Data'!E:E)</f>
        <v>#NAME?</v>
      </c>
      <c r="N195" s="5" t="str">
        <f t="shared" si="3"/>
        <v>Yes</v>
      </c>
      <c r="O195" s="7">
        <f t="shared" si="4"/>
        <v>0.99175925925925934</v>
      </c>
    </row>
    <row r="196" spans="1:15" x14ac:dyDescent="0.25">
      <c r="A196" s="3" t="s">
        <v>14</v>
      </c>
      <c r="B196" s="3" t="s">
        <v>416</v>
      </c>
      <c r="C196" s="3" t="s">
        <v>16</v>
      </c>
      <c r="D196" s="3" t="s">
        <v>17</v>
      </c>
      <c r="E196" s="3" t="s">
        <v>18</v>
      </c>
      <c r="F196" s="3" t="s">
        <v>417</v>
      </c>
      <c r="G196" s="4">
        <v>45981</v>
      </c>
      <c r="H196" s="5">
        <f t="shared" si="0"/>
        <v>47</v>
      </c>
      <c r="I196" s="5">
        <f t="shared" si="1"/>
        <v>11</v>
      </c>
      <c r="J196" s="6">
        <f t="shared" si="2"/>
        <v>3.4270833333333334E-2</v>
      </c>
      <c r="K196" s="5" t="str">
        <f t="shared" si="6"/>
        <v>(DS-IBBLR-Peenya PH-3)</v>
      </c>
      <c r="L196" s="5" t="e">
        <f t="array" aca="1" ref="L196" ca="1">_xludf.XLOOKUP(E196,'[1]Migrated Societies Data'!C:C,'[1]Migrated Societies Data'!B:B)</f>
        <v>#NAME?</v>
      </c>
      <c r="M196" s="5" t="e">
        <f t="array" aca="1" ref="M196" ca="1">_xludf.XLOOKUP(E196,'[1]Migrated Societies Data'!C:C,'[1]Migrated Societies Data'!E:E)</f>
        <v>#NAME?</v>
      </c>
      <c r="N196" s="5" t="str">
        <f t="shared" si="3"/>
        <v>Yes</v>
      </c>
      <c r="O196" s="7">
        <f t="shared" si="4"/>
        <v>5.5104166666666662E-2</v>
      </c>
    </row>
    <row r="197" spans="1:15" x14ac:dyDescent="0.25">
      <c r="A197" s="3" t="s">
        <v>85</v>
      </c>
      <c r="B197" s="3" t="s">
        <v>418</v>
      </c>
      <c r="C197" s="3" t="s">
        <v>16</v>
      </c>
      <c r="D197" s="3" t="s">
        <v>82</v>
      </c>
      <c r="E197" s="3" t="s">
        <v>87</v>
      </c>
      <c r="F197" s="3" t="s">
        <v>419</v>
      </c>
      <c r="G197" s="4">
        <v>45981</v>
      </c>
      <c r="H197" s="5">
        <f t="shared" si="0"/>
        <v>47</v>
      </c>
      <c r="I197" s="5">
        <f t="shared" si="1"/>
        <v>11</v>
      </c>
      <c r="J197" s="6">
        <f t="shared" si="2"/>
        <v>0.98765046296296299</v>
      </c>
      <c r="K197" s="5" t="str">
        <f t="shared" si="6"/>
        <v>(DS-IBBLR-Budhigere )</v>
      </c>
      <c r="L197" s="5" t="e">
        <f t="array" aca="1" ref="L197" ca="1">_xludf.XLOOKUP(E197,'[1]Migrated Societies Data'!C:C,'[1]Migrated Societies Data'!B:B)</f>
        <v>#NAME?</v>
      </c>
      <c r="M197" s="5" t="e">
        <f t="array" aca="1" ref="M197" ca="1">_xludf.XLOOKUP(E197,'[1]Migrated Societies Data'!C:C,'[1]Migrated Societies Data'!E:E)</f>
        <v>#NAME?</v>
      </c>
      <c r="N197" s="5" t="str">
        <f t="shared" si="3"/>
        <v>Yes</v>
      </c>
      <c r="O197" s="7">
        <f t="shared" si="4"/>
        <v>8.4837962962962532E-3</v>
      </c>
    </row>
    <row r="198" spans="1:15" x14ac:dyDescent="0.25">
      <c r="A198" s="3" t="s">
        <v>331</v>
      </c>
      <c r="B198" s="3" t="s">
        <v>420</v>
      </c>
      <c r="C198" s="3" t="s">
        <v>33</v>
      </c>
      <c r="D198" s="3" t="s">
        <v>82</v>
      </c>
      <c r="E198" s="3" t="s">
        <v>333</v>
      </c>
      <c r="F198" s="3" t="s">
        <v>421</v>
      </c>
      <c r="G198" s="4">
        <v>45982</v>
      </c>
      <c r="H198" s="5">
        <f t="shared" si="0"/>
        <v>47</v>
      </c>
      <c r="I198" s="5">
        <f t="shared" si="1"/>
        <v>11</v>
      </c>
      <c r="J198" s="6">
        <f t="shared" si="2"/>
        <v>0.98302083333333334</v>
      </c>
      <c r="K198" s="5" t="str">
        <f t="shared" si="6"/>
        <v>(DS-IBBLR-Attibele)</v>
      </c>
      <c r="L198" s="5" t="e">
        <f t="array" aca="1" ref="L198" ca="1">_xludf.XLOOKUP(E198,'[1]Migrated Societies Data'!C:C,'[1]Migrated Societies Data'!B:B)</f>
        <v>#NAME?</v>
      </c>
      <c r="M198" s="5" t="e">
        <f t="array" aca="1" ref="M198" ca="1">_xludf.XLOOKUP(E198,'[1]Migrated Societies Data'!C:C,'[1]Migrated Societies Data'!E:E)</f>
        <v>#NAME?</v>
      </c>
      <c r="N198" s="5" t="str">
        <f t="shared" si="3"/>
        <v>Yes</v>
      </c>
      <c r="O198" s="7">
        <f t="shared" si="4"/>
        <v>3.854166666666714E-3</v>
      </c>
    </row>
    <row r="199" spans="1:15" x14ac:dyDescent="0.25">
      <c r="A199" s="3" t="s">
        <v>85</v>
      </c>
      <c r="B199" s="3" t="s">
        <v>422</v>
      </c>
      <c r="C199" s="3" t="s">
        <v>16</v>
      </c>
      <c r="D199" s="3" t="s">
        <v>82</v>
      </c>
      <c r="E199" s="3" t="s">
        <v>87</v>
      </c>
      <c r="F199" s="3" t="s">
        <v>423</v>
      </c>
      <c r="G199" s="4">
        <v>45982</v>
      </c>
      <c r="H199" s="5">
        <f t="shared" si="0"/>
        <v>47</v>
      </c>
      <c r="I199" s="5">
        <f t="shared" si="1"/>
        <v>11</v>
      </c>
      <c r="J199" s="6">
        <f t="shared" si="2"/>
        <v>0.98138888888888887</v>
      </c>
      <c r="K199" s="5" t="str">
        <f t="shared" si="6"/>
        <v>(DS-IBBLR-Budhigere )</v>
      </c>
      <c r="L199" s="5" t="e">
        <f t="array" aca="1" ref="L199" ca="1">_xludf.XLOOKUP(E199,'[1]Migrated Societies Data'!C:C,'[1]Migrated Societies Data'!B:B)</f>
        <v>#NAME?</v>
      </c>
      <c r="M199" s="5" t="e">
        <f t="array" aca="1" ref="M199" ca="1">_xludf.XLOOKUP(E199,'[1]Migrated Societies Data'!C:C,'[1]Migrated Societies Data'!E:E)</f>
        <v>#NAME?</v>
      </c>
      <c r="N199" s="5" t="str">
        <f t="shared" si="3"/>
        <v>Yes</v>
      </c>
      <c r="O199" s="7">
        <f t="shared" si="4"/>
        <v>2.2222222222221255E-3</v>
      </c>
    </row>
    <row r="200" spans="1:15" x14ac:dyDescent="0.25">
      <c r="A200" s="3" t="s">
        <v>80</v>
      </c>
      <c r="B200" s="3" t="s">
        <v>424</v>
      </c>
      <c r="C200" s="3" t="s">
        <v>16</v>
      </c>
      <c r="D200" s="3" t="s">
        <v>82</v>
      </c>
      <c r="E200" s="3" t="s">
        <v>83</v>
      </c>
      <c r="F200" s="3" t="s">
        <v>425</v>
      </c>
      <c r="G200" s="4">
        <v>45982</v>
      </c>
      <c r="H200" s="5">
        <f t="shared" si="0"/>
        <v>47</v>
      </c>
      <c r="I200" s="5">
        <f t="shared" si="1"/>
        <v>11</v>
      </c>
      <c r="J200" s="6">
        <f t="shared" si="2"/>
        <v>0.99591435185185184</v>
      </c>
      <c r="K200" s="5" t="str">
        <f t="shared" si="6"/>
        <v>(DS-IBBLR-Nagondanahalli )</v>
      </c>
      <c r="L200" s="5" t="e">
        <f t="array" aca="1" ref="L200" ca="1">_xludf.XLOOKUP(E200,'[1]Migrated Societies Data'!C:C,'[1]Migrated Societies Data'!B:B)</f>
        <v>#NAME?</v>
      </c>
      <c r="M200" s="5" t="e">
        <f t="array" aca="1" ref="M200" ca="1">_xludf.XLOOKUP(E200,'[1]Migrated Societies Data'!C:C,'[1]Migrated Societies Data'!E:E)</f>
        <v>#NAME?</v>
      </c>
      <c r="N200" s="5" t="str">
        <f t="shared" si="3"/>
        <v>Yes</v>
      </c>
      <c r="O200" s="7">
        <f t="shared" si="4"/>
        <v>1.6747685185185102E-2</v>
      </c>
    </row>
    <row r="201" spans="1:15" x14ac:dyDescent="0.25">
      <c r="A201" s="3" t="s">
        <v>14</v>
      </c>
      <c r="B201" s="3" t="s">
        <v>426</v>
      </c>
      <c r="C201" s="3" t="s">
        <v>16</v>
      </c>
      <c r="D201" s="3" t="s">
        <v>17</v>
      </c>
      <c r="E201" s="3" t="s">
        <v>18</v>
      </c>
      <c r="F201" s="3" t="s">
        <v>427</v>
      </c>
      <c r="G201" s="4">
        <v>45982</v>
      </c>
      <c r="H201" s="5">
        <f t="shared" si="0"/>
        <v>47</v>
      </c>
      <c r="I201" s="5">
        <f t="shared" si="1"/>
        <v>11</v>
      </c>
      <c r="J201" s="6">
        <f t="shared" si="2"/>
        <v>2.1238425925925924E-2</v>
      </c>
      <c r="K201" s="5" t="str">
        <f t="shared" si="6"/>
        <v>(DS-IBBLR-Peenya PH-3)</v>
      </c>
      <c r="L201" s="5" t="e">
        <f t="array" aca="1" ref="L201" ca="1">_xludf.XLOOKUP(E201,'[1]Migrated Societies Data'!C:C,'[1]Migrated Societies Data'!B:B)</f>
        <v>#NAME?</v>
      </c>
      <c r="M201" s="5" t="e">
        <f t="array" aca="1" ref="M201" ca="1">_xludf.XLOOKUP(E201,'[1]Migrated Societies Data'!C:C,'[1]Migrated Societies Data'!E:E)</f>
        <v>#NAME?</v>
      </c>
      <c r="N201" s="5" t="str">
        <f t="shared" si="3"/>
        <v>Yes</v>
      </c>
      <c r="O201" s="7">
        <f t="shared" si="4"/>
        <v>4.2071759259259253E-2</v>
      </c>
    </row>
    <row r="202" spans="1:15" x14ac:dyDescent="0.25">
      <c r="A202" s="3" t="s">
        <v>331</v>
      </c>
      <c r="B202" s="3" t="s">
        <v>428</v>
      </c>
      <c r="C202" s="3" t="s">
        <v>16</v>
      </c>
      <c r="D202" s="3" t="s">
        <v>82</v>
      </c>
      <c r="E202" s="3" t="s">
        <v>333</v>
      </c>
      <c r="F202" s="3" t="s">
        <v>429</v>
      </c>
      <c r="G202" s="4">
        <v>45983</v>
      </c>
      <c r="H202" s="5">
        <f t="shared" si="0"/>
        <v>47</v>
      </c>
      <c r="I202" s="5">
        <f t="shared" si="1"/>
        <v>11</v>
      </c>
      <c r="J202" s="6">
        <f t="shared" si="2"/>
        <v>0.99557870370370372</v>
      </c>
      <c r="K202" s="5" t="str">
        <f t="shared" si="6"/>
        <v>(DS-IBBLR-Attibele)</v>
      </c>
      <c r="L202" s="5" t="e">
        <f t="array" aca="1" ref="L202" ca="1">_xludf.XLOOKUP(E202,'[1]Migrated Societies Data'!C:C,'[1]Migrated Societies Data'!B:B)</f>
        <v>#NAME?</v>
      </c>
      <c r="M202" s="5" t="e">
        <f t="array" aca="1" ref="M202" ca="1">_xludf.XLOOKUP(E202,'[1]Migrated Societies Data'!C:C,'[1]Migrated Societies Data'!E:E)</f>
        <v>#NAME?</v>
      </c>
      <c r="N202" s="5" t="str">
        <f t="shared" si="3"/>
        <v>Yes</v>
      </c>
      <c r="O202" s="7">
        <f t="shared" si="4"/>
        <v>1.6412037037037086E-2</v>
      </c>
    </row>
    <row r="203" spans="1:15" x14ac:dyDescent="0.25">
      <c r="A203" s="3" t="s">
        <v>80</v>
      </c>
      <c r="B203" s="3" t="s">
        <v>430</v>
      </c>
      <c r="C203" s="3" t="s">
        <v>16</v>
      </c>
      <c r="D203" s="3" t="s">
        <v>82</v>
      </c>
      <c r="E203" s="3" t="s">
        <v>83</v>
      </c>
      <c r="F203" s="3" t="s">
        <v>431</v>
      </c>
      <c r="G203" s="4">
        <v>45983</v>
      </c>
      <c r="H203" s="5">
        <f t="shared" si="0"/>
        <v>47</v>
      </c>
      <c r="I203" s="5">
        <f t="shared" si="1"/>
        <v>11</v>
      </c>
      <c r="J203" s="6">
        <f t="shared" si="2"/>
        <v>0.96865740740740736</v>
      </c>
      <c r="K203" s="5" t="str">
        <f t="shared" si="6"/>
        <v>(DS-IBBLR-Nagondanahalli )</v>
      </c>
      <c r="L203" s="5" t="e">
        <f t="array" aca="1" ref="L203" ca="1">_xludf.XLOOKUP(E203,'[1]Migrated Societies Data'!C:C,'[1]Migrated Societies Data'!B:B)</f>
        <v>#NAME?</v>
      </c>
      <c r="M203" s="5" t="e">
        <f t="array" aca="1" ref="M203" ca="1">_xludf.XLOOKUP(E203,'[1]Migrated Societies Data'!C:C,'[1]Migrated Societies Data'!E:E)</f>
        <v>#NAME?</v>
      </c>
      <c r="N203" s="5" t="str">
        <f t="shared" si="3"/>
        <v>Yes</v>
      </c>
      <c r="O203" s="7">
        <f t="shared" si="4"/>
        <v>0.98949074074074073</v>
      </c>
    </row>
    <row r="204" spans="1:15" x14ac:dyDescent="0.25">
      <c r="A204" s="3" t="s">
        <v>85</v>
      </c>
      <c r="B204" s="3" t="s">
        <v>432</v>
      </c>
      <c r="C204" s="3" t="s">
        <v>16</v>
      </c>
      <c r="D204" s="3" t="s">
        <v>82</v>
      </c>
      <c r="E204" s="3" t="s">
        <v>87</v>
      </c>
      <c r="F204" s="3" t="s">
        <v>433</v>
      </c>
      <c r="G204" s="4">
        <v>45983</v>
      </c>
      <c r="H204" s="5">
        <f t="shared" si="0"/>
        <v>47</v>
      </c>
      <c r="I204" s="5">
        <f t="shared" si="1"/>
        <v>11</v>
      </c>
      <c r="J204" s="6">
        <f t="shared" si="2"/>
        <v>0.9801157407407407</v>
      </c>
      <c r="K204" s="5" t="str">
        <f t="shared" si="6"/>
        <v>(DS-IBBLR-Budhigere )</v>
      </c>
      <c r="L204" s="5" t="e">
        <f t="array" aca="1" ref="L204" ca="1">_xludf.XLOOKUP(E204,'[1]Migrated Societies Data'!C:C,'[1]Migrated Societies Data'!B:B)</f>
        <v>#NAME?</v>
      </c>
      <c r="M204" s="5" t="e">
        <f t="array" aca="1" ref="M204" ca="1">_xludf.XLOOKUP(E204,'[1]Migrated Societies Data'!C:C,'[1]Migrated Societies Data'!E:E)</f>
        <v>#NAME?</v>
      </c>
      <c r="N204" s="5" t="str">
        <f t="shared" si="3"/>
        <v>Yes</v>
      </c>
      <c r="O204" s="7">
        <f t="shared" si="4"/>
        <v>9.490740740740744E-4</v>
      </c>
    </row>
    <row r="205" spans="1:15" x14ac:dyDescent="0.25">
      <c r="A205" s="3" t="s">
        <v>14</v>
      </c>
      <c r="B205" s="3" t="s">
        <v>434</v>
      </c>
      <c r="C205" s="3" t="s">
        <v>16</v>
      </c>
      <c r="D205" s="3" t="s">
        <v>17</v>
      </c>
      <c r="E205" s="3" t="s">
        <v>18</v>
      </c>
      <c r="F205" s="3" t="s">
        <v>435</v>
      </c>
      <c r="G205" s="4">
        <v>45983</v>
      </c>
      <c r="H205" s="5">
        <f t="shared" si="0"/>
        <v>47</v>
      </c>
      <c r="I205" s="5">
        <f t="shared" si="1"/>
        <v>11</v>
      </c>
      <c r="J205" s="6">
        <f t="shared" si="2"/>
        <v>1.6400462962962964E-2</v>
      </c>
      <c r="K205" s="5" t="str">
        <f t="shared" si="6"/>
        <v>(DS-IBBLR-Peenya PH-3)</v>
      </c>
      <c r="L205" s="5" t="e">
        <f t="array" aca="1" ref="L205" ca="1">_xludf.XLOOKUP(E205,'[1]Migrated Societies Data'!C:C,'[1]Migrated Societies Data'!B:B)</f>
        <v>#NAME?</v>
      </c>
      <c r="M205" s="5" t="e">
        <f t="array" aca="1" ref="M205" ca="1">_xludf.XLOOKUP(E205,'[1]Migrated Societies Data'!C:C,'[1]Migrated Societies Data'!E:E)</f>
        <v>#NAME?</v>
      </c>
      <c r="N205" s="5" t="str">
        <f t="shared" si="3"/>
        <v>Yes</v>
      </c>
      <c r="O205" s="7">
        <f t="shared" si="4"/>
        <v>3.7233796296296293E-2</v>
      </c>
    </row>
    <row r="206" spans="1:15" x14ac:dyDescent="0.25">
      <c r="A206" s="3" t="s">
        <v>331</v>
      </c>
      <c r="B206" s="3" t="s">
        <v>436</v>
      </c>
      <c r="C206" s="3" t="s">
        <v>16</v>
      </c>
      <c r="D206" s="3" t="s">
        <v>82</v>
      </c>
      <c r="E206" s="3" t="s">
        <v>333</v>
      </c>
      <c r="F206" s="3" t="s">
        <v>437</v>
      </c>
      <c r="G206" s="4">
        <v>45984</v>
      </c>
      <c r="H206" s="5">
        <f t="shared" si="0"/>
        <v>47</v>
      </c>
      <c r="I206" s="5">
        <f t="shared" si="1"/>
        <v>11</v>
      </c>
      <c r="J206" s="6">
        <f t="shared" si="2"/>
        <v>0.98940972222222223</v>
      </c>
      <c r="K206" s="5" t="str">
        <f t="shared" si="6"/>
        <v>(DS-IBBLR-Attibele)</v>
      </c>
      <c r="L206" s="5" t="e">
        <f t="array" aca="1" ref="L206" ca="1">_xludf.XLOOKUP(E206,'[1]Migrated Societies Data'!C:C,'[1]Migrated Societies Data'!B:B)</f>
        <v>#NAME?</v>
      </c>
      <c r="M206" s="5" t="e">
        <f t="array" aca="1" ref="M206" ca="1">_xludf.XLOOKUP(E206,'[1]Migrated Societies Data'!C:C,'[1]Migrated Societies Data'!E:E)</f>
        <v>#NAME?</v>
      </c>
      <c r="N206" s="5" t="str">
        <f t="shared" si="3"/>
        <v>Yes</v>
      </c>
      <c r="O206" s="7">
        <f t="shared" si="4"/>
        <v>1.0243055555555491E-2</v>
      </c>
    </row>
    <row r="207" spans="1:15" x14ac:dyDescent="0.25">
      <c r="A207" s="3" t="s">
        <v>80</v>
      </c>
      <c r="B207" s="3" t="s">
        <v>438</v>
      </c>
      <c r="C207" s="3" t="s">
        <v>16</v>
      </c>
      <c r="D207" s="3" t="s">
        <v>82</v>
      </c>
      <c r="E207" s="3" t="s">
        <v>83</v>
      </c>
      <c r="F207" s="3" t="s">
        <v>439</v>
      </c>
      <c r="G207" s="4">
        <v>45984</v>
      </c>
      <c r="H207" s="5">
        <f t="shared" si="0"/>
        <v>47</v>
      </c>
      <c r="I207" s="5">
        <f t="shared" si="1"/>
        <v>11</v>
      </c>
      <c r="J207" s="6">
        <f t="shared" si="2"/>
        <v>0.97474537037037035</v>
      </c>
      <c r="K207" s="5" t="str">
        <f t="shared" si="6"/>
        <v>(DS-IBBLR-Nagondanahalli )</v>
      </c>
      <c r="L207" s="5" t="e">
        <f t="array" aca="1" ref="L207" ca="1">_xludf.XLOOKUP(E207,'[1]Migrated Societies Data'!C:C,'[1]Migrated Societies Data'!B:B)</f>
        <v>#NAME?</v>
      </c>
      <c r="M207" s="5" t="e">
        <f t="array" aca="1" ref="M207" ca="1">_xludf.XLOOKUP(E207,'[1]Migrated Societies Data'!C:C,'[1]Migrated Societies Data'!E:E)</f>
        <v>#NAME?</v>
      </c>
      <c r="N207" s="5" t="str">
        <f t="shared" si="3"/>
        <v>Yes</v>
      </c>
      <c r="O207" s="7">
        <f t="shared" si="4"/>
        <v>0.99557870370370372</v>
      </c>
    </row>
    <row r="208" spans="1:15" x14ac:dyDescent="0.25">
      <c r="A208" s="3" t="s">
        <v>14</v>
      </c>
      <c r="B208" s="3" t="s">
        <v>440</v>
      </c>
      <c r="C208" s="3" t="s">
        <v>16</v>
      </c>
      <c r="D208" s="3" t="s">
        <v>17</v>
      </c>
      <c r="E208" s="3" t="s">
        <v>18</v>
      </c>
      <c r="F208" s="3" t="s">
        <v>441</v>
      </c>
      <c r="G208" s="4">
        <v>45984</v>
      </c>
      <c r="H208" s="5">
        <f t="shared" si="0"/>
        <v>47</v>
      </c>
      <c r="I208" s="5">
        <f t="shared" si="1"/>
        <v>11</v>
      </c>
      <c r="J208" s="6">
        <f t="shared" si="2"/>
        <v>8.4490740740740741E-3</v>
      </c>
      <c r="K208" s="5" t="str">
        <f t="shared" si="6"/>
        <v>(DS-IBBLR-Peenya PH-3)</v>
      </c>
      <c r="L208" s="5" t="e">
        <f t="array" aca="1" ref="L208" ca="1">_xludf.XLOOKUP(E208,'[1]Migrated Societies Data'!C:C,'[1]Migrated Societies Data'!B:B)</f>
        <v>#NAME?</v>
      </c>
      <c r="M208" s="5" t="e">
        <f t="array" aca="1" ref="M208" ca="1">_xludf.XLOOKUP(E208,'[1]Migrated Societies Data'!C:C,'[1]Migrated Societies Data'!E:E)</f>
        <v>#NAME?</v>
      </c>
      <c r="N208" s="5" t="str">
        <f t="shared" si="3"/>
        <v>Yes</v>
      </c>
      <c r="O208" s="7">
        <f t="shared" si="4"/>
        <v>2.9282407407407406E-2</v>
      </c>
    </row>
    <row r="209" spans="1:15" x14ac:dyDescent="0.25">
      <c r="A209" s="3" t="s">
        <v>442</v>
      </c>
      <c r="B209" s="3" t="s">
        <v>443</v>
      </c>
      <c r="C209" s="3" t="s">
        <v>16</v>
      </c>
      <c r="D209" s="3" t="s">
        <v>82</v>
      </c>
      <c r="E209" s="3" t="s">
        <v>444</v>
      </c>
      <c r="F209" s="3" t="s">
        <v>445</v>
      </c>
      <c r="G209" s="4">
        <v>45986</v>
      </c>
      <c r="H209" s="5">
        <f t="shared" si="0"/>
        <v>48</v>
      </c>
      <c r="I209" s="5">
        <f t="shared" si="1"/>
        <v>11</v>
      </c>
      <c r="J209" s="6">
        <f t="shared" si="2"/>
        <v>0.95996527777777774</v>
      </c>
      <c r="K209" s="5" t="str">
        <f t="shared" si="6"/>
        <v>(DS-IBBLR-Chinappalay)</v>
      </c>
      <c r="L209" s="5" t="e">
        <f t="array" aca="1" ref="L209" ca="1">_xludf.XLOOKUP(E209,'[1]Migrated Societies Data'!C:C,'[1]Migrated Societies Data'!B:B)</f>
        <v>#NAME?</v>
      </c>
      <c r="M209" s="5" t="e">
        <f t="array" aca="1" ref="M209" ca="1">_xludf.XLOOKUP(E209,'[1]Migrated Societies Data'!C:C,'[1]Migrated Societies Data'!E:E)</f>
        <v>#NAME?</v>
      </c>
      <c r="N209" s="5" t="str">
        <f t="shared" si="3"/>
        <v>Yes</v>
      </c>
      <c r="O209" s="7">
        <f t="shared" si="4"/>
        <v>0.98079861111111111</v>
      </c>
    </row>
    <row r="210" spans="1:15" x14ac:dyDescent="0.25">
      <c r="A210" s="3" t="s">
        <v>446</v>
      </c>
      <c r="B210" s="3" t="s">
        <v>447</v>
      </c>
      <c r="C210" s="3" t="s">
        <v>16</v>
      </c>
      <c r="D210" s="3" t="s">
        <v>82</v>
      </c>
      <c r="E210" s="3" t="s">
        <v>448</v>
      </c>
      <c r="F210" s="3" t="s">
        <v>449</v>
      </c>
      <c r="G210" s="4">
        <v>45986</v>
      </c>
      <c r="H210" s="5">
        <f t="shared" si="0"/>
        <v>48</v>
      </c>
      <c r="I210" s="5">
        <f t="shared" si="1"/>
        <v>11</v>
      </c>
      <c r="J210" s="6">
        <f t="shared" si="2"/>
        <v>0.9877893518518519</v>
      </c>
      <c r="K210" s="5" t="str">
        <f t="shared" si="6"/>
        <v>(DS-IBBLR-Jigani)</v>
      </c>
      <c r="L210" s="5" t="e">
        <f t="array" aca="1" ref="L210" ca="1">_xludf.XLOOKUP(E210,'[1]Migrated Societies Data'!C:C,'[1]Migrated Societies Data'!B:B)</f>
        <v>#NAME?</v>
      </c>
      <c r="M210" s="5" t="e">
        <f t="array" aca="1" ref="M210" ca="1">_xludf.XLOOKUP(E210,'[1]Migrated Societies Data'!C:C,'[1]Migrated Societies Data'!E:E)</f>
        <v>#NAME?</v>
      </c>
      <c r="N210" s="5" t="str">
        <f t="shared" si="3"/>
        <v>Yes</v>
      </c>
      <c r="O210" s="7">
        <f t="shared" si="4"/>
        <v>8.6226851851851638E-3</v>
      </c>
    </row>
    <row r="211" spans="1:15" x14ac:dyDescent="0.25">
      <c r="A211" s="3" t="s">
        <v>331</v>
      </c>
      <c r="B211" s="3" t="s">
        <v>450</v>
      </c>
      <c r="C211" s="3" t="s">
        <v>16</v>
      </c>
      <c r="D211" s="3" t="s">
        <v>82</v>
      </c>
      <c r="E211" s="3" t="s">
        <v>333</v>
      </c>
      <c r="F211" s="3" t="s">
        <v>451</v>
      </c>
      <c r="G211" s="4">
        <v>45986</v>
      </c>
      <c r="H211" s="5">
        <f t="shared" si="0"/>
        <v>48</v>
      </c>
      <c r="I211" s="5">
        <f t="shared" si="1"/>
        <v>11</v>
      </c>
      <c r="J211" s="6">
        <f t="shared" si="2"/>
        <v>0.99263888888888885</v>
      </c>
      <c r="K211" s="5" t="str">
        <f t="shared" si="6"/>
        <v>(DS-IBBLR-Attibele)</v>
      </c>
      <c r="L211" s="5" t="e">
        <f t="array" aca="1" ref="L211" ca="1">_xludf.XLOOKUP(E211,'[1]Migrated Societies Data'!C:C,'[1]Migrated Societies Data'!B:B)</f>
        <v>#NAME?</v>
      </c>
      <c r="M211" s="5" t="e">
        <f t="array" aca="1" ref="M211" ca="1">_xludf.XLOOKUP(E211,'[1]Migrated Societies Data'!C:C,'[1]Migrated Societies Data'!E:E)</f>
        <v>#NAME?</v>
      </c>
      <c r="N211" s="5" t="str">
        <f t="shared" si="3"/>
        <v>Yes</v>
      </c>
      <c r="O211" s="7">
        <f t="shared" si="4"/>
        <v>1.3472222222222108E-2</v>
      </c>
    </row>
    <row r="212" spans="1:15" x14ac:dyDescent="0.25">
      <c r="A212" s="3" t="s">
        <v>85</v>
      </c>
      <c r="B212" s="3" t="s">
        <v>452</v>
      </c>
      <c r="C212" s="3" t="s">
        <v>16</v>
      </c>
      <c r="D212" s="3" t="s">
        <v>82</v>
      </c>
      <c r="E212" s="3" t="s">
        <v>87</v>
      </c>
      <c r="F212" s="3" t="s">
        <v>453</v>
      </c>
      <c r="G212" s="4">
        <v>45986</v>
      </c>
      <c r="H212" s="5">
        <f t="shared" si="0"/>
        <v>48</v>
      </c>
      <c r="I212" s="5">
        <f t="shared" si="1"/>
        <v>11</v>
      </c>
      <c r="J212" s="6">
        <f t="shared" si="2"/>
        <v>0.96861111111111109</v>
      </c>
      <c r="K212" s="5" t="str">
        <f t="shared" si="6"/>
        <v>(DS-IBBLR-Budhigere )</v>
      </c>
      <c r="L212" s="5" t="e">
        <f t="array" aca="1" ref="L212" ca="1">_xludf.XLOOKUP(E212,'[1]Migrated Societies Data'!C:C,'[1]Migrated Societies Data'!B:B)</f>
        <v>#NAME?</v>
      </c>
      <c r="M212" s="5" t="e">
        <f t="array" aca="1" ref="M212" ca="1">_xludf.XLOOKUP(E212,'[1]Migrated Societies Data'!C:C,'[1]Migrated Societies Data'!E:E)</f>
        <v>#NAME?</v>
      </c>
      <c r="N212" s="5" t="str">
        <f t="shared" si="3"/>
        <v>Yes</v>
      </c>
      <c r="O212" s="7">
        <f t="shared" si="4"/>
        <v>0.98944444444444446</v>
      </c>
    </row>
    <row r="213" spans="1:15" x14ac:dyDescent="0.25">
      <c r="A213" s="3" t="s">
        <v>80</v>
      </c>
      <c r="B213" s="3" t="s">
        <v>454</v>
      </c>
      <c r="C213" s="3" t="s">
        <v>16</v>
      </c>
      <c r="D213" s="3" t="s">
        <v>82</v>
      </c>
      <c r="E213" s="3" t="s">
        <v>83</v>
      </c>
      <c r="F213" s="3" t="s">
        <v>455</v>
      </c>
      <c r="G213" s="4">
        <v>45986</v>
      </c>
      <c r="H213" s="5">
        <f t="shared" si="0"/>
        <v>48</v>
      </c>
      <c r="I213" s="5">
        <f t="shared" si="1"/>
        <v>11</v>
      </c>
      <c r="J213" s="6">
        <f t="shared" si="2"/>
        <v>0.99239583333333337</v>
      </c>
      <c r="K213" s="5" t="str">
        <f t="shared" si="6"/>
        <v>(DS-IBBLR-Nagondanahalli )</v>
      </c>
      <c r="L213" s="5" t="e">
        <f t="array" aca="1" ref="L213" ca="1">_xludf.XLOOKUP(E213,'[1]Migrated Societies Data'!C:C,'[1]Migrated Societies Data'!B:B)</f>
        <v>#NAME?</v>
      </c>
      <c r="M213" s="5" t="e">
        <f t="array" aca="1" ref="M213" ca="1">_xludf.XLOOKUP(E213,'[1]Migrated Societies Data'!C:C,'[1]Migrated Societies Data'!E:E)</f>
        <v>#NAME?</v>
      </c>
      <c r="N213" s="5" t="str">
        <f t="shared" si="3"/>
        <v>Yes</v>
      </c>
      <c r="O213" s="7">
        <f t="shared" si="4"/>
        <v>1.3229166666666625E-2</v>
      </c>
    </row>
    <row r="214" spans="1:15" x14ac:dyDescent="0.25">
      <c r="A214" s="3" t="s">
        <v>456</v>
      </c>
      <c r="B214" s="3" t="s">
        <v>457</v>
      </c>
      <c r="C214" s="3" t="s">
        <v>16</v>
      </c>
      <c r="D214" s="3" t="s">
        <v>82</v>
      </c>
      <c r="E214" s="3" t="s">
        <v>458</v>
      </c>
      <c r="F214" s="3" t="s">
        <v>459</v>
      </c>
      <c r="G214" s="4">
        <v>45986</v>
      </c>
      <c r="H214" s="5">
        <f t="shared" si="0"/>
        <v>48</v>
      </c>
      <c r="I214" s="5">
        <f t="shared" si="1"/>
        <v>11</v>
      </c>
      <c r="J214" s="6">
        <f t="shared" si="2"/>
        <v>3.8842592592592595E-2</v>
      </c>
      <c r="K214" s="5" t="str">
        <f t="shared" si="6"/>
        <v>(DS-IBBLR-Jakkasandra)</v>
      </c>
      <c r="L214" s="5" t="e">
        <f t="array" aca="1" ref="L214" ca="1">_xludf.XLOOKUP(E214,'[1]Migrated Societies Data'!C:C,'[1]Migrated Societies Data'!B:B)</f>
        <v>#NAME?</v>
      </c>
      <c r="M214" s="5" t="e">
        <f t="array" aca="1" ref="M214" ca="1">_xludf.XLOOKUP(E214,'[1]Migrated Societies Data'!C:C,'[1]Migrated Societies Data'!E:E)</f>
        <v>#NAME?</v>
      </c>
      <c r="N214" s="5" t="str">
        <f t="shared" si="3"/>
        <v>Yes</v>
      </c>
      <c r="O214" s="7">
        <f t="shared" si="4"/>
        <v>5.9675925925925924E-2</v>
      </c>
    </row>
    <row r="215" spans="1:15" x14ac:dyDescent="0.25">
      <c r="A215" s="3" t="s">
        <v>460</v>
      </c>
      <c r="B215" s="3" t="s">
        <v>461</v>
      </c>
      <c r="C215" s="3" t="s">
        <v>16</v>
      </c>
      <c r="D215" s="3" t="s">
        <v>82</v>
      </c>
      <c r="E215" s="3" t="s">
        <v>462</v>
      </c>
      <c r="F215" s="3" t="s">
        <v>463</v>
      </c>
      <c r="G215" s="4">
        <v>45986</v>
      </c>
      <c r="H215" s="5">
        <f t="shared" si="0"/>
        <v>48</v>
      </c>
      <c r="I215" s="5">
        <f t="shared" si="1"/>
        <v>11</v>
      </c>
      <c r="J215" s="6">
        <f t="shared" si="2"/>
        <v>0.99791666666666667</v>
      </c>
      <c r="K215" s="5" t="str">
        <f t="shared" si="6"/>
        <v>(DS-IBBLR-HAL )</v>
      </c>
      <c r="L215" s="5" t="e">
        <f t="array" aca="1" ref="L215" ca="1">_xludf.XLOOKUP(E215,'[1]Migrated Societies Data'!C:C,'[1]Migrated Societies Data'!B:B)</f>
        <v>#NAME?</v>
      </c>
      <c r="M215" s="5" t="e">
        <f t="array" aca="1" ref="M215" ca="1">_xludf.XLOOKUP(E215,'[1]Migrated Societies Data'!C:C,'[1]Migrated Societies Data'!E:E)</f>
        <v>#NAME?</v>
      </c>
      <c r="N215" s="5" t="str">
        <f t="shared" si="3"/>
        <v>Yes</v>
      </c>
      <c r="O215" s="7">
        <f t="shared" si="4"/>
        <v>1.8750000000000044E-2</v>
      </c>
    </row>
    <row r="216" spans="1:15" x14ac:dyDescent="0.25">
      <c r="A216" s="3" t="s">
        <v>464</v>
      </c>
      <c r="B216" s="3" t="s">
        <v>465</v>
      </c>
      <c r="C216" s="3" t="s">
        <v>16</v>
      </c>
      <c r="D216" s="3" t="s">
        <v>82</v>
      </c>
      <c r="E216" s="3" t="s">
        <v>466</v>
      </c>
      <c r="F216" s="3" t="s">
        <v>467</v>
      </c>
      <c r="G216" s="4">
        <v>45986</v>
      </c>
      <c r="H216" s="5">
        <f t="shared" si="0"/>
        <v>48</v>
      </c>
      <c r="I216" s="5">
        <f t="shared" si="1"/>
        <v>11</v>
      </c>
      <c r="J216" s="6">
        <f t="shared" si="2"/>
        <v>7.3148148148148148E-3</v>
      </c>
      <c r="K216" s="5" t="str">
        <f t="shared" si="6"/>
        <v>(DS-IBBLR-Kallahalli )</v>
      </c>
      <c r="L216" s="5" t="e">
        <f t="array" aca="1" ref="L216" ca="1">_xludf.XLOOKUP(E216,'[1]Migrated Societies Data'!C:C,'[1]Migrated Societies Data'!B:B)</f>
        <v>#NAME?</v>
      </c>
      <c r="M216" s="5" t="e">
        <f t="array" aca="1" ref="M216" ca="1">_xludf.XLOOKUP(E216,'[1]Migrated Societies Data'!C:C,'[1]Migrated Societies Data'!E:E)</f>
        <v>#NAME?</v>
      </c>
      <c r="N216" s="5" t="str">
        <f t="shared" si="3"/>
        <v>Yes</v>
      </c>
      <c r="O216" s="7">
        <f t="shared" si="4"/>
        <v>2.8148148148148148E-2</v>
      </c>
    </row>
    <row r="217" spans="1:15" x14ac:dyDescent="0.25">
      <c r="A217" s="3" t="s">
        <v>468</v>
      </c>
      <c r="B217" s="3" t="s">
        <v>469</v>
      </c>
      <c r="C217" s="3" t="s">
        <v>16</v>
      </c>
      <c r="D217" s="3" t="s">
        <v>17</v>
      </c>
      <c r="E217" s="3" t="s">
        <v>470</v>
      </c>
      <c r="F217" s="3" t="s">
        <v>471</v>
      </c>
      <c r="G217" s="4">
        <v>45986</v>
      </c>
      <c r="H217" s="5">
        <f t="shared" si="0"/>
        <v>48</v>
      </c>
      <c r="I217" s="5">
        <f t="shared" si="1"/>
        <v>11</v>
      </c>
      <c r="J217" s="6">
        <f t="shared" si="2"/>
        <v>1.1851851851851851E-2</v>
      </c>
      <c r="K217" s="5" t="str">
        <f t="shared" si="6"/>
        <v>(DS-BNBLR-HRBR)</v>
      </c>
      <c r="L217" s="5" t="e">
        <f t="array" aca="1" ref="L217" ca="1">_xludf.XLOOKUP(E217,'[1]Migrated Societies Data'!C:C,'[1]Migrated Societies Data'!B:B)</f>
        <v>#NAME?</v>
      </c>
      <c r="M217" s="5" t="e">
        <f t="array" aca="1" ref="M217" ca="1">_xludf.XLOOKUP(E217,'[1]Migrated Societies Data'!C:C,'[1]Migrated Societies Data'!E:E)</f>
        <v>#NAME?</v>
      </c>
      <c r="N217" s="5" t="str">
        <f t="shared" si="3"/>
        <v>Yes</v>
      </c>
      <c r="O217" s="7">
        <f t="shared" si="4"/>
        <v>3.2685185185185185E-2</v>
      </c>
    </row>
    <row r="218" spans="1:15" x14ac:dyDescent="0.25">
      <c r="A218" s="3" t="s">
        <v>472</v>
      </c>
      <c r="B218" s="3" t="s">
        <v>473</v>
      </c>
      <c r="C218" s="3" t="s">
        <v>16</v>
      </c>
      <c r="D218" s="3" t="s">
        <v>17</v>
      </c>
      <c r="E218" s="3" t="s">
        <v>474</v>
      </c>
      <c r="F218" s="3" t="s">
        <v>475</v>
      </c>
      <c r="G218" s="4">
        <v>45986</v>
      </c>
      <c r="H218" s="5">
        <f t="shared" si="0"/>
        <v>48</v>
      </c>
      <c r="I218" s="5">
        <f t="shared" si="1"/>
        <v>11</v>
      </c>
      <c r="J218" s="6">
        <f t="shared" si="2"/>
        <v>5.8252314814814812E-2</v>
      </c>
      <c r="K218" s="5" t="str">
        <f t="shared" si="6"/>
        <v>(DS-IBBLR-Lingarajapu)</v>
      </c>
      <c r="L218" s="5" t="e">
        <f t="array" aca="1" ref="L218" ca="1">_xludf.XLOOKUP(E218,'[1]Migrated Societies Data'!C:C,'[1]Migrated Societies Data'!B:B)</f>
        <v>#NAME?</v>
      </c>
      <c r="M218" s="5" t="e">
        <f t="array" aca="1" ref="M218" ca="1">_xludf.XLOOKUP(E218,'[1]Migrated Societies Data'!C:C,'[1]Migrated Societies Data'!E:E)</f>
        <v>#NAME?</v>
      </c>
      <c r="N218" s="5" t="str">
        <f t="shared" si="3"/>
        <v>Yes</v>
      </c>
      <c r="O218" s="7">
        <f t="shared" si="4"/>
        <v>7.9085648148148141E-2</v>
      </c>
    </row>
    <row r="219" spans="1:15" x14ac:dyDescent="0.25">
      <c r="A219" s="3" t="s">
        <v>14</v>
      </c>
      <c r="B219" s="3" t="s">
        <v>476</v>
      </c>
      <c r="C219" s="3" t="s">
        <v>16</v>
      </c>
      <c r="D219" s="3" t="s">
        <v>17</v>
      </c>
      <c r="E219" s="3" t="s">
        <v>18</v>
      </c>
      <c r="F219" s="3" t="s">
        <v>477</v>
      </c>
      <c r="G219" s="4">
        <v>45986</v>
      </c>
      <c r="H219" s="5">
        <f t="shared" si="0"/>
        <v>48</v>
      </c>
      <c r="I219" s="5">
        <f t="shared" si="1"/>
        <v>11</v>
      </c>
      <c r="J219" s="6">
        <f t="shared" si="2"/>
        <v>1.7465277777777777E-2</v>
      </c>
      <c r="K219" s="5" t="str">
        <f t="shared" si="6"/>
        <v>(DS-IBBLR-Peenya PH-3)</v>
      </c>
      <c r="L219" s="5" t="e">
        <f t="array" aca="1" ref="L219" ca="1">_xludf.XLOOKUP(E219,'[1]Migrated Societies Data'!C:C,'[1]Migrated Societies Data'!B:B)</f>
        <v>#NAME?</v>
      </c>
      <c r="M219" s="5" t="e">
        <f t="array" aca="1" ref="M219" ca="1">_xludf.XLOOKUP(E219,'[1]Migrated Societies Data'!C:C,'[1]Migrated Societies Data'!E:E)</f>
        <v>#NAME?</v>
      </c>
      <c r="N219" s="5" t="str">
        <f t="shared" si="3"/>
        <v>Yes</v>
      </c>
      <c r="O219" s="7">
        <f t="shared" si="4"/>
        <v>3.829861111111111E-2</v>
      </c>
    </row>
    <row r="220" spans="1:15" x14ac:dyDescent="0.25">
      <c r="A220" s="3" t="s">
        <v>478</v>
      </c>
      <c r="B220" s="3" t="s">
        <v>479</v>
      </c>
      <c r="C220" s="3" t="s">
        <v>16</v>
      </c>
      <c r="D220" s="3" t="s">
        <v>17</v>
      </c>
      <c r="E220" s="3" t="s">
        <v>480</v>
      </c>
      <c r="F220" s="3" t="s">
        <v>481</v>
      </c>
      <c r="G220" s="4">
        <v>45986</v>
      </c>
      <c r="H220" s="5">
        <f t="shared" si="0"/>
        <v>48</v>
      </c>
      <c r="I220" s="5">
        <f t="shared" si="1"/>
        <v>11</v>
      </c>
      <c r="J220" s="6">
        <f t="shared" si="2"/>
        <v>4.2685185185185187E-2</v>
      </c>
      <c r="K220" s="5" t="str">
        <f t="shared" si="6"/>
        <v>(DS-IBBLR-Bellahalli)</v>
      </c>
      <c r="L220" s="5" t="e">
        <f t="array" aca="1" ref="L220" ca="1">_xludf.XLOOKUP(E220,'[1]Migrated Societies Data'!C:C,'[1]Migrated Societies Data'!B:B)</f>
        <v>#NAME?</v>
      </c>
      <c r="M220" s="5" t="e">
        <f t="array" aca="1" ref="M220" ca="1">_xludf.XLOOKUP(E220,'[1]Migrated Societies Data'!C:C,'[1]Migrated Societies Data'!E:E)</f>
        <v>#NAME?</v>
      </c>
      <c r="N220" s="5" t="str">
        <f t="shared" si="3"/>
        <v>Yes</v>
      </c>
      <c r="O220" s="7">
        <f t="shared" si="4"/>
        <v>6.3518518518518516E-2</v>
      </c>
    </row>
    <row r="221" spans="1:15" x14ac:dyDescent="0.25">
      <c r="A221" s="3" t="s">
        <v>482</v>
      </c>
      <c r="B221" s="3" t="s">
        <v>483</v>
      </c>
      <c r="C221" s="3" t="s">
        <v>16</v>
      </c>
      <c r="D221" s="3" t="s">
        <v>17</v>
      </c>
      <c r="E221" s="3" t="s">
        <v>484</v>
      </c>
      <c r="F221" s="3" t="s">
        <v>485</v>
      </c>
      <c r="G221" s="4">
        <v>45986</v>
      </c>
      <c r="H221" s="5">
        <f t="shared" si="0"/>
        <v>48</v>
      </c>
      <c r="I221" s="5">
        <f t="shared" si="1"/>
        <v>11</v>
      </c>
      <c r="J221" s="6">
        <f t="shared" si="2"/>
        <v>3.9861111111111111E-2</v>
      </c>
      <c r="K221" s="5" t="str">
        <f t="shared" si="6"/>
        <v>(DS-IBBLR-Benson Town)</v>
      </c>
      <c r="L221" s="5" t="e">
        <f t="array" aca="1" ref="L221" ca="1">_xludf.XLOOKUP(E221,'[1]Migrated Societies Data'!C:C,'[1]Migrated Societies Data'!B:B)</f>
        <v>#NAME?</v>
      </c>
      <c r="M221" s="5" t="e">
        <f t="array" aca="1" ref="M221" ca="1">_xludf.XLOOKUP(E221,'[1]Migrated Societies Data'!C:C,'[1]Migrated Societies Data'!E:E)</f>
        <v>#NAME?</v>
      </c>
      <c r="N221" s="5" t="str">
        <f t="shared" si="3"/>
        <v>Yes</v>
      </c>
      <c r="O221" s="7">
        <f t="shared" si="4"/>
        <v>6.069444444444444E-2</v>
      </c>
    </row>
    <row r="222" spans="1:15" x14ac:dyDescent="0.25">
      <c r="A222" s="3" t="s">
        <v>486</v>
      </c>
      <c r="B222" s="3" t="s">
        <v>487</v>
      </c>
      <c r="C222" s="3" t="s">
        <v>16</v>
      </c>
      <c r="D222" s="3" t="s">
        <v>17</v>
      </c>
      <c r="E222" s="3" t="s">
        <v>488</v>
      </c>
      <c r="F222" s="3" t="s">
        <v>489</v>
      </c>
      <c r="G222" s="4">
        <v>45986</v>
      </c>
      <c r="H222" s="5">
        <f t="shared" si="0"/>
        <v>48</v>
      </c>
      <c r="I222" s="5">
        <f t="shared" si="1"/>
        <v>11</v>
      </c>
      <c r="J222" s="6">
        <f t="shared" si="2"/>
        <v>5.0428240740740739E-2</v>
      </c>
      <c r="K222" s="5" t="str">
        <f t="shared" si="6"/>
        <v>(DS-IBBLR-Jala halli)</v>
      </c>
      <c r="L222" s="5" t="e">
        <f t="array" aca="1" ref="L222" ca="1">_xludf.XLOOKUP(E222,'[1]Migrated Societies Data'!C:C,'[1]Migrated Societies Data'!B:B)</f>
        <v>#NAME?</v>
      </c>
      <c r="M222" s="5" t="e">
        <f t="array" aca="1" ref="M222" ca="1">_xludf.XLOOKUP(E222,'[1]Migrated Societies Data'!C:C,'[1]Migrated Societies Data'!E:E)</f>
        <v>#NAME?</v>
      </c>
      <c r="N222" s="5" t="str">
        <f t="shared" si="3"/>
        <v>Yes</v>
      </c>
      <c r="O222" s="7">
        <f t="shared" si="4"/>
        <v>7.1261574074074074E-2</v>
      </c>
    </row>
    <row r="223" spans="1:15" x14ac:dyDescent="0.25">
      <c r="A223" s="3" t="s">
        <v>490</v>
      </c>
      <c r="B223" s="3" t="s">
        <v>491</v>
      </c>
      <c r="C223" s="3" t="s">
        <v>16</v>
      </c>
      <c r="D223" s="3" t="s">
        <v>17</v>
      </c>
      <c r="E223" s="3" t="s">
        <v>492</v>
      </c>
      <c r="F223" s="3" t="s">
        <v>493</v>
      </c>
      <c r="G223" s="4">
        <v>45986</v>
      </c>
      <c r="H223" s="5">
        <f t="shared" si="0"/>
        <v>48</v>
      </c>
      <c r="I223" s="5">
        <f t="shared" si="1"/>
        <v>11</v>
      </c>
      <c r="J223" s="6">
        <f t="shared" si="2"/>
        <v>5.4675925925925926E-2</v>
      </c>
      <c r="K223" s="5" t="str">
        <f t="shared" si="6"/>
        <v>(DS-IBBLR-Devanahalli)</v>
      </c>
      <c r="L223" s="5" t="e">
        <f t="array" aca="1" ref="L223" ca="1">_xludf.XLOOKUP(E223,'[1]Migrated Societies Data'!C:C,'[1]Migrated Societies Data'!B:B)</f>
        <v>#NAME?</v>
      </c>
      <c r="M223" s="5" t="e">
        <f t="array" aca="1" ref="M223" ca="1">_xludf.XLOOKUP(E223,'[1]Migrated Societies Data'!C:C,'[1]Migrated Societies Data'!E:E)</f>
        <v>#NAME?</v>
      </c>
      <c r="N223" s="5" t="str">
        <f t="shared" si="3"/>
        <v>Yes</v>
      </c>
      <c r="O223" s="7">
        <f t="shared" si="4"/>
        <v>7.5509259259259262E-2</v>
      </c>
    </row>
    <row r="224" spans="1:15" x14ac:dyDescent="0.25">
      <c r="A224" s="3" t="s">
        <v>331</v>
      </c>
      <c r="B224" s="3" t="s">
        <v>494</v>
      </c>
      <c r="C224" s="3" t="s">
        <v>16</v>
      </c>
      <c r="D224" s="3" t="s">
        <v>82</v>
      </c>
      <c r="E224" s="3" t="s">
        <v>333</v>
      </c>
      <c r="F224" s="3" t="s">
        <v>495</v>
      </c>
      <c r="G224" s="4">
        <v>45987</v>
      </c>
      <c r="H224" s="5">
        <f t="shared" si="0"/>
        <v>48</v>
      </c>
      <c r="I224" s="5">
        <f t="shared" si="1"/>
        <v>11</v>
      </c>
      <c r="J224" s="6">
        <f t="shared" si="2"/>
        <v>0.98908564814814814</v>
      </c>
      <c r="K224" s="5" t="str">
        <f t="shared" si="6"/>
        <v>(DS-IBBLR-Attibele)</v>
      </c>
      <c r="L224" s="5" t="e">
        <f t="array" aca="1" ref="L224" ca="1">_xludf.XLOOKUP(E224,'[1]Migrated Societies Data'!C:C,'[1]Migrated Societies Data'!B:B)</f>
        <v>#NAME?</v>
      </c>
      <c r="M224" s="5" t="e">
        <f t="array" aca="1" ref="M224" ca="1">_xludf.XLOOKUP(E224,'[1]Migrated Societies Data'!C:C,'[1]Migrated Societies Data'!E:E)</f>
        <v>#NAME?</v>
      </c>
      <c r="N224" s="5" t="str">
        <f t="shared" si="3"/>
        <v>Yes</v>
      </c>
      <c r="O224" s="7">
        <f t="shared" si="4"/>
        <v>9.9189814814815147E-3</v>
      </c>
    </row>
    <row r="225" spans="1:15" x14ac:dyDescent="0.25">
      <c r="A225" s="3" t="s">
        <v>80</v>
      </c>
      <c r="B225" s="3" t="s">
        <v>496</v>
      </c>
      <c r="C225" s="3" t="s">
        <v>16</v>
      </c>
      <c r="D225" s="3" t="s">
        <v>82</v>
      </c>
      <c r="E225" s="3" t="s">
        <v>83</v>
      </c>
      <c r="F225" s="3" t="s">
        <v>497</v>
      </c>
      <c r="G225" s="4">
        <v>45987</v>
      </c>
      <c r="H225" s="5">
        <f t="shared" si="0"/>
        <v>48</v>
      </c>
      <c r="I225" s="5">
        <f t="shared" si="1"/>
        <v>11</v>
      </c>
      <c r="J225" s="6">
        <f t="shared" si="2"/>
        <v>0.95634259259259258</v>
      </c>
      <c r="K225" s="5" t="str">
        <f t="shared" si="6"/>
        <v>(DS-IBBLR-Nagondanahalli )</v>
      </c>
      <c r="L225" s="5" t="e">
        <f t="array" aca="1" ref="L225" ca="1">_xludf.XLOOKUP(E225,'[1]Migrated Societies Data'!C:C,'[1]Migrated Societies Data'!B:B)</f>
        <v>#NAME?</v>
      </c>
      <c r="M225" s="5" t="e">
        <f t="array" aca="1" ref="M225" ca="1">_xludf.XLOOKUP(E225,'[1]Migrated Societies Data'!C:C,'[1]Migrated Societies Data'!E:E)</f>
        <v>#NAME?</v>
      </c>
      <c r="N225" s="5" t="str">
        <f t="shared" si="3"/>
        <v>No</v>
      </c>
      <c r="O225" s="7">
        <f t="shared" si="4"/>
        <v>0.97717592592592595</v>
      </c>
    </row>
    <row r="226" spans="1:15" x14ac:dyDescent="0.25">
      <c r="A226" s="3" t="s">
        <v>446</v>
      </c>
      <c r="B226" s="3" t="s">
        <v>498</v>
      </c>
      <c r="C226" s="3" t="s">
        <v>16</v>
      </c>
      <c r="D226" s="3" t="s">
        <v>82</v>
      </c>
      <c r="E226" s="3" t="s">
        <v>448</v>
      </c>
      <c r="F226" s="3" t="s">
        <v>499</v>
      </c>
      <c r="G226" s="4">
        <v>45987</v>
      </c>
      <c r="H226" s="5">
        <f t="shared" si="0"/>
        <v>48</v>
      </c>
      <c r="I226" s="5">
        <f t="shared" si="1"/>
        <v>11</v>
      </c>
      <c r="J226" s="6">
        <f t="shared" si="2"/>
        <v>1.8217592592592594E-2</v>
      </c>
      <c r="K226" s="5" t="str">
        <f t="shared" si="6"/>
        <v>(DS-IBBLR-Jigani)</v>
      </c>
      <c r="L226" s="5" t="e">
        <f t="array" aca="1" ref="L226" ca="1">_xludf.XLOOKUP(E226,'[1]Migrated Societies Data'!C:C,'[1]Migrated Societies Data'!B:B)</f>
        <v>#NAME?</v>
      </c>
      <c r="M226" s="5" t="e">
        <f t="array" aca="1" ref="M226" ca="1">_xludf.XLOOKUP(E226,'[1]Migrated Societies Data'!C:C,'[1]Migrated Societies Data'!E:E)</f>
        <v>#NAME?</v>
      </c>
      <c r="N226" s="5" t="str">
        <f t="shared" si="3"/>
        <v>Yes</v>
      </c>
      <c r="O226" s="7">
        <f t="shared" si="4"/>
        <v>3.9050925925925926E-2</v>
      </c>
    </row>
    <row r="227" spans="1:15" x14ac:dyDescent="0.25">
      <c r="A227" s="3" t="s">
        <v>442</v>
      </c>
      <c r="B227" s="3" t="s">
        <v>500</v>
      </c>
      <c r="C227" s="3" t="s">
        <v>16</v>
      </c>
      <c r="D227" s="3" t="s">
        <v>82</v>
      </c>
      <c r="E227" s="3" t="s">
        <v>444</v>
      </c>
      <c r="F227" s="3" t="s">
        <v>501</v>
      </c>
      <c r="G227" s="4">
        <v>45987</v>
      </c>
      <c r="H227" s="5">
        <f t="shared" si="0"/>
        <v>48</v>
      </c>
      <c r="I227" s="5">
        <f t="shared" si="1"/>
        <v>11</v>
      </c>
      <c r="J227" s="6">
        <f t="shared" si="2"/>
        <v>0.96005787037037038</v>
      </c>
      <c r="K227" s="5" t="str">
        <f t="shared" si="6"/>
        <v>(DS-IBBLR-Chinappalay)</v>
      </c>
      <c r="L227" s="5" t="e">
        <f t="array" aca="1" ref="L227" ca="1">_xludf.XLOOKUP(E227,'[1]Migrated Societies Data'!C:C,'[1]Migrated Societies Data'!B:B)</f>
        <v>#NAME?</v>
      </c>
      <c r="M227" s="5" t="e">
        <f t="array" aca="1" ref="M227" ca="1">_xludf.XLOOKUP(E227,'[1]Migrated Societies Data'!C:C,'[1]Migrated Societies Data'!E:E)</f>
        <v>#NAME?</v>
      </c>
      <c r="N227" s="5" t="str">
        <f t="shared" si="3"/>
        <v>Yes</v>
      </c>
      <c r="O227" s="7">
        <f t="shared" si="4"/>
        <v>0.98089120370370375</v>
      </c>
    </row>
    <row r="228" spans="1:15" x14ac:dyDescent="0.25">
      <c r="A228" s="3" t="s">
        <v>464</v>
      </c>
      <c r="B228" s="3" t="s">
        <v>502</v>
      </c>
      <c r="C228" s="3" t="s">
        <v>16</v>
      </c>
      <c r="D228" s="3" t="s">
        <v>82</v>
      </c>
      <c r="E228" s="3" t="s">
        <v>466</v>
      </c>
      <c r="F228" s="3" t="s">
        <v>503</v>
      </c>
      <c r="G228" s="4">
        <v>45987</v>
      </c>
      <c r="H228" s="5">
        <f t="shared" si="0"/>
        <v>48</v>
      </c>
      <c r="I228" s="5">
        <f t="shared" si="1"/>
        <v>11</v>
      </c>
      <c r="J228" s="6">
        <f t="shared" si="2"/>
        <v>0.99266203703703704</v>
      </c>
      <c r="K228" s="5" t="str">
        <f t="shared" si="6"/>
        <v>(DS-IBBLR-Kallahalli )</v>
      </c>
      <c r="L228" s="5" t="e">
        <f t="array" aca="1" ref="L228" ca="1">_xludf.XLOOKUP(E228,'[1]Migrated Societies Data'!C:C,'[1]Migrated Societies Data'!B:B)</f>
        <v>#NAME?</v>
      </c>
      <c r="M228" s="5" t="e">
        <f t="array" aca="1" ref="M228" ca="1">_xludf.XLOOKUP(E228,'[1]Migrated Societies Data'!C:C,'[1]Migrated Societies Data'!E:E)</f>
        <v>#NAME?</v>
      </c>
      <c r="N228" s="5" t="str">
        <f t="shared" si="3"/>
        <v>Yes</v>
      </c>
      <c r="O228" s="7">
        <f t="shared" si="4"/>
        <v>1.3495370370370408E-2</v>
      </c>
    </row>
    <row r="229" spans="1:15" x14ac:dyDescent="0.25">
      <c r="A229" s="3" t="s">
        <v>85</v>
      </c>
      <c r="B229" s="3" t="s">
        <v>504</v>
      </c>
      <c r="C229" s="3" t="s">
        <v>16</v>
      </c>
      <c r="D229" s="3" t="s">
        <v>82</v>
      </c>
      <c r="E229" s="3" t="s">
        <v>87</v>
      </c>
      <c r="F229" s="3" t="s">
        <v>505</v>
      </c>
      <c r="G229" s="4">
        <v>45987</v>
      </c>
      <c r="H229" s="5">
        <f t="shared" si="0"/>
        <v>48</v>
      </c>
      <c r="I229" s="5">
        <f t="shared" si="1"/>
        <v>11</v>
      </c>
      <c r="J229" s="6">
        <f t="shared" si="2"/>
        <v>0.98112268518518519</v>
      </c>
      <c r="K229" s="5" t="str">
        <f t="shared" si="6"/>
        <v>(DS-IBBLR-Budhigere )</v>
      </c>
      <c r="L229" s="5" t="e">
        <f t="array" aca="1" ref="L229" ca="1">_xludf.XLOOKUP(E229,'[1]Migrated Societies Data'!C:C,'[1]Migrated Societies Data'!B:B)</f>
        <v>#NAME?</v>
      </c>
      <c r="M229" s="5" t="e">
        <f t="array" aca="1" ref="M229" ca="1">_xludf.XLOOKUP(E229,'[1]Migrated Societies Data'!C:C,'[1]Migrated Societies Data'!E:E)</f>
        <v>#NAME?</v>
      </c>
      <c r="N229" s="5" t="str">
        <f t="shared" si="3"/>
        <v>Yes</v>
      </c>
      <c r="O229" s="7">
        <f t="shared" si="4"/>
        <v>1.9560185185185652E-3</v>
      </c>
    </row>
    <row r="230" spans="1:15" x14ac:dyDescent="0.25">
      <c r="A230" s="3" t="s">
        <v>468</v>
      </c>
      <c r="B230" s="3" t="s">
        <v>506</v>
      </c>
      <c r="C230" s="3" t="s">
        <v>16</v>
      </c>
      <c r="D230" s="3" t="s">
        <v>17</v>
      </c>
      <c r="E230" s="3" t="s">
        <v>470</v>
      </c>
      <c r="F230" s="3" t="s">
        <v>507</v>
      </c>
      <c r="G230" s="4">
        <v>45987</v>
      </c>
      <c r="H230" s="5">
        <f t="shared" si="0"/>
        <v>48</v>
      </c>
      <c r="I230" s="5">
        <f t="shared" si="1"/>
        <v>11</v>
      </c>
      <c r="J230" s="6">
        <f t="shared" si="2"/>
        <v>3.4907407407407408E-2</v>
      </c>
      <c r="K230" s="5" t="str">
        <f t="shared" si="6"/>
        <v>(DS-BNBLR-HRBR)</v>
      </c>
      <c r="L230" s="5" t="e">
        <f t="array" aca="1" ref="L230" ca="1">_xludf.XLOOKUP(E230,'[1]Migrated Societies Data'!C:C,'[1]Migrated Societies Data'!B:B)</f>
        <v>#NAME?</v>
      </c>
      <c r="M230" s="5" t="e">
        <f t="array" aca="1" ref="M230" ca="1">_xludf.XLOOKUP(E230,'[1]Migrated Societies Data'!C:C,'[1]Migrated Societies Data'!E:E)</f>
        <v>#NAME?</v>
      </c>
      <c r="N230" s="5" t="str">
        <f t="shared" si="3"/>
        <v>Yes</v>
      </c>
      <c r="O230" s="7">
        <f t="shared" si="4"/>
        <v>5.5740740740740743E-2</v>
      </c>
    </row>
    <row r="231" spans="1:15" x14ac:dyDescent="0.25">
      <c r="A231" s="3" t="s">
        <v>14</v>
      </c>
      <c r="B231" s="3" t="s">
        <v>508</v>
      </c>
      <c r="C231" s="3" t="s">
        <v>16</v>
      </c>
      <c r="D231" s="3" t="s">
        <v>17</v>
      </c>
      <c r="E231" s="3" t="s">
        <v>18</v>
      </c>
      <c r="F231" s="3" t="s">
        <v>509</v>
      </c>
      <c r="G231" s="4">
        <v>45987</v>
      </c>
      <c r="H231" s="5">
        <f t="shared" si="0"/>
        <v>48</v>
      </c>
      <c r="I231" s="5">
        <f t="shared" si="1"/>
        <v>11</v>
      </c>
      <c r="J231" s="6">
        <f t="shared" si="2"/>
        <v>1.7754629629629631E-2</v>
      </c>
      <c r="K231" s="5" t="str">
        <f t="shared" si="6"/>
        <v>(DS-IBBLR-Peenya PH-3)</v>
      </c>
      <c r="L231" s="5" t="e">
        <f t="array" aca="1" ref="L231" ca="1">_xludf.XLOOKUP(E231,'[1]Migrated Societies Data'!C:C,'[1]Migrated Societies Data'!B:B)</f>
        <v>#NAME?</v>
      </c>
      <c r="M231" s="5" t="e">
        <f t="array" aca="1" ref="M231" ca="1">_xludf.XLOOKUP(E231,'[1]Migrated Societies Data'!C:C,'[1]Migrated Societies Data'!E:E)</f>
        <v>#NAME?</v>
      </c>
      <c r="N231" s="5" t="str">
        <f t="shared" si="3"/>
        <v>Yes</v>
      </c>
      <c r="O231" s="7">
        <f t="shared" si="4"/>
        <v>3.8587962962962963E-2</v>
      </c>
    </row>
    <row r="232" spans="1:15" x14ac:dyDescent="0.25">
      <c r="A232" s="3" t="s">
        <v>478</v>
      </c>
      <c r="B232" s="3" t="s">
        <v>510</v>
      </c>
      <c r="C232" s="3" t="s">
        <v>16</v>
      </c>
      <c r="D232" s="3" t="s">
        <v>17</v>
      </c>
      <c r="E232" s="3" t="s">
        <v>480</v>
      </c>
      <c r="F232" s="3" t="s">
        <v>511</v>
      </c>
      <c r="G232" s="4">
        <v>45987</v>
      </c>
      <c r="H232" s="5">
        <f t="shared" si="0"/>
        <v>48</v>
      </c>
      <c r="I232" s="5">
        <f t="shared" si="1"/>
        <v>11</v>
      </c>
      <c r="J232" s="6">
        <f t="shared" si="2"/>
        <v>3.9456018518518515E-2</v>
      </c>
      <c r="K232" s="5" t="str">
        <f t="shared" si="6"/>
        <v>(DS-IBBLR-Bellahalli)</v>
      </c>
      <c r="L232" s="5" t="e">
        <f t="array" aca="1" ref="L232" ca="1">_xludf.XLOOKUP(E232,'[1]Migrated Societies Data'!C:C,'[1]Migrated Societies Data'!B:B)</f>
        <v>#NAME?</v>
      </c>
      <c r="M232" s="5" t="e">
        <f t="array" aca="1" ref="M232" ca="1">_xludf.XLOOKUP(E232,'[1]Migrated Societies Data'!C:C,'[1]Migrated Societies Data'!E:E)</f>
        <v>#NAME?</v>
      </c>
      <c r="N232" s="5" t="str">
        <f t="shared" si="3"/>
        <v>Yes</v>
      </c>
      <c r="O232" s="7">
        <f t="shared" si="4"/>
        <v>6.0289351851851844E-2</v>
      </c>
    </row>
    <row r="233" spans="1:15" x14ac:dyDescent="0.25">
      <c r="A233" s="3" t="s">
        <v>460</v>
      </c>
      <c r="B233" s="3" t="s">
        <v>512</v>
      </c>
      <c r="C233" s="3" t="s">
        <v>16</v>
      </c>
      <c r="D233" s="3" t="s">
        <v>82</v>
      </c>
      <c r="E233" s="3" t="s">
        <v>462</v>
      </c>
      <c r="F233" s="3" t="s">
        <v>513</v>
      </c>
      <c r="G233" s="4">
        <v>45987</v>
      </c>
      <c r="H233" s="5">
        <f t="shared" si="0"/>
        <v>48</v>
      </c>
      <c r="I233" s="5">
        <f t="shared" si="1"/>
        <v>11</v>
      </c>
      <c r="J233" s="6">
        <f t="shared" si="2"/>
        <v>1.8645833333333334E-2</v>
      </c>
      <c r="K233" s="5" t="str">
        <f t="shared" si="6"/>
        <v>(DS-IBBLR-HAL )</v>
      </c>
      <c r="L233" s="5" t="e">
        <f t="array" aca="1" ref="L233" ca="1">_xludf.XLOOKUP(E233,'[1]Migrated Societies Data'!C:C,'[1]Migrated Societies Data'!B:B)</f>
        <v>#NAME?</v>
      </c>
      <c r="M233" s="5" t="e">
        <f t="array" aca="1" ref="M233" ca="1">_xludf.XLOOKUP(E233,'[1]Migrated Societies Data'!C:C,'[1]Migrated Societies Data'!E:E)</f>
        <v>#NAME?</v>
      </c>
      <c r="N233" s="5" t="str">
        <f t="shared" si="3"/>
        <v>Yes</v>
      </c>
      <c r="O233" s="7">
        <f t="shared" si="4"/>
        <v>3.9479166666666662E-2</v>
      </c>
    </row>
    <row r="234" spans="1:15" x14ac:dyDescent="0.25">
      <c r="A234" s="3" t="s">
        <v>490</v>
      </c>
      <c r="B234" s="3" t="s">
        <v>514</v>
      </c>
      <c r="C234" s="3" t="s">
        <v>16</v>
      </c>
      <c r="D234" s="3" t="s">
        <v>17</v>
      </c>
      <c r="E234" s="3" t="s">
        <v>492</v>
      </c>
      <c r="F234" s="3" t="s">
        <v>515</v>
      </c>
      <c r="G234" s="4">
        <v>45987</v>
      </c>
      <c r="H234" s="5">
        <f t="shared" si="0"/>
        <v>48</v>
      </c>
      <c r="I234" s="5">
        <f t="shared" si="1"/>
        <v>11</v>
      </c>
      <c r="J234" s="6">
        <f t="shared" si="2"/>
        <v>5.545138888888889E-2</v>
      </c>
      <c r="K234" s="5" t="str">
        <f t="shared" si="6"/>
        <v>(DS-IBBLR-Devanahalli)</v>
      </c>
      <c r="L234" s="5" t="e">
        <f t="array" aca="1" ref="L234" ca="1">_xludf.XLOOKUP(E234,'[1]Migrated Societies Data'!C:C,'[1]Migrated Societies Data'!B:B)</f>
        <v>#NAME?</v>
      </c>
      <c r="M234" s="5" t="e">
        <f t="array" aca="1" ref="M234" ca="1">_xludf.XLOOKUP(E234,'[1]Migrated Societies Data'!C:C,'[1]Migrated Societies Data'!E:E)</f>
        <v>#NAME?</v>
      </c>
      <c r="N234" s="5" t="str">
        <f t="shared" si="3"/>
        <v>Yes</v>
      </c>
      <c r="O234" s="7">
        <f t="shared" si="4"/>
        <v>7.6284722222222226E-2</v>
      </c>
    </row>
    <row r="235" spans="1:15" x14ac:dyDescent="0.25">
      <c r="A235" s="3" t="s">
        <v>472</v>
      </c>
      <c r="B235" s="3" t="s">
        <v>516</v>
      </c>
      <c r="C235" s="3" t="s">
        <v>16</v>
      </c>
      <c r="D235" s="3" t="s">
        <v>17</v>
      </c>
      <c r="E235" s="3" t="s">
        <v>474</v>
      </c>
      <c r="F235" s="3" t="s">
        <v>517</v>
      </c>
      <c r="G235" s="4">
        <v>45987</v>
      </c>
      <c r="H235" s="5">
        <f t="shared" si="0"/>
        <v>48</v>
      </c>
      <c r="I235" s="5">
        <f t="shared" si="1"/>
        <v>11</v>
      </c>
      <c r="J235" s="6">
        <f t="shared" si="2"/>
        <v>6.1076388888888888E-2</v>
      </c>
      <c r="K235" s="5" t="str">
        <f t="shared" si="6"/>
        <v>(DS-IBBLR-Lingarajapu)</v>
      </c>
      <c r="L235" s="5" t="e">
        <f t="array" aca="1" ref="L235" ca="1">_xludf.XLOOKUP(E235,'[1]Migrated Societies Data'!C:C,'[1]Migrated Societies Data'!B:B)</f>
        <v>#NAME?</v>
      </c>
      <c r="M235" s="5" t="e">
        <f t="array" aca="1" ref="M235" ca="1">_xludf.XLOOKUP(E235,'[1]Migrated Societies Data'!C:C,'[1]Migrated Societies Data'!E:E)</f>
        <v>#NAME?</v>
      </c>
      <c r="N235" s="5" t="str">
        <f t="shared" si="3"/>
        <v>Yes</v>
      </c>
      <c r="O235" s="7">
        <f t="shared" si="4"/>
        <v>8.1909722222222217E-2</v>
      </c>
    </row>
    <row r="236" spans="1:15" x14ac:dyDescent="0.25">
      <c r="A236" s="3" t="s">
        <v>456</v>
      </c>
      <c r="B236" s="3" t="s">
        <v>518</v>
      </c>
      <c r="C236" s="3" t="s">
        <v>16</v>
      </c>
      <c r="D236" s="3" t="s">
        <v>82</v>
      </c>
      <c r="E236" s="3" t="s">
        <v>458</v>
      </c>
      <c r="F236" s="3" t="s">
        <v>519</v>
      </c>
      <c r="G236" s="4">
        <v>45987</v>
      </c>
      <c r="H236" s="5">
        <f t="shared" si="0"/>
        <v>48</v>
      </c>
      <c r="I236" s="5">
        <f t="shared" si="1"/>
        <v>11</v>
      </c>
      <c r="J236" s="6">
        <f t="shared" si="2"/>
        <v>3.5347222222222224E-2</v>
      </c>
      <c r="K236" s="5" t="str">
        <f t="shared" si="6"/>
        <v>(DS-IBBLR-Jakkasandra)</v>
      </c>
      <c r="L236" s="5" t="e">
        <f t="array" aca="1" ref="L236" ca="1">_xludf.XLOOKUP(E236,'[1]Migrated Societies Data'!C:C,'[1]Migrated Societies Data'!B:B)</f>
        <v>#NAME?</v>
      </c>
      <c r="M236" s="5" t="e">
        <f t="array" aca="1" ref="M236" ca="1">_xludf.XLOOKUP(E236,'[1]Migrated Societies Data'!C:C,'[1]Migrated Societies Data'!E:E)</f>
        <v>#NAME?</v>
      </c>
      <c r="N236" s="5" t="str">
        <f t="shared" si="3"/>
        <v>Yes</v>
      </c>
      <c r="O236" s="7">
        <f t="shared" si="4"/>
        <v>5.6180555555555553E-2</v>
      </c>
    </row>
    <row r="237" spans="1:15" x14ac:dyDescent="0.25">
      <c r="A237" s="3" t="s">
        <v>482</v>
      </c>
      <c r="B237" s="3" t="s">
        <v>520</v>
      </c>
      <c r="C237" s="3" t="s">
        <v>16</v>
      </c>
      <c r="D237" s="3" t="s">
        <v>17</v>
      </c>
      <c r="E237" s="3" t="s">
        <v>484</v>
      </c>
      <c r="F237" s="3" t="s">
        <v>521</v>
      </c>
      <c r="G237" s="4">
        <v>45987</v>
      </c>
      <c r="H237" s="5">
        <f t="shared" si="0"/>
        <v>48</v>
      </c>
      <c r="I237" s="5">
        <f t="shared" si="1"/>
        <v>11</v>
      </c>
      <c r="J237" s="6">
        <f t="shared" si="2"/>
        <v>6.1793981481481484E-2</v>
      </c>
      <c r="K237" s="5" t="str">
        <f t="shared" si="6"/>
        <v>(DS-IBBLR-Benson Town)</v>
      </c>
      <c r="L237" s="5" t="e">
        <f t="array" aca="1" ref="L237" ca="1">_xludf.XLOOKUP(E237,'[1]Migrated Societies Data'!C:C,'[1]Migrated Societies Data'!B:B)</f>
        <v>#NAME?</v>
      </c>
      <c r="M237" s="5" t="e">
        <f t="array" aca="1" ref="M237" ca="1">_xludf.XLOOKUP(E237,'[1]Migrated Societies Data'!C:C,'[1]Migrated Societies Data'!E:E)</f>
        <v>#NAME?</v>
      </c>
      <c r="N237" s="5" t="str">
        <f t="shared" si="3"/>
        <v>Yes</v>
      </c>
      <c r="O237" s="7">
        <f t="shared" si="4"/>
        <v>8.262731481481482E-2</v>
      </c>
    </row>
    <row r="238" spans="1:15" x14ac:dyDescent="0.25">
      <c r="A238" s="3" t="s">
        <v>486</v>
      </c>
      <c r="B238" s="3" t="s">
        <v>522</v>
      </c>
      <c r="C238" s="3" t="s">
        <v>16</v>
      </c>
      <c r="D238" s="3" t="s">
        <v>17</v>
      </c>
      <c r="E238" s="3" t="s">
        <v>488</v>
      </c>
      <c r="F238" s="3" t="s">
        <v>523</v>
      </c>
      <c r="G238" s="4">
        <v>45987</v>
      </c>
      <c r="H238" s="5">
        <f t="shared" si="0"/>
        <v>48</v>
      </c>
      <c r="I238" s="5">
        <f t="shared" si="1"/>
        <v>11</v>
      </c>
      <c r="J238" s="6">
        <f t="shared" si="2"/>
        <v>0.10258101851851852</v>
      </c>
      <c r="K238" s="5" t="str">
        <f t="shared" si="6"/>
        <v>(DS-IBBLR-Jala halli)</v>
      </c>
      <c r="L238" s="5" t="e">
        <f t="array" aca="1" ref="L238" ca="1">_xludf.XLOOKUP(E238,'[1]Migrated Societies Data'!C:C,'[1]Migrated Societies Data'!B:B)</f>
        <v>#NAME?</v>
      </c>
      <c r="M238" s="5" t="e">
        <f t="array" aca="1" ref="M238" ca="1">_xludf.XLOOKUP(E238,'[1]Migrated Societies Data'!C:C,'[1]Migrated Societies Data'!E:E)</f>
        <v>#NAME?</v>
      </c>
      <c r="N238" s="5" t="str">
        <f t="shared" si="3"/>
        <v>Yes</v>
      </c>
      <c r="O238" s="7">
        <f t="shared" si="4"/>
        <v>0.12341435185185184</v>
      </c>
    </row>
    <row r="239" spans="1:15" x14ac:dyDescent="0.25">
      <c r="A239" s="3" t="s">
        <v>331</v>
      </c>
      <c r="B239" s="3" t="s">
        <v>524</v>
      </c>
      <c r="C239" s="3" t="s">
        <v>16</v>
      </c>
      <c r="D239" s="3" t="s">
        <v>82</v>
      </c>
      <c r="E239" s="3" t="s">
        <v>333</v>
      </c>
      <c r="F239" s="3" t="s">
        <v>525</v>
      </c>
      <c r="G239" s="4">
        <v>45988</v>
      </c>
      <c r="H239" s="5">
        <f t="shared" si="0"/>
        <v>48</v>
      </c>
      <c r="I239" s="5">
        <f t="shared" si="1"/>
        <v>11</v>
      </c>
      <c r="J239" s="6">
        <f t="shared" si="2"/>
        <v>0.97592592592592597</v>
      </c>
      <c r="K239" s="5" t="str">
        <f t="shared" si="6"/>
        <v>(DS-IBBLR-Attibele)</v>
      </c>
      <c r="L239" s="5" t="e">
        <f t="array" aca="1" ref="L239" ca="1">_xludf.XLOOKUP(E239,'[1]Migrated Societies Data'!C:C,'[1]Migrated Societies Data'!B:B)</f>
        <v>#NAME?</v>
      </c>
      <c r="M239" s="5" t="e">
        <f t="array" aca="1" ref="M239" ca="1">_xludf.XLOOKUP(E239,'[1]Migrated Societies Data'!C:C,'[1]Migrated Societies Data'!E:E)</f>
        <v>#NAME?</v>
      </c>
      <c r="N239" s="5" t="str">
        <f t="shared" si="3"/>
        <v>Yes</v>
      </c>
      <c r="O239" s="7">
        <f t="shared" si="4"/>
        <v>0.99675925925925934</v>
      </c>
    </row>
    <row r="240" spans="1:15" x14ac:dyDescent="0.25">
      <c r="A240" s="3" t="s">
        <v>85</v>
      </c>
      <c r="B240" s="3" t="s">
        <v>526</v>
      </c>
      <c r="C240" s="3" t="s">
        <v>16</v>
      </c>
      <c r="D240" s="3" t="s">
        <v>82</v>
      </c>
      <c r="E240" s="3" t="s">
        <v>87</v>
      </c>
      <c r="F240" s="3" t="s">
        <v>527</v>
      </c>
      <c r="G240" s="4">
        <v>45988</v>
      </c>
      <c r="H240" s="5">
        <f t="shared" si="0"/>
        <v>48</v>
      </c>
      <c r="I240" s="5">
        <f t="shared" si="1"/>
        <v>11</v>
      </c>
      <c r="J240" s="6">
        <f t="shared" si="2"/>
        <v>0.97326388888888893</v>
      </c>
      <c r="K240" s="5" t="str">
        <f t="shared" si="6"/>
        <v>(DS-IBBLR-Budhigere )</v>
      </c>
      <c r="L240" s="5" t="e">
        <f t="array" aca="1" ref="L240" ca="1">_xludf.XLOOKUP(E240,'[1]Migrated Societies Data'!C:C,'[1]Migrated Societies Data'!B:B)</f>
        <v>#NAME?</v>
      </c>
      <c r="M240" s="5" t="e">
        <f t="array" aca="1" ref="M240" ca="1">_xludf.XLOOKUP(E240,'[1]Migrated Societies Data'!C:C,'[1]Migrated Societies Data'!E:E)</f>
        <v>#NAME?</v>
      </c>
      <c r="N240" s="5" t="str">
        <f t="shared" si="3"/>
        <v>Yes</v>
      </c>
      <c r="O240" s="7">
        <f t="shared" si="4"/>
        <v>0.9940972222222223</v>
      </c>
    </row>
    <row r="241" spans="1:15" x14ac:dyDescent="0.25">
      <c r="A241" s="3" t="s">
        <v>446</v>
      </c>
      <c r="B241" s="3" t="s">
        <v>528</v>
      </c>
      <c r="C241" s="3" t="s">
        <v>16</v>
      </c>
      <c r="D241" s="3" t="s">
        <v>82</v>
      </c>
      <c r="E241" s="3" t="s">
        <v>448</v>
      </c>
      <c r="F241" s="3" t="s">
        <v>529</v>
      </c>
      <c r="G241" s="4">
        <v>45988</v>
      </c>
      <c r="H241" s="5">
        <f t="shared" si="0"/>
        <v>48</v>
      </c>
      <c r="I241" s="5">
        <f t="shared" si="1"/>
        <v>11</v>
      </c>
      <c r="J241" s="6">
        <f t="shared" si="2"/>
        <v>0.99350694444444443</v>
      </c>
      <c r="K241" s="5" t="str">
        <f t="shared" si="6"/>
        <v>(DS-IBBLR-Jigani)</v>
      </c>
      <c r="L241" s="5" t="e">
        <f t="array" aca="1" ref="L241" ca="1">_xludf.XLOOKUP(E241,'[1]Migrated Societies Data'!C:C,'[1]Migrated Societies Data'!B:B)</f>
        <v>#NAME?</v>
      </c>
      <c r="M241" s="5" t="e">
        <f t="array" aca="1" ref="M241" ca="1">_xludf.XLOOKUP(E241,'[1]Migrated Societies Data'!C:C,'[1]Migrated Societies Data'!E:E)</f>
        <v>#NAME?</v>
      </c>
      <c r="N241" s="5" t="str">
        <f t="shared" si="3"/>
        <v>Yes</v>
      </c>
      <c r="O241" s="7">
        <f t="shared" si="4"/>
        <v>1.4340277777777688E-2</v>
      </c>
    </row>
    <row r="242" spans="1:15" x14ac:dyDescent="0.25">
      <c r="A242" s="3" t="s">
        <v>442</v>
      </c>
      <c r="B242" s="3" t="s">
        <v>530</v>
      </c>
      <c r="C242" s="3" t="s">
        <v>16</v>
      </c>
      <c r="D242" s="3" t="s">
        <v>82</v>
      </c>
      <c r="E242" s="3" t="s">
        <v>444</v>
      </c>
      <c r="F242" s="3" t="s">
        <v>531</v>
      </c>
      <c r="G242" s="4">
        <v>45988</v>
      </c>
      <c r="H242" s="5">
        <f t="shared" si="0"/>
        <v>48</v>
      </c>
      <c r="I242" s="5">
        <f t="shared" si="1"/>
        <v>11</v>
      </c>
      <c r="J242" s="6">
        <f t="shared" si="2"/>
        <v>0.96019675925925929</v>
      </c>
      <c r="K242" s="5" t="str">
        <f t="shared" si="6"/>
        <v>(DS-IBBLR-Chinappalay)</v>
      </c>
      <c r="L242" s="5" t="e">
        <f t="array" aca="1" ref="L242" ca="1">_xludf.XLOOKUP(E242,'[1]Migrated Societies Data'!C:C,'[1]Migrated Societies Data'!B:B)</f>
        <v>#NAME?</v>
      </c>
      <c r="M242" s="5" t="e">
        <f t="array" aca="1" ref="M242" ca="1">_xludf.XLOOKUP(E242,'[1]Migrated Societies Data'!C:C,'[1]Migrated Societies Data'!E:E)</f>
        <v>#NAME?</v>
      </c>
      <c r="N242" s="5" t="str">
        <f t="shared" si="3"/>
        <v>Yes</v>
      </c>
      <c r="O242" s="7">
        <f t="shared" si="4"/>
        <v>0.98103009259259266</v>
      </c>
    </row>
    <row r="243" spans="1:15" x14ac:dyDescent="0.25">
      <c r="A243" s="3" t="s">
        <v>14</v>
      </c>
      <c r="B243" s="3" t="s">
        <v>532</v>
      </c>
      <c r="C243" s="3" t="s">
        <v>16</v>
      </c>
      <c r="D243" s="3" t="s">
        <v>17</v>
      </c>
      <c r="E243" s="3" t="s">
        <v>18</v>
      </c>
      <c r="F243" s="3" t="s">
        <v>533</v>
      </c>
      <c r="G243" s="4">
        <v>45988</v>
      </c>
      <c r="H243" s="5">
        <f t="shared" si="0"/>
        <v>48</v>
      </c>
      <c r="I243" s="5">
        <f t="shared" si="1"/>
        <v>11</v>
      </c>
      <c r="J243" s="6">
        <f t="shared" si="2"/>
        <v>4.2997685185185187E-2</v>
      </c>
      <c r="K243" s="5" t="str">
        <f t="shared" si="6"/>
        <v>(DS-IBBLR-Peenya PH-3)</v>
      </c>
      <c r="L243" s="5" t="e">
        <f t="array" aca="1" ref="L243" ca="1">_xludf.XLOOKUP(E243,'[1]Migrated Societies Data'!C:C,'[1]Migrated Societies Data'!B:B)</f>
        <v>#NAME?</v>
      </c>
      <c r="M243" s="5" t="e">
        <f t="array" aca="1" ref="M243" ca="1">_xludf.XLOOKUP(E243,'[1]Migrated Societies Data'!C:C,'[1]Migrated Societies Data'!E:E)</f>
        <v>#NAME?</v>
      </c>
      <c r="N243" s="5" t="str">
        <f t="shared" si="3"/>
        <v>Yes</v>
      </c>
      <c r="O243" s="7">
        <f t="shared" si="4"/>
        <v>6.3831018518518523E-2</v>
      </c>
    </row>
    <row r="244" spans="1:15" x14ac:dyDescent="0.25">
      <c r="A244" s="3" t="s">
        <v>464</v>
      </c>
      <c r="B244" s="3" t="s">
        <v>534</v>
      </c>
      <c r="C244" s="3" t="s">
        <v>16</v>
      </c>
      <c r="D244" s="3" t="s">
        <v>82</v>
      </c>
      <c r="E244" s="3" t="s">
        <v>466</v>
      </c>
      <c r="F244" s="3" t="s">
        <v>535</v>
      </c>
      <c r="G244" s="4">
        <v>45988</v>
      </c>
      <c r="H244" s="5">
        <f t="shared" si="0"/>
        <v>48</v>
      </c>
      <c r="I244" s="5">
        <f t="shared" si="1"/>
        <v>11</v>
      </c>
      <c r="J244" s="6">
        <f t="shared" si="2"/>
        <v>2.9027777777777777E-2</v>
      </c>
      <c r="K244" s="5" t="str">
        <f t="shared" si="6"/>
        <v>(DS-IBBLR-Kallahalli )</v>
      </c>
      <c r="L244" s="5" t="e">
        <f t="array" aca="1" ref="L244" ca="1">_xludf.XLOOKUP(E244,'[1]Migrated Societies Data'!C:C,'[1]Migrated Societies Data'!B:B)</f>
        <v>#NAME?</v>
      </c>
      <c r="M244" s="5" t="e">
        <f t="array" aca="1" ref="M244" ca="1">_xludf.XLOOKUP(E244,'[1]Migrated Societies Data'!C:C,'[1]Migrated Societies Data'!E:E)</f>
        <v>#NAME?</v>
      </c>
      <c r="N244" s="5" t="str">
        <f t="shared" si="3"/>
        <v>Yes</v>
      </c>
      <c r="O244" s="7">
        <f t="shared" si="4"/>
        <v>4.9861111111111106E-2</v>
      </c>
    </row>
    <row r="245" spans="1:15" x14ac:dyDescent="0.25">
      <c r="A245" s="3" t="s">
        <v>468</v>
      </c>
      <c r="B245" s="3" t="s">
        <v>536</v>
      </c>
      <c r="C245" s="3" t="s">
        <v>16</v>
      </c>
      <c r="D245" s="3" t="s">
        <v>17</v>
      </c>
      <c r="E245" s="3" t="s">
        <v>470</v>
      </c>
      <c r="F245" s="3" t="s">
        <v>537</v>
      </c>
      <c r="G245" s="4">
        <v>45988</v>
      </c>
      <c r="H245" s="5">
        <f t="shared" si="0"/>
        <v>48</v>
      </c>
      <c r="I245" s="5">
        <f t="shared" si="1"/>
        <v>11</v>
      </c>
      <c r="J245" s="6">
        <f t="shared" si="2"/>
        <v>5.1597222222222225E-2</v>
      </c>
      <c r="K245" s="5" t="str">
        <f t="shared" si="6"/>
        <v>(DS-BNBLR-HRBR)</v>
      </c>
      <c r="L245" s="5" t="e">
        <f t="array" aca="1" ref="L245" ca="1">_xludf.XLOOKUP(E245,'[1]Migrated Societies Data'!C:C,'[1]Migrated Societies Data'!B:B)</f>
        <v>#NAME?</v>
      </c>
      <c r="M245" s="5" t="e">
        <f t="array" aca="1" ref="M245" ca="1">_xludf.XLOOKUP(E245,'[1]Migrated Societies Data'!C:C,'[1]Migrated Societies Data'!E:E)</f>
        <v>#NAME?</v>
      </c>
      <c r="N245" s="5" t="str">
        <f t="shared" si="3"/>
        <v>Yes</v>
      </c>
      <c r="O245" s="7">
        <f t="shared" si="4"/>
        <v>7.2430555555555554E-2</v>
      </c>
    </row>
    <row r="246" spans="1:15" x14ac:dyDescent="0.25">
      <c r="A246" s="3" t="s">
        <v>482</v>
      </c>
      <c r="B246" s="3" t="s">
        <v>538</v>
      </c>
      <c r="C246" s="3" t="s">
        <v>16</v>
      </c>
      <c r="D246" s="3" t="s">
        <v>17</v>
      </c>
      <c r="E246" s="3" t="s">
        <v>484</v>
      </c>
      <c r="F246" s="3" t="s">
        <v>539</v>
      </c>
      <c r="G246" s="4">
        <v>45988</v>
      </c>
      <c r="H246" s="5">
        <f t="shared" si="0"/>
        <v>48</v>
      </c>
      <c r="I246" s="5">
        <f t="shared" si="1"/>
        <v>11</v>
      </c>
      <c r="J246" s="6">
        <f t="shared" si="2"/>
        <v>7.6145833333333329E-2</v>
      </c>
      <c r="K246" s="5" t="str">
        <f t="shared" si="6"/>
        <v>(DS-IBBLR-Benson Town)</v>
      </c>
      <c r="L246" s="5" t="e">
        <f t="array" aca="1" ref="L246" ca="1">_xludf.XLOOKUP(E246,'[1]Migrated Societies Data'!C:C,'[1]Migrated Societies Data'!B:B)</f>
        <v>#NAME?</v>
      </c>
      <c r="M246" s="5" t="e">
        <f t="array" aca="1" ref="M246" ca="1">_xludf.XLOOKUP(E246,'[1]Migrated Societies Data'!C:C,'[1]Migrated Societies Data'!E:E)</f>
        <v>#NAME?</v>
      </c>
      <c r="N246" s="5" t="str">
        <f t="shared" si="3"/>
        <v>Yes</v>
      </c>
      <c r="O246" s="7">
        <f t="shared" si="4"/>
        <v>9.6979166666666658E-2</v>
      </c>
    </row>
    <row r="247" spans="1:15" x14ac:dyDescent="0.25">
      <c r="A247" s="3" t="s">
        <v>478</v>
      </c>
      <c r="B247" s="3" t="s">
        <v>540</v>
      </c>
      <c r="C247" s="3" t="s">
        <v>16</v>
      </c>
      <c r="D247" s="3" t="s">
        <v>17</v>
      </c>
      <c r="E247" s="3" t="s">
        <v>480</v>
      </c>
      <c r="F247" s="3" t="s">
        <v>541</v>
      </c>
      <c r="G247" s="4">
        <v>45988</v>
      </c>
      <c r="H247" s="5">
        <f t="shared" si="0"/>
        <v>48</v>
      </c>
      <c r="I247" s="5">
        <f t="shared" si="1"/>
        <v>11</v>
      </c>
      <c r="J247" s="6">
        <f t="shared" si="2"/>
        <v>3.8078703703703705E-2</v>
      </c>
      <c r="K247" s="5" t="str">
        <f t="shared" si="6"/>
        <v>(DS-IBBLR-Bellahalli)</v>
      </c>
      <c r="L247" s="5" t="e">
        <f t="array" aca="1" ref="L247" ca="1">_xludf.XLOOKUP(E247,'[1]Migrated Societies Data'!C:C,'[1]Migrated Societies Data'!B:B)</f>
        <v>#NAME?</v>
      </c>
      <c r="M247" s="5" t="e">
        <f t="array" aca="1" ref="M247" ca="1">_xludf.XLOOKUP(E247,'[1]Migrated Societies Data'!C:C,'[1]Migrated Societies Data'!E:E)</f>
        <v>#NAME?</v>
      </c>
      <c r="N247" s="5" t="str">
        <f t="shared" si="3"/>
        <v>Yes</v>
      </c>
      <c r="O247" s="7">
        <f t="shared" si="4"/>
        <v>5.8912037037037041E-2</v>
      </c>
    </row>
    <row r="248" spans="1:15" x14ac:dyDescent="0.25">
      <c r="A248" s="3" t="s">
        <v>490</v>
      </c>
      <c r="B248" s="3" t="s">
        <v>542</v>
      </c>
      <c r="C248" s="3" t="s">
        <v>16</v>
      </c>
      <c r="D248" s="3" t="s">
        <v>17</v>
      </c>
      <c r="E248" s="3" t="s">
        <v>492</v>
      </c>
      <c r="F248" s="3" t="s">
        <v>543</v>
      </c>
      <c r="G248" s="4">
        <v>45988</v>
      </c>
      <c r="H248" s="5">
        <f t="shared" si="0"/>
        <v>48</v>
      </c>
      <c r="I248" s="5">
        <f t="shared" si="1"/>
        <v>11</v>
      </c>
      <c r="J248" s="6">
        <f t="shared" si="2"/>
        <v>9.0937500000000004E-2</v>
      </c>
      <c r="K248" s="5" t="str">
        <f t="shared" si="6"/>
        <v>(DS-IBBLR-Devanahalli)</v>
      </c>
      <c r="L248" s="5" t="e">
        <f t="array" aca="1" ref="L248" ca="1">_xludf.XLOOKUP(E248,'[1]Migrated Societies Data'!C:C,'[1]Migrated Societies Data'!B:B)</f>
        <v>#NAME?</v>
      </c>
      <c r="M248" s="5" t="e">
        <f t="array" aca="1" ref="M248" ca="1">_xludf.XLOOKUP(E248,'[1]Migrated Societies Data'!C:C,'[1]Migrated Societies Data'!E:E)</f>
        <v>#NAME?</v>
      </c>
      <c r="N248" s="5" t="str">
        <f t="shared" si="3"/>
        <v>Yes</v>
      </c>
      <c r="O248" s="7">
        <f t="shared" si="4"/>
        <v>0.11177083333333333</v>
      </c>
    </row>
    <row r="249" spans="1:15" x14ac:dyDescent="0.25">
      <c r="A249" s="3" t="s">
        <v>342</v>
      </c>
      <c r="B249" s="3" t="s">
        <v>544</v>
      </c>
      <c r="C249" s="3" t="s">
        <v>16</v>
      </c>
      <c r="D249" s="3" t="s">
        <v>17</v>
      </c>
      <c r="E249" s="3" t="s">
        <v>344</v>
      </c>
      <c r="F249" s="3" t="s">
        <v>545</v>
      </c>
      <c r="G249" s="4">
        <v>45988</v>
      </c>
      <c r="H249" s="5">
        <f t="shared" si="0"/>
        <v>48</v>
      </c>
      <c r="I249" s="5">
        <f t="shared" si="1"/>
        <v>11</v>
      </c>
      <c r="J249" s="6">
        <f t="shared" si="2"/>
        <v>6.564814814814815E-2</v>
      </c>
      <c r="K249" s="5" t="str">
        <f t="shared" si="6"/>
        <v>(DS-IBBLR-Chikkasandr)</v>
      </c>
      <c r="L249" s="5" t="e">
        <f t="array" aca="1" ref="L249" ca="1">_xludf.XLOOKUP(E249,'[1]Migrated Societies Data'!C:C,'[1]Migrated Societies Data'!B:B)</f>
        <v>#NAME?</v>
      </c>
      <c r="M249" s="5" t="e">
        <f t="array" aca="1" ref="M249" ca="1">_xludf.XLOOKUP(E249,'[1]Migrated Societies Data'!C:C,'[1]Migrated Societies Data'!E:E)</f>
        <v>#NAME?</v>
      </c>
      <c r="N249" s="5" t="str">
        <f t="shared" si="3"/>
        <v>Yes</v>
      </c>
      <c r="O249" s="7">
        <f t="shared" si="4"/>
        <v>8.6481481481481479E-2</v>
      </c>
    </row>
    <row r="250" spans="1:15" x14ac:dyDescent="0.25">
      <c r="A250" s="3" t="s">
        <v>486</v>
      </c>
      <c r="B250" s="3" t="s">
        <v>546</v>
      </c>
      <c r="C250" s="3" t="s">
        <v>16</v>
      </c>
      <c r="D250" s="3" t="s">
        <v>17</v>
      </c>
      <c r="E250" s="3" t="s">
        <v>488</v>
      </c>
      <c r="F250" s="3" t="s">
        <v>547</v>
      </c>
      <c r="G250" s="4">
        <v>45988</v>
      </c>
      <c r="H250" s="5">
        <f t="shared" si="0"/>
        <v>48</v>
      </c>
      <c r="I250" s="5">
        <f t="shared" si="1"/>
        <v>11</v>
      </c>
      <c r="J250" s="6">
        <f t="shared" si="2"/>
        <v>6.474537037037037E-2</v>
      </c>
      <c r="K250" s="5" t="str">
        <f t="shared" si="6"/>
        <v>(DS-IBBLR-Jala halli)</v>
      </c>
      <c r="L250" s="5" t="e">
        <f t="array" aca="1" ref="L250" ca="1">_xludf.XLOOKUP(E250,'[1]Migrated Societies Data'!C:C,'[1]Migrated Societies Data'!B:B)</f>
        <v>#NAME?</v>
      </c>
      <c r="M250" s="5" t="e">
        <f t="array" aca="1" ref="M250" ca="1">_xludf.XLOOKUP(E250,'[1]Migrated Societies Data'!C:C,'[1]Migrated Societies Data'!E:E)</f>
        <v>#NAME?</v>
      </c>
      <c r="N250" s="5" t="str">
        <f t="shared" si="3"/>
        <v>Yes</v>
      </c>
      <c r="O250" s="7">
        <f t="shared" si="4"/>
        <v>8.5578703703703699E-2</v>
      </c>
    </row>
    <row r="251" spans="1:15" x14ac:dyDescent="0.25">
      <c r="A251" s="3" t="s">
        <v>472</v>
      </c>
      <c r="B251" s="3" t="s">
        <v>548</v>
      </c>
      <c r="C251" s="3" t="s">
        <v>16</v>
      </c>
      <c r="D251" s="3" t="s">
        <v>17</v>
      </c>
      <c r="E251" s="3" t="s">
        <v>474</v>
      </c>
      <c r="F251" s="3" t="s">
        <v>549</v>
      </c>
      <c r="G251" s="4">
        <v>45988</v>
      </c>
      <c r="H251" s="5">
        <f t="shared" si="0"/>
        <v>48</v>
      </c>
      <c r="I251" s="5">
        <f t="shared" si="1"/>
        <v>11</v>
      </c>
      <c r="J251" s="6">
        <f t="shared" si="2"/>
        <v>9.0092592592592599E-2</v>
      </c>
      <c r="K251" s="5" t="str">
        <f t="shared" si="6"/>
        <v>(DS-IBBLR-Lingarajapu)</v>
      </c>
      <c r="L251" s="5" t="e">
        <f t="array" aca="1" ref="L251" ca="1">_xludf.XLOOKUP(E251,'[1]Migrated Societies Data'!C:C,'[1]Migrated Societies Data'!B:B)</f>
        <v>#NAME?</v>
      </c>
      <c r="M251" s="5" t="e">
        <f t="array" aca="1" ref="M251" ca="1">_xludf.XLOOKUP(E251,'[1]Migrated Societies Data'!C:C,'[1]Migrated Societies Data'!E:E)</f>
        <v>#NAME?</v>
      </c>
      <c r="N251" s="5" t="str">
        <f t="shared" si="3"/>
        <v>Yes</v>
      </c>
      <c r="O251" s="7">
        <f t="shared" si="4"/>
        <v>0.11092592592592593</v>
      </c>
    </row>
    <row r="252" spans="1:15" x14ac:dyDescent="0.25">
      <c r="A252" s="3" t="s">
        <v>446</v>
      </c>
      <c r="B252" s="3" t="s">
        <v>550</v>
      </c>
      <c r="C252" s="3" t="s">
        <v>16</v>
      </c>
      <c r="D252" s="3" t="s">
        <v>82</v>
      </c>
      <c r="E252" s="3" t="s">
        <v>448</v>
      </c>
      <c r="F252" s="3" t="s">
        <v>551</v>
      </c>
      <c r="G252" s="4">
        <v>45989</v>
      </c>
      <c r="H252" s="5">
        <f t="shared" si="0"/>
        <v>48</v>
      </c>
      <c r="I252" s="5">
        <f t="shared" si="1"/>
        <v>11</v>
      </c>
      <c r="J252" s="6">
        <f t="shared" si="2"/>
        <v>0.98207175925925927</v>
      </c>
      <c r="K252" s="5" t="str">
        <f t="shared" si="6"/>
        <v>(DS-IBBLR-Jigani)</v>
      </c>
      <c r="L252" s="5" t="e">
        <f t="array" aca="1" ref="L252" ca="1">_xludf.XLOOKUP(E252,'[1]Migrated Societies Data'!C:C,'[1]Migrated Societies Data'!B:B)</f>
        <v>#NAME?</v>
      </c>
      <c r="M252" s="5" t="e">
        <f t="array" aca="1" ref="M252" ca="1">_xludf.XLOOKUP(E252,'[1]Migrated Societies Data'!C:C,'[1]Migrated Societies Data'!E:E)</f>
        <v>#NAME?</v>
      </c>
      <c r="N252" s="5" t="str">
        <f t="shared" si="3"/>
        <v>Yes</v>
      </c>
      <c r="O252" s="7">
        <f t="shared" si="4"/>
        <v>2.9050925925926396E-3</v>
      </c>
    </row>
    <row r="253" spans="1:15" x14ac:dyDescent="0.25">
      <c r="A253" s="3" t="s">
        <v>442</v>
      </c>
      <c r="B253" s="3" t="s">
        <v>552</v>
      </c>
      <c r="C253" s="3" t="s">
        <v>16</v>
      </c>
      <c r="D253" s="3" t="s">
        <v>82</v>
      </c>
      <c r="E253" s="3" t="s">
        <v>444</v>
      </c>
      <c r="F253" s="3" t="s">
        <v>553</v>
      </c>
      <c r="G253" s="4">
        <v>45989</v>
      </c>
      <c r="H253" s="5">
        <f t="shared" si="0"/>
        <v>48</v>
      </c>
      <c r="I253" s="5">
        <f t="shared" si="1"/>
        <v>11</v>
      </c>
      <c r="J253" s="6">
        <f t="shared" si="2"/>
        <v>0.94961805555555556</v>
      </c>
      <c r="K253" s="5" t="str">
        <f t="shared" si="6"/>
        <v>(DS-IBBLR-Chinappalay)</v>
      </c>
      <c r="L253" s="5" t="e">
        <f t="array" aca="1" ref="L253" ca="1">_xludf.XLOOKUP(E253,'[1]Migrated Societies Data'!C:C,'[1]Migrated Societies Data'!B:B)</f>
        <v>#NAME?</v>
      </c>
      <c r="M253" s="5" t="e">
        <f t="array" aca="1" ref="M253" ca="1">_xludf.XLOOKUP(E253,'[1]Migrated Societies Data'!C:C,'[1]Migrated Societies Data'!E:E)</f>
        <v>#NAME?</v>
      </c>
      <c r="N253" s="5" t="str">
        <f t="shared" si="3"/>
        <v>No</v>
      </c>
      <c r="O253" s="7">
        <f t="shared" si="4"/>
        <v>0.97045138888888893</v>
      </c>
    </row>
    <row r="254" spans="1:15" x14ac:dyDescent="0.25">
      <c r="A254" s="3" t="s">
        <v>331</v>
      </c>
      <c r="B254" s="3" t="s">
        <v>554</v>
      </c>
      <c r="C254" s="3" t="s">
        <v>16</v>
      </c>
      <c r="D254" s="3" t="s">
        <v>82</v>
      </c>
      <c r="E254" s="3" t="s">
        <v>333</v>
      </c>
      <c r="F254" s="3" t="s">
        <v>555</v>
      </c>
      <c r="G254" s="4">
        <v>45989</v>
      </c>
      <c r="H254" s="5">
        <f t="shared" si="0"/>
        <v>48</v>
      </c>
      <c r="I254" s="5">
        <f t="shared" si="1"/>
        <v>11</v>
      </c>
      <c r="J254" s="6">
        <f t="shared" si="2"/>
        <v>0.98968750000000005</v>
      </c>
      <c r="K254" s="5" t="str">
        <f t="shared" si="6"/>
        <v>(DS-IBBLR-Attibele)</v>
      </c>
      <c r="L254" s="5" t="e">
        <f t="array" aca="1" ref="L254" ca="1">_xludf.XLOOKUP(E254,'[1]Migrated Societies Data'!C:C,'[1]Migrated Societies Data'!B:B)</f>
        <v>#NAME?</v>
      </c>
      <c r="M254" s="5" t="e">
        <f t="array" aca="1" ref="M254" ca="1">_xludf.XLOOKUP(E254,'[1]Migrated Societies Data'!C:C,'[1]Migrated Societies Data'!E:E)</f>
        <v>#NAME?</v>
      </c>
      <c r="N254" s="5" t="str">
        <f t="shared" si="3"/>
        <v>Yes</v>
      </c>
      <c r="O254" s="7">
        <f t="shared" si="4"/>
        <v>1.0520833333333313E-2</v>
      </c>
    </row>
    <row r="255" spans="1:15" x14ac:dyDescent="0.25">
      <c r="A255" s="3" t="s">
        <v>80</v>
      </c>
      <c r="B255" s="3" t="s">
        <v>556</v>
      </c>
      <c r="C255" s="3" t="s">
        <v>16</v>
      </c>
      <c r="D255" s="3" t="s">
        <v>82</v>
      </c>
      <c r="E255" s="3" t="s">
        <v>83</v>
      </c>
      <c r="F255" s="3" t="s">
        <v>557</v>
      </c>
      <c r="G255" s="4">
        <v>45989</v>
      </c>
      <c r="H255" s="5">
        <f t="shared" si="0"/>
        <v>48</v>
      </c>
      <c r="I255" s="5">
        <f t="shared" si="1"/>
        <v>11</v>
      </c>
      <c r="J255" s="6">
        <f t="shared" si="2"/>
        <v>0.96986111111111106</v>
      </c>
      <c r="K255" s="5" t="str">
        <f t="shared" si="6"/>
        <v>(DS-IBBLR-Nagondanahalli )</v>
      </c>
      <c r="L255" s="5" t="e">
        <f t="array" aca="1" ref="L255" ca="1">_xludf.XLOOKUP(E255,'[1]Migrated Societies Data'!C:C,'[1]Migrated Societies Data'!B:B)</f>
        <v>#NAME?</v>
      </c>
      <c r="M255" s="5" t="e">
        <f t="array" aca="1" ref="M255" ca="1">_xludf.XLOOKUP(E255,'[1]Migrated Societies Data'!C:C,'[1]Migrated Societies Data'!E:E)</f>
        <v>#NAME?</v>
      </c>
      <c r="N255" s="5" t="str">
        <f t="shared" si="3"/>
        <v>Yes</v>
      </c>
      <c r="O255" s="7">
        <f t="shared" si="4"/>
        <v>0.99069444444444443</v>
      </c>
    </row>
    <row r="256" spans="1:15" x14ac:dyDescent="0.25">
      <c r="A256" s="3" t="s">
        <v>456</v>
      </c>
      <c r="B256" s="3" t="s">
        <v>558</v>
      </c>
      <c r="C256" s="3" t="s">
        <v>33</v>
      </c>
      <c r="D256" s="3" t="s">
        <v>82</v>
      </c>
      <c r="E256" s="3" t="s">
        <v>458</v>
      </c>
      <c r="F256" s="3" t="s">
        <v>559</v>
      </c>
      <c r="G256" s="4">
        <v>45989</v>
      </c>
      <c r="H256" s="5">
        <f t="shared" si="0"/>
        <v>48</v>
      </c>
      <c r="I256" s="5">
        <f t="shared" si="1"/>
        <v>11</v>
      </c>
      <c r="J256" s="6">
        <f t="shared" si="2"/>
        <v>4.5150462962962962E-2</v>
      </c>
      <c r="K256" s="5" t="str">
        <f t="shared" si="6"/>
        <v>(DS-IBBLR-Jakkasandra)</v>
      </c>
      <c r="L256" s="5" t="e">
        <f t="array" aca="1" ref="L256" ca="1">_xludf.XLOOKUP(E256,'[1]Migrated Societies Data'!C:C,'[1]Migrated Societies Data'!B:B)</f>
        <v>#NAME?</v>
      </c>
      <c r="M256" s="5" t="e">
        <f t="array" aca="1" ref="M256" ca="1">_xludf.XLOOKUP(E256,'[1]Migrated Societies Data'!C:C,'[1]Migrated Societies Data'!E:E)</f>
        <v>#NAME?</v>
      </c>
      <c r="N256" s="5" t="str">
        <f t="shared" si="3"/>
        <v>Yes</v>
      </c>
      <c r="O256" s="7">
        <f t="shared" si="4"/>
        <v>6.598379629629629E-2</v>
      </c>
    </row>
    <row r="257" spans="1:15" x14ac:dyDescent="0.25">
      <c r="A257" s="3" t="s">
        <v>460</v>
      </c>
      <c r="B257" s="3" t="s">
        <v>560</v>
      </c>
      <c r="C257" s="3" t="s">
        <v>16</v>
      </c>
      <c r="D257" s="3" t="s">
        <v>82</v>
      </c>
      <c r="E257" s="3" t="s">
        <v>462</v>
      </c>
      <c r="F257" s="3" t="s">
        <v>561</v>
      </c>
      <c r="G257" s="4">
        <v>45989</v>
      </c>
      <c r="H257" s="5">
        <f t="shared" ref="H257:H511" si="7">WEEKNUM(G257,11)</f>
        <v>48</v>
      </c>
      <c r="I257" s="5">
        <f t="shared" ref="I257:I511" si="8">MONTH(G257)</f>
        <v>11</v>
      </c>
      <c r="J257" s="6">
        <f t="shared" ref="J257:J511" si="9">MOD(MID(F257,12,8),1)</f>
        <v>1.6273148148148148E-2</v>
      </c>
      <c r="K257" s="5" t="str">
        <f t="shared" si="6"/>
        <v>(DS-IBBLR-HAL )</v>
      </c>
      <c r="L257" s="5" t="e">
        <f t="array" aca="1" ref="L257" ca="1">_xludf.XLOOKUP(E257,'[1]Migrated Societies Data'!C:C,'[1]Migrated Societies Data'!B:B)</f>
        <v>#NAME?</v>
      </c>
      <c r="M257" s="5" t="e">
        <f t="array" aca="1" ref="M257" ca="1">_xludf.XLOOKUP(E257,'[1]Migrated Societies Data'!C:C,'[1]Migrated Societies Data'!E:E)</f>
        <v>#NAME?</v>
      </c>
      <c r="N257" s="5" t="str">
        <f t="shared" ref="N257:N511" si="10">IF(OR(J257&lt;=TIME(3,30,0),J257&gt;TIME(23,0,0)),"Yes","No")</f>
        <v>Yes</v>
      </c>
      <c r="O257" s="7">
        <f t="shared" ref="O257:O511" si="11">MOD(J257+TIME(0,30,0),1)</f>
        <v>3.7106481481481476E-2</v>
      </c>
    </row>
    <row r="258" spans="1:15" x14ac:dyDescent="0.25">
      <c r="A258" s="3" t="s">
        <v>490</v>
      </c>
      <c r="B258" s="3" t="s">
        <v>562</v>
      </c>
      <c r="C258" s="3" t="s">
        <v>16</v>
      </c>
      <c r="D258" s="3" t="s">
        <v>17</v>
      </c>
      <c r="E258" s="3" t="s">
        <v>492</v>
      </c>
      <c r="F258" s="3" t="s">
        <v>563</v>
      </c>
      <c r="G258" s="4">
        <v>45989</v>
      </c>
      <c r="H258" s="5">
        <f t="shared" si="7"/>
        <v>48</v>
      </c>
      <c r="I258" s="5">
        <f t="shared" si="8"/>
        <v>11</v>
      </c>
      <c r="J258" s="6">
        <f t="shared" si="9"/>
        <v>7.1550925925925921E-2</v>
      </c>
      <c r="K258" s="5" t="str">
        <f t="shared" si="6"/>
        <v>(DS-IBBLR-Devanahalli)</v>
      </c>
      <c r="L258" s="5" t="e">
        <f t="array" aca="1" ref="L258" ca="1">_xludf.XLOOKUP(E258,'[1]Migrated Societies Data'!C:C,'[1]Migrated Societies Data'!B:B)</f>
        <v>#NAME?</v>
      </c>
      <c r="M258" s="5" t="e">
        <f t="array" aca="1" ref="M258" ca="1">_xludf.XLOOKUP(E258,'[1]Migrated Societies Data'!C:C,'[1]Migrated Societies Data'!E:E)</f>
        <v>#NAME?</v>
      </c>
      <c r="N258" s="5" t="str">
        <f t="shared" si="10"/>
        <v>Yes</v>
      </c>
      <c r="O258" s="7">
        <f t="shared" si="11"/>
        <v>9.2384259259259249E-2</v>
      </c>
    </row>
    <row r="259" spans="1:15" x14ac:dyDescent="0.25">
      <c r="A259" s="3" t="s">
        <v>14</v>
      </c>
      <c r="B259" s="3" t="s">
        <v>564</v>
      </c>
      <c r="C259" s="3" t="s">
        <v>16</v>
      </c>
      <c r="D259" s="3" t="s">
        <v>17</v>
      </c>
      <c r="E259" s="3" t="s">
        <v>18</v>
      </c>
      <c r="F259" s="3" t="s">
        <v>565</v>
      </c>
      <c r="G259" s="4">
        <v>45989</v>
      </c>
      <c r="H259" s="5">
        <f t="shared" si="7"/>
        <v>48</v>
      </c>
      <c r="I259" s="5">
        <f t="shared" si="8"/>
        <v>11</v>
      </c>
      <c r="J259" s="6">
        <f t="shared" si="9"/>
        <v>2.0949074074074075E-2</v>
      </c>
      <c r="K259" s="5" t="str">
        <f t="shared" si="6"/>
        <v>(DS-IBBLR-Peenya PH-3)</v>
      </c>
      <c r="L259" s="5" t="e">
        <f t="array" aca="1" ref="L259" ca="1">_xludf.XLOOKUP(E259,'[1]Migrated Societies Data'!C:C,'[1]Migrated Societies Data'!B:B)</f>
        <v>#NAME?</v>
      </c>
      <c r="M259" s="5" t="e">
        <f t="array" aca="1" ref="M259" ca="1">_xludf.XLOOKUP(E259,'[1]Migrated Societies Data'!C:C,'[1]Migrated Societies Data'!E:E)</f>
        <v>#NAME?</v>
      </c>
      <c r="N259" s="5" t="str">
        <f t="shared" si="10"/>
        <v>Yes</v>
      </c>
      <c r="O259" s="7">
        <f t="shared" si="11"/>
        <v>4.1782407407407407E-2</v>
      </c>
    </row>
    <row r="260" spans="1:15" x14ac:dyDescent="0.25">
      <c r="A260" s="3" t="s">
        <v>478</v>
      </c>
      <c r="B260" s="3" t="s">
        <v>566</v>
      </c>
      <c r="C260" s="3" t="s">
        <v>16</v>
      </c>
      <c r="D260" s="3" t="s">
        <v>17</v>
      </c>
      <c r="E260" s="3" t="s">
        <v>480</v>
      </c>
      <c r="F260" s="3" t="s">
        <v>567</v>
      </c>
      <c r="G260" s="4">
        <v>45989</v>
      </c>
      <c r="H260" s="5">
        <f t="shared" si="7"/>
        <v>48</v>
      </c>
      <c r="I260" s="5">
        <f t="shared" si="8"/>
        <v>11</v>
      </c>
      <c r="J260" s="6">
        <f t="shared" si="9"/>
        <v>5.3726851851851852E-2</v>
      </c>
      <c r="K260" s="5" t="str">
        <f t="shared" si="6"/>
        <v>(DS-IBBLR-Bellahalli)</v>
      </c>
      <c r="L260" s="5" t="e">
        <f t="array" aca="1" ref="L260" ca="1">_xludf.XLOOKUP(E260,'[1]Migrated Societies Data'!C:C,'[1]Migrated Societies Data'!B:B)</f>
        <v>#NAME?</v>
      </c>
      <c r="M260" s="5" t="e">
        <f t="array" aca="1" ref="M260" ca="1">_xludf.XLOOKUP(E260,'[1]Migrated Societies Data'!C:C,'[1]Migrated Societies Data'!E:E)</f>
        <v>#NAME?</v>
      </c>
      <c r="N260" s="5" t="str">
        <f t="shared" si="10"/>
        <v>Yes</v>
      </c>
      <c r="O260" s="7">
        <f t="shared" si="11"/>
        <v>7.4560185185185188E-2</v>
      </c>
    </row>
    <row r="261" spans="1:15" x14ac:dyDescent="0.25">
      <c r="A261" s="3" t="s">
        <v>468</v>
      </c>
      <c r="B261" s="3" t="s">
        <v>568</v>
      </c>
      <c r="C261" s="3" t="s">
        <v>16</v>
      </c>
      <c r="D261" s="3" t="s">
        <v>17</v>
      </c>
      <c r="E261" s="3" t="s">
        <v>470</v>
      </c>
      <c r="F261" s="3" t="s">
        <v>569</v>
      </c>
      <c r="G261" s="4">
        <v>45989</v>
      </c>
      <c r="H261" s="5">
        <f t="shared" si="7"/>
        <v>48</v>
      </c>
      <c r="I261" s="5">
        <f t="shared" si="8"/>
        <v>11</v>
      </c>
      <c r="J261" s="6">
        <f t="shared" si="9"/>
        <v>7.4942129629629636E-2</v>
      </c>
      <c r="K261" s="5" t="str">
        <f t="shared" si="6"/>
        <v>(DS-BNBLR-HRBR)</v>
      </c>
      <c r="L261" s="5" t="e">
        <f t="array" aca="1" ref="L261" ca="1">_xludf.XLOOKUP(E261,'[1]Migrated Societies Data'!C:C,'[1]Migrated Societies Data'!B:B)</f>
        <v>#NAME?</v>
      </c>
      <c r="M261" s="5" t="e">
        <f t="array" aca="1" ref="M261" ca="1">_xludf.XLOOKUP(E261,'[1]Migrated Societies Data'!C:C,'[1]Migrated Societies Data'!E:E)</f>
        <v>#NAME?</v>
      </c>
      <c r="N261" s="5" t="str">
        <f t="shared" si="10"/>
        <v>Yes</v>
      </c>
      <c r="O261" s="7">
        <f t="shared" si="11"/>
        <v>9.5775462962962965E-2</v>
      </c>
    </row>
    <row r="262" spans="1:15" x14ac:dyDescent="0.25">
      <c r="A262" s="3" t="s">
        <v>472</v>
      </c>
      <c r="B262" s="3" t="s">
        <v>570</v>
      </c>
      <c r="C262" s="3" t="s">
        <v>16</v>
      </c>
      <c r="D262" s="3" t="s">
        <v>17</v>
      </c>
      <c r="E262" s="3" t="s">
        <v>474</v>
      </c>
      <c r="F262" s="3" t="s">
        <v>571</v>
      </c>
      <c r="G262" s="4">
        <v>45989</v>
      </c>
      <c r="H262" s="5">
        <f t="shared" si="7"/>
        <v>48</v>
      </c>
      <c r="I262" s="5">
        <f t="shared" si="8"/>
        <v>11</v>
      </c>
      <c r="J262" s="6">
        <f t="shared" si="9"/>
        <v>0.10668981481481482</v>
      </c>
      <c r="K262" s="5" t="str">
        <f t="shared" si="6"/>
        <v>(DS-IBBLR-Lingarajapu)</v>
      </c>
      <c r="L262" s="5" t="e">
        <f t="array" aca="1" ref="L262" ca="1">_xludf.XLOOKUP(E262,'[1]Migrated Societies Data'!C:C,'[1]Migrated Societies Data'!B:B)</f>
        <v>#NAME?</v>
      </c>
      <c r="M262" s="5" t="e">
        <f t="array" aca="1" ref="M262" ca="1">_xludf.XLOOKUP(E262,'[1]Migrated Societies Data'!C:C,'[1]Migrated Societies Data'!E:E)</f>
        <v>#NAME?</v>
      </c>
      <c r="N262" s="5" t="str">
        <f t="shared" si="10"/>
        <v>Yes</v>
      </c>
      <c r="O262" s="7">
        <f t="shared" si="11"/>
        <v>0.12752314814814816</v>
      </c>
    </row>
    <row r="263" spans="1:15" x14ac:dyDescent="0.25">
      <c r="A263" s="3" t="s">
        <v>482</v>
      </c>
      <c r="B263" s="3" t="s">
        <v>572</v>
      </c>
      <c r="C263" s="3" t="s">
        <v>16</v>
      </c>
      <c r="D263" s="3" t="s">
        <v>17</v>
      </c>
      <c r="E263" s="3" t="s">
        <v>484</v>
      </c>
      <c r="F263" s="3" t="s">
        <v>573</v>
      </c>
      <c r="G263" s="4">
        <v>45989</v>
      </c>
      <c r="H263" s="5">
        <f t="shared" si="7"/>
        <v>48</v>
      </c>
      <c r="I263" s="5">
        <f t="shared" si="8"/>
        <v>11</v>
      </c>
      <c r="J263" s="6">
        <f t="shared" si="9"/>
        <v>9.3182870370370374E-2</v>
      </c>
      <c r="K263" s="5" t="str">
        <f t="shared" si="6"/>
        <v>(DS-IBBLR-Benson Town)</v>
      </c>
      <c r="L263" s="5" t="e">
        <f t="array" aca="1" ref="L263" ca="1">_xludf.XLOOKUP(E263,'[1]Migrated Societies Data'!C:C,'[1]Migrated Societies Data'!B:B)</f>
        <v>#NAME?</v>
      </c>
      <c r="M263" s="5" t="e">
        <f t="array" aca="1" ref="M263" ca="1">_xludf.XLOOKUP(E263,'[1]Migrated Societies Data'!C:C,'[1]Migrated Societies Data'!E:E)</f>
        <v>#NAME?</v>
      </c>
      <c r="N263" s="5" t="str">
        <f t="shared" si="10"/>
        <v>Yes</v>
      </c>
      <c r="O263" s="7">
        <f t="shared" si="11"/>
        <v>0.1140162037037037</v>
      </c>
    </row>
    <row r="264" spans="1:15" x14ac:dyDescent="0.25">
      <c r="A264" s="3" t="s">
        <v>486</v>
      </c>
      <c r="B264" s="3" t="s">
        <v>574</v>
      </c>
      <c r="C264" s="3" t="s">
        <v>16</v>
      </c>
      <c r="D264" s="3" t="s">
        <v>17</v>
      </c>
      <c r="E264" s="3" t="s">
        <v>488</v>
      </c>
      <c r="F264" s="3" t="s">
        <v>575</v>
      </c>
      <c r="G264" s="4">
        <v>45989</v>
      </c>
      <c r="H264" s="5">
        <f t="shared" si="7"/>
        <v>48</v>
      </c>
      <c r="I264" s="5">
        <f t="shared" si="8"/>
        <v>11</v>
      </c>
      <c r="J264" s="6">
        <f t="shared" si="9"/>
        <v>0.11993055555555555</v>
      </c>
      <c r="K264" s="5" t="str">
        <f t="shared" si="6"/>
        <v>(DS-IBBLR-Jala halli)</v>
      </c>
      <c r="L264" s="5" t="e">
        <f t="array" aca="1" ref="L264" ca="1">_xludf.XLOOKUP(E264,'[1]Migrated Societies Data'!C:C,'[1]Migrated Societies Data'!B:B)</f>
        <v>#NAME?</v>
      </c>
      <c r="M264" s="5" t="e">
        <f t="array" aca="1" ref="M264" ca="1">_xludf.XLOOKUP(E264,'[1]Migrated Societies Data'!C:C,'[1]Migrated Societies Data'!E:E)</f>
        <v>#NAME?</v>
      </c>
      <c r="N264" s="5" t="str">
        <f t="shared" si="10"/>
        <v>Yes</v>
      </c>
      <c r="O264" s="7">
        <f t="shared" si="11"/>
        <v>0.14076388888888888</v>
      </c>
    </row>
    <row r="265" spans="1:15" x14ac:dyDescent="0.25">
      <c r="A265" s="3" t="s">
        <v>442</v>
      </c>
      <c r="B265" s="3" t="s">
        <v>576</v>
      </c>
      <c r="C265" s="3" t="s">
        <v>16</v>
      </c>
      <c r="D265" s="3" t="s">
        <v>82</v>
      </c>
      <c r="E265" s="3" t="s">
        <v>444</v>
      </c>
      <c r="F265" s="3" t="s">
        <v>577</v>
      </c>
      <c r="G265" s="4">
        <v>45990</v>
      </c>
      <c r="H265" s="5">
        <f t="shared" si="7"/>
        <v>48</v>
      </c>
      <c r="I265" s="5">
        <f t="shared" si="8"/>
        <v>11</v>
      </c>
      <c r="J265" s="6">
        <f t="shared" si="9"/>
        <v>0.9472800925925926</v>
      </c>
      <c r="K265" s="5" t="str">
        <f t="shared" si="6"/>
        <v>(DS-IBBLR-Chinappalay)</v>
      </c>
      <c r="L265" s="5" t="e">
        <f t="array" aca="1" ref="L265" ca="1">_xludf.XLOOKUP(E265,'[1]Migrated Societies Data'!C:C,'[1]Migrated Societies Data'!B:B)</f>
        <v>#NAME?</v>
      </c>
      <c r="M265" s="5" t="e">
        <f t="array" aca="1" ref="M265" ca="1">_xludf.XLOOKUP(E265,'[1]Migrated Societies Data'!C:C,'[1]Migrated Societies Data'!E:E)</f>
        <v>#NAME?</v>
      </c>
      <c r="N265" s="5" t="str">
        <f t="shared" si="10"/>
        <v>No</v>
      </c>
      <c r="O265" s="7">
        <f t="shared" si="11"/>
        <v>0.96811342592592597</v>
      </c>
    </row>
    <row r="266" spans="1:15" x14ac:dyDescent="0.25">
      <c r="A266" s="3" t="s">
        <v>446</v>
      </c>
      <c r="B266" s="3" t="s">
        <v>578</v>
      </c>
      <c r="C266" s="3" t="s">
        <v>16</v>
      </c>
      <c r="D266" s="3" t="s">
        <v>82</v>
      </c>
      <c r="E266" s="3" t="s">
        <v>448</v>
      </c>
      <c r="F266" s="3" t="s">
        <v>579</v>
      </c>
      <c r="G266" s="4">
        <v>45990</v>
      </c>
      <c r="H266" s="5">
        <f t="shared" si="7"/>
        <v>48</v>
      </c>
      <c r="I266" s="5">
        <f t="shared" si="8"/>
        <v>11</v>
      </c>
      <c r="J266" s="6">
        <f t="shared" si="9"/>
        <v>0.98386574074074074</v>
      </c>
      <c r="K266" s="5" t="str">
        <f t="shared" si="6"/>
        <v>(DS-IBBLR-Jigani)</v>
      </c>
      <c r="L266" s="5" t="e">
        <f t="array" aca="1" ref="L266" ca="1">_xludf.XLOOKUP(E266,'[1]Migrated Societies Data'!C:C,'[1]Migrated Societies Data'!B:B)</f>
        <v>#NAME?</v>
      </c>
      <c r="M266" s="5" t="e">
        <f t="array" aca="1" ref="M266" ca="1">_xludf.XLOOKUP(E266,'[1]Migrated Societies Data'!C:C,'[1]Migrated Societies Data'!E:E)</f>
        <v>#NAME?</v>
      </c>
      <c r="N266" s="5" t="str">
        <f t="shared" si="10"/>
        <v>Yes</v>
      </c>
      <c r="O266" s="7">
        <f t="shared" si="11"/>
        <v>4.6990740740739945E-3</v>
      </c>
    </row>
    <row r="267" spans="1:15" x14ac:dyDescent="0.25">
      <c r="A267" s="3" t="s">
        <v>331</v>
      </c>
      <c r="B267" s="3" t="s">
        <v>580</v>
      </c>
      <c r="C267" s="3" t="s">
        <v>16</v>
      </c>
      <c r="D267" s="3" t="s">
        <v>82</v>
      </c>
      <c r="E267" s="3" t="s">
        <v>333</v>
      </c>
      <c r="F267" s="3" t="s">
        <v>581</v>
      </c>
      <c r="G267" s="4">
        <v>45990</v>
      </c>
      <c r="H267" s="5">
        <f t="shared" si="7"/>
        <v>48</v>
      </c>
      <c r="I267" s="5">
        <f t="shared" si="8"/>
        <v>11</v>
      </c>
      <c r="J267" s="6">
        <f t="shared" si="9"/>
        <v>0.99171296296296296</v>
      </c>
      <c r="K267" s="5" t="str">
        <f t="shared" si="6"/>
        <v>(DS-IBBLR-Attibele)</v>
      </c>
      <c r="L267" s="5" t="e">
        <f t="array" aca="1" ref="L267" ca="1">_xludf.XLOOKUP(E267,'[1]Migrated Societies Data'!C:C,'[1]Migrated Societies Data'!B:B)</f>
        <v>#NAME?</v>
      </c>
      <c r="M267" s="5" t="e">
        <f t="array" aca="1" ref="M267" ca="1">_xludf.XLOOKUP(E267,'[1]Migrated Societies Data'!C:C,'[1]Migrated Societies Data'!E:E)</f>
        <v>#NAME?</v>
      </c>
      <c r="N267" s="5" t="str">
        <f t="shared" si="10"/>
        <v>Yes</v>
      </c>
      <c r="O267" s="7">
        <f t="shared" si="11"/>
        <v>1.2546296296296333E-2</v>
      </c>
    </row>
    <row r="268" spans="1:15" x14ac:dyDescent="0.25">
      <c r="A268" s="3" t="s">
        <v>80</v>
      </c>
      <c r="B268" s="3" t="s">
        <v>582</v>
      </c>
      <c r="C268" s="3" t="s">
        <v>16</v>
      </c>
      <c r="D268" s="3" t="s">
        <v>82</v>
      </c>
      <c r="E268" s="3" t="s">
        <v>83</v>
      </c>
      <c r="F268" s="3" t="s">
        <v>583</v>
      </c>
      <c r="G268" s="4">
        <v>45990</v>
      </c>
      <c r="H268" s="5">
        <f t="shared" si="7"/>
        <v>48</v>
      </c>
      <c r="I268" s="5">
        <f t="shared" si="8"/>
        <v>11</v>
      </c>
      <c r="J268" s="6">
        <f t="shared" si="9"/>
        <v>0.98166666666666669</v>
      </c>
      <c r="K268" s="5" t="str">
        <f t="shared" si="6"/>
        <v>(DS-IBBLR-Nagondanahalli )</v>
      </c>
      <c r="L268" s="5" t="e">
        <f t="array" aca="1" ref="L268" ca="1">_xludf.XLOOKUP(E268,'[1]Migrated Societies Data'!C:C,'[1]Migrated Societies Data'!B:B)</f>
        <v>#NAME?</v>
      </c>
      <c r="M268" s="5" t="e">
        <f t="array" aca="1" ref="M268" ca="1">_xludf.XLOOKUP(E268,'[1]Migrated Societies Data'!C:C,'[1]Migrated Societies Data'!E:E)</f>
        <v>#NAME?</v>
      </c>
      <c r="N268" s="5" t="str">
        <f t="shared" si="10"/>
        <v>Yes</v>
      </c>
      <c r="O268" s="7">
        <f t="shared" si="11"/>
        <v>2.4999999999999467E-3</v>
      </c>
    </row>
    <row r="269" spans="1:15" x14ac:dyDescent="0.25">
      <c r="A269" s="3" t="s">
        <v>456</v>
      </c>
      <c r="B269" s="3" t="s">
        <v>584</v>
      </c>
      <c r="C269" s="3" t="s">
        <v>16</v>
      </c>
      <c r="D269" s="3" t="s">
        <v>82</v>
      </c>
      <c r="E269" s="3" t="s">
        <v>458</v>
      </c>
      <c r="F269" s="3" t="s">
        <v>585</v>
      </c>
      <c r="G269" s="4">
        <v>45990</v>
      </c>
      <c r="H269" s="5">
        <f t="shared" si="7"/>
        <v>48</v>
      </c>
      <c r="I269" s="5">
        <f t="shared" si="8"/>
        <v>11</v>
      </c>
      <c r="J269" s="6">
        <f t="shared" si="9"/>
        <v>4.1261574074074076E-2</v>
      </c>
      <c r="K269" s="5" t="str">
        <f t="shared" si="6"/>
        <v>(DS-IBBLR-Jakkasandra)</v>
      </c>
      <c r="L269" s="5" t="e">
        <f t="array" aca="1" ref="L269" ca="1">_xludf.XLOOKUP(E269,'[1]Migrated Societies Data'!C:C,'[1]Migrated Societies Data'!B:B)</f>
        <v>#NAME?</v>
      </c>
      <c r="M269" s="5" t="e">
        <f t="array" aca="1" ref="M269" ca="1">_xludf.XLOOKUP(E269,'[1]Migrated Societies Data'!C:C,'[1]Migrated Societies Data'!E:E)</f>
        <v>#NAME?</v>
      </c>
      <c r="N269" s="5" t="str">
        <f t="shared" si="10"/>
        <v>Yes</v>
      </c>
      <c r="O269" s="7">
        <f t="shared" si="11"/>
        <v>6.2094907407407404E-2</v>
      </c>
    </row>
    <row r="270" spans="1:15" x14ac:dyDescent="0.25">
      <c r="A270" s="3" t="s">
        <v>85</v>
      </c>
      <c r="B270" s="3" t="s">
        <v>586</v>
      </c>
      <c r="C270" s="3" t="s">
        <v>16</v>
      </c>
      <c r="D270" s="3" t="s">
        <v>82</v>
      </c>
      <c r="E270" s="3" t="s">
        <v>87</v>
      </c>
      <c r="F270" s="3" t="s">
        <v>587</v>
      </c>
      <c r="G270" s="4">
        <v>45990</v>
      </c>
      <c r="H270" s="5">
        <f t="shared" si="7"/>
        <v>48</v>
      </c>
      <c r="I270" s="5">
        <f t="shared" si="8"/>
        <v>11</v>
      </c>
      <c r="J270" s="6">
        <f t="shared" si="9"/>
        <v>0.99343749999999997</v>
      </c>
      <c r="K270" s="5" t="str">
        <f t="shared" si="6"/>
        <v>(DS-IBBLR-Budhigere )</v>
      </c>
      <c r="L270" s="5" t="e">
        <f t="array" aca="1" ref="L270" ca="1">_xludf.XLOOKUP(E270,'[1]Migrated Societies Data'!C:C,'[1]Migrated Societies Data'!B:B)</f>
        <v>#NAME?</v>
      </c>
      <c r="M270" s="5" t="e">
        <f t="array" aca="1" ref="M270" ca="1">_xludf.XLOOKUP(E270,'[1]Migrated Societies Data'!C:C,'[1]Migrated Societies Data'!E:E)</f>
        <v>#NAME?</v>
      </c>
      <c r="N270" s="5" t="str">
        <f t="shared" si="10"/>
        <v>Yes</v>
      </c>
      <c r="O270" s="7">
        <f t="shared" si="11"/>
        <v>1.4270833333333233E-2</v>
      </c>
    </row>
    <row r="271" spans="1:15" x14ac:dyDescent="0.25">
      <c r="A271" s="3" t="s">
        <v>460</v>
      </c>
      <c r="B271" s="3" t="s">
        <v>588</v>
      </c>
      <c r="C271" s="3" t="s">
        <v>16</v>
      </c>
      <c r="D271" s="3" t="s">
        <v>82</v>
      </c>
      <c r="E271" s="3" t="s">
        <v>462</v>
      </c>
      <c r="F271" s="3" t="s">
        <v>589</v>
      </c>
      <c r="G271" s="4">
        <v>45990</v>
      </c>
      <c r="H271" s="5">
        <f t="shared" si="7"/>
        <v>48</v>
      </c>
      <c r="I271" s="5">
        <f t="shared" si="8"/>
        <v>11</v>
      </c>
      <c r="J271" s="6">
        <f t="shared" si="9"/>
        <v>1.0104166666666666E-2</v>
      </c>
      <c r="K271" s="5" t="str">
        <f t="shared" si="6"/>
        <v>(DS-IBBLR-HAL )</v>
      </c>
      <c r="L271" s="5" t="e">
        <f t="array" aca="1" ref="L271" ca="1">_xludf.XLOOKUP(E271,'[1]Migrated Societies Data'!C:C,'[1]Migrated Societies Data'!B:B)</f>
        <v>#NAME?</v>
      </c>
      <c r="M271" s="5" t="e">
        <f t="array" aca="1" ref="M271" ca="1">_xludf.XLOOKUP(E271,'[1]Migrated Societies Data'!C:C,'[1]Migrated Societies Data'!E:E)</f>
        <v>#NAME?</v>
      </c>
      <c r="N271" s="5" t="str">
        <f t="shared" si="10"/>
        <v>Yes</v>
      </c>
      <c r="O271" s="7">
        <f t="shared" si="11"/>
        <v>3.09375E-2</v>
      </c>
    </row>
    <row r="272" spans="1:15" x14ac:dyDescent="0.25">
      <c r="A272" s="3" t="s">
        <v>468</v>
      </c>
      <c r="B272" s="3" t="s">
        <v>590</v>
      </c>
      <c r="C272" s="3" t="s">
        <v>16</v>
      </c>
      <c r="D272" s="3" t="s">
        <v>17</v>
      </c>
      <c r="E272" s="3" t="s">
        <v>470</v>
      </c>
      <c r="F272" s="3" t="s">
        <v>591</v>
      </c>
      <c r="G272" s="4">
        <v>45990</v>
      </c>
      <c r="H272" s="5">
        <f t="shared" si="7"/>
        <v>48</v>
      </c>
      <c r="I272" s="5">
        <f t="shared" si="8"/>
        <v>11</v>
      </c>
      <c r="J272" s="6">
        <f t="shared" si="9"/>
        <v>2.8807870370370369E-2</v>
      </c>
      <c r="K272" s="5" t="str">
        <f t="shared" si="6"/>
        <v>(DS-BNBLR-HRBR)</v>
      </c>
      <c r="L272" s="5" t="e">
        <f t="array" aca="1" ref="L272" ca="1">_xludf.XLOOKUP(E272,'[1]Migrated Societies Data'!C:C,'[1]Migrated Societies Data'!B:B)</f>
        <v>#NAME?</v>
      </c>
      <c r="M272" s="5" t="e">
        <f t="array" aca="1" ref="M272" ca="1">_xludf.XLOOKUP(E272,'[1]Migrated Societies Data'!C:C,'[1]Migrated Societies Data'!E:E)</f>
        <v>#NAME?</v>
      </c>
      <c r="N272" s="5" t="str">
        <f t="shared" si="10"/>
        <v>Yes</v>
      </c>
      <c r="O272" s="7">
        <f t="shared" si="11"/>
        <v>4.9641203703703701E-2</v>
      </c>
    </row>
    <row r="273" spans="1:15" x14ac:dyDescent="0.25">
      <c r="A273" s="3" t="s">
        <v>14</v>
      </c>
      <c r="B273" s="3" t="s">
        <v>592</v>
      </c>
      <c r="C273" s="3" t="s">
        <v>16</v>
      </c>
      <c r="D273" s="3" t="s">
        <v>17</v>
      </c>
      <c r="E273" s="3" t="s">
        <v>18</v>
      </c>
      <c r="F273" s="3" t="s">
        <v>593</v>
      </c>
      <c r="G273" s="4">
        <v>45990</v>
      </c>
      <c r="H273" s="5">
        <f t="shared" si="7"/>
        <v>48</v>
      </c>
      <c r="I273" s="5">
        <f t="shared" si="8"/>
        <v>11</v>
      </c>
      <c r="J273" s="6">
        <f t="shared" si="9"/>
        <v>1.0277777777777778E-2</v>
      </c>
      <c r="K273" s="5" t="str">
        <f t="shared" si="6"/>
        <v>(DS-IBBLR-Peenya PH-3)</v>
      </c>
      <c r="L273" s="5" t="e">
        <f t="array" aca="1" ref="L273" ca="1">_xludf.XLOOKUP(E273,'[1]Migrated Societies Data'!C:C,'[1]Migrated Societies Data'!B:B)</f>
        <v>#NAME?</v>
      </c>
      <c r="M273" s="5" t="e">
        <f t="array" aca="1" ref="M273" ca="1">_xludf.XLOOKUP(E273,'[1]Migrated Societies Data'!C:C,'[1]Migrated Societies Data'!E:E)</f>
        <v>#NAME?</v>
      </c>
      <c r="N273" s="5" t="str">
        <f t="shared" si="10"/>
        <v>Yes</v>
      </c>
      <c r="O273" s="7">
        <f t="shared" si="11"/>
        <v>3.111111111111111E-2</v>
      </c>
    </row>
    <row r="274" spans="1:15" x14ac:dyDescent="0.25">
      <c r="A274" s="3" t="s">
        <v>490</v>
      </c>
      <c r="B274" s="3" t="s">
        <v>594</v>
      </c>
      <c r="C274" s="3" t="s">
        <v>16</v>
      </c>
      <c r="D274" s="3" t="s">
        <v>17</v>
      </c>
      <c r="E274" s="3" t="s">
        <v>492</v>
      </c>
      <c r="F274" s="3" t="s">
        <v>595</v>
      </c>
      <c r="G274" s="4">
        <v>45990</v>
      </c>
      <c r="H274" s="5">
        <f t="shared" si="7"/>
        <v>48</v>
      </c>
      <c r="I274" s="5">
        <f t="shared" si="8"/>
        <v>11</v>
      </c>
      <c r="J274" s="6">
        <f t="shared" si="9"/>
        <v>5.4398148148148147E-2</v>
      </c>
      <c r="K274" s="5" t="str">
        <f t="shared" si="6"/>
        <v>(DS-IBBLR-Devanahalli)</v>
      </c>
      <c r="L274" s="5" t="e">
        <f t="array" aca="1" ref="L274" ca="1">_xludf.XLOOKUP(E274,'[1]Migrated Societies Data'!C:C,'[1]Migrated Societies Data'!B:B)</f>
        <v>#NAME?</v>
      </c>
      <c r="M274" s="5" t="e">
        <f t="array" aca="1" ref="M274" ca="1">_xludf.XLOOKUP(E274,'[1]Migrated Societies Data'!C:C,'[1]Migrated Societies Data'!E:E)</f>
        <v>#NAME?</v>
      </c>
      <c r="N274" s="5" t="str">
        <f t="shared" si="10"/>
        <v>Yes</v>
      </c>
      <c r="O274" s="7">
        <f t="shared" si="11"/>
        <v>7.5231481481481483E-2</v>
      </c>
    </row>
    <row r="275" spans="1:15" x14ac:dyDescent="0.25">
      <c r="A275" s="3" t="s">
        <v>472</v>
      </c>
      <c r="B275" s="3" t="s">
        <v>596</v>
      </c>
      <c r="C275" s="3" t="s">
        <v>16</v>
      </c>
      <c r="D275" s="3" t="s">
        <v>17</v>
      </c>
      <c r="E275" s="3" t="s">
        <v>474</v>
      </c>
      <c r="F275" s="3" t="s">
        <v>597</v>
      </c>
      <c r="G275" s="4">
        <v>45990</v>
      </c>
      <c r="H275" s="5">
        <f t="shared" si="7"/>
        <v>48</v>
      </c>
      <c r="I275" s="5">
        <f t="shared" si="8"/>
        <v>11</v>
      </c>
      <c r="J275" s="6">
        <f t="shared" si="9"/>
        <v>7.6747685185185183E-2</v>
      </c>
      <c r="K275" s="5" t="str">
        <f t="shared" si="6"/>
        <v>(DS-IBBLR-Lingarajapu)</v>
      </c>
      <c r="L275" s="5" t="e">
        <f t="array" aca="1" ref="L275" ca="1">_xludf.XLOOKUP(E275,'[1]Migrated Societies Data'!C:C,'[1]Migrated Societies Data'!B:B)</f>
        <v>#NAME?</v>
      </c>
      <c r="M275" s="5" t="e">
        <f t="array" aca="1" ref="M275" ca="1">_xludf.XLOOKUP(E275,'[1]Migrated Societies Data'!C:C,'[1]Migrated Societies Data'!E:E)</f>
        <v>#NAME?</v>
      </c>
      <c r="N275" s="5" t="str">
        <f t="shared" si="10"/>
        <v>Yes</v>
      </c>
      <c r="O275" s="7">
        <f t="shared" si="11"/>
        <v>9.7581018518518511E-2</v>
      </c>
    </row>
    <row r="276" spans="1:15" x14ac:dyDescent="0.25">
      <c r="A276" s="3" t="s">
        <v>490</v>
      </c>
      <c r="B276" s="3" t="s">
        <v>598</v>
      </c>
      <c r="C276" s="3" t="s">
        <v>16</v>
      </c>
      <c r="D276" s="3" t="s">
        <v>17</v>
      </c>
      <c r="E276" s="3" t="s">
        <v>492</v>
      </c>
      <c r="F276" s="3" t="s">
        <v>599</v>
      </c>
      <c r="G276" s="4">
        <v>45990</v>
      </c>
      <c r="H276" s="5">
        <f t="shared" si="7"/>
        <v>48</v>
      </c>
      <c r="I276" s="5">
        <f t="shared" si="8"/>
        <v>11</v>
      </c>
      <c r="J276" s="6">
        <f t="shared" si="9"/>
        <v>9.3078703703703705E-2</v>
      </c>
      <c r="K276" s="5" t="str">
        <f t="shared" si="6"/>
        <v>(DS-IBBLR-Devanahalli)</v>
      </c>
      <c r="L276" s="5" t="e">
        <f t="array" aca="1" ref="L276" ca="1">_xludf.XLOOKUP(E276,'[1]Migrated Societies Data'!C:C,'[1]Migrated Societies Data'!B:B)</f>
        <v>#NAME?</v>
      </c>
      <c r="M276" s="5" t="e">
        <f t="array" aca="1" ref="M276" ca="1">_xludf.XLOOKUP(E276,'[1]Migrated Societies Data'!C:C,'[1]Migrated Societies Data'!E:E)</f>
        <v>#NAME?</v>
      </c>
      <c r="N276" s="5" t="str">
        <f t="shared" si="10"/>
        <v>Yes</v>
      </c>
      <c r="O276" s="7">
        <f t="shared" si="11"/>
        <v>0.11391203703703703</v>
      </c>
    </row>
    <row r="277" spans="1:15" x14ac:dyDescent="0.25">
      <c r="A277" s="3" t="s">
        <v>486</v>
      </c>
      <c r="B277" s="3" t="s">
        <v>600</v>
      </c>
      <c r="C277" s="3" t="s">
        <v>16</v>
      </c>
      <c r="D277" s="3" t="s">
        <v>17</v>
      </c>
      <c r="E277" s="3" t="s">
        <v>488</v>
      </c>
      <c r="F277" s="3" t="s">
        <v>601</v>
      </c>
      <c r="G277" s="4">
        <v>45990</v>
      </c>
      <c r="H277" s="5">
        <f t="shared" si="7"/>
        <v>48</v>
      </c>
      <c r="I277" s="5">
        <f t="shared" si="8"/>
        <v>11</v>
      </c>
      <c r="J277" s="6">
        <f t="shared" si="9"/>
        <v>9.178240740740741E-2</v>
      </c>
      <c r="K277" s="5" t="str">
        <f t="shared" si="6"/>
        <v>(DS-IBBLR-Jala halli)</v>
      </c>
      <c r="L277" s="5" t="e">
        <f t="array" aca="1" ref="L277" ca="1">_xludf.XLOOKUP(E277,'[1]Migrated Societies Data'!C:C,'[1]Migrated Societies Data'!B:B)</f>
        <v>#NAME?</v>
      </c>
      <c r="M277" s="5" t="e">
        <f t="array" aca="1" ref="M277" ca="1">_xludf.XLOOKUP(E277,'[1]Migrated Societies Data'!C:C,'[1]Migrated Societies Data'!E:E)</f>
        <v>#NAME?</v>
      </c>
      <c r="N277" s="5" t="str">
        <f t="shared" si="10"/>
        <v>Yes</v>
      </c>
      <c r="O277" s="7">
        <f t="shared" si="11"/>
        <v>0.11261574074074074</v>
      </c>
    </row>
    <row r="278" spans="1:15" x14ac:dyDescent="0.25">
      <c r="A278" s="3" t="s">
        <v>482</v>
      </c>
      <c r="B278" s="3" t="s">
        <v>602</v>
      </c>
      <c r="C278" s="3" t="s">
        <v>16</v>
      </c>
      <c r="D278" s="3" t="s">
        <v>17</v>
      </c>
      <c r="E278" s="3" t="s">
        <v>484</v>
      </c>
      <c r="F278" s="3" t="s">
        <v>603</v>
      </c>
      <c r="G278" s="4">
        <v>45990</v>
      </c>
      <c r="H278" s="5">
        <f t="shared" si="7"/>
        <v>48</v>
      </c>
      <c r="I278" s="5">
        <f t="shared" si="8"/>
        <v>11</v>
      </c>
      <c r="J278" s="6">
        <f t="shared" si="9"/>
        <v>0.10949074074074074</v>
      </c>
      <c r="K278" s="5" t="str">
        <f t="shared" si="6"/>
        <v>(DS-IBBLR-Benson Town)</v>
      </c>
      <c r="L278" s="5" t="e">
        <f t="array" aca="1" ref="L278" ca="1">_xludf.XLOOKUP(E278,'[1]Migrated Societies Data'!C:C,'[1]Migrated Societies Data'!B:B)</f>
        <v>#NAME?</v>
      </c>
      <c r="M278" s="5" t="e">
        <f t="array" aca="1" ref="M278" ca="1">_xludf.XLOOKUP(E278,'[1]Migrated Societies Data'!C:C,'[1]Migrated Societies Data'!E:E)</f>
        <v>#NAME?</v>
      </c>
      <c r="N278" s="5" t="str">
        <f t="shared" si="10"/>
        <v>Yes</v>
      </c>
      <c r="O278" s="7">
        <f t="shared" si="11"/>
        <v>0.13032407407407406</v>
      </c>
    </row>
    <row r="279" spans="1:15" x14ac:dyDescent="0.25">
      <c r="A279" s="3" t="s">
        <v>446</v>
      </c>
      <c r="B279" s="3" t="s">
        <v>604</v>
      </c>
      <c r="C279" s="3" t="s">
        <v>16</v>
      </c>
      <c r="D279" s="3" t="s">
        <v>82</v>
      </c>
      <c r="E279" s="3" t="s">
        <v>448</v>
      </c>
      <c r="F279" s="3" t="s">
        <v>605</v>
      </c>
      <c r="G279" s="4">
        <v>45991</v>
      </c>
      <c r="H279" s="5">
        <f t="shared" si="7"/>
        <v>48</v>
      </c>
      <c r="I279" s="5">
        <f t="shared" si="8"/>
        <v>11</v>
      </c>
      <c r="J279" s="6">
        <f t="shared" si="9"/>
        <v>1.1863425925925927E-2</v>
      </c>
      <c r="K279" s="5" t="str">
        <f t="shared" si="6"/>
        <v>(DS-IBBLR-Jigani)</v>
      </c>
      <c r="L279" s="5" t="e">
        <f t="array" aca="1" ref="L279" ca="1">_xludf.XLOOKUP(E279,'[1]Migrated Societies Data'!C:C,'[1]Migrated Societies Data'!B:B)</f>
        <v>#NAME?</v>
      </c>
      <c r="M279" s="5" t="e">
        <f t="array" aca="1" ref="M279" ca="1">_xludf.XLOOKUP(E279,'[1]Migrated Societies Data'!C:C,'[1]Migrated Societies Data'!E:E)</f>
        <v>#NAME?</v>
      </c>
      <c r="N279" s="5" t="str">
        <f t="shared" si="10"/>
        <v>Yes</v>
      </c>
      <c r="O279" s="7">
        <f t="shared" si="11"/>
        <v>3.2696759259259259E-2</v>
      </c>
    </row>
    <row r="280" spans="1:15" x14ac:dyDescent="0.25">
      <c r="A280" s="3" t="s">
        <v>80</v>
      </c>
      <c r="B280" s="3" t="s">
        <v>606</v>
      </c>
      <c r="C280" s="3" t="s">
        <v>16</v>
      </c>
      <c r="D280" s="3" t="s">
        <v>82</v>
      </c>
      <c r="E280" s="3" t="s">
        <v>83</v>
      </c>
      <c r="F280" s="3" t="s">
        <v>607</v>
      </c>
      <c r="G280" s="4">
        <v>45991</v>
      </c>
      <c r="H280" s="5">
        <f t="shared" si="7"/>
        <v>48</v>
      </c>
      <c r="I280" s="5">
        <f t="shared" si="8"/>
        <v>11</v>
      </c>
      <c r="J280" s="6">
        <f t="shared" si="9"/>
        <v>8.472222222222223E-3</v>
      </c>
      <c r="K280" s="5" t="str">
        <f t="shared" si="6"/>
        <v>(DS-IBBLR-Nagondanahalli )</v>
      </c>
      <c r="L280" s="5" t="e">
        <f t="array" aca="1" ref="L280" ca="1">_xludf.XLOOKUP(E280,'[1]Migrated Societies Data'!C:C,'[1]Migrated Societies Data'!B:B)</f>
        <v>#NAME?</v>
      </c>
      <c r="M280" s="5" t="e">
        <f t="array" aca="1" ref="M280" ca="1">_xludf.XLOOKUP(E280,'[1]Migrated Societies Data'!C:C,'[1]Migrated Societies Data'!E:E)</f>
        <v>#NAME?</v>
      </c>
      <c r="N280" s="5" t="str">
        <f t="shared" si="10"/>
        <v>Yes</v>
      </c>
      <c r="O280" s="7">
        <f t="shared" si="11"/>
        <v>2.9305555555555557E-2</v>
      </c>
    </row>
    <row r="281" spans="1:15" x14ac:dyDescent="0.25">
      <c r="A281" s="3" t="s">
        <v>456</v>
      </c>
      <c r="B281" s="3" t="s">
        <v>608</v>
      </c>
      <c r="C281" s="3" t="s">
        <v>16</v>
      </c>
      <c r="D281" s="3" t="s">
        <v>82</v>
      </c>
      <c r="E281" s="3" t="s">
        <v>458</v>
      </c>
      <c r="F281" s="3" t="s">
        <v>609</v>
      </c>
      <c r="G281" s="4">
        <v>45991</v>
      </c>
      <c r="H281" s="5">
        <f t="shared" si="7"/>
        <v>48</v>
      </c>
      <c r="I281" s="5">
        <f t="shared" si="8"/>
        <v>11</v>
      </c>
      <c r="J281" s="6">
        <f t="shared" si="9"/>
        <v>8.3981481481481476E-2</v>
      </c>
      <c r="K281" s="5" t="str">
        <f t="shared" si="6"/>
        <v>(DS-IBBLR-Jakkasandra)</v>
      </c>
      <c r="L281" s="5" t="e">
        <f t="array" aca="1" ref="L281" ca="1">_xludf.XLOOKUP(E281,'[1]Migrated Societies Data'!C:C,'[1]Migrated Societies Data'!B:B)</f>
        <v>#NAME?</v>
      </c>
      <c r="M281" s="5" t="e">
        <f t="array" aca="1" ref="M281" ca="1">_xludf.XLOOKUP(E281,'[1]Migrated Societies Data'!C:C,'[1]Migrated Societies Data'!E:E)</f>
        <v>#NAME?</v>
      </c>
      <c r="N281" s="5" t="str">
        <f t="shared" si="10"/>
        <v>Yes</v>
      </c>
      <c r="O281" s="7">
        <f t="shared" si="11"/>
        <v>0.10481481481481481</v>
      </c>
    </row>
    <row r="282" spans="1:15" x14ac:dyDescent="0.25">
      <c r="A282" s="3" t="s">
        <v>331</v>
      </c>
      <c r="B282" s="3" t="s">
        <v>610</v>
      </c>
      <c r="C282" s="3" t="s">
        <v>16</v>
      </c>
      <c r="D282" s="3" t="s">
        <v>82</v>
      </c>
      <c r="E282" s="3" t="s">
        <v>333</v>
      </c>
      <c r="F282" s="3" t="s">
        <v>611</v>
      </c>
      <c r="G282" s="4">
        <v>45991</v>
      </c>
      <c r="H282" s="5">
        <f t="shared" si="7"/>
        <v>48</v>
      </c>
      <c r="I282" s="5">
        <f t="shared" si="8"/>
        <v>11</v>
      </c>
      <c r="J282" s="6">
        <f t="shared" si="9"/>
        <v>5.7870370370370367E-4</v>
      </c>
      <c r="K282" s="5" t="str">
        <f t="shared" si="6"/>
        <v>(DS-IBBLR-Attibele)</v>
      </c>
      <c r="L282" s="5" t="e">
        <f t="array" aca="1" ref="L282" ca="1">_xludf.XLOOKUP(E282,'[1]Migrated Societies Data'!C:C,'[1]Migrated Societies Data'!B:B)</f>
        <v>#NAME?</v>
      </c>
      <c r="M282" s="5" t="e">
        <f t="array" aca="1" ref="M282" ca="1">_xludf.XLOOKUP(E282,'[1]Migrated Societies Data'!C:C,'[1]Migrated Societies Data'!E:E)</f>
        <v>#NAME?</v>
      </c>
      <c r="N282" s="5" t="str">
        <f t="shared" si="10"/>
        <v>Yes</v>
      </c>
      <c r="O282" s="7">
        <f t="shared" si="11"/>
        <v>2.1412037037037035E-2</v>
      </c>
    </row>
    <row r="283" spans="1:15" x14ac:dyDescent="0.25">
      <c r="A283" s="3" t="s">
        <v>85</v>
      </c>
      <c r="B283" s="3" t="s">
        <v>612</v>
      </c>
      <c r="C283" s="3" t="s">
        <v>16</v>
      </c>
      <c r="D283" s="3" t="s">
        <v>82</v>
      </c>
      <c r="E283" s="3" t="s">
        <v>87</v>
      </c>
      <c r="F283" s="3" t="s">
        <v>613</v>
      </c>
      <c r="G283" s="4">
        <v>45991</v>
      </c>
      <c r="H283" s="5">
        <f t="shared" si="7"/>
        <v>48</v>
      </c>
      <c r="I283" s="5">
        <f t="shared" si="8"/>
        <v>11</v>
      </c>
      <c r="J283" s="6">
        <f t="shared" si="9"/>
        <v>0.98563657407407412</v>
      </c>
      <c r="K283" s="5" t="str">
        <f t="shared" si="6"/>
        <v>(DS-IBBLR-Budhigere )</v>
      </c>
      <c r="L283" s="5" t="e">
        <f t="array" aca="1" ref="L283" ca="1">_xludf.XLOOKUP(E283,'[1]Migrated Societies Data'!C:C,'[1]Migrated Societies Data'!B:B)</f>
        <v>#NAME?</v>
      </c>
      <c r="M283" s="5" t="e">
        <f t="array" aca="1" ref="M283" ca="1">_xludf.XLOOKUP(E283,'[1]Migrated Societies Data'!C:C,'[1]Migrated Societies Data'!E:E)</f>
        <v>#NAME?</v>
      </c>
      <c r="N283" s="5" t="str">
        <f t="shared" si="10"/>
        <v>Yes</v>
      </c>
      <c r="O283" s="7">
        <f t="shared" si="11"/>
        <v>6.4699074074074936E-3</v>
      </c>
    </row>
    <row r="284" spans="1:15" x14ac:dyDescent="0.25">
      <c r="A284" s="3" t="s">
        <v>442</v>
      </c>
      <c r="B284" s="3" t="s">
        <v>614</v>
      </c>
      <c r="C284" s="3" t="s">
        <v>16</v>
      </c>
      <c r="D284" s="3" t="s">
        <v>82</v>
      </c>
      <c r="E284" s="3" t="s">
        <v>444</v>
      </c>
      <c r="F284" s="3" t="s">
        <v>615</v>
      </c>
      <c r="G284" s="4">
        <v>45991</v>
      </c>
      <c r="H284" s="5">
        <f t="shared" si="7"/>
        <v>48</v>
      </c>
      <c r="I284" s="5">
        <f t="shared" si="8"/>
        <v>11</v>
      </c>
      <c r="J284" s="6">
        <f t="shared" si="9"/>
        <v>0.97739583333333335</v>
      </c>
      <c r="K284" s="5" t="str">
        <f t="shared" si="6"/>
        <v>(DS-IBBLR-Chinappalay)</v>
      </c>
      <c r="L284" s="5" t="e">
        <f t="array" aca="1" ref="L284" ca="1">_xludf.XLOOKUP(E284,'[1]Migrated Societies Data'!C:C,'[1]Migrated Societies Data'!B:B)</f>
        <v>#NAME?</v>
      </c>
      <c r="M284" s="5" t="e">
        <f t="array" aca="1" ref="M284" ca="1">_xludf.XLOOKUP(E284,'[1]Migrated Societies Data'!C:C,'[1]Migrated Societies Data'!E:E)</f>
        <v>#NAME?</v>
      </c>
      <c r="N284" s="5" t="str">
        <f t="shared" si="10"/>
        <v>Yes</v>
      </c>
      <c r="O284" s="7">
        <f t="shared" si="11"/>
        <v>0.99822916666666672</v>
      </c>
    </row>
    <row r="285" spans="1:15" x14ac:dyDescent="0.25">
      <c r="A285" s="3" t="s">
        <v>14</v>
      </c>
      <c r="B285" s="3" t="s">
        <v>616</v>
      </c>
      <c r="C285" s="3" t="s">
        <v>16</v>
      </c>
      <c r="D285" s="3" t="s">
        <v>17</v>
      </c>
      <c r="E285" s="3" t="s">
        <v>18</v>
      </c>
      <c r="F285" s="3" t="s">
        <v>617</v>
      </c>
      <c r="G285" s="4">
        <v>45991</v>
      </c>
      <c r="H285" s="5">
        <f t="shared" si="7"/>
        <v>48</v>
      </c>
      <c r="I285" s="5">
        <f t="shared" si="8"/>
        <v>11</v>
      </c>
      <c r="J285" s="6">
        <f t="shared" si="9"/>
        <v>1.9907407407407408E-2</v>
      </c>
      <c r="K285" s="5" t="str">
        <f t="shared" si="6"/>
        <v>(DS-IBBLR-Peenya PH-3)</v>
      </c>
      <c r="L285" s="5" t="e">
        <f t="array" aca="1" ref="L285" ca="1">_xludf.XLOOKUP(E285,'[1]Migrated Societies Data'!C:C,'[1]Migrated Societies Data'!B:B)</f>
        <v>#NAME?</v>
      </c>
      <c r="M285" s="5" t="e">
        <f t="array" aca="1" ref="M285" ca="1">_xludf.XLOOKUP(E285,'[1]Migrated Societies Data'!C:C,'[1]Migrated Societies Data'!E:E)</f>
        <v>#NAME?</v>
      </c>
      <c r="N285" s="5" t="str">
        <f t="shared" si="10"/>
        <v>Yes</v>
      </c>
      <c r="O285" s="7">
        <f t="shared" si="11"/>
        <v>4.0740740740740744E-2</v>
      </c>
    </row>
    <row r="286" spans="1:15" x14ac:dyDescent="0.25">
      <c r="A286" s="3" t="s">
        <v>468</v>
      </c>
      <c r="B286" s="3" t="s">
        <v>618</v>
      </c>
      <c r="C286" s="3" t="s">
        <v>16</v>
      </c>
      <c r="D286" s="3" t="s">
        <v>17</v>
      </c>
      <c r="E286" s="3" t="s">
        <v>470</v>
      </c>
      <c r="F286" s="3" t="s">
        <v>619</v>
      </c>
      <c r="G286" s="4">
        <v>45991</v>
      </c>
      <c r="H286" s="5">
        <f t="shared" si="7"/>
        <v>48</v>
      </c>
      <c r="I286" s="5">
        <f t="shared" si="8"/>
        <v>11</v>
      </c>
      <c r="J286" s="6">
        <f t="shared" si="9"/>
        <v>6.0486111111111109E-2</v>
      </c>
      <c r="K286" s="5" t="str">
        <f t="shared" si="6"/>
        <v>(DS-BNBLR-HRBR)</v>
      </c>
      <c r="L286" s="5" t="e">
        <f t="array" aca="1" ref="L286" ca="1">_xludf.XLOOKUP(E286,'[1]Migrated Societies Data'!C:C,'[1]Migrated Societies Data'!B:B)</f>
        <v>#NAME?</v>
      </c>
      <c r="M286" s="5" t="e">
        <f t="array" aca="1" ref="M286" ca="1">_xludf.XLOOKUP(E286,'[1]Migrated Societies Data'!C:C,'[1]Migrated Societies Data'!E:E)</f>
        <v>#NAME?</v>
      </c>
      <c r="N286" s="5" t="str">
        <f t="shared" si="10"/>
        <v>Yes</v>
      </c>
      <c r="O286" s="7">
        <f t="shared" si="11"/>
        <v>8.1319444444444444E-2</v>
      </c>
    </row>
    <row r="287" spans="1:15" x14ac:dyDescent="0.25">
      <c r="A287" s="3" t="s">
        <v>478</v>
      </c>
      <c r="B287" s="3" t="s">
        <v>620</v>
      </c>
      <c r="C287" s="3" t="s">
        <v>16</v>
      </c>
      <c r="D287" s="3" t="s">
        <v>17</v>
      </c>
      <c r="E287" s="3" t="s">
        <v>480</v>
      </c>
      <c r="F287" s="3" t="s">
        <v>621</v>
      </c>
      <c r="G287" s="4">
        <v>45991</v>
      </c>
      <c r="H287" s="5">
        <f t="shared" si="7"/>
        <v>48</v>
      </c>
      <c r="I287" s="5">
        <f t="shared" si="8"/>
        <v>11</v>
      </c>
      <c r="J287" s="6">
        <f t="shared" si="9"/>
        <v>4.7974537037037038E-2</v>
      </c>
      <c r="K287" s="5" t="str">
        <f t="shared" si="6"/>
        <v>(DS-IBBLR-Bellahalli)</v>
      </c>
      <c r="L287" s="5" t="e">
        <f t="array" aca="1" ref="L287" ca="1">_xludf.XLOOKUP(E287,'[1]Migrated Societies Data'!C:C,'[1]Migrated Societies Data'!B:B)</f>
        <v>#NAME?</v>
      </c>
      <c r="M287" s="5" t="e">
        <f t="array" aca="1" ref="M287" ca="1">_xludf.XLOOKUP(E287,'[1]Migrated Societies Data'!C:C,'[1]Migrated Societies Data'!E:E)</f>
        <v>#NAME?</v>
      </c>
      <c r="N287" s="5" t="str">
        <f t="shared" si="10"/>
        <v>Yes</v>
      </c>
      <c r="O287" s="7">
        <f t="shared" si="11"/>
        <v>6.8807870370370366E-2</v>
      </c>
    </row>
    <row r="288" spans="1:15" x14ac:dyDescent="0.25">
      <c r="A288" s="3" t="s">
        <v>342</v>
      </c>
      <c r="B288" s="3" t="s">
        <v>622</v>
      </c>
      <c r="C288" s="3" t="s">
        <v>16</v>
      </c>
      <c r="D288" s="3" t="s">
        <v>17</v>
      </c>
      <c r="E288" s="3" t="s">
        <v>344</v>
      </c>
      <c r="F288" s="3" t="s">
        <v>623</v>
      </c>
      <c r="G288" s="4">
        <v>45991</v>
      </c>
      <c r="H288" s="5">
        <f t="shared" si="7"/>
        <v>48</v>
      </c>
      <c r="I288" s="5">
        <f t="shared" si="8"/>
        <v>11</v>
      </c>
      <c r="J288" s="6">
        <f t="shared" si="9"/>
        <v>7.7314814814814808E-2</v>
      </c>
      <c r="K288" s="5" t="str">
        <f t="shared" si="6"/>
        <v>(DS-IBBLR-Chikkasandr)</v>
      </c>
      <c r="L288" s="5" t="e">
        <f t="array" aca="1" ref="L288" ca="1">_xludf.XLOOKUP(E288,'[1]Migrated Societies Data'!C:C,'[1]Migrated Societies Data'!B:B)</f>
        <v>#NAME?</v>
      </c>
      <c r="M288" s="5" t="e">
        <f t="array" aca="1" ref="M288" ca="1">_xludf.XLOOKUP(E288,'[1]Migrated Societies Data'!C:C,'[1]Migrated Societies Data'!E:E)</f>
        <v>#NAME?</v>
      </c>
      <c r="N288" s="5" t="str">
        <f t="shared" si="10"/>
        <v>Yes</v>
      </c>
      <c r="O288" s="7">
        <f t="shared" si="11"/>
        <v>9.8148148148148137E-2</v>
      </c>
    </row>
    <row r="289" spans="1:15" x14ac:dyDescent="0.25">
      <c r="A289" s="3" t="s">
        <v>464</v>
      </c>
      <c r="B289" s="3" t="s">
        <v>624</v>
      </c>
      <c r="C289" s="3" t="s">
        <v>16</v>
      </c>
      <c r="D289" s="3" t="s">
        <v>82</v>
      </c>
      <c r="E289" s="3" t="s">
        <v>466</v>
      </c>
      <c r="F289" s="3" t="s">
        <v>625</v>
      </c>
      <c r="G289" s="4">
        <v>45991</v>
      </c>
      <c r="H289" s="5">
        <f t="shared" si="7"/>
        <v>48</v>
      </c>
      <c r="I289" s="5">
        <f t="shared" si="8"/>
        <v>11</v>
      </c>
      <c r="J289" s="6">
        <f t="shared" si="9"/>
        <v>3.1770833333333331E-2</v>
      </c>
      <c r="K289" s="5" t="str">
        <f t="shared" si="6"/>
        <v>(DS-IBBLR-Kallahalli )</v>
      </c>
      <c r="L289" s="5" t="e">
        <f t="array" aca="1" ref="L289" ca="1">_xludf.XLOOKUP(E289,'[1]Migrated Societies Data'!C:C,'[1]Migrated Societies Data'!B:B)</f>
        <v>#NAME?</v>
      </c>
      <c r="M289" s="5" t="e">
        <f t="array" aca="1" ref="M289" ca="1">_xludf.XLOOKUP(E289,'[1]Migrated Societies Data'!C:C,'[1]Migrated Societies Data'!E:E)</f>
        <v>#NAME?</v>
      </c>
      <c r="N289" s="5" t="str">
        <f t="shared" si="10"/>
        <v>Yes</v>
      </c>
      <c r="O289" s="7">
        <f t="shared" si="11"/>
        <v>5.260416666666666E-2</v>
      </c>
    </row>
    <row r="290" spans="1:15" x14ac:dyDescent="0.25">
      <c r="A290" s="3" t="s">
        <v>490</v>
      </c>
      <c r="B290" s="3" t="s">
        <v>626</v>
      </c>
      <c r="C290" s="3" t="s">
        <v>16</v>
      </c>
      <c r="D290" s="3" t="s">
        <v>17</v>
      </c>
      <c r="E290" s="3" t="s">
        <v>492</v>
      </c>
      <c r="F290" s="3" t="s">
        <v>627</v>
      </c>
      <c r="G290" s="4">
        <v>45991</v>
      </c>
      <c r="H290" s="5">
        <f t="shared" si="7"/>
        <v>48</v>
      </c>
      <c r="I290" s="5">
        <f t="shared" si="8"/>
        <v>11</v>
      </c>
      <c r="J290" s="6">
        <f t="shared" si="9"/>
        <v>0.10155092592592592</v>
      </c>
      <c r="K290" s="5" t="str">
        <f t="shared" si="6"/>
        <v>(DS-IBBLR-Devanahalli)</v>
      </c>
      <c r="L290" s="5" t="e">
        <f t="array" aca="1" ref="L290" ca="1">_xludf.XLOOKUP(E290,'[1]Migrated Societies Data'!C:C,'[1]Migrated Societies Data'!B:B)</f>
        <v>#NAME?</v>
      </c>
      <c r="M290" s="5" t="e">
        <f t="array" aca="1" ref="M290" ca="1">_xludf.XLOOKUP(E290,'[1]Migrated Societies Data'!C:C,'[1]Migrated Societies Data'!E:E)</f>
        <v>#NAME?</v>
      </c>
      <c r="N290" s="5" t="str">
        <f t="shared" si="10"/>
        <v>Yes</v>
      </c>
      <c r="O290" s="7">
        <f t="shared" si="11"/>
        <v>0.12238425925925925</v>
      </c>
    </row>
    <row r="291" spans="1:15" x14ac:dyDescent="0.25">
      <c r="A291" s="3" t="s">
        <v>460</v>
      </c>
      <c r="B291" s="3" t="s">
        <v>628</v>
      </c>
      <c r="C291" s="3" t="s">
        <v>16</v>
      </c>
      <c r="D291" s="3" t="s">
        <v>82</v>
      </c>
      <c r="E291" s="3" t="s">
        <v>462</v>
      </c>
      <c r="F291" s="3" t="s">
        <v>629</v>
      </c>
      <c r="G291" s="4">
        <v>45991</v>
      </c>
      <c r="H291" s="5">
        <f t="shared" si="7"/>
        <v>48</v>
      </c>
      <c r="I291" s="5">
        <f t="shared" si="8"/>
        <v>11</v>
      </c>
      <c r="J291" s="6">
        <f t="shared" si="9"/>
        <v>4.5567129629629631E-2</v>
      </c>
      <c r="K291" s="5" t="str">
        <f t="shared" si="6"/>
        <v>(DS-IBBLR-HAL )</v>
      </c>
      <c r="L291" s="5" t="e">
        <f t="array" aca="1" ref="L291" ca="1">_xludf.XLOOKUP(E291,'[1]Migrated Societies Data'!C:C,'[1]Migrated Societies Data'!B:B)</f>
        <v>#NAME?</v>
      </c>
      <c r="M291" s="5" t="e">
        <f t="array" aca="1" ref="M291" ca="1">_xludf.XLOOKUP(E291,'[1]Migrated Societies Data'!C:C,'[1]Migrated Societies Data'!E:E)</f>
        <v>#NAME?</v>
      </c>
      <c r="N291" s="5" t="str">
        <f t="shared" si="10"/>
        <v>Yes</v>
      </c>
      <c r="O291" s="7">
        <f t="shared" si="11"/>
        <v>6.6400462962962967E-2</v>
      </c>
    </row>
    <row r="292" spans="1:15" x14ac:dyDescent="0.25">
      <c r="A292" s="3" t="s">
        <v>472</v>
      </c>
      <c r="B292" s="3" t="s">
        <v>630</v>
      </c>
      <c r="C292" s="3" t="s">
        <v>16</v>
      </c>
      <c r="D292" s="3" t="s">
        <v>17</v>
      </c>
      <c r="E292" s="3" t="s">
        <v>474</v>
      </c>
      <c r="F292" s="3" t="s">
        <v>631</v>
      </c>
      <c r="G292" s="4">
        <v>45991</v>
      </c>
      <c r="H292" s="5">
        <f t="shared" si="7"/>
        <v>48</v>
      </c>
      <c r="I292" s="5">
        <f t="shared" si="8"/>
        <v>11</v>
      </c>
      <c r="J292" s="6">
        <f t="shared" si="9"/>
        <v>7.4212962962962967E-2</v>
      </c>
      <c r="K292" s="5" t="str">
        <f t="shared" si="6"/>
        <v>(DS-IBBLR-Lingarajapu)</v>
      </c>
      <c r="L292" s="5" t="e">
        <f t="array" aca="1" ref="L292" ca="1">_xludf.XLOOKUP(E292,'[1]Migrated Societies Data'!C:C,'[1]Migrated Societies Data'!B:B)</f>
        <v>#NAME?</v>
      </c>
      <c r="M292" s="5" t="e">
        <f t="array" aca="1" ref="M292" ca="1">_xludf.XLOOKUP(E292,'[1]Migrated Societies Data'!C:C,'[1]Migrated Societies Data'!E:E)</f>
        <v>#NAME?</v>
      </c>
      <c r="N292" s="5" t="str">
        <f t="shared" si="10"/>
        <v>Yes</v>
      </c>
      <c r="O292" s="7">
        <f t="shared" si="11"/>
        <v>9.5046296296296295E-2</v>
      </c>
    </row>
    <row r="293" spans="1:15" x14ac:dyDescent="0.25">
      <c r="A293" s="3" t="s">
        <v>482</v>
      </c>
      <c r="B293" s="3" t="s">
        <v>632</v>
      </c>
      <c r="C293" s="3" t="s">
        <v>16</v>
      </c>
      <c r="D293" s="3" t="s">
        <v>17</v>
      </c>
      <c r="E293" s="3" t="s">
        <v>484</v>
      </c>
      <c r="F293" s="3" t="s">
        <v>633</v>
      </c>
      <c r="G293" s="4">
        <v>45991</v>
      </c>
      <c r="H293" s="5">
        <f t="shared" si="7"/>
        <v>48</v>
      </c>
      <c r="I293" s="5">
        <f t="shared" si="8"/>
        <v>11</v>
      </c>
      <c r="J293" s="6">
        <f t="shared" si="9"/>
        <v>6.564814814814815E-2</v>
      </c>
      <c r="K293" s="5" t="str">
        <f t="shared" si="6"/>
        <v>(DS-IBBLR-Benson Town)</v>
      </c>
      <c r="L293" s="5" t="e">
        <f t="array" aca="1" ref="L293" ca="1">_xludf.XLOOKUP(E293,'[1]Migrated Societies Data'!C:C,'[1]Migrated Societies Data'!B:B)</f>
        <v>#NAME?</v>
      </c>
      <c r="M293" s="5" t="e">
        <f t="array" aca="1" ref="M293" ca="1">_xludf.XLOOKUP(E293,'[1]Migrated Societies Data'!C:C,'[1]Migrated Societies Data'!E:E)</f>
        <v>#NAME?</v>
      </c>
      <c r="N293" s="5" t="str">
        <f t="shared" si="10"/>
        <v>Yes</v>
      </c>
      <c r="O293" s="7">
        <f t="shared" si="11"/>
        <v>8.6481481481481479E-2</v>
      </c>
    </row>
    <row r="294" spans="1:15" x14ac:dyDescent="0.25">
      <c r="A294" s="3" t="s">
        <v>486</v>
      </c>
      <c r="B294" s="3" t="s">
        <v>634</v>
      </c>
      <c r="C294" s="3" t="s">
        <v>16</v>
      </c>
      <c r="D294" s="3" t="s">
        <v>17</v>
      </c>
      <c r="E294" s="3" t="s">
        <v>488</v>
      </c>
      <c r="F294" s="3" t="s">
        <v>635</v>
      </c>
      <c r="G294" s="4">
        <v>45991</v>
      </c>
      <c r="H294" s="5">
        <f t="shared" si="7"/>
        <v>48</v>
      </c>
      <c r="I294" s="5">
        <f t="shared" si="8"/>
        <v>11</v>
      </c>
      <c r="J294" s="6">
        <f t="shared" si="9"/>
        <v>9.3773148148148147E-2</v>
      </c>
      <c r="K294" s="5" t="str">
        <f t="shared" si="6"/>
        <v>(DS-IBBLR-Jala halli)</v>
      </c>
      <c r="L294" s="5" t="e">
        <f t="array" aca="1" ref="L294" ca="1">_xludf.XLOOKUP(E294,'[1]Migrated Societies Data'!C:C,'[1]Migrated Societies Data'!B:B)</f>
        <v>#NAME?</v>
      </c>
      <c r="M294" s="5" t="e">
        <f t="array" aca="1" ref="M294" ca="1">_xludf.XLOOKUP(E294,'[1]Migrated Societies Data'!C:C,'[1]Migrated Societies Data'!E:E)</f>
        <v>#NAME?</v>
      </c>
      <c r="N294" s="5" t="str">
        <f t="shared" si="10"/>
        <v>Yes</v>
      </c>
      <c r="O294" s="7">
        <f t="shared" si="11"/>
        <v>0.11460648148148148</v>
      </c>
    </row>
    <row r="295" spans="1:15" x14ac:dyDescent="0.25">
      <c r="A295" s="3" t="s">
        <v>331</v>
      </c>
      <c r="B295" s="3" t="s">
        <v>636</v>
      </c>
      <c r="C295" s="3" t="s">
        <v>16</v>
      </c>
      <c r="D295" s="3" t="s">
        <v>82</v>
      </c>
      <c r="E295" s="3" t="s">
        <v>333</v>
      </c>
      <c r="F295" s="3" t="s">
        <v>637</v>
      </c>
      <c r="G295" s="4">
        <v>45992</v>
      </c>
      <c r="H295" s="5">
        <f t="shared" si="7"/>
        <v>49</v>
      </c>
      <c r="I295" s="5">
        <f t="shared" si="8"/>
        <v>12</v>
      </c>
      <c r="J295" s="6">
        <f t="shared" si="9"/>
        <v>1.9675925925925926E-4</v>
      </c>
      <c r="K295" s="5" t="str">
        <f t="shared" si="6"/>
        <v>(DS-IBBLR-Attibele)</v>
      </c>
      <c r="L295" s="5" t="e">
        <f t="array" aca="1" ref="L295" ca="1">_xludf.XLOOKUP(E295,'[1]Migrated Societies Data'!C:C,'[1]Migrated Societies Data'!B:B)</f>
        <v>#NAME?</v>
      </c>
      <c r="M295" s="5" t="e">
        <f t="array" aca="1" ref="M295" ca="1">_xludf.XLOOKUP(E295,'[1]Migrated Societies Data'!C:C,'[1]Migrated Societies Data'!E:E)</f>
        <v>#NAME?</v>
      </c>
      <c r="N295" s="5" t="str">
        <f t="shared" si="10"/>
        <v>Yes</v>
      </c>
      <c r="O295" s="7">
        <f t="shared" si="11"/>
        <v>2.103009259259259E-2</v>
      </c>
    </row>
    <row r="296" spans="1:15" x14ac:dyDescent="0.25">
      <c r="A296" s="3" t="s">
        <v>85</v>
      </c>
      <c r="B296" s="3" t="s">
        <v>638</v>
      </c>
      <c r="C296" s="3" t="s">
        <v>16</v>
      </c>
      <c r="D296" s="3" t="s">
        <v>82</v>
      </c>
      <c r="E296" s="3" t="s">
        <v>87</v>
      </c>
      <c r="F296" s="3" t="s">
        <v>639</v>
      </c>
      <c r="G296" s="4">
        <v>45992</v>
      </c>
      <c r="H296" s="5">
        <f t="shared" si="7"/>
        <v>49</v>
      </c>
      <c r="I296" s="5">
        <f t="shared" si="8"/>
        <v>12</v>
      </c>
      <c r="J296" s="6">
        <f t="shared" si="9"/>
        <v>0.9657175925925926</v>
      </c>
      <c r="K296" s="5" t="str">
        <f t="shared" si="6"/>
        <v>(DS-IBBLR-Budhigere )</v>
      </c>
      <c r="L296" s="5" t="e">
        <f t="array" aca="1" ref="L296" ca="1">_xludf.XLOOKUP(E296,'[1]Migrated Societies Data'!C:C,'[1]Migrated Societies Data'!B:B)</f>
        <v>#NAME?</v>
      </c>
      <c r="M296" s="5" t="e">
        <f t="array" aca="1" ref="M296" ca="1">_xludf.XLOOKUP(E296,'[1]Migrated Societies Data'!C:C,'[1]Migrated Societies Data'!E:E)</f>
        <v>#NAME?</v>
      </c>
      <c r="N296" s="5" t="str">
        <f t="shared" si="10"/>
        <v>Yes</v>
      </c>
      <c r="O296" s="7">
        <f t="shared" si="11"/>
        <v>0.98655092592592597</v>
      </c>
    </row>
    <row r="297" spans="1:15" x14ac:dyDescent="0.25">
      <c r="A297" s="3" t="s">
        <v>80</v>
      </c>
      <c r="B297" s="3" t="s">
        <v>640</v>
      </c>
      <c r="C297" s="3" t="s">
        <v>16</v>
      </c>
      <c r="D297" s="3" t="s">
        <v>82</v>
      </c>
      <c r="E297" s="3" t="s">
        <v>83</v>
      </c>
      <c r="F297" s="3" t="s">
        <v>641</v>
      </c>
      <c r="G297" s="4">
        <v>45992</v>
      </c>
      <c r="H297" s="5">
        <f t="shared" si="7"/>
        <v>49</v>
      </c>
      <c r="I297" s="5">
        <f t="shared" si="8"/>
        <v>12</v>
      </c>
      <c r="J297" s="6">
        <f t="shared" si="9"/>
        <v>0.98769675925925926</v>
      </c>
      <c r="K297" s="5" t="str">
        <f t="shared" si="6"/>
        <v>(DS-IBBLR-Nagondanahalli )</v>
      </c>
      <c r="L297" s="5" t="e">
        <f t="array" aca="1" ref="L297" ca="1">_xludf.XLOOKUP(E297,'[1]Migrated Societies Data'!C:C,'[1]Migrated Societies Data'!B:B)</f>
        <v>#NAME?</v>
      </c>
      <c r="M297" s="5" t="e">
        <f t="array" aca="1" ref="M297" ca="1">_xludf.XLOOKUP(E297,'[1]Migrated Societies Data'!C:C,'[1]Migrated Societies Data'!E:E)</f>
        <v>#NAME?</v>
      </c>
      <c r="N297" s="5" t="str">
        <f t="shared" si="10"/>
        <v>Yes</v>
      </c>
      <c r="O297" s="7">
        <f t="shared" si="11"/>
        <v>8.5300925925926308E-3</v>
      </c>
    </row>
    <row r="298" spans="1:15" x14ac:dyDescent="0.25">
      <c r="A298" s="3" t="s">
        <v>446</v>
      </c>
      <c r="B298" s="3" t="s">
        <v>642</v>
      </c>
      <c r="C298" s="3" t="s">
        <v>33</v>
      </c>
      <c r="D298" s="3" t="s">
        <v>82</v>
      </c>
      <c r="E298" s="3" t="s">
        <v>448</v>
      </c>
      <c r="F298" s="3" t="s">
        <v>643</v>
      </c>
      <c r="G298" s="4">
        <v>45992</v>
      </c>
      <c r="H298" s="5">
        <f t="shared" si="7"/>
        <v>49</v>
      </c>
      <c r="I298" s="5">
        <f t="shared" si="8"/>
        <v>12</v>
      </c>
      <c r="J298" s="6">
        <f t="shared" si="9"/>
        <v>1.3356481481481481E-2</v>
      </c>
      <c r="K298" s="5" t="str">
        <f t="shared" si="6"/>
        <v>(DS-IBBLR-Jigani)</v>
      </c>
      <c r="L298" s="5" t="e">
        <f t="array" aca="1" ref="L298" ca="1">_xludf.XLOOKUP(E298,'[1]Migrated Societies Data'!C:C,'[1]Migrated Societies Data'!B:B)</f>
        <v>#NAME?</v>
      </c>
      <c r="M298" s="5" t="e">
        <f t="array" aca="1" ref="M298" ca="1">_xludf.XLOOKUP(E298,'[1]Migrated Societies Data'!C:C,'[1]Migrated Societies Data'!E:E)</f>
        <v>#NAME?</v>
      </c>
      <c r="N298" s="5" t="str">
        <f t="shared" si="10"/>
        <v>Yes</v>
      </c>
      <c r="O298" s="7">
        <f t="shared" si="11"/>
        <v>3.4189814814814812E-2</v>
      </c>
    </row>
    <row r="299" spans="1:15" x14ac:dyDescent="0.25">
      <c r="A299" s="3" t="s">
        <v>442</v>
      </c>
      <c r="B299" s="3" t="s">
        <v>644</v>
      </c>
      <c r="C299" s="3" t="s">
        <v>16</v>
      </c>
      <c r="D299" s="3" t="s">
        <v>82</v>
      </c>
      <c r="E299" s="3" t="s">
        <v>444</v>
      </c>
      <c r="F299" s="3" t="s">
        <v>645</v>
      </c>
      <c r="G299" s="4">
        <v>45992</v>
      </c>
      <c r="H299" s="5">
        <f t="shared" si="7"/>
        <v>49</v>
      </c>
      <c r="I299" s="5">
        <f t="shared" si="8"/>
        <v>12</v>
      </c>
      <c r="J299" s="6">
        <f t="shared" si="9"/>
        <v>0.96818287037037032</v>
      </c>
      <c r="K299" s="5" t="str">
        <f t="shared" si="6"/>
        <v>(DS-IBBLR-Chinappalay)</v>
      </c>
      <c r="L299" s="5" t="e">
        <f t="array" aca="1" ref="L299" ca="1">_xludf.XLOOKUP(E299,'[1]Migrated Societies Data'!C:C,'[1]Migrated Societies Data'!B:B)</f>
        <v>#NAME?</v>
      </c>
      <c r="M299" s="5" t="e">
        <f t="array" aca="1" ref="M299" ca="1">_xludf.XLOOKUP(E299,'[1]Migrated Societies Data'!C:C,'[1]Migrated Societies Data'!E:E)</f>
        <v>#NAME?</v>
      </c>
      <c r="N299" s="5" t="str">
        <f t="shared" si="10"/>
        <v>Yes</v>
      </c>
      <c r="O299" s="7">
        <f t="shared" si="11"/>
        <v>0.98901620370370369</v>
      </c>
    </row>
    <row r="300" spans="1:15" x14ac:dyDescent="0.25">
      <c r="A300" s="3" t="s">
        <v>464</v>
      </c>
      <c r="B300" s="3" t="s">
        <v>646</v>
      </c>
      <c r="C300" s="3" t="s">
        <v>16</v>
      </c>
      <c r="D300" s="3" t="s">
        <v>82</v>
      </c>
      <c r="E300" s="3" t="s">
        <v>466</v>
      </c>
      <c r="F300" s="3" t="s">
        <v>647</v>
      </c>
      <c r="G300" s="4">
        <v>45992</v>
      </c>
      <c r="H300" s="5">
        <f t="shared" si="7"/>
        <v>49</v>
      </c>
      <c r="I300" s="5">
        <f t="shared" si="8"/>
        <v>12</v>
      </c>
      <c r="J300" s="6">
        <f t="shared" si="9"/>
        <v>2.7708333333333335E-2</v>
      </c>
      <c r="K300" s="5" t="str">
        <f t="shared" si="6"/>
        <v>(DS-IBBLR-Kallahalli )</v>
      </c>
      <c r="L300" s="5" t="e">
        <f t="array" aca="1" ref="L300" ca="1">_xludf.XLOOKUP(E300,'[1]Migrated Societies Data'!C:C,'[1]Migrated Societies Data'!B:B)</f>
        <v>#NAME?</v>
      </c>
      <c r="M300" s="5" t="e">
        <f t="array" aca="1" ref="M300" ca="1">_xludf.XLOOKUP(E300,'[1]Migrated Societies Data'!C:C,'[1]Migrated Societies Data'!E:E)</f>
        <v>#NAME?</v>
      </c>
      <c r="N300" s="5" t="str">
        <f t="shared" si="10"/>
        <v>Yes</v>
      </c>
      <c r="O300" s="7">
        <f t="shared" si="11"/>
        <v>4.8541666666666664E-2</v>
      </c>
    </row>
    <row r="301" spans="1:15" x14ac:dyDescent="0.25">
      <c r="A301" s="3" t="s">
        <v>460</v>
      </c>
      <c r="B301" s="3" t="s">
        <v>648</v>
      </c>
      <c r="C301" s="3" t="s">
        <v>16</v>
      </c>
      <c r="D301" s="3" t="s">
        <v>82</v>
      </c>
      <c r="E301" s="3" t="s">
        <v>462</v>
      </c>
      <c r="F301" s="3" t="s">
        <v>649</v>
      </c>
      <c r="G301" s="4">
        <v>45992</v>
      </c>
      <c r="H301" s="5">
        <f t="shared" si="7"/>
        <v>49</v>
      </c>
      <c r="I301" s="5">
        <f t="shared" si="8"/>
        <v>12</v>
      </c>
      <c r="J301" s="6">
        <f t="shared" si="9"/>
        <v>2.6192129629629631E-2</v>
      </c>
      <c r="K301" s="5" t="str">
        <f t="shared" si="6"/>
        <v>(DS-IBBLR-HAL )</v>
      </c>
      <c r="L301" s="5" t="e">
        <f t="array" aca="1" ref="L301" ca="1">_xludf.XLOOKUP(E301,'[1]Migrated Societies Data'!C:C,'[1]Migrated Societies Data'!B:B)</f>
        <v>#NAME?</v>
      </c>
      <c r="M301" s="5" t="e">
        <f t="array" aca="1" ref="M301" ca="1">_xludf.XLOOKUP(E301,'[1]Migrated Societies Data'!C:C,'[1]Migrated Societies Data'!E:E)</f>
        <v>#NAME?</v>
      </c>
      <c r="N301" s="5" t="str">
        <f t="shared" si="10"/>
        <v>Yes</v>
      </c>
      <c r="O301" s="7">
        <f t="shared" si="11"/>
        <v>4.7025462962962963E-2</v>
      </c>
    </row>
    <row r="302" spans="1:15" x14ac:dyDescent="0.25">
      <c r="A302" s="3" t="s">
        <v>478</v>
      </c>
      <c r="B302" s="3" t="s">
        <v>650</v>
      </c>
      <c r="C302" s="3" t="s">
        <v>16</v>
      </c>
      <c r="D302" s="3" t="s">
        <v>17</v>
      </c>
      <c r="E302" s="3" t="s">
        <v>480</v>
      </c>
      <c r="F302" s="3" t="s">
        <v>651</v>
      </c>
      <c r="G302" s="4">
        <v>45992</v>
      </c>
      <c r="H302" s="5">
        <f t="shared" si="7"/>
        <v>49</v>
      </c>
      <c r="I302" s="5">
        <f t="shared" si="8"/>
        <v>12</v>
      </c>
      <c r="J302" s="6">
        <f t="shared" si="9"/>
        <v>0.11585648148148148</v>
      </c>
      <c r="K302" s="5" t="str">
        <f t="shared" si="6"/>
        <v>(DS-IBBLR-Bellahalli)</v>
      </c>
      <c r="L302" s="5" t="e">
        <f t="array" aca="1" ref="L302" ca="1">_xludf.XLOOKUP(E302,'[1]Migrated Societies Data'!C:C,'[1]Migrated Societies Data'!B:B)</f>
        <v>#NAME?</v>
      </c>
      <c r="M302" s="5" t="e">
        <f t="array" aca="1" ref="M302" ca="1">_xludf.XLOOKUP(E302,'[1]Migrated Societies Data'!C:C,'[1]Migrated Societies Data'!E:E)</f>
        <v>#NAME?</v>
      </c>
      <c r="N302" s="5" t="str">
        <f t="shared" si="10"/>
        <v>Yes</v>
      </c>
      <c r="O302" s="7">
        <f t="shared" si="11"/>
        <v>0.13668981481481482</v>
      </c>
    </row>
    <row r="303" spans="1:15" x14ac:dyDescent="0.25">
      <c r="A303" s="3" t="s">
        <v>482</v>
      </c>
      <c r="B303" s="3" t="s">
        <v>652</v>
      </c>
      <c r="C303" s="3" t="s">
        <v>16</v>
      </c>
      <c r="D303" s="3" t="s">
        <v>17</v>
      </c>
      <c r="E303" s="3" t="s">
        <v>484</v>
      </c>
      <c r="F303" s="3" t="s">
        <v>653</v>
      </c>
      <c r="G303" s="4">
        <v>45992</v>
      </c>
      <c r="H303" s="5">
        <f t="shared" si="7"/>
        <v>49</v>
      </c>
      <c r="I303" s="5">
        <f t="shared" si="8"/>
        <v>12</v>
      </c>
      <c r="J303" s="6">
        <f t="shared" si="9"/>
        <v>0.12061342592592593</v>
      </c>
      <c r="K303" s="5" t="str">
        <f t="shared" si="6"/>
        <v>(DS-IBBLR-Benson Town)</v>
      </c>
      <c r="L303" s="5" t="e">
        <f t="array" aca="1" ref="L303" ca="1">_xludf.XLOOKUP(E303,'[1]Migrated Societies Data'!C:C,'[1]Migrated Societies Data'!B:B)</f>
        <v>#NAME?</v>
      </c>
      <c r="M303" s="5" t="e">
        <f t="array" aca="1" ref="M303" ca="1">_xludf.XLOOKUP(E303,'[1]Migrated Societies Data'!C:C,'[1]Migrated Societies Data'!E:E)</f>
        <v>#NAME?</v>
      </c>
      <c r="N303" s="5" t="str">
        <f t="shared" si="10"/>
        <v>Yes</v>
      </c>
      <c r="O303" s="7">
        <f t="shared" si="11"/>
        <v>0.14144675925925926</v>
      </c>
    </row>
    <row r="304" spans="1:15" x14ac:dyDescent="0.25">
      <c r="A304" s="3" t="s">
        <v>490</v>
      </c>
      <c r="B304" s="3" t="s">
        <v>654</v>
      </c>
      <c r="C304" s="3" t="s">
        <v>16</v>
      </c>
      <c r="D304" s="3" t="s">
        <v>17</v>
      </c>
      <c r="E304" s="3" t="s">
        <v>492</v>
      </c>
      <c r="F304" s="3" t="s">
        <v>655</v>
      </c>
      <c r="G304" s="4">
        <v>45992</v>
      </c>
      <c r="H304" s="5">
        <f t="shared" si="7"/>
        <v>49</v>
      </c>
      <c r="I304" s="5">
        <f t="shared" si="8"/>
        <v>12</v>
      </c>
      <c r="J304" s="6">
        <f t="shared" si="9"/>
        <v>7.7187500000000006E-2</v>
      </c>
      <c r="K304" s="5" t="str">
        <f t="shared" si="6"/>
        <v>(DS-IBBLR-Devanahalli)</v>
      </c>
      <c r="L304" s="5" t="e">
        <f t="array" aca="1" ref="L304" ca="1">_xludf.XLOOKUP(E304,'[1]Migrated Societies Data'!C:C,'[1]Migrated Societies Data'!B:B)</f>
        <v>#NAME?</v>
      </c>
      <c r="M304" s="5" t="e">
        <f t="array" aca="1" ref="M304" ca="1">_xludf.XLOOKUP(E304,'[1]Migrated Societies Data'!C:C,'[1]Migrated Societies Data'!E:E)</f>
        <v>#NAME?</v>
      </c>
      <c r="N304" s="5" t="str">
        <f t="shared" si="10"/>
        <v>Yes</v>
      </c>
      <c r="O304" s="7">
        <f t="shared" si="11"/>
        <v>9.8020833333333335E-2</v>
      </c>
    </row>
    <row r="305" spans="1:15" x14ac:dyDescent="0.25">
      <c r="A305" s="3" t="s">
        <v>468</v>
      </c>
      <c r="B305" s="3" t="s">
        <v>656</v>
      </c>
      <c r="C305" s="3" t="s">
        <v>16</v>
      </c>
      <c r="D305" s="3" t="s">
        <v>17</v>
      </c>
      <c r="E305" s="3" t="s">
        <v>470</v>
      </c>
      <c r="F305" s="3" t="s">
        <v>657</v>
      </c>
      <c r="G305" s="4">
        <v>45992</v>
      </c>
      <c r="H305" s="5">
        <f t="shared" si="7"/>
        <v>49</v>
      </c>
      <c r="I305" s="5">
        <f t="shared" si="8"/>
        <v>12</v>
      </c>
      <c r="J305" s="6">
        <f t="shared" si="9"/>
        <v>5.7650462962962966E-2</v>
      </c>
      <c r="K305" s="5" t="str">
        <f t="shared" si="6"/>
        <v>(DS-BNBLR-HRBR)</v>
      </c>
      <c r="L305" s="5" t="e">
        <f t="array" aca="1" ref="L305" ca="1">_xludf.XLOOKUP(E305,'[1]Migrated Societies Data'!C:C,'[1]Migrated Societies Data'!B:B)</f>
        <v>#NAME?</v>
      </c>
      <c r="M305" s="5" t="e">
        <f t="array" aca="1" ref="M305" ca="1">_xludf.XLOOKUP(E305,'[1]Migrated Societies Data'!C:C,'[1]Migrated Societies Data'!E:E)</f>
        <v>#NAME?</v>
      </c>
      <c r="N305" s="5" t="str">
        <f t="shared" si="10"/>
        <v>Yes</v>
      </c>
      <c r="O305" s="7">
        <f t="shared" si="11"/>
        <v>7.8483796296296301E-2</v>
      </c>
    </row>
    <row r="306" spans="1:15" x14ac:dyDescent="0.25">
      <c r="A306" s="3" t="s">
        <v>14</v>
      </c>
      <c r="B306" s="3" t="s">
        <v>658</v>
      </c>
      <c r="C306" s="3" t="s">
        <v>16</v>
      </c>
      <c r="D306" s="3" t="s">
        <v>17</v>
      </c>
      <c r="E306" s="3" t="s">
        <v>18</v>
      </c>
      <c r="F306" s="3" t="s">
        <v>659</v>
      </c>
      <c r="G306" s="4">
        <v>45993</v>
      </c>
      <c r="H306" s="5">
        <f t="shared" si="7"/>
        <v>49</v>
      </c>
      <c r="I306" s="5">
        <f t="shared" si="8"/>
        <v>12</v>
      </c>
      <c r="J306" s="6">
        <f t="shared" si="9"/>
        <v>7.4571759259259254E-2</v>
      </c>
      <c r="K306" s="5" t="str">
        <f t="shared" si="6"/>
        <v>(DS-IBBLR-Peenya PH-3)</v>
      </c>
      <c r="L306" s="5" t="e">
        <f t="array" aca="1" ref="L306" ca="1">_xludf.XLOOKUP(E306,'[1]Migrated Societies Data'!C:C,'[1]Migrated Societies Data'!B:B)</f>
        <v>#NAME?</v>
      </c>
      <c r="M306" s="5" t="e">
        <f t="array" aca="1" ref="M306" ca="1">_xludf.XLOOKUP(E306,'[1]Migrated Societies Data'!C:C,'[1]Migrated Societies Data'!E:E)</f>
        <v>#NAME?</v>
      </c>
      <c r="N306" s="5" t="str">
        <f t="shared" si="10"/>
        <v>Yes</v>
      </c>
      <c r="O306" s="7">
        <f t="shared" si="11"/>
        <v>9.5405092592592583E-2</v>
      </c>
    </row>
    <row r="307" spans="1:15" x14ac:dyDescent="0.25">
      <c r="A307" s="3" t="s">
        <v>331</v>
      </c>
      <c r="B307" s="3" t="s">
        <v>660</v>
      </c>
      <c r="C307" s="3" t="s">
        <v>16</v>
      </c>
      <c r="D307" s="3" t="s">
        <v>82</v>
      </c>
      <c r="E307" s="3" t="s">
        <v>333</v>
      </c>
      <c r="F307" s="3" t="s">
        <v>661</v>
      </c>
      <c r="G307" s="4">
        <v>45993</v>
      </c>
      <c r="H307" s="5">
        <f t="shared" si="7"/>
        <v>49</v>
      </c>
      <c r="I307" s="5">
        <f t="shared" si="8"/>
        <v>12</v>
      </c>
      <c r="J307" s="6">
        <f t="shared" si="9"/>
        <v>0.99513888888888891</v>
      </c>
      <c r="K307" s="5" t="str">
        <f t="shared" si="6"/>
        <v>(DS-IBBLR-Attibele)</v>
      </c>
      <c r="L307" s="5" t="e">
        <f t="array" aca="1" ref="L307" ca="1">_xludf.XLOOKUP(E307,'[1]Migrated Societies Data'!C:C,'[1]Migrated Societies Data'!B:B)</f>
        <v>#NAME?</v>
      </c>
      <c r="M307" s="5" t="e">
        <f t="array" aca="1" ref="M307" ca="1">_xludf.XLOOKUP(E307,'[1]Migrated Societies Data'!C:C,'[1]Migrated Societies Data'!E:E)</f>
        <v>#NAME?</v>
      </c>
      <c r="N307" s="5" t="str">
        <f t="shared" si="10"/>
        <v>Yes</v>
      </c>
      <c r="O307" s="7">
        <f t="shared" si="11"/>
        <v>1.5972222222222276E-2</v>
      </c>
    </row>
    <row r="308" spans="1:15" x14ac:dyDescent="0.25">
      <c r="A308" s="3" t="s">
        <v>80</v>
      </c>
      <c r="B308" s="3" t="s">
        <v>662</v>
      </c>
      <c r="C308" s="3" t="s">
        <v>16</v>
      </c>
      <c r="D308" s="3" t="s">
        <v>82</v>
      </c>
      <c r="E308" s="3" t="s">
        <v>83</v>
      </c>
      <c r="F308" s="3" t="s">
        <v>663</v>
      </c>
      <c r="G308" s="4">
        <v>45993</v>
      </c>
      <c r="H308" s="5">
        <f t="shared" si="7"/>
        <v>49</v>
      </c>
      <c r="I308" s="5">
        <f t="shared" si="8"/>
        <v>12</v>
      </c>
      <c r="J308" s="6">
        <f t="shared" si="9"/>
        <v>0.99398148148148147</v>
      </c>
      <c r="K308" s="5" t="str">
        <f t="shared" si="6"/>
        <v>(DS-IBBLR-Nagondanahalli )</v>
      </c>
      <c r="L308" s="5" t="e">
        <f t="array" aca="1" ref="L308" ca="1">_xludf.XLOOKUP(E308,'[1]Migrated Societies Data'!C:C,'[1]Migrated Societies Data'!B:B)</f>
        <v>#NAME?</v>
      </c>
      <c r="M308" s="5" t="e">
        <f t="array" aca="1" ref="M308" ca="1">_xludf.XLOOKUP(E308,'[1]Migrated Societies Data'!C:C,'[1]Migrated Societies Data'!E:E)</f>
        <v>#NAME?</v>
      </c>
      <c r="N308" s="5" t="str">
        <f t="shared" si="10"/>
        <v>Yes</v>
      </c>
      <c r="O308" s="7">
        <f t="shared" si="11"/>
        <v>1.4814814814814836E-2</v>
      </c>
    </row>
    <row r="309" spans="1:15" x14ac:dyDescent="0.25">
      <c r="A309" s="3" t="s">
        <v>85</v>
      </c>
      <c r="B309" s="3" t="s">
        <v>664</v>
      </c>
      <c r="C309" s="3" t="s">
        <v>16</v>
      </c>
      <c r="D309" s="3" t="s">
        <v>82</v>
      </c>
      <c r="E309" s="3" t="s">
        <v>87</v>
      </c>
      <c r="F309" s="3" t="s">
        <v>665</v>
      </c>
      <c r="G309" s="4">
        <v>45993</v>
      </c>
      <c r="H309" s="5">
        <f t="shared" si="7"/>
        <v>49</v>
      </c>
      <c r="I309" s="5">
        <f t="shared" si="8"/>
        <v>12</v>
      </c>
      <c r="J309" s="6">
        <f t="shared" si="9"/>
        <v>0.98898148148148146</v>
      </c>
      <c r="K309" s="5" t="str">
        <f t="shared" si="6"/>
        <v>(DS-IBBLR-Budhigere )</v>
      </c>
      <c r="L309" s="5" t="e">
        <f t="array" aca="1" ref="L309" ca="1">_xludf.XLOOKUP(E309,'[1]Migrated Societies Data'!C:C,'[1]Migrated Societies Data'!B:B)</f>
        <v>#NAME?</v>
      </c>
      <c r="M309" s="5" t="e">
        <f t="array" aca="1" ref="M309" ca="1">_xludf.XLOOKUP(E309,'[1]Migrated Societies Data'!C:C,'[1]Migrated Societies Data'!E:E)</f>
        <v>#NAME?</v>
      </c>
      <c r="N309" s="5" t="str">
        <f t="shared" si="10"/>
        <v>Yes</v>
      </c>
      <c r="O309" s="7">
        <f t="shared" si="11"/>
        <v>9.8148148148147207E-3</v>
      </c>
    </row>
    <row r="310" spans="1:15" x14ac:dyDescent="0.25">
      <c r="A310" s="3" t="s">
        <v>446</v>
      </c>
      <c r="B310" s="3" t="s">
        <v>666</v>
      </c>
      <c r="C310" s="3" t="s">
        <v>16</v>
      </c>
      <c r="D310" s="3" t="s">
        <v>82</v>
      </c>
      <c r="E310" s="3" t="s">
        <v>448</v>
      </c>
      <c r="F310" s="3" t="s">
        <v>643</v>
      </c>
      <c r="G310" s="4">
        <v>45993</v>
      </c>
      <c r="H310" s="5">
        <f t="shared" si="7"/>
        <v>49</v>
      </c>
      <c r="I310" s="5">
        <f t="shared" si="8"/>
        <v>12</v>
      </c>
      <c r="J310" s="6">
        <f t="shared" si="9"/>
        <v>1.3356481481481481E-2</v>
      </c>
      <c r="K310" s="5" t="str">
        <f t="shared" si="6"/>
        <v>(DS-IBBLR-Jigani)</v>
      </c>
      <c r="L310" s="5" t="e">
        <f t="array" aca="1" ref="L310" ca="1">_xludf.XLOOKUP(E310,'[1]Migrated Societies Data'!C:C,'[1]Migrated Societies Data'!B:B)</f>
        <v>#NAME?</v>
      </c>
      <c r="M310" s="5" t="e">
        <f t="array" aca="1" ref="M310" ca="1">_xludf.XLOOKUP(E310,'[1]Migrated Societies Data'!C:C,'[1]Migrated Societies Data'!E:E)</f>
        <v>#NAME?</v>
      </c>
      <c r="N310" s="5" t="str">
        <f t="shared" si="10"/>
        <v>Yes</v>
      </c>
      <c r="O310" s="7">
        <f t="shared" si="11"/>
        <v>3.4189814814814812E-2</v>
      </c>
    </row>
    <row r="311" spans="1:15" x14ac:dyDescent="0.25">
      <c r="A311" s="3" t="s">
        <v>442</v>
      </c>
      <c r="B311" s="3" t="s">
        <v>667</v>
      </c>
      <c r="C311" s="3" t="s">
        <v>16</v>
      </c>
      <c r="D311" s="3" t="s">
        <v>82</v>
      </c>
      <c r="E311" s="3" t="s">
        <v>444</v>
      </c>
      <c r="F311" s="3" t="s">
        <v>645</v>
      </c>
      <c r="G311" s="4">
        <v>45993</v>
      </c>
      <c r="H311" s="5">
        <f t="shared" si="7"/>
        <v>49</v>
      </c>
      <c r="I311" s="5">
        <f t="shared" si="8"/>
        <v>12</v>
      </c>
      <c r="J311" s="6">
        <f t="shared" si="9"/>
        <v>0.96818287037037032</v>
      </c>
      <c r="K311" s="5" t="str">
        <f t="shared" si="6"/>
        <v>(DS-IBBLR-Chinappalay)</v>
      </c>
      <c r="L311" s="5" t="e">
        <f t="array" aca="1" ref="L311" ca="1">_xludf.XLOOKUP(E311,'[1]Migrated Societies Data'!C:C,'[1]Migrated Societies Data'!B:B)</f>
        <v>#NAME?</v>
      </c>
      <c r="M311" s="5" t="e">
        <f t="array" aca="1" ref="M311" ca="1">_xludf.XLOOKUP(E311,'[1]Migrated Societies Data'!C:C,'[1]Migrated Societies Data'!E:E)</f>
        <v>#NAME?</v>
      </c>
      <c r="N311" s="5" t="str">
        <f t="shared" si="10"/>
        <v>Yes</v>
      </c>
      <c r="O311" s="7">
        <f t="shared" si="11"/>
        <v>0.98901620370370369</v>
      </c>
    </row>
    <row r="312" spans="1:15" x14ac:dyDescent="0.25">
      <c r="A312" s="3" t="s">
        <v>460</v>
      </c>
      <c r="B312" s="3" t="s">
        <v>668</v>
      </c>
      <c r="C312" s="3" t="s">
        <v>16</v>
      </c>
      <c r="D312" s="3" t="s">
        <v>82</v>
      </c>
      <c r="E312" s="3" t="s">
        <v>462</v>
      </c>
      <c r="F312" s="3" t="s">
        <v>669</v>
      </c>
      <c r="G312" s="4">
        <v>45993</v>
      </c>
      <c r="H312" s="5">
        <f t="shared" si="7"/>
        <v>49</v>
      </c>
      <c r="I312" s="5">
        <f t="shared" si="8"/>
        <v>12</v>
      </c>
      <c r="J312" s="6">
        <f t="shared" si="9"/>
        <v>1.1006944444444444E-2</v>
      </c>
      <c r="K312" s="5" t="str">
        <f t="shared" si="6"/>
        <v>(DS-IBBLR-HAL )</v>
      </c>
      <c r="L312" s="5" t="e">
        <f t="array" aca="1" ref="L312" ca="1">_xludf.XLOOKUP(E312,'[1]Migrated Societies Data'!C:C,'[1]Migrated Societies Data'!B:B)</f>
        <v>#NAME?</v>
      </c>
      <c r="M312" s="5" t="e">
        <f t="array" aca="1" ref="M312" ca="1">_xludf.XLOOKUP(E312,'[1]Migrated Societies Data'!C:C,'[1]Migrated Societies Data'!E:E)</f>
        <v>#NAME?</v>
      </c>
      <c r="N312" s="5" t="str">
        <f t="shared" si="10"/>
        <v>Yes</v>
      </c>
      <c r="O312" s="7">
        <f t="shared" si="11"/>
        <v>3.1840277777777773E-2</v>
      </c>
    </row>
    <row r="313" spans="1:15" x14ac:dyDescent="0.25">
      <c r="A313" s="3" t="s">
        <v>342</v>
      </c>
      <c r="B313" s="3" t="s">
        <v>670</v>
      </c>
      <c r="C313" s="3" t="s">
        <v>16</v>
      </c>
      <c r="D313" s="3" t="s">
        <v>17</v>
      </c>
      <c r="E313" s="3" t="s">
        <v>344</v>
      </c>
      <c r="F313" s="3" t="s">
        <v>671</v>
      </c>
      <c r="G313" s="4">
        <v>45993</v>
      </c>
      <c r="H313" s="5">
        <f t="shared" si="7"/>
        <v>49</v>
      </c>
      <c r="I313" s="5">
        <f t="shared" si="8"/>
        <v>12</v>
      </c>
      <c r="J313" s="6">
        <f t="shared" si="9"/>
        <v>8.2581018518518512E-2</v>
      </c>
      <c r="K313" s="5" t="str">
        <f t="shared" si="6"/>
        <v>(DS-IBBLR-Chikkasandr)</v>
      </c>
      <c r="L313" s="5" t="e">
        <f t="array" aca="1" ref="L313" ca="1">_xludf.XLOOKUP(E313,'[1]Migrated Societies Data'!C:C,'[1]Migrated Societies Data'!B:B)</f>
        <v>#NAME?</v>
      </c>
      <c r="M313" s="5" t="e">
        <f t="array" aca="1" ref="M313" ca="1">_xludf.XLOOKUP(E313,'[1]Migrated Societies Data'!C:C,'[1]Migrated Societies Data'!E:E)</f>
        <v>#NAME?</v>
      </c>
      <c r="N313" s="5" t="str">
        <f t="shared" si="10"/>
        <v>Yes</v>
      </c>
      <c r="O313" s="7">
        <f t="shared" si="11"/>
        <v>0.10341435185185184</v>
      </c>
    </row>
    <row r="314" spans="1:15" x14ac:dyDescent="0.25">
      <c r="A314" s="3" t="s">
        <v>468</v>
      </c>
      <c r="B314" s="3" t="s">
        <v>672</v>
      </c>
      <c r="C314" s="3" t="s">
        <v>16</v>
      </c>
      <c r="D314" s="3" t="s">
        <v>17</v>
      </c>
      <c r="E314" s="3" t="s">
        <v>470</v>
      </c>
      <c r="F314" s="3" t="s">
        <v>673</v>
      </c>
      <c r="G314" s="4">
        <v>45993</v>
      </c>
      <c r="H314" s="5">
        <f t="shared" si="7"/>
        <v>49</v>
      </c>
      <c r="I314" s="5">
        <f t="shared" si="8"/>
        <v>12</v>
      </c>
      <c r="J314" s="6">
        <f t="shared" si="9"/>
        <v>5.6701388888888891E-2</v>
      </c>
      <c r="K314" s="5" t="str">
        <f t="shared" si="6"/>
        <v>(DS-BNBLR-HRBR)</v>
      </c>
      <c r="L314" s="5" t="e">
        <f t="array" aca="1" ref="L314" ca="1">_xludf.XLOOKUP(E314,'[1]Migrated Societies Data'!C:C,'[1]Migrated Societies Data'!B:B)</f>
        <v>#NAME?</v>
      </c>
      <c r="M314" s="5" t="e">
        <f t="array" aca="1" ref="M314" ca="1">_xludf.XLOOKUP(E314,'[1]Migrated Societies Data'!C:C,'[1]Migrated Societies Data'!E:E)</f>
        <v>#NAME?</v>
      </c>
      <c r="N314" s="5" t="str">
        <f t="shared" si="10"/>
        <v>Yes</v>
      </c>
      <c r="O314" s="7">
        <f t="shared" si="11"/>
        <v>7.7534722222222227E-2</v>
      </c>
    </row>
    <row r="315" spans="1:15" x14ac:dyDescent="0.25">
      <c r="A315" s="3" t="s">
        <v>464</v>
      </c>
      <c r="B315" s="3" t="s">
        <v>674</v>
      </c>
      <c r="C315" s="3" t="s">
        <v>16</v>
      </c>
      <c r="D315" s="3" t="s">
        <v>82</v>
      </c>
      <c r="E315" s="3" t="s">
        <v>466</v>
      </c>
      <c r="F315" s="3" t="s">
        <v>675</v>
      </c>
      <c r="G315" s="4">
        <v>45993</v>
      </c>
      <c r="H315" s="5">
        <f t="shared" si="7"/>
        <v>49</v>
      </c>
      <c r="I315" s="5">
        <f t="shared" si="8"/>
        <v>12</v>
      </c>
      <c r="J315" s="6">
        <f t="shared" si="9"/>
        <v>5.078703703703704E-2</v>
      </c>
      <c r="K315" s="5" t="str">
        <f t="shared" si="6"/>
        <v>(DS-IBBLR-Kallahalli )</v>
      </c>
      <c r="L315" s="5" t="e">
        <f t="array" aca="1" ref="L315" ca="1">_xludf.XLOOKUP(E315,'[1]Migrated Societies Data'!C:C,'[1]Migrated Societies Data'!B:B)</f>
        <v>#NAME?</v>
      </c>
      <c r="M315" s="5" t="e">
        <f t="array" aca="1" ref="M315" ca="1">_xludf.XLOOKUP(E315,'[1]Migrated Societies Data'!C:C,'[1]Migrated Societies Data'!E:E)</f>
        <v>#NAME?</v>
      </c>
      <c r="N315" s="5" t="str">
        <f t="shared" si="10"/>
        <v>Yes</v>
      </c>
      <c r="O315" s="7">
        <f t="shared" si="11"/>
        <v>7.1620370370370376E-2</v>
      </c>
    </row>
    <row r="316" spans="1:15" x14ac:dyDescent="0.25">
      <c r="A316" s="3" t="s">
        <v>14</v>
      </c>
      <c r="B316" s="3" t="s">
        <v>676</v>
      </c>
      <c r="C316" s="3" t="s">
        <v>16</v>
      </c>
      <c r="D316" s="3" t="s">
        <v>17</v>
      </c>
      <c r="E316" s="3" t="s">
        <v>18</v>
      </c>
      <c r="F316" s="3" t="s">
        <v>677</v>
      </c>
      <c r="G316" s="4">
        <v>45993</v>
      </c>
      <c r="H316" s="5">
        <f t="shared" si="7"/>
        <v>49</v>
      </c>
      <c r="I316" s="5">
        <f t="shared" si="8"/>
        <v>12</v>
      </c>
      <c r="J316" s="6">
        <f t="shared" si="9"/>
        <v>2.2812499999999999E-2</v>
      </c>
      <c r="K316" s="5" t="str">
        <f t="shared" si="6"/>
        <v>(DS-IBBLR-Peenya PH-3)</v>
      </c>
      <c r="L316" s="5" t="e">
        <f t="array" aca="1" ref="L316" ca="1">_xludf.XLOOKUP(E316,'[1]Migrated Societies Data'!C:C,'[1]Migrated Societies Data'!B:B)</f>
        <v>#NAME?</v>
      </c>
      <c r="M316" s="5" t="e">
        <f t="array" aca="1" ref="M316" ca="1">_xludf.XLOOKUP(E316,'[1]Migrated Societies Data'!C:C,'[1]Migrated Societies Data'!E:E)</f>
        <v>#NAME?</v>
      </c>
      <c r="N316" s="5" t="str">
        <f t="shared" si="10"/>
        <v>Yes</v>
      </c>
      <c r="O316" s="7">
        <f t="shared" si="11"/>
        <v>4.3645833333333328E-2</v>
      </c>
    </row>
    <row r="317" spans="1:15" x14ac:dyDescent="0.25">
      <c r="A317" s="3" t="s">
        <v>490</v>
      </c>
      <c r="B317" s="3" t="s">
        <v>678</v>
      </c>
      <c r="C317" s="3" t="s">
        <v>16</v>
      </c>
      <c r="D317" s="3" t="s">
        <v>17</v>
      </c>
      <c r="E317" s="3" t="s">
        <v>492</v>
      </c>
      <c r="F317" s="3" t="s">
        <v>679</v>
      </c>
      <c r="G317" s="4">
        <v>45993</v>
      </c>
      <c r="H317" s="5">
        <f t="shared" si="7"/>
        <v>49</v>
      </c>
      <c r="I317" s="5">
        <f t="shared" si="8"/>
        <v>12</v>
      </c>
      <c r="J317" s="6">
        <f t="shared" si="9"/>
        <v>0.10168981481481482</v>
      </c>
      <c r="K317" s="5" t="str">
        <f t="shared" si="6"/>
        <v>(DS-IBBLR-Devanahalli)</v>
      </c>
      <c r="L317" s="5" t="e">
        <f t="array" aca="1" ref="L317" ca="1">_xludf.XLOOKUP(E317,'[1]Migrated Societies Data'!C:C,'[1]Migrated Societies Data'!B:B)</f>
        <v>#NAME?</v>
      </c>
      <c r="M317" s="5" t="e">
        <f t="array" aca="1" ref="M317" ca="1">_xludf.XLOOKUP(E317,'[1]Migrated Societies Data'!C:C,'[1]Migrated Societies Data'!E:E)</f>
        <v>#NAME?</v>
      </c>
      <c r="N317" s="5" t="str">
        <f t="shared" si="10"/>
        <v>Yes</v>
      </c>
      <c r="O317" s="7">
        <f t="shared" si="11"/>
        <v>0.12252314814814814</v>
      </c>
    </row>
    <row r="318" spans="1:15" x14ac:dyDescent="0.25">
      <c r="A318" s="3" t="s">
        <v>478</v>
      </c>
      <c r="B318" s="3" t="s">
        <v>680</v>
      </c>
      <c r="C318" s="3" t="s">
        <v>16</v>
      </c>
      <c r="D318" s="3" t="s">
        <v>17</v>
      </c>
      <c r="E318" s="3" t="s">
        <v>480</v>
      </c>
      <c r="F318" s="3" t="s">
        <v>681</v>
      </c>
      <c r="G318" s="4">
        <v>45993</v>
      </c>
      <c r="H318" s="5">
        <f t="shared" si="7"/>
        <v>49</v>
      </c>
      <c r="I318" s="5">
        <f t="shared" si="8"/>
        <v>12</v>
      </c>
      <c r="J318" s="6">
        <f t="shared" si="9"/>
        <v>4.884259259259259E-2</v>
      </c>
      <c r="K318" s="5" t="str">
        <f t="shared" si="6"/>
        <v>(DS-IBBLR-Bellahalli)</v>
      </c>
      <c r="L318" s="5" t="e">
        <f t="array" aca="1" ref="L318" ca="1">_xludf.XLOOKUP(E318,'[1]Migrated Societies Data'!C:C,'[1]Migrated Societies Data'!B:B)</f>
        <v>#NAME?</v>
      </c>
      <c r="M318" s="5" t="e">
        <f t="array" aca="1" ref="M318" ca="1">_xludf.XLOOKUP(E318,'[1]Migrated Societies Data'!C:C,'[1]Migrated Societies Data'!E:E)</f>
        <v>#NAME?</v>
      </c>
      <c r="N318" s="5" t="str">
        <f t="shared" si="10"/>
        <v>Yes</v>
      </c>
      <c r="O318" s="7">
        <f t="shared" si="11"/>
        <v>6.9675925925925919E-2</v>
      </c>
    </row>
    <row r="319" spans="1:15" x14ac:dyDescent="0.25">
      <c r="A319" s="3" t="s">
        <v>456</v>
      </c>
      <c r="B319" s="3" t="s">
        <v>682</v>
      </c>
      <c r="C319" s="3" t="s">
        <v>16</v>
      </c>
      <c r="D319" s="3" t="s">
        <v>82</v>
      </c>
      <c r="E319" s="3" t="s">
        <v>458</v>
      </c>
      <c r="F319" s="3" t="s">
        <v>683</v>
      </c>
      <c r="G319" s="4">
        <v>45993</v>
      </c>
      <c r="H319" s="5">
        <f t="shared" si="7"/>
        <v>49</v>
      </c>
      <c r="I319" s="5">
        <f t="shared" si="8"/>
        <v>12</v>
      </c>
      <c r="J319" s="6">
        <f t="shared" si="9"/>
        <v>8.1180555555555561E-2</v>
      </c>
      <c r="K319" s="5" t="str">
        <f t="shared" si="6"/>
        <v>(DS-IBBLR-Jakkasandra)</v>
      </c>
      <c r="L319" s="5" t="e">
        <f t="array" aca="1" ref="L319" ca="1">_xludf.XLOOKUP(E319,'[1]Migrated Societies Data'!C:C,'[1]Migrated Societies Data'!B:B)</f>
        <v>#NAME?</v>
      </c>
      <c r="M319" s="5" t="e">
        <f t="array" aca="1" ref="M319" ca="1">_xludf.XLOOKUP(E319,'[1]Migrated Societies Data'!C:C,'[1]Migrated Societies Data'!E:E)</f>
        <v>#NAME?</v>
      </c>
      <c r="N319" s="5" t="str">
        <f t="shared" si="10"/>
        <v>Yes</v>
      </c>
      <c r="O319" s="7">
        <f t="shared" si="11"/>
        <v>0.10201388888888889</v>
      </c>
    </row>
    <row r="320" spans="1:15" x14ac:dyDescent="0.25">
      <c r="A320" s="3" t="s">
        <v>472</v>
      </c>
      <c r="B320" s="3" t="s">
        <v>684</v>
      </c>
      <c r="C320" s="3" t="s">
        <v>16</v>
      </c>
      <c r="D320" s="3" t="s">
        <v>17</v>
      </c>
      <c r="E320" s="3" t="s">
        <v>474</v>
      </c>
      <c r="F320" s="3" t="s">
        <v>685</v>
      </c>
      <c r="G320" s="4">
        <v>45994</v>
      </c>
      <c r="H320" s="5">
        <f t="shared" si="7"/>
        <v>49</v>
      </c>
      <c r="I320" s="5">
        <f t="shared" si="8"/>
        <v>12</v>
      </c>
      <c r="J320" s="6">
        <f t="shared" si="9"/>
        <v>9.1886574074074079E-2</v>
      </c>
      <c r="K320" s="5" t="str">
        <f t="shared" si="6"/>
        <v>(DS-IBBLR-Lingarajapu)</v>
      </c>
      <c r="L320" s="5" t="e">
        <f t="array" aca="1" ref="L320" ca="1">_xludf.XLOOKUP(E320,'[1]Migrated Societies Data'!C:C,'[1]Migrated Societies Data'!B:B)</f>
        <v>#NAME?</v>
      </c>
      <c r="M320" s="5" t="e">
        <f t="array" aca="1" ref="M320" ca="1">_xludf.XLOOKUP(E320,'[1]Migrated Societies Data'!C:C,'[1]Migrated Societies Data'!E:E)</f>
        <v>#NAME?</v>
      </c>
      <c r="N320" s="5" t="str">
        <f t="shared" si="10"/>
        <v>Yes</v>
      </c>
      <c r="O320" s="7">
        <f t="shared" si="11"/>
        <v>0.11271990740740741</v>
      </c>
    </row>
    <row r="321" spans="1:15" x14ac:dyDescent="0.25">
      <c r="A321" s="3" t="s">
        <v>482</v>
      </c>
      <c r="B321" s="3" t="s">
        <v>686</v>
      </c>
      <c r="C321" s="3" t="s">
        <v>16</v>
      </c>
      <c r="D321" s="3" t="s">
        <v>17</v>
      </c>
      <c r="E321" s="3" t="s">
        <v>484</v>
      </c>
      <c r="F321" s="3" t="s">
        <v>687</v>
      </c>
      <c r="G321" s="4">
        <v>45994</v>
      </c>
      <c r="H321" s="5">
        <f t="shared" si="7"/>
        <v>49</v>
      </c>
      <c r="I321" s="5">
        <f t="shared" si="8"/>
        <v>12</v>
      </c>
      <c r="J321" s="6">
        <f t="shared" si="9"/>
        <v>7.4374999999999997E-2</v>
      </c>
      <c r="K321" s="5" t="str">
        <f t="shared" si="6"/>
        <v>(DS-IBBLR-Benson Town)</v>
      </c>
      <c r="L321" s="5" t="e">
        <f t="array" aca="1" ref="L321" ca="1">_xludf.XLOOKUP(E321,'[1]Migrated Societies Data'!C:C,'[1]Migrated Societies Data'!B:B)</f>
        <v>#NAME?</v>
      </c>
      <c r="M321" s="5" t="e">
        <f t="array" aca="1" ref="M321" ca="1">_xludf.XLOOKUP(E321,'[1]Migrated Societies Data'!C:C,'[1]Migrated Societies Data'!E:E)</f>
        <v>#NAME?</v>
      </c>
      <c r="N321" s="5" t="str">
        <f t="shared" si="10"/>
        <v>Yes</v>
      </c>
      <c r="O321" s="7">
        <f t="shared" si="11"/>
        <v>9.5208333333333325E-2</v>
      </c>
    </row>
    <row r="322" spans="1:15" x14ac:dyDescent="0.25">
      <c r="A322" s="3" t="s">
        <v>486</v>
      </c>
      <c r="B322" s="3" t="s">
        <v>688</v>
      </c>
      <c r="C322" s="3" t="s">
        <v>16</v>
      </c>
      <c r="D322" s="3" t="s">
        <v>17</v>
      </c>
      <c r="E322" s="3" t="s">
        <v>488</v>
      </c>
      <c r="F322" s="3" t="s">
        <v>689</v>
      </c>
      <c r="G322" s="4">
        <v>45994</v>
      </c>
      <c r="H322" s="5">
        <f t="shared" si="7"/>
        <v>49</v>
      </c>
      <c r="I322" s="5">
        <f t="shared" si="8"/>
        <v>12</v>
      </c>
      <c r="J322" s="6">
        <f t="shared" si="9"/>
        <v>0.1222337962962963</v>
      </c>
      <c r="K322" s="5" t="str">
        <f t="shared" si="6"/>
        <v>(DS-IBBLR-Jala halli)</v>
      </c>
      <c r="L322" s="5" t="e">
        <f t="array" aca="1" ref="L322" ca="1">_xludf.XLOOKUP(E322,'[1]Migrated Societies Data'!C:C,'[1]Migrated Societies Data'!B:B)</f>
        <v>#NAME?</v>
      </c>
      <c r="M322" s="5" t="e">
        <f t="array" aca="1" ref="M322" ca="1">_xludf.XLOOKUP(E322,'[1]Migrated Societies Data'!C:C,'[1]Migrated Societies Data'!E:E)</f>
        <v>#NAME?</v>
      </c>
      <c r="N322" s="5" t="str">
        <f t="shared" si="10"/>
        <v>Yes</v>
      </c>
      <c r="O322" s="7">
        <f t="shared" si="11"/>
        <v>0.14306712962962964</v>
      </c>
    </row>
    <row r="323" spans="1:15" x14ac:dyDescent="0.25">
      <c r="A323" s="3" t="s">
        <v>446</v>
      </c>
      <c r="B323" s="3" t="s">
        <v>690</v>
      </c>
      <c r="C323" s="3" t="s">
        <v>16</v>
      </c>
      <c r="D323" s="3" t="s">
        <v>82</v>
      </c>
      <c r="E323" s="3" t="s">
        <v>448</v>
      </c>
      <c r="F323" s="3" t="s">
        <v>691</v>
      </c>
      <c r="G323" s="4">
        <v>45994</v>
      </c>
      <c r="H323" s="5">
        <f t="shared" si="7"/>
        <v>49</v>
      </c>
      <c r="I323" s="5">
        <f t="shared" si="8"/>
        <v>12</v>
      </c>
      <c r="J323" s="6">
        <f t="shared" si="9"/>
        <v>3.9814814814814817E-3</v>
      </c>
      <c r="K323" s="5" t="str">
        <f t="shared" si="6"/>
        <v>(DS-IBBLR-Jigani)</v>
      </c>
      <c r="L323" s="5" t="e">
        <f t="array" aca="1" ref="L323" ca="1">_xludf.XLOOKUP(E323,'[1]Migrated Societies Data'!C:C,'[1]Migrated Societies Data'!B:B)</f>
        <v>#NAME?</v>
      </c>
      <c r="M323" s="5" t="e">
        <f t="array" aca="1" ref="M323" ca="1">_xludf.XLOOKUP(E323,'[1]Migrated Societies Data'!C:C,'[1]Migrated Societies Data'!E:E)</f>
        <v>#NAME?</v>
      </c>
      <c r="N323" s="5" t="str">
        <f t="shared" si="10"/>
        <v>Yes</v>
      </c>
      <c r="O323" s="7">
        <f t="shared" si="11"/>
        <v>2.4814814814814814E-2</v>
      </c>
    </row>
    <row r="324" spans="1:15" x14ac:dyDescent="0.25">
      <c r="A324" s="3" t="s">
        <v>331</v>
      </c>
      <c r="B324" s="3" t="s">
        <v>692</v>
      </c>
      <c r="C324" s="3" t="s">
        <v>16</v>
      </c>
      <c r="D324" s="3" t="s">
        <v>82</v>
      </c>
      <c r="E324" s="3" t="s">
        <v>333</v>
      </c>
      <c r="F324" s="3" t="s">
        <v>693</v>
      </c>
      <c r="G324" s="4">
        <v>45994</v>
      </c>
      <c r="H324" s="5">
        <f t="shared" si="7"/>
        <v>49</v>
      </c>
      <c r="I324" s="5">
        <f t="shared" si="8"/>
        <v>12</v>
      </c>
      <c r="J324" s="6">
        <f t="shared" si="9"/>
        <v>0.99118055555555551</v>
      </c>
      <c r="K324" s="5" t="str">
        <f t="shared" si="6"/>
        <v>(DS-IBBLR-Attibele)</v>
      </c>
      <c r="L324" s="5" t="e">
        <f t="array" aca="1" ref="L324" ca="1">_xludf.XLOOKUP(E324,'[1]Migrated Societies Data'!C:C,'[1]Migrated Societies Data'!B:B)</f>
        <v>#NAME?</v>
      </c>
      <c r="M324" s="5" t="e">
        <f t="array" aca="1" ref="M324" ca="1">_xludf.XLOOKUP(E324,'[1]Migrated Societies Data'!C:C,'[1]Migrated Societies Data'!E:E)</f>
        <v>#NAME?</v>
      </c>
      <c r="N324" s="5" t="str">
        <f t="shared" si="10"/>
        <v>Yes</v>
      </c>
      <c r="O324" s="7">
        <f t="shared" si="11"/>
        <v>1.2013888888888768E-2</v>
      </c>
    </row>
    <row r="325" spans="1:15" x14ac:dyDescent="0.25">
      <c r="A325" s="3" t="s">
        <v>85</v>
      </c>
      <c r="B325" s="3" t="s">
        <v>694</v>
      </c>
      <c r="C325" s="3" t="s">
        <v>16</v>
      </c>
      <c r="D325" s="3" t="s">
        <v>82</v>
      </c>
      <c r="E325" s="3" t="s">
        <v>87</v>
      </c>
      <c r="F325" s="3" t="s">
        <v>695</v>
      </c>
      <c r="G325" s="4">
        <v>45994</v>
      </c>
      <c r="H325" s="5">
        <f t="shared" si="7"/>
        <v>49</v>
      </c>
      <c r="I325" s="5">
        <f t="shared" si="8"/>
        <v>12</v>
      </c>
      <c r="J325" s="6">
        <f t="shared" si="9"/>
        <v>0.98976851851851855</v>
      </c>
      <c r="K325" s="5" t="str">
        <f t="shared" si="6"/>
        <v>(DS-IBBLR-Budhigere )</v>
      </c>
      <c r="L325" s="5" t="e">
        <f t="array" aca="1" ref="L325" ca="1">_xludf.XLOOKUP(E325,'[1]Migrated Societies Data'!C:C,'[1]Migrated Societies Data'!B:B)</f>
        <v>#NAME?</v>
      </c>
      <c r="M325" s="5" t="e">
        <f t="array" aca="1" ref="M325" ca="1">_xludf.XLOOKUP(E325,'[1]Migrated Societies Data'!C:C,'[1]Migrated Societies Data'!E:E)</f>
        <v>#NAME?</v>
      </c>
      <c r="N325" s="5" t="str">
        <f t="shared" si="10"/>
        <v>Yes</v>
      </c>
      <c r="O325" s="7">
        <f t="shared" si="11"/>
        <v>1.0601851851851807E-2</v>
      </c>
    </row>
    <row r="326" spans="1:15" x14ac:dyDescent="0.25">
      <c r="A326" s="3" t="s">
        <v>464</v>
      </c>
      <c r="B326" s="3" t="s">
        <v>696</v>
      </c>
      <c r="C326" s="3" t="s">
        <v>16</v>
      </c>
      <c r="D326" s="3" t="s">
        <v>82</v>
      </c>
      <c r="E326" s="3" t="s">
        <v>466</v>
      </c>
      <c r="F326" s="3" t="s">
        <v>697</v>
      </c>
      <c r="G326" s="4">
        <v>45994</v>
      </c>
      <c r="H326" s="5">
        <f t="shared" si="7"/>
        <v>49</v>
      </c>
      <c r="I326" s="5">
        <f t="shared" si="8"/>
        <v>12</v>
      </c>
      <c r="J326" s="6">
        <f t="shared" si="9"/>
        <v>1.892361111111111E-2</v>
      </c>
      <c r="K326" s="5" t="str">
        <f t="shared" si="6"/>
        <v>(DS-IBBLR-Kallahalli )</v>
      </c>
      <c r="L326" s="5" t="e">
        <f t="array" aca="1" ref="L326" ca="1">_xludf.XLOOKUP(E326,'[1]Migrated Societies Data'!C:C,'[1]Migrated Societies Data'!B:B)</f>
        <v>#NAME?</v>
      </c>
      <c r="M326" s="5" t="e">
        <f t="array" aca="1" ref="M326" ca="1">_xludf.XLOOKUP(E326,'[1]Migrated Societies Data'!C:C,'[1]Migrated Societies Data'!E:E)</f>
        <v>#NAME?</v>
      </c>
      <c r="N326" s="5" t="str">
        <f t="shared" si="10"/>
        <v>Yes</v>
      </c>
      <c r="O326" s="7">
        <f t="shared" si="11"/>
        <v>3.9756944444444442E-2</v>
      </c>
    </row>
    <row r="327" spans="1:15" x14ac:dyDescent="0.25">
      <c r="A327" s="3" t="s">
        <v>468</v>
      </c>
      <c r="B327" s="3" t="s">
        <v>698</v>
      </c>
      <c r="C327" s="3" t="s">
        <v>16</v>
      </c>
      <c r="D327" s="3" t="s">
        <v>17</v>
      </c>
      <c r="E327" s="3" t="s">
        <v>470</v>
      </c>
      <c r="F327" s="3" t="s">
        <v>699</v>
      </c>
      <c r="G327" s="4">
        <v>45994</v>
      </c>
      <c r="H327" s="5">
        <f t="shared" si="7"/>
        <v>49</v>
      </c>
      <c r="I327" s="5">
        <f t="shared" si="8"/>
        <v>12</v>
      </c>
      <c r="J327" s="6">
        <f t="shared" si="9"/>
        <v>5.0358796296296297E-2</v>
      </c>
      <c r="K327" s="5" t="str">
        <f t="shared" si="6"/>
        <v>(DS-BNBLR-HRBR)</v>
      </c>
      <c r="L327" s="5" t="e">
        <f t="array" aca="1" ref="L327" ca="1">_xludf.XLOOKUP(E327,'[1]Migrated Societies Data'!C:C,'[1]Migrated Societies Data'!B:B)</f>
        <v>#NAME?</v>
      </c>
      <c r="M327" s="5" t="e">
        <f t="array" aca="1" ref="M327" ca="1">_xludf.XLOOKUP(E327,'[1]Migrated Societies Data'!C:C,'[1]Migrated Societies Data'!E:E)</f>
        <v>#NAME?</v>
      </c>
      <c r="N327" s="5" t="str">
        <f t="shared" si="10"/>
        <v>Yes</v>
      </c>
      <c r="O327" s="7">
        <f t="shared" si="11"/>
        <v>7.1192129629629633E-2</v>
      </c>
    </row>
    <row r="328" spans="1:15" x14ac:dyDescent="0.25">
      <c r="A328" s="3" t="s">
        <v>342</v>
      </c>
      <c r="B328" s="3" t="s">
        <v>700</v>
      </c>
      <c r="C328" s="3" t="s">
        <v>16</v>
      </c>
      <c r="D328" s="3" t="s">
        <v>17</v>
      </c>
      <c r="E328" s="3" t="s">
        <v>344</v>
      </c>
      <c r="F328" s="3" t="s">
        <v>701</v>
      </c>
      <c r="G328" s="4">
        <v>45994</v>
      </c>
      <c r="H328" s="5">
        <f t="shared" si="7"/>
        <v>49</v>
      </c>
      <c r="I328" s="5">
        <f t="shared" si="8"/>
        <v>12</v>
      </c>
      <c r="J328" s="6">
        <f t="shared" si="9"/>
        <v>5.1180555555555556E-2</v>
      </c>
      <c r="K328" s="5" t="str">
        <f t="shared" si="6"/>
        <v>(DS-IBBLR-Chikkasandr)</v>
      </c>
      <c r="L328" s="5" t="e">
        <f t="array" aca="1" ref="L328" ca="1">_xludf.XLOOKUP(E328,'[1]Migrated Societies Data'!C:C,'[1]Migrated Societies Data'!B:B)</f>
        <v>#NAME?</v>
      </c>
      <c r="M328" s="5" t="e">
        <f t="array" aca="1" ref="M328" ca="1">_xludf.XLOOKUP(E328,'[1]Migrated Societies Data'!C:C,'[1]Migrated Societies Data'!E:E)</f>
        <v>#NAME?</v>
      </c>
      <c r="N328" s="5" t="str">
        <f t="shared" si="10"/>
        <v>Yes</v>
      </c>
      <c r="O328" s="7">
        <f t="shared" si="11"/>
        <v>7.2013888888888891E-2</v>
      </c>
    </row>
    <row r="329" spans="1:15" x14ac:dyDescent="0.25">
      <c r="A329" s="3" t="s">
        <v>490</v>
      </c>
      <c r="B329" s="3" t="s">
        <v>702</v>
      </c>
      <c r="C329" s="3" t="s">
        <v>16</v>
      </c>
      <c r="D329" s="3" t="s">
        <v>17</v>
      </c>
      <c r="E329" s="3" t="s">
        <v>492</v>
      </c>
      <c r="F329" s="3" t="s">
        <v>703</v>
      </c>
      <c r="G329" s="4">
        <v>45994</v>
      </c>
      <c r="H329" s="5">
        <f t="shared" si="7"/>
        <v>49</v>
      </c>
      <c r="I329" s="5">
        <f t="shared" si="8"/>
        <v>12</v>
      </c>
      <c r="J329" s="6">
        <f t="shared" si="9"/>
        <v>9.0914351851851857E-2</v>
      </c>
      <c r="K329" s="5" t="str">
        <f t="shared" si="6"/>
        <v>(DS-IBBLR-Devanahalli)</v>
      </c>
      <c r="L329" s="5" t="e">
        <f t="array" aca="1" ref="L329" ca="1">_xludf.XLOOKUP(E329,'[1]Migrated Societies Data'!C:C,'[1]Migrated Societies Data'!B:B)</f>
        <v>#NAME?</v>
      </c>
      <c r="M329" s="5" t="e">
        <f t="array" aca="1" ref="M329" ca="1">_xludf.XLOOKUP(E329,'[1]Migrated Societies Data'!C:C,'[1]Migrated Societies Data'!E:E)</f>
        <v>#NAME?</v>
      </c>
      <c r="N329" s="5" t="str">
        <f t="shared" si="10"/>
        <v>Yes</v>
      </c>
      <c r="O329" s="7">
        <f t="shared" si="11"/>
        <v>0.11174768518518519</v>
      </c>
    </row>
    <row r="330" spans="1:15" x14ac:dyDescent="0.25">
      <c r="A330" s="3" t="s">
        <v>460</v>
      </c>
      <c r="B330" s="3" t="s">
        <v>704</v>
      </c>
      <c r="C330" s="3" t="s">
        <v>16</v>
      </c>
      <c r="D330" s="3" t="s">
        <v>82</v>
      </c>
      <c r="E330" s="3" t="s">
        <v>462</v>
      </c>
      <c r="F330" s="3" t="s">
        <v>705</v>
      </c>
      <c r="G330" s="4">
        <v>45994</v>
      </c>
      <c r="H330" s="5">
        <f t="shared" si="7"/>
        <v>49</v>
      </c>
      <c r="I330" s="5">
        <f t="shared" si="8"/>
        <v>12</v>
      </c>
      <c r="J330" s="6">
        <f t="shared" si="9"/>
        <v>4.297453703703704E-2</v>
      </c>
      <c r="K330" s="5" t="str">
        <f t="shared" si="6"/>
        <v>(DS-IBBLR-HAL )</v>
      </c>
      <c r="L330" s="5" t="e">
        <f t="array" aca="1" ref="L330" ca="1">_xludf.XLOOKUP(E330,'[1]Migrated Societies Data'!C:C,'[1]Migrated Societies Data'!B:B)</f>
        <v>#NAME?</v>
      </c>
      <c r="M330" s="5" t="e">
        <f t="array" aca="1" ref="M330" ca="1">_xludf.XLOOKUP(E330,'[1]Migrated Societies Data'!C:C,'[1]Migrated Societies Data'!E:E)</f>
        <v>#NAME?</v>
      </c>
      <c r="N330" s="5" t="str">
        <f t="shared" si="10"/>
        <v>Yes</v>
      </c>
      <c r="O330" s="7">
        <f t="shared" si="11"/>
        <v>6.3807870370370376E-2</v>
      </c>
    </row>
    <row r="331" spans="1:15" x14ac:dyDescent="0.25">
      <c r="A331" s="3" t="s">
        <v>478</v>
      </c>
      <c r="B331" s="3" t="s">
        <v>706</v>
      </c>
      <c r="C331" s="3" t="s">
        <v>16</v>
      </c>
      <c r="D331" s="3" t="s">
        <v>17</v>
      </c>
      <c r="E331" s="3" t="s">
        <v>480</v>
      </c>
      <c r="F331" s="3" t="s">
        <v>707</v>
      </c>
      <c r="G331" s="4">
        <v>45994</v>
      </c>
      <c r="H331" s="5">
        <f t="shared" si="7"/>
        <v>49</v>
      </c>
      <c r="I331" s="5">
        <f t="shared" si="8"/>
        <v>12</v>
      </c>
      <c r="J331" s="6">
        <f t="shared" si="9"/>
        <v>6.2812499999999993E-2</v>
      </c>
      <c r="K331" s="5" t="str">
        <f t="shared" si="6"/>
        <v>(DS-IBBLR-Bellahalli)</v>
      </c>
      <c r="L331" s="5" t="e">
        <f t="array" aca="1" ref="L331" ca="1">_xludf.XLOOKUP(E331,'[1]Migrated Societies Data'!C:C,'[1]Migrated Societies Data'!B:B)</f>
        <v>#NAME?</v>
      </c>
      <c r="M331" s="5" t="e">
        <f t="array" aca="1" ref="M331" ca="1">_xludf.XLOOKUP(E331,'[1]Migrated Societies Data'!C:C,'[1]Migrated Societies Data'!E:E)</f>
        <v>#NAME?</v>
      </c>
      <c r="N331" s="5" t="str">
        <f t="shared" si="10"/>
        <v>Yes</v>
      </c>
      <c r="O331" s="7">
        <f t="shared" si="11"/>
        <v>8.3645833333333322E-2</v>
      </c>
    </row>
    <row r="332" spans="1:15" x14ac:dyDescent="0.25">
      <c r="A332" s="3" t="s">
        <v>456</v>
      </c>
      <c r="B332" s="3" t="s">
        <v>708</v>
      </c>
      <c r="C332" s="3" t="s">
        <v>16</v>
      </c>
      <c r="D332" s="3" t="s">
        <v>82</v>
      </c>
      <c r="E332" s="3" t="s">
        <v>458</v>
      </c>
      <c r="F332" s="3" t="s">
        <v>709</v>
      </c>
      <c r="G332" s="4">
        <v>45994</v>
      </c>
      <c r="H332" s="5">
        <f t="shared" si="7"/>
        <v>49</v>
      </c>
      <c r="I332" s="5">
        <f t="shared" si="8"/>
        <v>12</v>
      </c>
      <c r="J332" s="6">
        <f t="shared" si="9"/>
        <v>5.2418981481481483E-2</v>
      </c>
      <c r="K332" s="5" t="str">
        <f t="shared" si="6"/>
        <v>(DS-IBBLR-Jakkasandra)</v>
      </c>
      <c r="L332" s="5" t="e">
        <f t="array" aca="1" ref="L332" ca="1">_xludf.XLOOKUP(E332,'[1]Migrated Societies Data'!C:C,'[1]Migrated Societies Data'!B:B)</f>
        <v>#NAME?</v>
      </c>
      <c r="M332" s="5" t="e">
        <f t="array" aca="1" ref="M332" ca="1">_xludf.XLOOKUP(E332,'[1]Migrated Societies Data'!C:C,'[1]Migrated Societies Data'!E:E)</f>
        <v>#NAME?</v>
      </c>
      <c r="N332" s="5" t="str">
        <f t="shared" si="10"/>
        <v>Yes</v>
      </c>
      <c r="O332" s="7">
        <f t="shared" si="11"/>
        <v>7.3252314814814812E-2</v>
      </c>
    </row>
    <row r="333" spans="1:15" x14ac:dyDescent="0.25">
      <c r="A333" s="3" t="s">
        <v>468</v>
      </c>
      <c r="B333" s="3" t="s">
        <v>710</v>
      </c>
      <c r="C333" s="3" t="s">
        <v>16</v>
      </c>
      <c r="D333" s="3" t="s">
        <v>17</v>
      </c>
      <c r="E333" s="3" t="s">
        <v>470</v>
      </c>
      <c r="F333" s="3" t="s">
        <v>711</v>
      </c>
      <c r="G333" s="4">
        <v>45995</v>
      </c>
      <c r="H333" s="5">
        <f t="shared" si="7"/>
        <v>49</v>
      </c>
      <c r="I333" s="5">
        <f t="shared" si="8"/>
        <v>12</v>
      </c>
      <c r="J333" s="6">
        <f t="shared" si="9"/>
        <v>5.7141203703703701E-2</v>
      </c>
      <c r="K333" s="5" t="str">
        <f t="shared" si="6"/>
        <v>(DS-BNBLR-HRBR)</v>
      </c>
      <c r="L333" s="5" t="e">
        <f t="array" aca="1" ref="L333" ca="1">_xludf.XLOOKUP(E333,'[1]Migrated Societies Data'!C:C,'[1]Migrated Societies Data'!B:B)</f>
        <v>#NAME?</v>
      </c>
      <c r="M333" s="5" t="e">
        <f t="array" aca="1" ref="M333" ca="1">_xludf.XLOOKUP(E333,'[1]Migrated Societies Data'!C:C,'[1]Migrated Societies Data'!E:E)</f>
        <v>#NAME?</v>
      </c>
      <c r="N333" s="5" t="str">
        <f t="shared" si="10"/>
        <v>Yes</v>
      </c>
      <c r="O333" s="7">
        <f t="shared" si="11"/>
        <v>7.7974537037037037E-2</v>
      </c>
    </row>
    <row r="334" spans="1:15" x14ac:dyDescent="0.25">
      <c r="A334" s="3" t="s">
        <v>331</v>
      </c>
      <c r="B334" s="3" t="s">
        <v>712</v>
      </c>
      <c r="C334" s="3" t="s">
        <v>16</v>
      </c>
      <c r="D334" s="3" t="s">
        <v>82</v>
      </c>
      <c r="E334" s="3" t="s">
        <v>333</v>
      </c>
      <c r="F334" s="3" t="s">
        <v>713</v>
      </c>
      <c r="G334" s="4">
        <v>45995</v>
      </c>
      <c r="H334" s="5">
        <f t="shared" si="7"/>
        <v>49</v>
      </c>
      <c r="I334" s="5">
        <f t="shared" si="8"/>
        <v>12</v>
      </c>
      <c r="J334" s="6">
        <f t="shared" si="9"/>
        <v>0.98174768518518518</v>
      </c>
      <c r="K334" s="5" t="str">
        <f t="shared" si="6"/>
        <v>(DS-IBBLR-Attibele)</v>
      </c>
      <c r="L334" s="5" t="e">
        <f t="array" aca="1" ref="L334" ca="1">_xludf.XLOOKUP(E334,'[1]Migrated Societies Data'!C:C,'[1]Migrated Societies Data'!B:B)</f>
        <v>#NAME?</v>
      </c>
      <c r="M334" s="5" t="e">
        <f t="array" aca="1" ref="M334" ca="1">_xludf.XLOOKUP(E334,'[1]Migrated Societies Data'!C:C,'[1]Migrated Societies Data'!E:E)</f>
        <v>#NAME?</v>
      </c>
      <c r="N334" s="5" t="str">
        <f t="shared" si="10"/>
        <v>Yes</v>
      </c>
      <c r="O334" s="7">
        <f t="shared" si="11"/>
        <v>2.5810185185184409E-3</v>
      </c>
    </row>
    <row r="335" spans="1:15" x14ac:dyDescent="0.25">
      <c r="A335" s="3" t="s">
        <v>85</v>
      </c>
      <c r="B335" s="3" t="s">
        <v>714</v>
      </c>
      <c r="C335" s="3" t="s">
        <v>16</v>
      </c>
      <c r="D335" s="3" t="s">
        <v>82</v>
      </c>
      <c r="E335" s="3" t="s">
        <v>87</v>
      </c>
      <c r="F335" s="3" t="s">
        <v>715</v>
      </c>
      <c r="G335" s="4">
        <v>45995</v>
      </c>
      <c r="H335" s="5">
        <f t="shared" si="7"/>
        <v>49</v>
      </c>
      <c r="I335" s="5">
        <f t="shared" si="8"/>
        <v>12</v>
      </c>
      <c r="J335" s="6">
        <f t="shared" si="9"/>
        <v>0.995</v>
      </c>
      <c r="K335" s="5" t="str">
        <f t="shared" si="6"/>
        <v>(DS-IBBLR-Budhigere )</v>
      </c>
      <c r="L335" s="5" t="e">
        <f t="array" aca="1" ref="L335" ca="1">_xludf.XLOOKUP(E335,'[1]Migrated Societies Data'!C:C,'[1]Migrated Societies Data'!B:B)</f>
        <v>#NAME?</v>
      </c>
      <c r="M335" s="5" t="e">
        <f t="array" aca="1" ref="M335" ca="1">_xludf.XLOOKUP(E335,'[1]Migrated Societies Data'!C:C,'[1]Migrated Societies Data'!E:E)</f>
        <v>#NAME?</v>
      </c>
      <c r="N335" s="5" t="str">
        <f t="shared" si="10"/>
        <v>Yes</v>
      </c>
      <c r="O335" s="7">
        <f t="shared" si="11"/>
        <v>1.5833333333333366E-2</v>
      </c>
    </row>
    <row r="336" spans="1:15" x14ac:dyDescent="0.25">
      <c r="A336" s="3" t="s">
        <v>342</v>
      </c>
      <c r="B336" s="3" t="s">
        <v>716</v>
      </c>
      <c r="C336" s="3" t="s">
        <v>16</v>
      </c>
      <c r="D336" s="3" t="s">
        <v>17</v>
      </c>
      <c r="E336" s="3" t="s">
        <v>344</v>
      </c>
      <c r="F336" s="3" t="s">
        <v>717</v>
      </c>
      <c r="G336" s="4">
        <v>45995</v>
      </c>
      <c r="H336" s="5">
        <f t="shared" si="7"/>
        <v>49</v>
      </c>
      <c r="I336" s="5">
        <f t="shared" si="8"/>
        <v>12</v>
      </c>
      <c r="J336" s="6">
        <f t="shared" si="9"/>
        <v>7.2928240740740738E-2</v>
      </c>
      <c r="K336" s="5" t="str">
        <f t="shared" si="6"/>
        <v>(DS-IBBLR-Chikkasandr)</v>
      </c>
      <c r="L336" s="5" t="e">
        <f t="array" aca="1" ref="L336" ca="1">_xludf.XLOOKUP(E336,'[1]Migrated Societies Data'!C:C,'[1]Migrated Societies Data'!B:B)</f>
        <v>#NAME?</v>
      </c>
      <c r="M336" s="5" t="e">
        <f t="array" aca="1" ref="M336" ca="1">_xludf.XLOOKUP(E336,'[1]Migrated Societies Data'!C:C,'[1]Migrated Societies Data'!E:E)</f>
        <v>#NAME?</v>
      </c>
      <c r="N336" s="5" t="str">
        <f t="shared" si="10"/>
        <v>Yes</v>
      </c>
      <c r="O336" s="7">
        <f t="shared" si="11"/>
        <v>9.3761574074074067E-2</v>
      </c>
    </row>
    <row r="337" spans="1:15" x14ac:dyDescent="0.25">
      <c r="A337" s="3" t="s">
        <v>442</v>
      </c>
      <c r="B337" s="3" t="s">
        <v>718</v>
      </c>
      <c r="C337" s="3" t="s">
        <v>16</v>
      </c>
      <c r="D337" s="3" t="s">
        <v>82</v>
      </c>
      <c r="E337" s="3" t="s">
        <v>444</v>
      </c>
      <c r="F337" s="3" t="s">
        <v>719</v>
      </c>
      <c r="G337" s="4">
        <v>45995</v>
      </c>
      <c r="H337" s="5">
        <f t="shared" si="7"/>
        <v>49</v>
      </c>
      <c r="I337" s="5">
        <f t="shared" si="8"/>
        <v>12</v>
      </c>
      <c r="J337" s="6">
        <f t="shared" si="9"/>
        <v>0.94847222222222227</v>
      </c>
      <c r="K337" s="5" t="str">
        <f t="shared" si="6"/>
        <v>(DS-IBBLR-Chinappalay)</v>
      </c>
      <c r="L337" s="5" t="e">
        <f t="array" aca="1" ref="L337" ca="1">_xludf.XLOOKUP(E337,'[1]Migrated Societies Data'!C:C,'[1]Migrated Societies Data'!B:B)</f>
        <v>#NAME?</v>
      </c>
      <c r="M337" s="5" t="e">
        <f t="array" aca="1" ref="M337" ca="1">_xludf.XLOOKUP(E337,'[1]Migrated Societies Data'!C:C,'[1]Migrated Societies Data'!E:E)</f>
        <v>#NAME?</v>
      </c>
      <c r="N337" s="5" t="str">
        <f t="shared" si="10"/>
        <v>No</v>
      </c>
      <c r="O337" s="7">
        <f t="shared" si="11"/>
        <v>0.96930555555555564</v>
      </c>
    </row>
    <row r="338" spans="1:15" x14ac:dyDescent="0.25">
      <c r="A338" s="3" t="s">
        <v>490</v>
      </c>
      <c r="B338" s="3" t="s">
        <v>720</v>
      </c>
      <c r="C338" s="3" t="s">
        <v>16</v>
      </c>
      <c r="D338" s="3" t="s">
        <v>17</v>
      </c>
      <c r="E338" s="3" t="s">
        <v>492</v>
      </c>
      <c r="F338" s="3" t="s">
        <v>721</v>
      </c>
      <c r="G338" s="4">
        <v>45995</v>
      </c>
      <c r="H338" s="5">
        <f t="shared" si="7"/>
        <v>49</v>
      </c>
      <c r="I338" s="5">
        <f t="shared" si="8"/>
        <v>12</v>
      </c>
      <c r="J338" s="6">
        <f t="shared" si="9"/>
        <v>6.87962962962963E-2</v>
      </c>
      <c r="K338" s="5" t="str">
        <f t="shared" si="6"/>
        <v>(DS-IBBLR-Devanahalli)</v>
      </c>
      <c r="L338" s="5" t="e">
        <f t="array" aca="1" ref="L338" ca="1">_xludf.XLOOKUP(E338,'[1]Migrated Societies Data'!C:C,'[1]Migrated Societies Data'!B:B)</f>
        <v>#NAME?</v>
      </c>
      <c r="M338" s="5" t="e">
        <f t="array" aca="1" ref="M338" ca="1">_xludf.XLOOKUP(E338,'[1]Migrated Societies Data'!C:C,'[1]Migrated Societies Data'!E:E)</f>
        <v>#NAME?</v>
      </c>
      <c r="N338" s="5" t="str">
        <f t="shared" si="10"/>
        <v>Yes</v>
      </c>
      <c r="O338" s="7">
        <f t="shared" si="11"/>
        <v>8.9629629629629629E-2</v>
      </c>
    </row>
    <row r="339" spans="1:15" x14ac:dyDescent="0.25">
      <c r="A339" s="3" t="s">
        <v>460</v>
      </c>
      <c r="B339" s="3" t="s">
        <v>722</v>
      </c>
      <c r="C339" s="3" t="s">
        <v>16</v>
      </c>
      <c r="D339" s="3" t="s">
        <v>82</v>
      </c>
      <c r="E339" s="3" t="s">
        <v>462</v>
      </c>
      <c r="F339" s="3" t="s">
        <v>723</v>
      </c>
      <c r="G339" s="4">
        <v>45995</v>
      </c>
      <c r="H339" s="5">
        <f t="shared" si="7"/>
        <v>49</v>
      </c>
      <c r="I339" s="5">
        <f t="shared" si="8"/>
        <v>12</v>
      </c>
      <c r="J339" s="6">
        <f t="shared" si="9"/>
        <v>1.2465277777777778E-2</v>
      </c>
      <c r="K339" s="5" t="str">
        <f t="shared" si="6"/>
        <v>(DS-IBBLR-HAL )</v>
      </c>
      <c r="L339" s="5" t="e">
        <f t="array" aca="1" ref="L339" ca="1">_xludf.XLOOKUP(E339,'[1]Migrated Societies Data'!C:C,'[1]Migrated Societies Data'!B:B)</f>
        <v>#NAME?</v>
      </c>
      <c r="M339" s="5" t="e">
        <f t="array" aca="1" ref="M339" ca="1">_xludf.XLOOKUP(E339,'[1]Migrated Societies Data'!C:C,'[1]Migrated Societies Data'!E:E)</f>
        <v>#NAME?</v>
      </c>
      <c r="N339" s="5" t="str">
        <f t="shared" si="10"/>
        <v>Yes</v>
      </c>
      <c r="O339" s="7">
        <f t="shared" si="11"/>
        <v>3.3298611111111112E-2</v>
      </c>
    </row>
    <row r="340" spans="1:15" x14ac:dyDescent="0.25">
      <c r="A340" s="3" t="s">
        <v>456</v>
      </c>
      <c r="B340" s="3" t="s">
        <v>724</v>
      </c>
      <c r="C340" s="3" t="s">
        <v>16</v>
      </c>
      <c r="D340" s="3" t="s">
        <v>82</v>
      </c>
      <c r="E340" s="3" t="s">
        <v>458</v>
      </c>
      <c r="F340" s="3" t="s">
        <v>725</v>
      </c>
      <c r="G340" s="4">
        <v>45995</v>
      </c>
      <c r="H340" s="5">
        <f t="shared" si="7"/>
        <v>49</v>
      </c>
      <c r="I340" s="5">
        <f t="shared" si="8"/>
        <v>12</v>
      </c>
      <c r="J340" s="6">
        <f t="shared" si="9"/>
        <v>5.8576388888888886E-2</v>
      </c>
      <c r="K340" s="5" t="str">
        <f t="shared" si="6"/>
        <v>(DS-IBBLR-Jakkasandra)</v>
      </c>
      <c r="L340" s="5" t="e">
        <f t="array" aca="1" ref="L340" ca="1">_xludf.XLOOKUP(E340,'[1]Migrated Societies Data'!C:C,'[1]Migrated Societies Data'!B:B)</f>
        <v>#NAME?</v>
      </c>
      <c r="M340" s="5" t="e">
        <f t="array" aca="1" ref="M340" ca="1">_xludf.XLOOKUP(E340,'[1]Migrated Societies Data'!C:C,'[1]Migrated Societies Data'!E:E)</f>
        <v>#NAME?</v>
      </c>
      <c r="N340" s="5" t="str">
        <f t="shared" si="10"/>
        <v>Yes</v>
      </c>
      <c r="O340" s="7">
        <f t="shared" si="11"/>
        <v>7.9409722222222215E-2</v>
      </c>
    </row>
    <row r="341" spans="1:15" x14ac:dyDescent="0.25">
      <c r="A341" s="3" t="s">
        <v>446</v>
      </c>
      <c r="B341" s="3" t="s">
        <v>726</v>
      </c>
      <c r="C341" s="3" t="s">
        <v>16</v>
      </c>
      <c r="D341" s="3" t="s">
        <v>82</v>
      </c>
      <c r="E341" s="3" t="s">
        <v>448</v>
      </c>
      <c r="F341" s="3" t="s">
        <v>727</v>
      </c>
      <c r="G341" s="4">
        <v>45995</v>
      </c>
      <c r="H341" s="5">
        <f t="shared" si="7"/>
        <v>49</v>
      </c>
      <c r="I341" s="5">
        <f t="shared" si="8"/>
        <v>12</v>
      </c>
      <c r="J341" s="6">
        <f t="shared" si="9"/>
        <v>0.97819444444444448</v>
      </c>
      <c r="K341" s="5" t="str">
        <f t="shared" si="6"/>
        <v>(DS-IBBLR-Jigani)</v>
      </c>
      <c r="L341" s="5" t="e">
        <f t="array" aca="1" ref="L341" ca="1">_xludf.XLOOKUP(E341,'[1]Migrated Societies Data'!C:C,'[1]Migrated Societies Data'!B:B)</f>
        <v>#NAME?</v>
      </c>
      <c r="M341" s="5" t="e">
        <f t="array" aca="1" ref="M341" ca="1">_xludf.XLOOKUP(E341,'[1]Migrated Societies Data'!C:C,'[1]Migrated Societies Data'!E:E)</f>
        <v>#NAME?</v>
      </c>
      <c r="N341" s="5" t="str">
        <f t="shared" si="10"/>
        <v>Yes</v>
      </c>
      <c r="O341" s="7">
        <f t="shared" si="11"/>
        <v>0.99902777777777785</v>
      </c>
    </row>
    <row r="342" spans="1:15" x14ac:dyDescent="0.25">
      <c r="A342" s="3" t="s">
        <v>446</v>
      </c>
      <c r="B342" s="3" t="s">
        <v>726</v>
      </c>
      <c r="C342" s="3" t="s">
        <v>16</v>
      </c>
      <c r="D342" s="3" t="s">
        <v>82</v>
      </c>
      <c r="E342" s="3" t="s">
        <v>448</v>
      </c>
      <c r="F342" s="3" t="s">
        <v>727</v>
      </c>
      <c r="G342" s="4">
        <v>45995</v>
      </c>
      <c r="H342" s="5">
        <f t="shared" si="7"/>
        <v>49</v>
      </c>
      <c r="I342" s="5">
        <f t="shared" si="8"/>
        <v>12</v>
      </c>
      <c r="J342" s="6">
        <f t="shared" si="9"/>
        <v>0.97819444444444448</v>
      </c>
      <c r="K342" s="5" t="str">
        <f t="shared" si="6"/>
        <v>(DS-IBBLR-Jigani)</v>
      </c>
      <c r="L342" s="5" t="e">
        <f t="array" aca="1" ref="L342" ca="1">_xludf.XLOOKUP(E342,'[1]Migrated Societies Data'!C:C,'[1]Migrated Societies Data'!B:B)</f>
        <v>#NAME?</v>
      </c>
      <c r="M342" s="5" t="e">
        <f t="array" aca="1" ref="M342" ca="1">_xludf.XLOOKUP(E342,'[1]Migrated Societies Data'!C:C,'[1]Migrated Societies Data'!E:E)</f>
        <v>#NAME?</v>
      </c>
      <c r="N342" s="5" t="str">
        <f t="shared" si="10"/>
        <v>Yes</v>
      </c>
      <c r="O342" s="7">
        <f t="shared" si="11"/>
        <v>0.99902777777777785</v>
      </c>
    </row>
    <row r="343" spans="1:15" x14ac:dyDescent="0.25">
      <c r="A343" s="3" t="s">
        <v>464</v>
      </c>
      <c r="B343" s="3" t="s">
        <v>728</v>
      </c>
      <c r="C343" s="3" t="s">
        <v>16</v>
      </c>
      <c r="D343" s="3" t="s">
        <v>82</v>
      </c>
      <c r="E343" s="3" t="s">
        <v>466</v>
      </c>
      <c r="F343" s="3" t="s">
        <v>729</v>
      </c>
      <c r="G343" s="4">
        <v>45995</v>
      </c>
      <c r="H343" s="5">
        <f t="shared" si="7"/>
        <v>49</v>
      </c>
      <c r="I343" s="5">
        <f t="shared" si="8"/>
        <v>12</v>
      </c>
      <c r="J343" s="6">
        <f t="shared" si="9"/>
        <v>2.7013888888888889E-2</v>
      </c>
      <c r="K343" s="5" t="str">
        <f t="shared" si="6"/>
        <v>(DS-IBBLR-Kallahalli )</v>
      </c>
      <c r="L343" s="5" t="e">
        <f t="array" aca="1" ref="L343" ca="1">_xludf.XLOOKUP(E343,'[1]Migrated Societies Data'!C:C,'[1]Migrated Societies Data'!B:B)</f>
        <v>#NAME?</v>
      </c>
      <c r="M343" s="5" t="e">
        <f t="array" aca="1" ref="M343" ca="1">_xludf.XLOOKUP(E343,'[1]Migrated Societies Data'!C:C,'[1]Migrated Societies Data'!E:E)</f>
        <v>#NAME?</v>
      </c>
      <c r="N343" s="5" t="str">
        <f t="shared" si="10"/>
        <v>Yes</v>
      </c>
      <c r="O343" s="7">
        <f t="shared" si="11"/>
        <v>4.7847222222222222E-2</v>
      </c>
    </row>
    <row r="344" spans="1:15" x14ac:dyDescent="0.25">
      <c r="A344" s="3" t="s">
        <v>80</v>
      </c>
      <c r="B344" s="3" t="s">
        <v>730</v>
      </c>
      <c r="C344" s="3" t="s">
        <v>16</v>
      </c>
      <c r="D344" s="3" t="s">
        <v>82</v>
      </c>
      <c r="E344" s="3" t="s">
        <v>83</v>
      </c>
      <c r="F344" s="3" t="s">
        <v>731</v>
      </c>
      <c r="G344" s="4">
        <v>45995</v>
      </c>
      <c r="H344" s="5">
        <f t="shared" si="7"/>
        <v>49</v>
      </c>
      <c r="I344" s="5">
        <f t="shared" si="8"/>
        <v>12</v>
      </c>
      <c r="J344" s="6">
        <f t="shared" si="9"/>
        <v>0.98966435185185186</v>
      </c>
      <c r="K344" s="5" t="str">
        <f t="shared" si="6"/>
        <v>(DS-IBBLR-Nagondanahalli )</v>
      </c>
      <c r="L344" s="5" t="e">
        <f t="array" aca="1" ref="L344" ca="1">_xludf.XLOOKUP(E344,'[1]Migrated Societies Data'!C:C,'[1]Migrated Societies Data'!B:B)</f>
        <v>#NAME?</v>
      </c>
      <c r="M344" s="5" t="e">
        <f t="array" aca="1" ref="M344" ca="1">_xludf.XLOOKUP(E344,'[1]Migrated Societies Data'!C:C,'[1]Migrated Societies Data'!E:E)</f>
        <v>#NAME?</v>
      </c>
      <c r="N344" s="5" t="str">
        <f t="shared" si="10"/>
        <v>Yes</v>
      </c>
      <c r="O344" s="7">
        <f t="shared" si="11"/>
        <v>1.0497685185185235E-2</v>
      </c>
    </row>
    <row r="345" spans="1:15" x14ac:dyDescent="0.25">
      <c r="A345" s="3" t="s">
        <v>14</v>
      </c>
      <c r="B345" s="3" t="s">
        <v>732</v>
      </c>
      <c r="C345" s="3" t="s">
        <v>16</v>
      </c>
      <c r="D345" s="3" t="s">
        <v>17</v>
      </c>
      <c r="E345" s="3" t="s">
        <v>18</v>
      </c>
      <c r="F345" s="3" t="s">
        <v>733</v>
      </c>
      <c r="G345" s="4">
        <v>45995</v>
      </c>
      <c r="H345" s="5">
        <f t="shared" si="7"/>
        <v>49</v>
      </c>
      <c r="I345" s="5">
        <f t="shared" si="8"/>
        <v>12</v>
      </c>
      <c r="J345" s="6">
        <f t="shared" si="9"/>
        <v>4.0057870370370369E-2</v>
      </c>
      <c r="K345" s="5" t="str">
        <f t="shared" si="6"/>
        <v>(DS-IBBLR-Peenya PH-3)</v>
      </c>
      <c r="L345" s="5" t="e">
        <f t="array" aca="1" ref="L345" ca="1">_xludf.XLOOKUP(E345,'[1]Migrated Societies Data'!C:C,'[1]Migrated Societies Data'!B:B)</f>
        <v>#NAME?</v>
      </c>
      <c r="M345" s="5" t="e">
        <f t="array" aca="1" ref="M345" ca="1">_xludf.XLOOKUP(E345,'[1]Migrated Societies Data'!C:C,'[1]Migrated Societies Data'!E:E)</f>
        <v>#NAME?</v>
      </c>
      <c r="N345" s="5" t="str">
        <f t="shared" si="10"/>
        <v>Yes</v>
      </c>
      <c r="O345" s="7">
        <f t="shared" si="11"/>
        <v>6.0891203703703697E-2</v>
      </c>
    </row>
    <row r="346" spans="1:15" x14ac:dyDescent="0.25">
      <c r="A346" s="3" t="s">
        <v>478</v>
      </c>
      <c r="B346" s="3" t="s">
        <v>734</v>
      </c>
      <c r="C346" s="3" t="s">
        <v>16</v>
      </c>
      <c r="D346" s="3" t="s">
        <v>17</v>
      </c>
      <c r="E346" s="3" t="s">
        <v>480</v>
      </c>
      <c r="F346" s="3" t="s">
        <v>735</v>
      </c>
      <c r="G346" s="4">
        <v>45995</v>
      </c>
      <c r="H346" s="5">
        <f t="shared" si="7"/>
        <v>49</v>
      </c>
      <c r="I346" s="5">
        <f t="shared" si="8"/>
        <v>12</v>
      </c>
      <c r="J346" s="6">
        <f t="shared" si="9"/>
        <v>4.8067129629629626E-2</v>
      </c>
      <c r="K346" s="5" t="str">
        <f t="shared" si="6"/>
        <v>(DS-IBBLR-Bellahalli)</v>
      </c>
      <c r="L346" s="5" t="e">
        <f t="array" aca="1" ref="L346" ca="1">_xludf.XLOOKUP(E346,'[1]Migrated Societies Data'!C:C,'[1]Migrated Societies Data'!B:B)</f>
        <v>#NAME?</v>
      </c>
      <c r="M346" s="5" t="e">
        <f t="array" aca="1" ref="M346" ca="1">_xludf.XLOOKUP(E346,'[1]Migrated Societies Data'!C:C,'[1]Migrated Societies Data'!E:E)</f>
        <v>#NAME?</v>
      </c>
      <c r="N346" s="5" t="str">
        <f t="shared" si="10"/>
        <v>Yes</v>
      </c>
      <c r="O346" s="7">
        <f t="shared" si="11"/>
        <v>6.8900462962962955E-2</v>
      </c>
    </row>
    <row r="347" spans="1:15" x14ac:dyDescent="0.25">
      <c r="A347" s="3" t="s">
        <v>482</v>
      </c>
      <c r="B347" s="3" t="s">
        <v>736</v>
      </c>
      <c r="C347" s="3" t="s">
        <v>16</v>
      </c>
      <c r="D347" s="3" t="s">
        <v>17</v>
      </c>
      <c r="E347" s="3" t="s">
        <v>484</v>
      </c>
      <c r="F347" s="3" t="s">
        <v>737</v>
      </c>
      <c r="G347" s="4">
        <v>45996</v>
      </c>
      <c r="H347" s="5">
        <f t="shared" si="7"/>
        <v>49</v>
      </c>
      <c r="I347" s="5">
        <f t="shared" si="8"/>
        <v>12</v>
      </c>
      <c r="J347" s="6">
        <f t="shared" si="9"/>
        <v>6.8865740740740741E-2</v>
      </c>
      <c r="K347" s="5" t="str">
        <f t="shared" si="6"/>
        <v>(DS-IBBLR-Benson Town)</v>
      </c>
      <c r="L347" s="5" t="e">
        <f t="array" aca="1" ref="L347" ca="1">_xludf.XLOOKUP(E347,'[1]Migrated Societies Data'!C:C,'[1]Migrated Societies Data'!B:B)</f>
        <v>#NAME?</v>
      </c>
      <c r="M347" s="5" t="e">
        <f t="array" aca="1" ref="M347" ca="1">_xludf.XLOOKUP(E347,'[1]Migrated Societies Data'!C:C,'[1]Migrated Societies Data'!E:E)</f>
        <v>#NAME?</v>
      </c>
      <c r="N347" s="5" t="str">
        <f t="shared" si="10"/>
        <v>Yes</v>
      </c>
      <c r="O347" s="7">
        <f t="shared" si="11"/>
        <v>8.969907407407407E-2</v>
      </c>
    </row>
    <row r="348" spans="1:15" x14ac:dyDescent="0.25">
      <c r="A348" s="3" t="s">
        <v>486</v>
      </c>
      <c r="B348" s="3" t="s">
        <v>738</v>
      </c>
      <c r="C348" s="3" t="s">
        <v>16</v>
      </c>
      <c r="D348" s="3" t="s">
        <v>17</v>
      </c>
      <c r="E348" s="3" t="s">
        <v>488</v>
      </c>
      <c r="F348" s="3" t="s">
        <v>739</v>
      </c>
      <c r="G348" s="4">
        <v>45996</v>
      </c>
      <c r="H348" s="5">
        <f t="shared" si="7"/>
        <v>49</v>
      </c>
      <c r="I348" s="5">
        <f t="shared" si="8"/>
        <v>12</v>
      </c>
      <c r="J348" s="6">
        <f t="shared" si="9"/>
        <v>0.1065625</v>
      </c>
      <c r="K348" s="5" t="str">
        <f t="shared" si="6"/>
        <v>(DS-IBBLR-Jala halli)</v>
      </c>
      <c r="L348" s="5" t="e">
        <f t="array" aca="1" ref="L348" ca="1">_xludf.XLOOKUP(E348,'[1]Migrated Societies Data'!C:C,'[1]Migrated Societies Data'!B:B)</f>
        <v>#NAME?</v>
      </c>
      <c r="M348" s="5" t="e">
        <f t="array" aca="1" ref="M348" ca="1">_xludf.XLOOKUP(E348,'[1]Migrated Societies Data'!C:C,'[1]Migrated Societies Data'!E:E)</f>
        <v>#NAME?</v>
      </c>
      <c r="N348" s="5" t="str">
        <f t="shared" si="10"/>
        <v>Yes</v>
      </c>
      <c r="O348" s="7">
        <f t="shared" si="11"/>
        <v>0.12739583333333335</v>
      </c>
    </row>
    <row r="349" spans="1:15" x14ac:dyDescent="0.25">
      <c r="A349" s="3" t="s">
        <v>65</v>
      </c>
      <c r="B349" s="3" t="s">
        <v>740</v>
      </c>
      <c r="C349" s="3" t="s">
        <v>16</v>
      </c>
      <c r="D349" s="3" t="s">
        <v>17</v>
      </c>
      <c r="E349" s="3" t="s">
        <v>18</v>
      </c>
      <c r="F349" s="3" t="s">
        <v>741</v>
      </c>
      <c r="G349" s="4">
        <v>45996</v>
      </c>
      <c r="H349" s="5">
        <f t="shared" si="7"/>
        <v>49</v>
      </c>
      <c r="I349" s="5">
        <f t="shared" si="8"/>
        <v>12</v>
      </c>
      <c r="J349" s="6">
        <f t="shared" si="9"/>
        <v>0.61195601851851855</v>
      </c>
      <c r="K349" s="5" t="str">
        <f t="shared" si="6"/>
        <v>(DS-IBBLR-Peenya PH-3)</v>
      </c>
      <c r="L349" s="5" t="e">
        <f t="array" aca="1" ref="L349" ca="1">_xludf.XLOOKUP(E349,'[1]Migrated Societies Data'!C:C,'[1]Migrated Societies Data'!B:B)</f>
        <v>#NAME?</v>
      </c>
      <c r="M349" s="5" t="e">
        <f t="array" aca="1" ref="M349" ca="1">_xludf.XLOOKUP(E349,'[1]Migrated Societies Data'!C:C,'[1]Migrated Societies Data'!E:E)</f>
        <v>#NAME?</v>
      </c>
      <c r="N349" s="5" t="str">
        <f t="shared" si="10"/>
        <v>No</v>
      </c>
      <c r="O349" s="7">
        <f t="shared" si="11"/>
        <v>0.63278935185185192</v>
      </c>
    </row>
    <row r="350" spans="1:15" x14ac:dyDescent="0.25">
      <c r="A350" s="3" t="s">
        <v>442</v>
      </c>
      <c r="B350" s="3" t="s">
        <v>742</v>
      </c>
      <c r="C350" s="3" t="s">
        <v>16</v>
      </c>
      <c r="D350" s="3" t="s">
        <v>82</v>
      </c>
      <c r="E350" s="3" t="s">
        <v>444</v>
      </c>
      <c r="F350" s="3" t="s">
        <v>743</v>
      </c>
      <c r="G350" s="4">
        <v>45996</v>
      </c>
      <c r="H350" s="5">
        <f t="shared" si="7"/>
        <v>49</v>
      </c>
      <c r="I350" s="5">
        <f t="shared" si="8"/>
        <v>12</v>
      </c>
      <c r="J350" s="6">
        <f t="shared" si="9"/>
        <v>0.95037037037037042</v>
      </c>
      <c r="K350" s="5" t="str">
        <f t="shared" si="6"/>
        <v>(DS-IBBLR-Chinappalay)</v>
      </c>
      <c r="L350" s="5" t="e">
        <f t="array" aca="1" ref="L350" ca="1">_xludf.XLOOKUP(E350,'[1]Migrated Societies Data'!C:C,'[1]Migrated Societies Data'!B:B)</f>
        <v>#NAME?</v>
      </c>
      <c r="M350" s="5" t="e">
        <f t="array" aca="1" ref="M350" ca="1">_xludf.XLOOKUP(E350,'[1]Migrated Societies Data'!C:C,'[1]Migrated Societies Data'!E:E)</f>
        <v>#NAME?</v>
      </c>
      <c r="N350" s="5" t="str">
        <f t="shared" si="10"/>
        <v>No</v>
      </c>
      <c r="O350" s="7">
        <f t="shared" si="11"/>
        <v>0.97120370370370379</v>
      </c>
    </row>
    <row r="351" spans="1:15" x14ac:dyDescent="0.25">
      <c r="A351" s="3" t="s">
        <v>446</v>
      </c>
      <c r="B351" s="3" t="s">
        <v>744</v>
      </c>
      <c r="C351" s="3" t="s">
        <v>16</v>
      </c>
      <c r="D351" s="3" t="s">
        <v>82</v>
      </c>
      <c r="E351" s="3" t="s">
        <v>448</v>
      </c>
      <c r="F351" s="3" t="s">
        <v>745</v>
      </c>
      <c r="G351" s="4">
        <v>45996</v>
      </c>
      <c r="H351" s="5">
        <f t="shared" si="7"/>
        <v>49</v>
      </c>
      <c r="I351" s="5">
        <f t="shared" si="8"/>
        <v>12</v>
      </c>
      <c r="J351" s="6">
        <f t="shared" si="9"/>
        <v>0.98842592592592593</v>
      </c>
      <c r="K351" s="5" t="str">
        <f t="shared" si="6"/>
        <v>(DS-IBBLR-Jigani)</v>
      </c>
      <c r="L351" s="5" t="e">
        <f t="array" aca="1" ref="L351" ca="1">_xludf.XLOOKUP(E351,'[1]Migrated Societies Data'!C:C,'[1]Migrated Societies Data'!B:B)</f>
        <v>#NAME?</v>
      </c>
      <c r="M351" s="5" t="e">
        <f t="array" aca="1" ref="M351" ca="1">_xludf.XLOOKUP(E351,'[1]Migrated Societies Data'!C:C,'[1]Migrated Societies Data'!E:E)</f>
        <v>#NAME?</v>
      </c>
      <c r="N351" s="5" t="str">
        <f t="shared" si="10"/>
        <v>Yes</v>
      </c>
      <c r="O351" s="7">
        <f t="shared" si="11"/>
        <v>9.2592592592593004E-3</v>
      </c>
    </row>
    <row r="352" spans="1:15" x14ac:dyDescent="0.25">
      <c r="A352" s="3" t="s">
        <v>331</v>
      </c>
      <c r="B352" s="3" t="s">
        <v>746</v>
      </c>
      <c r="C352" s="3" t="s">
        <v>16</v>
      </c>
      <c r="D352" s="3" t="s">
        <v>82</v>
      </c>
      <c r="E352" s="3" t="s">
        <v>333</v>
      </c>
      <c r="F352" s="3" t="s">
        <v>747</v>
      </c>
      <c r="G352" s="4">
        <v>45996</v>
      </c>
      <c r="H352" s="5">
        <f t="shared" si="7"/>
        <v>49</v>
      </c>
      <c r="I352" s="5">
        <f t="shared" si="8"/>
        <v>12</v>
      </c>
      <c r="J352" s="6">
        <f t="shared" si="9"/>
        <v>0.98258101851851853</v>
      </c>
      <c r="K352" s="5" t="str">
        <f t="shared" si="6"/>
        <v>(DS-IBBLR-Attibele)</v>
      </c>
      <c r="L352" s="5" t="e">
        <f t="array" aca="1" ref="L352" ca="1">_xludf.XLOOKUP(E352,'[1]Migrated Societies Data'!C:C,'[1]Migrated Societies Data'!B:B)</f>
        <v>#NAME?</v>
      </c>
      <c r="M352" s="5" t="e">
        <f t="array" aca="1" ref="M352" ca="1">_xludf.XLOOKUP(E352,'[1]Migrated Societies Data'!C:C,'[1]Migrated Societies Data'!E:E)</f>
        <v>#NAME?</v>
      </c>
      <c r="N352" s="5" t="str">
        <f t="shared" si="10"/>
        <v>Yes</v>
      </c>
      <c r="O352" s="7">
        <f t="shared" si="11"/>
        <v>3.4143518518519045E-3</v>
      </c>
    </row>
    <row r="353" spans="1:15" x14ac:dyDescent="0.25">
      <c r="A353" s="3" t="s">
        <v>85</v>
      </c>
      <c r="B353" s="3" t="s">
        <v>748</v>
      </c>
      <c r="C353" s="3" t="s">
        <v>16</v>
      </c>
      <c r="D353" s="3" t="s">
        <v>82</v>
      </c>
      <c r="E353" s="3" t="s">
        <v>87</v>
      </c>
      <c r="F353" s="3" t="s">
        <v>749</v>
      </c>
      <c r="G353" s="4">
        <v>45996</v>
      </c>
      <c r="H353" s="5">
        <f t="shared" si="7"/>
        <v>49</v>
      </c>
      <c r="I353" s="5">
        <f t="shared" si="8"/>
        <v>12</v>
      </c>
      <c r="J353" s="6">
        <f t="shared" si="9"/>
        <v>9.780092592592592E-3</v>
      </c>
      <c r="K353" s="5" t="str">
        <f t="shared" si="6"/>
        <v>(DS-IBBLR-Budhigere )</v>
      </c>
      <c r="L353" s="5" t="e">
        <f t="array" aca="1" ref="L353" ca="1">_xludf.XLOOKUP(E353,'[1]Migrated Societies Data'!C:C,'[1]Migrated Societies Data'!B:B)</f>
        <v>#NAME?</v>
      </c>
      <c r="M353" s="5" t="e">
        <f t="array" aca="1" ref="M353" ca="1">_xludf.XLOOKUP(E353,'[1]Migrated Societies Data'!C:C,'[1]Migrated Societies Data'!E:E)</f>
        <v>#NAME?</v>
      </c>
      <c r="N353" s="5" t="str">
        <f t="shared" si="10"/>
        <v>Yes</v>
      </c>
      <c r="O353" s="7">
        <f t="shared" si="11"/>
        <v>3.0613425925925926E-2</v>
      </c>
    </row>
    <row r="354" spans="1:15" x14ac:dyDescent="0.25">
      <c r="A354" s="3" t="s">
        <v>80</v>
      </c>
      <c r="B354" s="3" t="s">
        <v>750</v>
      </c>
      <c r="C354" s="3" t="s">
        <v>16</v>
      </c>
      <c r="D354" s="3" t="s">
        <v>82</v>
      </c>
      <c r="E354" s="3" t="s">
        <v>83</v>
      </c>
      <c r="F354" s="3" t="s">
        <v>751</v>
      </c>
      <c r="G354" s="4">
        <v>45996</v>
      </c>
      <c r="H354" s="5">
        <f t="shared" si="7"/>
        <v>49</v>
      </c>
      <c r="I354" s="5">
        <f t="shared" si="8"/>
        <v>12</v>
      </c>
      <c r="J354" s="6">
        <f t="shared" si="9"/>
        <v>8.0092592592592594E-3</v>
      </c>
      <c r="K354" s="5" t="str">
        <f t="shared" si="6"/>
        <v>(DS-IBBLR-Nagondanahalli )</v>
      </c>
      <c r="L354" s="5" t="e">
        <f t="array" aca="1" ref="L354" ca="1">_xludf.XLOOKUP(E354,'[1]Migrated Societies Data'!C:C,'[1]Migrated Societies Data'!B:B)</f>
        <v>#NAME?</v>
      </c>
      <c r="M354" s="5" t="e">
        <f t="array" aca="1" ref="M354" ca="1">_xludf.XLOOKUP(E354,'[1]Migrated Societies Data'!C:C,'[1]Migrated Societies Data'!E:E)</f>
        <v>#NAME?</v>
      </c>
      <c r="N354" s="5" t="str">
        <f t="shared" si="10"/>
        <v>Yes</v>
      </c>
      <c r="O354" s="7">
        <f t="shared" si="11"/>
        <v>2.8842592592592593E-2</v>
      </c>
    </row>
    <row r="355" spans="1:15" x14ac:dyDescent="0.25">
      <c r="A355" s="3" t="s">
        <v>460</v>
      </c>
      <c r="B355" s="3" t="s">
        <v>752</v>
      </c>
      <c r="C355" s="3" t="s">
        <v>16</v>
      </c>
      <c r="D355" s="3" t="s">
        <v>82</v>
      </c>
      <c r="E355" s="3" t="s">
        <v>462</v>
      </c>
      <c r="F355" s="3" t="s">
        <v>753</v>
      </c>
      <c r="G355" s="4">
        <v>45996</v>
      </c>
      <c r="H355" s="5">
        <f t="shared" si="7"/>
        <v>49</v>
      </c>
      <c r="I355" s="5">
        <f t="shared" si="8"/>
        <v>12</v>
      </c>
      <c r="J355" s="6">
        <f t="shared" si="9"/>
        <v>1.2638888888888889E-2</v>
      </c>
      <c r="K355" s="5" t="str">
        <f t="shared" si="6"/>
        <v>(DS-IBBLR-HAL )</v>
      </c>
      <c r="L355" s="5" t="e">
        <f t="array" aca="1" ref="L355" ca="1">_xludf.XLOOKUP(E355,'[1]Migrated Societies Data'!C:C,'[1]Migrated Societies Data'!B:B)</f>
        <v>#NAME?</v>
      </c>
      <c r="M355" s="5" t="e">
        <f t="array" aca="1" ref="M355" ca="1">_xludf.XLOOKUP(E355,'[1]Migrated Societies Data'!C:C,'[1]Migrated Societies Data'!E:E)</f>
        <v>#NAME?</v>
      </c>
      <c r="N355" s="5" t="str">
        <f t="shared" si="10"/>
        <v>Yes</v>
      </c>
      <c r="O355" s="7">
        <f t="shared" si="11"/>
        <v>3.3472222222222223E-2</v>
      </c>
    </row>
    <row r="356" spans="1:15" x14ac:dyDescent="0.25">
      <c r="A356" s="3" t="s">
        <v>464</v>
      </c>
      <c r="B356" s="3" t="s">
        <v>754</v>
      </c>
      <c r="C356" s="3" t="s">
        <v>16</v>
      </c>
      <c r="D356" s="3" t="s">
        <v>82</v>
      </c>
      <c r="E356" s="3" t="s">
        <v>466</v>
      </c>
      <c r="F356" s="3" t="s">
        <v>755</v>
      </c>
      <c r="G356" s="4">
        <v>45996</v>
      </c>
      <c r="H356" s="5">
        <f t="shared" si="7"/>
        <v>49</v>
      </c>
      <c r="I356" s="5">
        <f t="shared" si="8"/>
        <v>12</v>
      </c>
      <c r="J356" s="6">
        <f t="shared" si="9"/>
        <v>9.8379629629629633E-3</v>
      </c>
      <c r="K356" s="5" t="str">
        <f t="shared" si="6"/>
        <v>(DS-IBBLR-Kallahalli )</v>
      </c>
      <c r="L356" s="5" t="e">
        <f t="array" aca="1" ref="L356" ca="1">_xludf.XLOOKUP(E356,'[1]Migrated Societies Data'!C:C,'[1]Migrated Societies Data'!B:B)</f>
        <v>#NAME?</v>
      </c>
      <c r="M356" s="5" t="e">
        <f t="array" aca="1" ref="M356" ca="1">_xludf.XLOOKUP(E356,'[1]Migrated Societies Data'!C:C,'[1]Migrated Societies Data'!E:E)</f>
        <v>#NAME?</v>
      </c>
      <c r="N356" s="5" t="str">
        <f t="shared" si="10"/>
        <v>Yes</v>
      </c>
      <c r="O356" s="7">
        <f t="shared" si="11"/>
        <v>3.0671296296296294E-2</v>
      </c>
    </row>
    <row r="357" spans="1:15" x14ac:dyDescent="0.25">
      <c r="A357" s="3" t="s">
        <v>468</v>
      </c>
      <c r="B357" s="3" t="s">
        <v>756</v>
      </c>
      <c r="C357" s="3" t="s">
        <v>16</v>
      </c>
      <c r="D357" s="3" t="s">
        <v>17</v>
      </c>
      <c r="E357" s="3" t="s">
        <v>470</v>
      </c>
      <c r="F357" s="3" t="s">
        <v>757</v>
      </c>
      <c r="G357" s="4">
        <v>45996</v>
      </c>
      <c r="H357" s="5">
        <f t="shared" si="7"/>
        <v>49</v>
      </c>
      <c r="I357" s="5">
        <f t="shared" si="8"/>
        <v>12</v>
      </c>
      <c r="J357" s="6">
        <f t="shared" si="9"/>
        <v>4.0543981481481479E-2</v>
      </c>
      <c r="K357" s="5" t="str">
        <f t="shared" si="6"/>
        <v>(DS-BNBLR-HRBR)</v>
      </c>
      <c r="L357" s="5" t="e">
        <f t="array" aca="1" ref="L357" ca="1">_xludf.XLOOKUP(E357,'[1]Migrated Societies Data'!C:C,'[1]Migrated Societies Data'!B:B)</f>
        <v>#NAME?</v>
      </c>
      <c r="M357" s="5" t="e">
        <f t="array" aca="1" ref="M357" ca="1">_xludf.XLOOKUP(E357,'[1]Migrated Societies Data'!C:C,'[1]Migrated Societies Data'!E:E)</f>
        <v>#NAME?</v>
      </c>
      <c r="N357" s="5" t="str">
        <f t="shared" si="10"/>
        <v>Yes</v>
      </c>
      <c r="O357" s="7">
        <f t="shared" si="11"/>
        <v>6.1377314814814815E-2</v>
      </c>
    </row>
    <row r="358" spans="1:15" x14ac:dyDescent="0.25">
      <c r="A358" s="3" t="s">
        <v>490</v>
      </c>
      <c r="B358" s="3" t="s">
        <v>758</v>
      </c>
      <c r="C358" s="3" t="s">
        <v>16</v>
      </c>
      <c r="D358" s="3" t="s">
        <v>17</v>
      </c>
      <c r="E358" s="3" t="s">
        <v>492</v>
      </c>
      <c r="F358" s="3" t="s">
        <v>759</v>
      </c>
      <c r="G358" s="4">
        <v>45996</v>
      </c>
      <c r="H358" s="5">
        <f t="shared" si="7"/>
        <v>49</v>
      </c>
      <c r="I358" s="5">
        <f t="shared" si="8"/>
        <v>12</v>
      </c>
      <c r="J358" s="6">
        <f t="shared" si="9"/>
        <v>9.870370370370371E-2</v>
      </c>
      <c r="K358" s="5" t="str">
        <f t="shared" si="6"/>
        <v>(DS-IBBLR-Devanahalli)</v>
      </c>
      <c r="L358" s="5" t="e">
        <f t="array" aca="1" ref="L358" ca="1">_xludf.XLOOKUP(E358,'[1]Migrated Societies Data'!C:C,'[1]Migrated Societies Data'!B:B)</f>
        <v>#NAME?</v>
      </c>
      <c r="M358" s="5" t="e">
        <f t="array" aca="1" ref="M358" ca="1">_xludf.XLOOKUP(E358,'[1]Migrated Societies Data'!C:C,'[1]Migrated Societies Data'!E:E)</f>
        <v>#NAME?</v>
      </c>
      <c r="N358" s="5" t="str">
        <f t="shared" si="10"/>
        <v>Yes</v>
      </c>
      <c r="O358" s="7">
        <f t="shared" si="11"/>
        <v>0.11953703703703704</v>
      </c>
    </row>
    <row r="359" spans="1:15" x14ac:dyDescent="0.25">
      <c r="A359" s="3" t="s">
        <v>482</v>
      </c>
      <c r="B359" s="3" t="s">
        <v>760</v>
      </c>
      <c r="C359" s="3" t="s">
        <v>16</v>
      </c>
      <c r="D359" s="3" t="s">
        <v>17</v>
      </c>
      <c r="E359" s="3" t="s">
        <v>484</v>
      </c>
      <c r="F359" s="3" t="s">
        <v>761</v>
      </c>
      <c r="G359" s="4">
        <v>45996</v>
      </c>
      <c r="H359" s="5">
        <f t="shared" si="7"/>
        <v>49</v>
      </c>
      <c r="I359" s="5">
        <f t="shared" si="8"/>
        <v>12</v>
      </c>
      <c r="J359" s="6">
        <f t="shared" si="9"/>
        <v>0.10858796296296297</v>
      </c>
      <c r="K359" s="5" t="str">
        <f t="shared" si="6"/>
        <v>(DS-IBBLR-Benson Town)</v>
      </c>
      <c r="L359" s="5" t="e">
        <f t="array" aca="1" ref="L359" ca="1">_xludf.XLOOKUP(E359,'[1]Migrated Societies Data'!C:C,'[1]Migrated Societies Data'!B:B)</f>
        <v>#NAME?</v>
      </c>
      <c r="M359" s="5" t="e">
        <f t="array" aca="1" ref="M359" ca="1">_xludf.XLOOKUP(E359,'[1]Migrated Societies Data'!C:C,'[1]Migrated Societies Data'!E:E)</f>
        <v>#NAME?</v>
      </c>
      <c r="N359" s="5" t="str">
        <f t="shared" si="10"/>
        <v>Yes</v>
      </c>
      <c r="O359" s="7">
        <f t="shared" si="11"/>
        <v>0.12942129629629631</v>
      </c>
    </row>
    <row r="360" spans="1:15" x14ac:dyDescent="0.25">
      <c r="A360" s="3" t="s">
        <v>14</v>
      </c>
      <c r="B360" s="3" t="s">
        <v>762</v>
      </c>
      <c r="C360" s="3" t="s">
        <v>16</v>
      </c>
      <c r="D360" s="3" t="s">
        <v>17</v>
      </c>
      <c r="E360" s="3" t="s">
        <v>18</v>
      </c>
      <c r="F360" s="3" t="s">
        <v>763</v>
      </c>
      <c r="G360" s="4">
        <v>45996</v>
      </c>
      <c r="H360" s="5">
        <f t="shared" si="7"/>
        <v>49</v>
      </c>
      <c r="I360" s="5">
        <f t="shared" si="8"/>
        <v>12</v>
      </c>
      <c r="J360" s="6">
        <f t="shared" si="9"/>
        <v>3.4699074074074077E-2</v>
      </c>
      <c r="K360" s="5" t="str">
        <f t="shared" si="6"/>
        <v>(DS-IBBLR-Peenya PH-3)</v>
      </c>
      <c r="L360" s="5" t="e">
        <f t="array" aca="1" ref="L360" ca="1">_xludf.XLOOKUP(E360,'[1]Migrated Societies Data'!C:C,'[1]Migrated Societies Data'!B:B)</f>
        <v>#NAME?</v>
      </c>
      <c r="M360" s="5" t="e">
        <f t="array" aca="1" ref="M360" ca="1">_xludf.XLOOKUP(E360,'[1]Migrated Societies Data'!C:C,'[1]Migrated Societies Data'!E:E)</f>
        <v>#NAME?</v>
      </c>
      <c r="N360" s="5" t="str">
        <f t="shared" si="10"/>
        <v>Yes</v>
      </c>
      <c r="O360" s="7">
        <f t="shared" si="11"/>
        <v>5.5532407407407405E-2</v>
      </c>
    </row>
    <row r="361" spans="1:15" x14ac:dyDescent="0.25">
      <c r="A361" s="3" t="s">
        <v>342</v>
      </c>
      <c r="B361" s="3" t="s">
        <v>764</v>
      </c>
      <c r="C361" s="3" t="s">
        <v>16</v>
      </c>
      <c r="D361" s="3" t="s">
        <v>17</v>
      </c>
      <c r="E361" s="3" t="s">
        <v>344</v>
      </c>
      <c r="F361" s="3" t="s">
        <v>765</v>
      </c>
      <c r="G361" s="4">
        <v>45996</v>
      </c>
      <c r="H361" s="5">
        <f t="shared" si="7"/>
        <v>49</v>
      </c>
      <c r="I361" s="5">
        <f t="shared" si="8"/>
        <v>12</v>
      </c>
      <c r="J361" s="6">
        <f t="shared" si="9"/>
        <v>6.4722222222222223E-2</v>
      </c>
      <c r="K361" s="5" t="str">
        <f t="shared" si="6"/>
        <v>(DS-IBBLR-Chikkasandr)</v>
      </c>
      <c r="L361" s="5" t="e">
        <f t="array" aca="1" ref="L361" ca="1">_xludf.XLOOKUP(E361,'[1]Migrated Societies Data'!C:C,'[1]Migrated Societies Data'!B:B)</f>
        <v>#NAME?</v>
      </c>
      <c r="M361" s="5" t="e">
        <f t="array" aca="1" ref="M361" ca="1">_xludf.XLOOKUP(E361,'[1]Migrated Societies Data'!C:C,'[1]Migrated Societies Data'!E:E)</f>
        <v>#NAME?</v>
      </c>
      <c r="N361" s="5" t="str">
        <f t="shared" si="10"/>
        <v>Yes</v>
      </c>
      <c r="O361" s="7">
        <f t="shared" si="11"/>
        <v>8.5555555555555551E-2</v>
      </c>
    </row>
    <row r="362" spans="1:15" x14ac:dyDescent="0.25">
      <c r="A362" s="3" t="s">
        <v>478</v>
      </c>
      <c r="B362" s="3" t="s">
        <v>766</v>
      </c>
      <c r="C362" s="3" t="s">
        <v>16</v>
      </c>
      <c r="D362" s="3" t="s">
        <v>17</v>
      </c>
      <c r="E362" s="3" t="s">
        <v>480</v>
      </c>
      <c r="F362" s="3" t="s">
        <v>767</v>
      </c>
      <c r="G362" s="4">
        <v>45996</v>
      </c>
      <c r="H362" s="5">
        <f t="shared" si="7"/>
        <v>49</v>
      </c>
      <c r="I362" s="5">
        <f t="shared" si="8"/>
        <v>12</v>
      </c>
      <c r="J362" s="6">
        <f t="shared" si="9"/>
        <v>6.9201388888888896E-2</v>
      </c>
      <c r="K362" s="5" t="str">
        <f t="shared" si="6"/>
        <v>(DS-IBBLR-Bellahalli)</v>
      </c>
      <c r="L362" s="5" t="e">
        <f t="array" aca="1" ref="L362" ca="1">_xludf.XLOOKUP(E362,'[1]Migrated Societies Data'!C:C,'[1]Migrated Societies Data'!B:B)</f>
        <v>#NAME?</v>
      </c>
      <c r="M362" s="5" t="e">
        <f t="array" aca="1" ref="M362" ca="1">_xludf.XLOOKUP(E362,'[1]Migrated Societies Data'!C:C,'[1]Migrated Societies Data'!E:E)</f>
        <v>#NAME?</v>
      </c>
      <c r="N362" s="5" t="str">
        <f t="shared" si="10"/>
        <v>Yes</v>
      </c>
      <c r="O362" s="7">
        <f t="shared" si="11"/>
        <v>9.0034722222222224E-2</v>
      </c>
    </row>
    <row r="363" spans="1:15" x14ac:dyDescent="0.25">
      <c r="A363" s="3" t="s">
        <v>490</v>
      </c>
      <c r="B363" s="3" t="s">
        <v>768</v>
      </c>
      <c r="C363" s="3" t="s">
        <v>16</v>
      </c>
      <c r="D363" s="3" t="s">
        <v>17</v>
      </c>
      <c r="E363" s="3" t="s">
        <v>492</v>
      </c>
      <c r="F363" s="3" t="s">
        <v>769</v>
      </c>
      <c r="G363" s="4">
        <v>45997</v>
      </c>
      <c r="H363" s="5">
        <f t="shared" si="7"/>
        <v>49</v>
      </c>
      <c r="I363" s="5">
        <f t="shared" si="8"/>
        <v>12</v>
      </c>
      <c r="J363" s="6">
        <f t="shared" si="9"/>
        <v>8.6400462962962957E-2</v>
      </c>
      <c r="K363" s="5" t="str">
        <f t="shared" si="6"/>
        <v>(DS-IBBLR-Devanahalli)</v>
      </c>
      <c r="L363" s="5" t="e">
        <f t="array" aca="1" ref="L363" ca="1">_xludf.XLOOKUP(E363,'[1]Migrated Societies Data'!C:C,'[1]Migrated Societies Data'!B:B)</f>
        <v>#NAME?</v>
      </c>
      <c r="M363" s="5" t="e">
        <f t="array" aca="1" ref="M363" ca="1">_xludf.XLOOKUP(E363,'[1]Migrated Societies Data'!C:C,'[1]Migrated Societies Data'!E:E)</f>
        <v>#NAME?</v>
      </c>
      <c r="N363" s="5" t="str">
        <f t="shared" si="10"/>
        <v>Yes</v>
      </c>
      <c r="O363" s="7">
        <f t="shared" si="11"/>
        <v>0.10723379629629629</v>
      </c>
    </row>
    <row r="364" spans="1:15" x14ac:dyDescent="0.25">
      <c r="A364" s="3" t="s">
        <v>464</v>
      </c>
      <c r="B364" s="3" t="s">
        <v>770</v>
      </c>
      <c r="C364" s="3" t="s">
        <v>16</v>
      </c>
      <c r="D364" s="3" t="s">
        <v>82</v>
      </c>
      <c r="E364" s="3" t="s">
        <v>466</v>
      </c>
      <c r="F364" s="3" t="s">
        <v>771</v>
      </c>
      <c r="G364" s="4">
        <v>45997</v>
      </c>
      <c r="H364" s="5">
        <f t="shared" si="7"/>
        <v>49</v>
      </c>
      <c r="I364" s="5">
        <f t="shared" si="8"/>
        <v>12</v>
      </c>
      <c r="J364" s="6">
        <f t="shared" si="9"/>
        <v>7.5115740740740747E-2</v>
      </c>
      <c r="K364" s="5" t="str">
        <f t="shared" si="6"/>
        <v>(DS-IBBLR-Kallahalli )</v>
      </c>
      <c r="L364" s="5" t="e">
        <f t="array" aca="1" ref="L364" ca="1">_xludf.XLOOKUP(E364,'[1]Migrated Societies Data'!C:C,'[1]Migrated Societies Data'!B:B)</f>
        <v>#NAME?</v>
      </c>
      <c r="M364" s="5" t="e">
        <f t="array" aca="1" ref="M364" ca="1">_xludf.XLOOKUP(E364,'[1]Migrated Societies Data'!C:C,'[1]Migrated Societies Data'!E:E)</f>
        <v>#NAME?</v>
      </c>
      <c r="N364" s="5" t="str">
        <f t="shared" si="10"/>
        <v>Yes</v>
      </c>
      <c r="O364" s="7">
        <f t="shared" si="11"/>
        <v>9.5949074074074076E-2</v>
      </c>
    </row>
    <row r="365" spans="1:15" x14ac:dyDescent="0.25">
      <c r="A365" s="3" t="s">
        <v>486</v>
      </c>
      <c r="B365" s="3" t="s">
        <v>772</v>
      </c>
      <c r="C365" s="3" t="s">
        <v>16</v>
      </c>
      <c r="D365" s="3" t="s">
        <v>17</v>
      </c>
      <c r="E365" s="3" t="s">
        <v>488</v>
      </c>
      <c r="F365" s="3" t="s">
        <v>773</v>
      </c>
      <c r="G365" s="4">
        <v>45997</v>
      </c>
      <c r="H365" s="5">
        <f t="shared" si="7"/>
        <v>49</v>
      </c>
      <c r="I365" s="5">
        <f t="shared" si="8"/>
        <v>12</v>
      </c>
      <c r="J365" s="6">
        <f t="shared" si="9"/>
        <v>0.10519675925925925</v>
      </c>
      <c r="K365" s="5" t="str">
        <f t="shared" si="6"/>
        <v>(DS-IBBLR-Jala halli)</v>
      </c>
      <c r="L365" s="5" t="e">
        <f t="array" aca="1" ref="L365" ca="1">_xludf.XLOOKUP(E365,'[1]Migrated Societies Data'!C:C,'[1]Migrated Societies Data'!B:B)</f>
        <v>#NAME?</v>
      </c>
      <c r="M365" s="5" t="e">
        <f t="array" aca="1" ref="M365" ca="1">_xludf.XLOOKUP(E365,'[1]Migrated Societies Data'!C:C,'[1]Migrated Societies Data'!E:E)</f>
        <v>#NAME?</v>
      </c>
      <c r="N365" s="5" t="str">
        <f t="shared" si="10"/>
        <v>Yes</v>
      </c>
      <c r="O365" s="7">
        <f t="shared" si="11"/>
        <v>0.1260300925925926</v>
      </c>
    </row>
    <row r="366" spans="1:15" x14ac:dyDescent="0.25">
      <c r="A366" s="3" t="s">
        <v>80</v>
      </c>
      <c r="B366" s="3" t="s">
        <v>774</v>
      </c>
      <c r="C366" s="3" t="s">
        <v>16</v>
      </c>
      <c r="D366" s="3" t="s">
        <v>82</v>
      </c>
      <c r="E366" s="3" t="s">
        <v>83</v>
      </c>
      <c r="F366" s="3" t="s">
        <v>775</v>
      </c>
      <c r="G366" s="4">
        <v>45997</v>
      </c>
      <c r="H366" s="5">
        <f t="shared" si="7"/>
        <v>49</v>
      </c>
      <c r="I366" s="5">
        <f t="shared" si="8"/>
        <v>12</v>
      </c>
      <c r="J366" s="6">
        <f t="shared" si="9"/>
        <v>6.7013888888888887E-3</v>
      </c>
      <c r="K366" s="5" t="str">
        <f t="shared" si="6"/>
        <v>(DS-IBBLR-Nagondanahalli )</v>
      </c>
      <c r="L366" s="5" t="e">
        <f t="array" aca="1" ref="L366" ca="1">_xludf.XLOOKUP(E366,'[1]Migrated Societies Data'!C:C,'[1]Migrated Societies Data'!B:B)</f>
        <v>#NAME?</v>
      </c>
      <c r="M366" s="5" t="e">
        <f t="array" aca="1" ref="M366" ca="1">_xludf.XLOOKUP(E366,'[1]Migrated Societies Data'!C:C,'[1]Migrated Societies Data'!E:E)</f>
        <v>#NAME?</v>
      </c>
      <c r="N366" s="5" t="str">
        <f t="shared" si="10"/>
        <v>Yes</v>
      </c>
      <c r="O366" s="7">
        <f t="shared" si="11"/>
        <v>2.7534722222222221E-2</v>
      </c>
    </row>
    <row r="367" spans="1:15" x14ac:dyDescent="0.25">
      <c r="A367" s="3" t="s">
        <v>456</v>
      </c>
      <c r="B367" s="3" t="s">
        <v>776</v>
      </c>
      <c r="C367" s="3" t="s">
        <v>16</v>
      </c>
      <c r="D367" s="3" t="s">
        <v>82</v>
      </c>
      <c r="E367" s="3" t="s">
        <v>458</v>
      </c>
      <c r="F367" s="3" t="s">
        <v>777</v>
      </c>
      <c r="G367" s="4">
        <v>45997</v>
      </c>
      <c r="H367" s="5">
        <f t="shared" si="7"/>
        <v>49</v>
      </c>
      <c r="I367" s="5">
        <f t="shared" si="8"/>
        <v>12</v>
      </c>
      <c r="J367" s="6">
        <f t="shared" si="9"/>
        <v>7.7187500000000006E-2</v>
      </c>
      <c r="K367" s="5" t="str">
        <f t="shared" si="6"/>
        <v>(DS-IBBLR-Jakkasandra)</v>
      </c>
      <c r="L367" s="5" t="e">
        <f t="array" aca="1" ref="L367" ca="1">_xludf.XLOOKUP(E367,'[1]Migrated Societies Data'!C:C,'[1]Migrated Societies Data'!B:B)</f>
        <v>#NAME?</v>
      </c>
      <c r="M367" s="5" t="e">
        <f t="array" aca="1" ref="M367" ca="1">_xludf.XLOOKUP(E367,'[1]Migrated Societies Data'!C:C,'[1]Migrated Societies Data'!E:E)</f>
        <v>#NAME?</v>
      </c>
      <c r="N367" s="5" t="str">
        <f t="shared" si="10"/>
        <v>Yes</v>
      </c>
      <c r="O367" s="7">
        <f t="shared" si="11"/>
        <v>9.8020833333333335E-2</v>
      </c>
    </row>
    <row r="368" spans="1:15" x14ac:dyDescent="0.25">
      <c r="A368" s="3" t="s">
        <v>446</v>
      </c>
      <c r="B368" s="3" t="s">
        <v>778</v>
      </c>
      <c r="C368" s="3" t="s">
        <v>16</v>
      </c>
      <c r="D368" s="3" t="s">
        <v>82</v>
      </c>
      <c r="E368" s="3" t="s">
        <v>448</v>
      </c>
      <c r="F368" s="3" t="s">
        <v>779</v>
      </c>
      <c r="G368" s="4">
        <v>45997</v>
      </c>
      <c r="H368" s="5">
        <f t="shared" si="7"/>
        <v>49</v>
      </c>
      <c r="I368" s="5">
        <f t="shared" si="8"/>
        <v>12</v>
      </c>
      <c r="J368" s="6">
        <f t="shared" si="9"/>
        <v>4.6365740740740742E-2</v>
      </c>
      <c r="K368" s="5" t="str">
        <f t="shared" si="6"/>
        <v>(DS-IBBLR-Jigani)</v>
      </c>
      <c r="L368" s="5" t="e">
        <f t="array" aca="1" ref="L368" ca="1">_xludf.XLOOKUP(E368,'[1]Migrated Societies Data'!C:C,'[1]Migrated Societies Data'!B:B)</f>
        <v>#NAME?</v>
      </c>
      <c r="M368" s="5" t="e">
        <f t="array" aca="1" ref="M368" ca="1">_xludf.XLOOKUP(E368,'[1]Migrated Societies Data'!C:C,'[1]Migrated Societies Data'!E:E)</f>
        <v>#NAME?</v>
      </c>
      <c r="N368" s="5" t="str">
        <f t="shared" si="10"/>
        <v>Yes</v>
      </c>
      <c r="O368" s="7">
        <f t="shared" si="11"/>
        <v>6.7199074074074078E-2</v>
      </c>
    </row>
    <row r="369" spans="1:15" x14ac:dyDescent="0.25">
      <c r="A369" s="3" t="s">
        <v>331</v>
      </c>
      <c r="B369" s="3" t="s">
        <v>780</v>
      </c>
      <c r="C369" s="3" t="s">
        <v>16</v>
      </c>
      <c r="D369" s="3" t="s">
        <v>82</v>
      </c>
      <c r="E369" s="3" t="s">
        <v>333</v>
      </c>
      <c r="F369" s="3" t="s">
        <v>781</v>
      </c>
      <c r="G369" s="4">
        <v>45997</v>
      </c>
      <c r="H369" s="5">
        <f t="shared" si="7"/>
        <v>49</v>
      </c>
      <c r="I369" s="5">
        <f t="shared" si="8"/>
        <v>12</v>
      </c>
      <c r="J369" s="6">
        <f t="shared" si="9"/>
        <v>1.3425925925925926E-2</v>
      </c>
      <c r="K369" s="5" t="str">
        <f t="shared" si="6"/>
        <v>(DS-IBBLR-Attibele)</v>
      </c>
      <c r="L369" s="5" t="e">
        <f t="array" aca="1" ref="L369" ca="1">_xludf.XLOOKUP(E369,'[1]Migrated Societies Data'!C:C,'[1]Migrated Societies Data'!B:B)</f>
        <v>#NAME?</v>
      </c>
      <c r="M369" s="5" t="e">
        <f t="array" aca="1" ref="M369" ca="1">_xludf.XLOOKUP(E369,'[1]Migrated Societies Data'!C:C,'[1]Migrated Societies Data'!E:E)</f>
        <v>#NAME?</v>
      </c>
      <c r="N369" s="5" t="str">
        <f t="shared" si="10"/>
        <v>Yes</v>
      </c>
      <c r="O369" s="7">
        <f t="shared" si="11"/>
        <v>3.425925925925926E-2</v>
      </c>
    </row>
    <row r="370" spans="1:15" x14ac:dyDescent="0.25">
      <c r="A370" s="3" t="s">
        <v>442</v>
      </c>
      <c r="B370" s="3" t="s">
        <v>782</v>
      </c>
      <c r="C370" s="3" t="s">
        <v>16</v>
      </c>
      <c r="D370" s="3" t="s">
        <v>82</v>
      </c>
      <c r="E370" s="3" t="s">
        <v>444</v>
      </c>
      <c r="F370" s="3" t="s">
        <v>783</v>
      </c>
      <c r="G370" s="4">
        <v>45997</v>
      </c>
      <c r="H370" s="5">
        <f t="shared" si="7"/>
        <v>49</v>
      </c>
      <c r="I370" s="5">
        <f t="shared" si="8"/>
        <v>12</v>
      </c>
      <c r="J370" s="6">
        <f t="shared" si="9"/>
        <v>1.6666666666666668E-3</v>
      </c>
      <c r="K370" s="5" t="str">
        <f t="shared" si="6"/>
        <v>(DS-IBBLR-Chinappalay)</v>
      </c>
      <c r="L370" s="5" t="e">
        <f t="array" aca="1" ref="L370" ca="1">_xludf.XLOOKUP(E370,'[1]Migrated Societies Data'!C:C,'[1]Migrated Societies Data'!B:B)</f>
        <v>#NAME?</v>
      </c>
      <c r="M370" s="5" t="e">
        <f t="array" aca="1" ref="M370" ca="1">_xludf.XLOOKUP(E370,'[1]Migrated Societies Data'!C:C,'[1]Migrated Societies Data'!E:E)</f>
        <v>#NAME?</v>
      </c>
      <c r="N370" s="5" t="str">
        <f t="shared" si="10"/>
        <v>Yes</v>
      </c>
      <c r="O370" s="7">
        <f t="shared" si="11"/>
        <v>2.2499999999999999E-2</v>
      </c>
    </row>
    <row r="371" spans="1:15" x14ac:dyDescent="0.25">
      <c r="A371" s="3" t="s">
        <v>85</v>
      </c>
      <c r="B371" s="3" t="s">
        <v>784</v>
      </c>
      <c r="C371" s="3" t="s">
        <v>16</v>
      </c>
      <c r="D371" s="3" t="s">
        <v>82</v>
      </c>
      <c r="E371" s="3" t="s">
        <v>87</v>
      </c>
      <c r="F371" s="3" t="s">
        <v>785</v>
      </c>
      <c r="G371" s="4">
        <v>45997</v>
      </c>
      <c r="H371" s="5">
        <f t="shared" si="7"/>
        <v>49</v>
      </c>
      <c r="I371" s="5">
        <f t="shared" si="8"/>
        <v>12</v>
      </c>
      <c r="J371" s="6">
        <f t="shared" si="9"/>
        <v>2.9270833333333333E-2</v>
      </c>
      <c r="K371" s="5" t="str">
        <f t="shared" si="6"/>
        <v>(DS-IBBLR-Budhigere )</v>
      </c>
      <c r="L371" s="5" t="e">
        <f t="array" aca="1" ref="L371" ca="1">_xludf.XLOOKUP(E371,'[1]Migrated Societies Data'!C:C,'[1]Migrated Societies Data'!B:B)</f>
        <v>#NAME?</v>
      </c>
      <c r="M371" s="5" t="e">
        <f t="array" aca="1" ref="M371" ca="1">_xludf.XLOOKUP(E371,'[1]Migrated Societies Data'!C:C,'[1]Migrated Societies Data'!E:E)</f>
        <v>#NAME?</v>
      </c>
      <c r="N371" s="5" t="str">
        <f t="shared" si="10"/>
        <v>Yes</v>
      </c>
      <c r="O371" s="7">
        <f t="shared" si="11"/>
        <v>5.0104166666666665E-2</v>
      </c>
    </row>
    <row r="372" spans="1:15" x14ac:dyDescent="0.25">
      <c r="A372" s="3" t="s">
        <v>468</v>
      </c>
      <c r="B372" s="3" t="s">
        <v>786</v>
      </c>
      <c r="C372" s="3" t="s">
        <v>16</v>
      </c>
      <c r="D372" s="3" t="s">
        <v>17</v>
      </c>
      <c r="E372" s="3" t="s">
        <v>470</v>
      </c>
      <c r="F372" s="3" t="s">
        <v>787</v>
      </c>
      <c r="G372" s="4">
        <v>45997</v>
      </c>
      <c r="H372" s="5">
        <f t="shared" si="7"/>
        <v>49</v>
      </c>
      <c r="I372" s="5">
        <f t="shared" si="8"/>
        <v>12</v>
      </c>
      <c r="J372" s="6">
        <f t="shared" si="9"/>
        <v>5.2708333333333336E-2</v>
      </c>
      <c r="K372" s="5" t="str">
        <f t="shared" si="6"/>
        <v>(DS-BNBLR-HRBR)</v>
      </c>
      <c r="L372" s="5" t="e">
        <f t="array" aca="1" ref="L372" ca="1">_xludf.XLOOKUP(E372,'[1]Migrated Societies Data'!C:C,'[1]Migrated Societies Data'!B:B)</f>
        <v>#NAME?</v>
      </c>
      <c r="M372" s="5" t="e">
        <f t="array" aca="1" ref="M372" ca="1">_xludf.XLOOKUP(E372,'[1]Migrated Societies Data'!C:C,'[1]Migrated Societies Data'!E:E)</f>
        <v>#NAME?</v>
      </c>
      <c r="N372" s="5" t="str">
        <f t="shared" si="10"/>
        <v>Yes</v>
      </c>
      <c r="O372" s="7">
        <f t="shared" si="11"/>
        <v>7.3541666666666672E-2</v>
      </c>
    </row>
    <row r="373" spans="1:15" x14ac:dyDescent="0.25">
      <c r="A373" s="3" t="s">
        <v>478</v>
      </c>
      <c r="B373" s="3" t="s">
        <v>788</v>
      </c>
      <c r="C373" s="3" t="s">
        <v>16</v>
      </c>
      <c r="D373" s="3" t="s">
        <v>17</v>
      </c>
      <c r="E373" s="3" t="s">
        <v>480</v>
      </c>
      <c r="F373" s="3" t="s">
        <v>789</v>
      </c>
      <c r="G373" s="4">
        <v>45997</v>
      </c>
      <c r="H373" s="5">
        <f t="shared" si="7"/>
        <v>49</v>
      </c>
      <c r="I373" s="5">
        <f t="shared" si="8"/>
        <v>12</v>
      </c>
      <c r="J373" s="6">
        <f t="shared" si="9"/>
        <v>2.1585648148148149E-2</v>
      </c>
      <c r="K373" s="5" t="str">
        <f t="shared" si="6"/>
        <v>(DS-IBBLR-Bellahalli)</v>
      </c>
      <c r="L373" s="5" t="e">
        <f t="array" aca="1" ref="L373" ca="1">_xludf.XLOOKUP(E373,'[1]Migrated Societies Data'!C:C,'[1]Migrated Societies Data'!B:B)</f>
        <v>#NAME?</v>
      </c>
      <c r="M373" s="5" t="e">
        <f t="array" aca="1" ref="M373" ca="1">_xludf.XLOOKUP(E373,'[1]Migrated Societies Data'!C:C,'[1]Migrated Societies Data'!E:E)</f>
        <v>#NAME?</v>
      </c>
      <c r="N373" s="5" t="str">
        <f t="shared" si="10"/>
        <v>Yes</v>
      </c>
      <c r="O373" s="7">
        <f t="shared" si="11"/>
        <v>4.2418981481481481E-2</v>
      </c>
    </row>
    <row r="374" spans="1:15" x14ac:dyDescent="0.25">
      <c r="A374" s="3" t="s">
        <v>14</v>
      </c>
      <c r="B374" s="3" t="s">
        <v>790</v>
      </c>
      <c r="C374" s="3" t="s">
        <v>16</v>
      </c>
      <c r="D374" s="3" t="s">
        <v>17</v>
      </c>
      <c r="E374" s="3" t="s">
        <v>18</v>
      </c>
      <c r="F374" s="3" t="s">
        <v>791</v>
      </c>
      <c r="G374" s="4">
        <v>45997</v>
      </c>
      <c r="H374" s="5">
        <f t="shared" si="7"/>
        <v>49</v>
      </c>
      <c r="I374" s="5">
        <f t="shared" si="8"/>
        <v>12</v>
      </c>
      <c r="J374" s="6">
        <f t="shared" si="9"/>
        <v>0.99046296296296299</v>
      </c>
      <c r="K374" s="5" t="str">
        <f t="shared" si="6"/>
        <v>(DS-IBBLR-Peenya PH-3)</v>
      </c>
      <c r="L374" s="5" t="e">
        <f t="array" aca="1" ref="L374" ca="1">_xludf.XLOOKUP(E374,'[1]Migrated Societies Data'!C:C,'[1]Migrated Societies Data'!B:B)</f>
        <v>#NAME?</v>
      </c>
      <c r="M374" s="5" t="e">
        <f t="array" aca="1" ref="M374" ca="1">_xludf.XLOOKUP(E374,'[1]Migrated Societies Data'!C:C,'[1]Migrated Societies Data'!E:E)</f>
        <v>#NAME?</v>
      </c>
      <c r="N374" s="5" t="str">
        <f t="shared" si="10"/>
        <v>Yes</v>
      </c>
      <c r="O374" s="7">
        <f t="shared" si="11"/>
        <v>1.129629629629636E-2</v>
      </c>
    </row>
    <row r="375" spans="1:15" x14ac:dyDescent="0.25">
      <c r="A375" s="3" t="s">
        <v>472</v>
      </c>
      <c r="B375" s="3" t="s">
        <v>792</v>
      </c>
      <c r="C375" s="3" t="s">
        <v>16</v>
      </c>
      <c r="D375" s="3" t="s">
        <v>17</v>
      </c>
      <c r="E375" s="3" t="s">
        <v>474</v>
      </c>
      <c r="F375" s="3" t="s">
        <v>793</v>
      </c>
      <c r="G375" s="4">
        <v>45997</v>
      </c>
      <c r="H375" s="5">
        <f t="shared" si="7"/>
        <v>49</v>
      </c>
      <c r="I375" s="5">
        <f t="shared" si="8"/>
        <v>12</v>
      </c>
      <c r="J375" s="6">
        <f t="shared" si="9"/>
        <v>2.1076388888888888E-2</v>
      </c>
      <c r="K375" s="5" t="str">
        <f t="shared" si="6"/>
        <v>(DS-IBBLR-Lingarajapu)</v>
      </c>
      <c r="L375" s="5" t="e">
        <f t="array" aca="1" ref="L375" ca="1">_xludf.XLOOKUP(E375,'[1]Migrated Societies Data'!C:C,'[1]Migrated Societies Data'!B:B)</f>
        <v>#NAME?</v>
      </c>
      <c r="M375" s="5" t="e">
        <f t="array" aca="1" ref="M375" ca="1">_xludf.XLOOKUP(E375,'[1]Migrated Societies Data'!C:C,'[1]Migrated Societies Data'!E:E)</f>
        <v>#NAME?</v>
      </c>
      <c r="N375" s="5" t="str">
        <f t="shared" si="10"/>
        <v>Yes</v>
      </c>
      <c r="O375" s="7">
        <f t="shared" si="11"/>
        <v>4.1909722222222223E-2</v>
      </c>
    </row>
    <row r="376" spans="1:15" x14ac:dyDescent="0.25">
      <c r="A376" s="3" t="s">
        <v>342</v>
      </c>
      <c r="B376" s="3" t="s">
        <v>794</v>
      </c>
      <c r="C376" s="3" t="s">
        <v>16</v>
      </c>
      <c r="D376" s="3" t="s">
        <v>17</v>
      </c>
      <c r="E376" s="3" t="s">
        <v>344</v>
      </c>
      <c r="F376" s="3" t="s">
        <v>795</v>
      </c>
      <c r="G376" s="4">
        <v>45997</v>
      </c>
      <c r="H376" s="5">
        <f t="shared" si="7"/>
        <v>49</v>
      </c>
      <c r="I376" s="5">
        <f t="shared" si="8"/>
        <v>12</v>
      </c>
      <c r="J376" s="6">
        <f t="shared" si="9"/>
        <v>6.5624999999999998E-3</v>
      </c>
      <c r="K376" s="5" t="str">
        <f t="shared" si="6"/>
        <v>(DS-IBBLR-Chikkasandr)</v>
      </c>
      <c r="L376" s="5" t="e">
        <f t="array" aca="1" ref="L376" ca="1">_xludf.XLOOKUP(E376,'[1]Migrated Societies Data'!C:C,'[1]Migrated Societies Data'!B:B)</f>
        <v>#NAME?</v>
      </c>
      <c r="M376" s="5" t="e">
        <f t="array" aca="1" ref="M376" ca="1">_xludf.XLOOKUP(E376,'[1]Migrated Societies Data'!C:C,'[1]Migrated Societies Data'!E:E)</f>
        <v>#NAME?</v>
      </c>
      <c r="N376" s="5" t="str">
        <f t="shared" si="10"/>
        <v>Yes</v>
      </c>
      <c r="O376" s="7">
        <f t="shared" si="11"/>
        <v>2.7395833333333331E-2</v>
      </c>
    </row>
    <row r="377" spans="1:15" x14ac:dyDescent="0.25">
      <c r="A377" s="3" t="s">
        <v>460</v>
      </c>
      <c r="B377" s="3" t="s">
        <v>796</v>
      </c>
      <c r="C377" s="3" t="s">
        <v>16</v>
      </c>
      <c r="D377" s="3" t="s">
        <v>82</v>
      </c>
      <c r="E377" s="3" t="s">
        <v>462</v>
      </c>
      <c r="F377" s="3" t="s">
        <v>797</v>
      </c>
      <c r="G377" s="4">
        <v>45997</v>
      </c>
      <c r="H377" s="5">
        <f t="shared" si="7"/>
        <v>49</v>
      </c>
      <c r="I377" s="5">
        <f t="shared" si="8"/>
        <v>12</v>
      </c>
      <c r="J377" s="6">
        <f t="shared" si="9"/>
        <v>3.6608796296296299E-2</v>
      </c>
      <c r="K377" s="5" t="str">
        <f t="shared" si="6"/>
        <v>(DS-IBBLR-HAL )</v>
      </c>
      <c r="L377" s="5" t="e">
        <f t="array" aca="1" ref="L377" ca="1">_xludf.XLOOKUP(E377,'[1]Migrated Societies Data'!C:C,'[1]Migrated Societies Data'!B:B)</f>
        <v>#NAME?</v>
      </c>
      <c r="M377" s="5" t="e">
        <f t="array" aca="1" ref="M377" ca="1">_xludf.XLOOKUP(E377,'[1]Migrated Societies Data'!C:C,'[1]Migrated Societies Data'!E:E)</f>
        <v>#NAME?</v>
      </c>
      <c r="N377" s="5" t="str">
        <f t="shared" si="10"/>
        <v>Yes</v>
      </c>
      <c r="O377" s="7">
        <f t="shared" si="11"/>
        <v>5.7442129629629635E-2</v>
      </c>
    </row>
    <row r="378" spans="1:15" x14ac:dyDescent="0.25">
      <c r="A378" s="3" t="s">
        <v>490</v>
      </c>
      <c r="B378" s="3" t="s">
        <v>798</v>
      </c>
      <c r="C378" s="3" t="s">
        <v>16</v>
      </c>
      <c r="D378" s="3" t="s">
        <v>17</v>
      </c>
      <c r="E378" s="3" t="s">
        <v>492</v>
      </c>
      <c r="F378" s="3" t="s">
        <v>799</v>
      </c>
      <c r="G378" s="4">
        <v>45998</v>
      </c>
      <c r="H378" s="5">
        <f t="shared" si="7"/>
        <v>49</v>
      </c>
      <c r="I378" s="5">
        <f t="shared" si="8"/>
        <v>12</v>
      </c>
      <c r="J378" s="6">
        <f t="shared" si="9"/>
        <v>8.9097222222222217E-2</v>
      </c>
      <c r="K378" s="5" t="str">
        <f t="shared" si="6"/>
        <v>(DS-IBBLR-Devanahalli)</v>
      </c>
      <c r="L378" s="5" t="e">
        <f t="array" aca="1" ref="L378" ca="1">_xludf.XLOOKUP(E378,'[1]Migrated Societies Data'!C:C,'[1]Migrated Societies Data'!B:B)</f>
        <v>#NAME?</v>
      </c>
      <c r="M378" s="5" t="e">
        <f t="array" aca="1" ref="M378" ca="1">_xludf.XLOOKUP(E378,'[1]Migrated Societies Data'!C:C,'[1]Migrated Societies Data'!E:E)</f>
        <v>#NAME?</v>
      </c>
      <c r="N378" s="5" t="str">
        <f t="shared" si="10"/>
        <v>Yes</v>
      </c>
      <c r="O378" s="7">
        <f t="shared" si="11"/>
        <v>0.10993055555555555</v>
      </c>
    </row>
    <row r="379" spans="1:15" x14ac:dyDescent="0.25">
      <c r="A379" s="3" t="s">
        <v>464</v>
      </c>
      <c r="B379" s="3" t="s">
        <v>800</v>
      </c>
      <c r="C379" s="3" t="s">
        <v>16</v>
      </c>
      <c r="D379" s="3" t="s">
        <v>82</v>
      </c>
      <c r="E379" s="3" t="s">
        <v>466</v>
      </c>
      <c r="F379" s="3" t="s">
        <v>801</v>
      </c>
      <c r="G379" s="4">
        <v>45998</v>
      </c>
      <c r="H379" s="5">
        <f t="shared" si="7"/>
        <v>49</v>
      </c>
      <c r="I379" s="5">
        <f t="shared" si="8"/>
        <v>12</v>
      </c>
      <c r="J379" s="6">
        <f t="shared" si="9"/>
        <v>6.3483796296296302E-2</v>
      </c>
      <c r="K379" s="5" t="str">
        <f t="shared" si="6"/>
        <v>(DS-IBBLR-Kallahalli )</v>
      </c>
      <c r="L379" s="5" t="e">
        <f t="array" aca="1" ref="L379" ca="1">_xludf.XLOOKUP(E379,'[1]Migrated Societies Data'!C:C,'[1]Migrated Societies Data'!B:B)</f>
        <v>#NAME?</v>
      </c>
      <c r="M379" s="5" t="e">
        <f t="array" aca="1" ref="M379" ca="1">_xludf.XLOOKUP(E379,'[1]Migrated Societies Data'!C:C,'[1]Migrated Societies Data'!E:E)</f>
        <v>#NAME?</v>
      </c>
      <c r="N379" s="5" t="str">
        <f t="shared" si="10"/>
        <v>Yes</v>
      </c>
      <c r="O379" s="7">
        <f t="shared" si="11"/>
        <v>8.4317129629629631E-2</v>
      </c>
    </row>
    <row r="380" spans="1:15" x14ac:dyDescent="0.25">
      <c r="A380" s="3" t="s">
        <v>482</v>
      </c>
      <c r="B380" s="3" t="s">
        <v>802</v>
      </c>
      <c r="C380" s="3" t="s">
        <v>16</v>
      </c>
      <c r="D380" s="3" t="s">
        <v>17</v>
      </c>
      <c r="E380" s="3" t="s">
        <v>484</v>
      </c>
      <c r="F380" s="3" t="s">
        <v>803</v>
      </c>
      <c r="G380" s="4">
        <v>45998</v>
      </c>
      <c r="H380" s="5">
        <f t="shared" si="7"/>
        <v>49</v>
      </c>
      <c r="I380" s="5">
        <f t="shared" si="8"/>
        <v>12</v>
      </c>
      <c r="J380" s="6">
        <f t="shared" si="9"/>
        <v>7.7696759259259257E-2</v>
      </c>
      <c r="K380" s="5" t="str">
        <f t="shared" si="6"/>
        <v>(DS-IBBLR-Benson Town)</v>
      </c>
      <c r="L380" s="5" t="e">
        <f t="array" aca="1" ref="L380" ca="1">_xludf.XLOOKUP(E380,'[1]Migrated Societies Data'!C:C,'[1]Migrated Societies Data'!B:B)</f>
        <v>#NAME?</v>
      </c>
      <c r="M380" s="5" t="e">
        <f t="array" aca="1" ref="M380" ca="1">_xludf.XLOOKUP(E380,'[1]Migrated Societies Data'!C:C,'[1]Migrated Societies Data'!E:E)</f>
        <v>#NAME?</v>
      </c>
      <c r="N380" s="5" t="str">
        <f t="shared" si="10"/>
        <v>Yes</v>
      </c>
      <c r="O380" s="7">
        <f t="shared" si="11"/>
        <v>9.8530092592592586E-2</v>
      </c>
    </row>
    <row r="381" spans="1:15" x14ac:dyDescent="0.25">
      <c r="A381" s="3" t="s">
        <v>486</v>
      </c>
      <c r="B381" s="3" t="s">
        <v>804</v>
      </c>
      <c r="C381" s="3" t="s">
        <v>16</v>
      </c>
      <c r="D381" s="3" t="s">
        <v>17</v>
      </c>
      <c r="E381" s="3" t="s">
        <v>488</v>
      </c>
      <c r="F381" s="3" t="s">
        <v>805</v>
      </c>
      <c r="G381" s="4">
        <v>45998</v>
      </c>
      <c r="H381" s="5">
        <f t="shared" si="7"/>
        <v>49</v>
      </c>
      <c r="I381" s="5">
        <f t="shared" si="8"/>
        <v>12</v>
      </c>
      <c r="J381" s="6">
        <f t="shared" si="9"/>
        <v>8.1782407407407401E-2</v>
      </c>
      <c r="K381" s="5" t="str">
        <f t="shared" si="6"/>
        <v>(DS-IBBLR-Jala halli)</v>
      </c>
      <c r="L381" s="5" t="e">
        <f t="array" aca="1" ref="L381" ca="1">_xludf.XLOOKUP(E381,'[1]Migrated Societies Data'!C:C,'[1]Migrated Societies Data'!B:B)</f>
        <v>#NAME?</v>
      </c>
      <c r="M381" s="5" t="e">
        <f t="array" aca="1" ref="M381" ca="1">_xludf.XLOOKUP(E381,'[1]Migrated Societies Data'!C:C,'[1]Migrated Societies Data'!E:E)</f>
        <v>#NAME?</v>
      </c>
      <c r="N381" s="5" t="str">
        <f t="shared" si="10"/>
        <v>Yes</v>
      </c>
      <c r="O381" s="7">
        <f t="shared" si="11"/>
        <v>0.10261574074074073</v>
      </c>
    </row>
    <row r="382" spans="1:15" x14ac:dyDescent="0.25">
      <c r="A382" s="3" t="s">
        <v>331</v>
      </c>
      <c r="B382" s="3" t="s">
        <v>806</v>
      </c>
      <c r="C382" s="3" t="s">
        <v>16</v>
      </c>
      <c r="D382" s="3" t="s">
        <v>82</v>
      </c>
      <c r="E382" s="3" t="s">
        <v>333</v>
      </c>
      <c r="F382" s="3" t="s">
        <v>807</v>
      </c>
      <c r="G382" s="4">
        <v>45998</v>
      </c>
      <c r="H382" s="5">
        <f t="shared" si="7"/>
        <v>49</v>
      </c>
      <c r="I382" s="5">
        <f t="shared" si="8"/>
        <v>12</v>
      </c>
      <c r="J382" s="6">
        <f t="shared" si="9"/>
        <v>0.97364583333333332</v>
      </c>
      <c r="K382" s="5" t="str">
        <f t="shared" si="6"/>
        <v>(DS-IBBLR-Attibele)</v>
      </c>
      <c r="L382" s="5" t="e">
        <f t="array" aca="1" ref="L382" ca="1">_xludf.XLOOKUP(E382,'[1]Migrated Societies Data'!C:C,'[1]Migrated Societies Data'!B:B)</f>
        <v>#NAME?</v>
      </c>
      <c r="M382" s="5" t="e">
        <f t="array" aca="1" ref="M382" ca="1">_xludf.XLOOKUP(E382,'[1]Migrated Societies Data'!C:C,'[1]Migrated Societies Data'!E:E)</f>
        <v>#NAME?</v>
      </c>
      <c r="N382" s="5" t="str">
        <f t="shared" si="10"/>
        <v>Yes</v>
      </c>
      <c r="O382" s="7">
        <f t="shared" si="11"/>
        <v>0.99447916666666669</v>
      </c>
    </row>
    <row r="383" spans="1:15" x14ac:dyDescent="0.25">
      <c r="A383" s="3" t="s">
        <v>442</v>
      </c>
      <c r="B383" s="3" t="s">
        <v>808</v>
      </c>
      <c r="C383" s="3" t="s">
        <v>16</v>
      </c>
      <c r="D383" s="3" t="s">
        <v>82</v>
      </c>
      <c r="E383" s="3" t="s">
        <v>444</v>
      </c>
      <c r="F383" s="3" t="s">
        <v>809</v>
      </c>
      <c r="G383" s="4">
        <v>45998</v>
      </c>
      <c r="H383" s="5">
        <f t="shared" si="7"/>
        <v>49</v>
      </c>
      <c r="I383" s="5">
        <f t="shared" si="8"/>
        <v>12</v>
      </c>
      <c r="J383" s="6">
        <f t="shared" si="9"/>
        <v>0.95857638888888885</v>
      </c>
      <c r="K383" s="5" t="str">
        <f t="shared" si="6"/>
        <v>(DS-IBBLR-Chinappalay)</v>
      </c>
      <c r="L383" s="5" t="e">
        <f t="array" aca="1" ref="L383" ca="1">_xludf.XLOOKUP(E383,'[1]Migrated Societies Data'!C:C,'[1]Migrated Societies Data'!B:B)</f>
        <v>#NAME?</v>
      </c>
      <c r="M383" s="5" t="e">
        <f t="array" aca="1" ref="M383" ca="1">_xludf.XLOOKUP(E383,'[1]Migrated Societies Data'!C:C,'[1]Migrated Societies Data'!E:E)</f>
        <v>#NAME?</v>
      </c>
      <c r="N383" s="5" t="str">
        <f t="shared" si="10"/>
        <v>Yes</v>
      </c>
      <c r="O383" s="7">
        <f t="shared" si="11"/>
        <v>0.97940972222222222</v>
      </c>
    </row>
    <row r="384" spans="1:15" x14ac:dyDescent="0.25">
      <c r="A384" s="3" t="s">
        <v>446</v>
      </c>
      <c r="B384" s="3" t="s">
        <v>810</v>
      </c>
      <c r="C384" s="3" t="s">
        <v>16</v>
      </c>
      <c r="D384" s="3" t="s">
        <v>82</v>
      </c>
      <c r="E384" s="3" t="s">
        <v>448</v>
      </c>
      <c r="F384" s="3" t="s">
        <v>811</v>
      </c>
      <c r="G384" s="4">
        <v>45998</v>
      </c>
      <c r="H384" s="5">
        <f t="shared" si="7"/>
        <v>49</v>
      </c>
      <c r="I384" s="5">
        <f t="shared" si="8"/>
        <v>12</v>
      </c>
      <c r="J384" s="6">
        <f t="shared" si="9"/>
        <v>0.99557870370370372</v>
      </c>
      <c r="K384" s="5" t="str">
        <f t="shared" si="6"/>
        <v>(DS-IBBLR-Jigani)</v>
      </c>
      <c r="L384" s="5" t="e">
        <f t="array" aca="1" ref="L384" ca="1">_xludf.XLOOKUP(E384,'[1]Migrated Societies Data'!C:C,'[1]Migrated Societies Data'!B:B)</f>
        <v>#NAME?</v>
      </c>
      <c r="M384" s="5" t="e">
        <f t="array" aca="1" ref="M384" ca="1">_xludf.XLOOKUP(E384,'[1]Migrated Societies Data'!C:C,'[1]Migrated Societies Data'!E:E)</f>
        <v>#NAME?</v>
      </c>
      <c r="N384" s="5" t="str">
        <f t="shared" si="10"/>
        <v>Yes</v>
      </c>
      <c r="O384" s="7">
        <f t="shared" si="11"/>
        <v>1.6412037037037086E-2</v>
      </c>
    </row>
    <row r="385" spans="1:15" x14ac:dyDescent="0.25">
      <c r="A385" s="3" t="s">
        <v>80</v>
      </c>
      <c r="B385" s="3" t="s">
        <v>812</v>
      </c>
      <c r="C385" s="3" t="s">
        <v>16</v>
      </c>
      <c r="D385" s="3" t="s">
        <v>82</v>
      </c>
      <c r="E385" s="3" t="s">
        <v>83</v>
      </c>
      <c r="F385" s="3" t="s">
        <v>813</v>
      </c>
      <c r="G385" s="4">
        <v>45998</v>
      </c>
      <c r="H385" s="5">
        <f t="shared" si="7"/>
        <v>49</v>
      </c>
      <c r="I385" s="5">
        <f t="shared" si="8"/>
        <v>12</v>
      </c>
      <c r="J385" s="6">
        <f t="shared" si="9"/>
        <v>0.99206018518518524</v>
      </c>
      <c r="K385" s="5" t="str">
        <f t="shared" si="6"/>
        <v>(DS-IBBLR-Nagondanahalli )</v>
      </c>
      <c r="L385" s="5" t="e">
        <f t="array" aca="1" ref="L385" ca="1">_xludf.XLOOKUP(E385,'[1]Migrated Societies Data'!C:C,'[1]Migrated Societies Data'!B:B)</f>
        <v>#NAME?</v>
      </c>
      <c r="M385" s="5" t="e">
        <f t="array" aca="1" ref="M385" ca="1">_xludf.XLOOKUP(E385,'[1]Migrated Societies Data'!C:C,'[1]Migrated Societies Data'!E:E)</f>
        <v>#NAME?</v>
      </c>
      <c r="N385" s="5" t="str">
        <f t="shared" si="10"/>
        <v>Yes</v>
      </c>
      <c r="O385" s="7">
        <f t="shared" si="11"/>
        <v>1.289351851851861E-2</v>
      </c>
    </row>
    <row r="386" spans="1:15" x14ac:dyDescent="0.25">
      <c r="A386" s="3" t="s">
        <v>456</v>
      </c>
      <c r="B386" s="3" t="s">
        <v>814</v>
      </c>
      <c r="C386" s="3" t="s">
        <v>16</v>
      </c>
      <c r="D386" s="3" t="s">
        <v>82</v>
      </c>
      <c r="E386" s="3" t="s">
        <v>458</v>
      </c>
      <c r="F386" s="3" t="s">
        <v>815</v>
      </c>
      <c r="G386" s="4">
        <v>45998</v>
      </c>
      <c r="H386" s="5">
        <f t="shared" si="7"/>
        <v>49</v>
      </c>
      <c r="I386" s="5">
        <f t="shared" si="8"/>
        <v>12</v>
      </c>
      <c r="J386" s="6">
        <f t="shared" si="9"/>
        <v>5.5393518518518516E-2</v>
      </c>
      <c r="K386" s="5" t="str">
        <f t="shared" si="6"/>
        <v>(DS-IBBLR-Jakkasandra)</v>
      </c>
      <c r="L386" s="5" t="e">
        <f t="array" aca="1" ref="L386" ca="1">_xludf.XLOOKUP(E386,'[1]Migrated Societies Data'!C:C,'[1]Migrated Societies Data'!B:B)</f>
        <v>#NAME?</v>
      </c>
      <c r="M386" s="5" t="e">
        <f t="array" aca="1" ref="M386" ca="1">_xludf.XLOOKUP(E386,'[1]Migrated Societies Data'!C:C,'[1]Migrated Societies Data'!E:E)</f>
        <v>#NAME?</v>
      </c>
      <c r="N386" s="5" t="str">
        <f t="shared" si="10"/>
        <v>Yes</v>
      </c>
      <c r="O386" s="7">
        <f t="shared" si="11"/>
        <v>7.6226851851851851E-2</v>
      </c>
    </row>
    <row r="387" spans="1:15" x14ac:dyDescent="0.25">
      <c r="A387" s="3" t="s">
        <v>85</v>
      </c>
      <c r="B387" s="3" t="s">
        <v>816</v>
      </c>
      <c r="C387" s="3" t="s">
        <v>16</v>
      </c>
      <c r="D387" s="3" t="s">
        <v>82</v>
      </c>
      <c r="E387" s="3" t="s">
        <v>87</v>
      </c>
      <c r="F387" s="3" t="s">
        <v>817</v>
      </c>
      <c r="G387" s="4">
        <v>45998</v>
      </c>
      <c r="H387" s="5">
        <f t="shared" si="7"/>
        <v>49</v>
      </c>
      <c r="I387" s="5">
        <f t="shared" si="8"/>
        <v>12</v>
      </c>
      <c r="J387" s="6">
        <f t="shared" si="9"/>
        <v>3.9085648148148147E-2</v>
      </c>
      <c r="K387" s="5" t="str">
        <f t="shared" si="6"/>
        <v>(DS-IBBLR-Budhigere )</v>
      </c>
      <c r="L387" s="5" t="e">
        <f t="array" aca="1" ref="L387" ca="1">_xludf.XLOOKUP(E387,'[1]Migrated Societies Data'!C:C,'[1]Migrated Societies Data'!B:B)</f>
        <v>#NAME?</v>
      </c>
      <c r="M387" s="5" t="e">
        <f t="array" aca="1" ref="M387" ca="1">_xludf.XLOOKUP(E387,'[1]Migrated Societies Data'!C:C,'[1]Migrated Societies Data'!E:E)</f>
        <v>#NAME?</v>
      </c>
      <c r="N387" s="5" t="str">
        <f t="shared" si="10"/>
        <v>Yes</v>
      </c>
      <c r="O387" s="7">
        <f t="shared" si="11"/>
        <v>5.9918981481481476E-2</v>
      </c>
    </row>
    <row r="388" spans="1:15" x14ac:dyDescent="0.25">
      <c r="A388" s="3" t="s">
        <v>14</v>
      </c>
      <c r="B388" s="3" t="s">
        <v>818</v>
      </c>
      <c r="C388" s="3" t="s">
        <v>16</v>
      </c>
      <c r="D388" s="3" t="s">
        <v>17</v>
      </c>
      <c r="E388" s="3" t="s">
        <v>18</v>
      </c>
      <c r="F388" s="3" t="s">
        <v>819</v>
      </c>
      <c r="G388" s="4">
        <v>45998</v>
      </c>
      <c r="H388" s="5">
        <f t="shared" si="7"/>
        <v>49</v>
      </c>
      <c r="I388" s="5">
        <f t="shared" si="8"/>
        <v>12</v>
      </c>
      <c r="J388" s="6">
        <f t="shared" si="9"/>
        <v>0.96681712962962962</v>
      </c>
      <c r="K388" s="5" t="str">
        <f t="shared" si="6"/>
        <v>(DS-IBBLR-Peenya PH-3)</v>
      </c>
      <c r="L388" s="5" t="e">
        <f t="array" aca="1" ref="L388" ca="1">_xludf.XLOOKUP(E388,'[1]Migrated Societies Data'!C:C,'[1]Migrated Societies Data'!B:B)</f>
        <v>#NAME?</v>
      </c>
      <c r="M388" s="5" t="e">
        <f t="array" aca="1" ref="M388" ca="1">_xludf.XLOOKUP(E388,'[1]Migrated Societies Data'!C:C,'[1]Migrated Societies Data'!E:E)</f>
        <v>#NAME?</v>
      </c>
      <c r="N388" s="5" t="str">
        <f t="shared" si="10"/>
        <v>Yes</v>
      </c>
      <c r="O388" s="7">
        <f t="shared" si="11"/>
        <v>0.98765046296296299</v>
      </c>
    </row>
    <row r="389" spans="1:15" x14ac:dyDescent="0.25">
      <c r="A389" s="3" t="s">
        <v>342</v>
      </c>
      <c r="B389" s="3" t="s">
        <v>820</v>
      </c>
      <c r="C389" s="3" t="s">
        <v>16</v>
      </c>
      <c r="D389" s="3" t="s">
        <v>17</v>
      </c>
      <c r="E389" s="3" t="s">
        <v>344</v>
      </c>
      <c r="F389" s="3" t="s">
        <v>821</v>
      </c>
      <c r="G389" s="4">
        <v>45998</v>
      </c>
      <c r="H389" s="5">
        <f t="shared" si="7"/>
        <v>49</v>
      </c>
      <c r="I389" s="5">
        <f t="shared" si="8"/>
        <v>12</v>
      </c>
      <c r="J389" s="6">
        <f t="shared" si="9"/>
        <v>5.4004629629629632E-2</v>
      </c>
      <c r="K389" s="5" t="str">
        <f t="shared" si="6"/>
        <v>(DS-IBBLR-Chikkasandr)</v>
      </c>
      <c r="L389" s="5" t="e">
        <f t="array" aca="1" ref="L389" ca="1">_xludf.XLOOKUP(E389,'[1]Migrated Societies Data'!C:C,'[1]Migrated Societies Data'!B:B)</f>
        <v>#NAME?</v>
      </c>
      <c r="M389" s="5" t="e">
        <f t="array" aca="1" ref="M389" ca="1">_xludf.XLOOKUP(E389,'[1]Migrated Societies Data'!C:C,'[1]Migrated Societies Data'!E:E)</f>
        <v>#NAME?</v>
      </c>
      <c r="N389" s="5" t="str">
        <f t="shared" si="10"/>
        <v>Yes</v>
      </c>
      <c r="O389" s="7">
        <f t="shared" si="11"/>
        <v>7.4837962962962967E-2</v>
      </c>
    </row>
    <row r="390" spans="1:15" x14ac:dyDescent="0.25">
      <c r="A390" s="3" t="s">
        <v>468</v>
      </c>
      <c r="B390" s="3" t="s">
        <v>822</v>
      </c>
      <c r="C390" s="3" t="s">
        <v>16</v>
      </c>
      <c r="D390" s="3" t="s">
        <v>17</v>
      </c>
      <c r="E390" s="3" t="s">
        <v>470</v>
      </c>
      <c r="F390" s="3" t="s">
        <v>823</v>
      </c>
      <c r="G390" s="4">
        <v>45998</v>
      </c>
      <c r="H390" s="5">
        <f t="shared" si="7"/>
        <v>49</v>
      </c>
      <c r="I390" s="5">
        <f t="shared" si="8"/>
        <v>12</v>
      </c>
      <c r="J390" s="6">
        <f t="shared" si="9"/>
        <v>7.0520833333333338E-2</v>
      </c>
      <c r="K390" s="5" t="str">
        <f t="shared" si="6"/>
        <v>(DS-BNBLR-HRBR)</v>
      </c>
      <c r="L390" s="5" t="e">
        <f t="array" aca="1" ref="L390" ca="1">_xludf.XLOOKUP(E390,'[1]Migrated Societies Data'!C:C,'[1]Migrated Societies Data'!B:B)</f>
        <v>#NAME?</v>
      </c>
      <c r="M390" s="5" t="e">
        <f t="array" aca="1" ref="M390" ca="1">_xludf.XLOOKUP(E390,'[1]Migrated Societies Data'!C:C,'[1]Migrated Societies Data'!E:E)</f>
        <v>#NAME?</v>
      </c>
      <c r="N390" s="5" t="str">
        <f t="shared" si="10"/>
        <v>Yes</v>
      </c>
      <c r="O390" s="7">
        <f t="shared" si="11"/>
        <v>9.1354166666666667E-2</v>
      </c>
    </row>
    <row r="391" spans="1:15" x14ac:dyDescent="0.25">
      <c r="A391" s="3" t="s">
        <v>460</v>
      </c>
      <c r="B391" s="3" t="s">
        <v>824</v>
      </c>
      <c r="C391" s="3" t="s">
        <v>16</v>
      </c>
      <c r="D391" s="3" t="s">
        <v>82</v>
      </c>
      <c r="E391" s="3" t="s">
        <v>462</v>
      </c>
      <c r="F391" s="3" t="s">
        <v>825</v>
      </c>
      <c r="G391" s="4">
        <v>45998</v>
      </c>
      <c r="H391" s="5">
        <f t="shared" si="7"/>
        <v>49</v>
      </c>
      <c r="I391" s="5">
        <f t="shared" si="8"/>
        <v>12</v>
      </c>
      <c r="J391" s="6">
        <f t="shared" si="9"/>
        <v>2.5879629629629631E-2</v>
      </c>
      <c r="K391" s="5" t="str">
        <f t="shared" si="6"/>
        <v>(DS-IBBLR-HAL )</v>
      </c>
      <c r="L391" s="5" t="e">
        <f t="array" aca="1" ref="L391" ca="1">_xludf.XLOOKUP(E391,'[1]Migrated Societies Data'!C:C,'[1]Migrated Societies Data'!B:B)</f>
        <v>#NAME?</v>
      </c>
      <c r="M391" s="5" t="e">
        <f t="array" aca="1" ref="M391" ca="1">_xludf.XLOOKUP(E391,'[1]Migrated Societies Data'!C:C,'[1]Migrated Societies Data'!E:E)</f>
        <v>#NAME?</v>
      </c>
      <c r="N391" s="5" t="str">
        <f t="shared" si="10"/>
        <v>Yes</v>
      </c>
      <c r="O391" s="7">
        <f t="shared" si="11"/>
        <v>4.6712962962962963E-2</v>
      </c>
    </row>
    <row r="392" spans="1:15" x14ac:dyDescent="0.25">
      <c r="A392" s="3" t="s">
        <v>464</v>
      </c>
      <c r="B392" s="3" t="s">
        <v>826</v>
      </c>
      <c r="C392" s="3" t="s">
        <v>16</v>
      </c>
      <c r="D392" s="3" t="s">
        <v>82</v>
      </c>
      <c r="E392" s="3" t="s">
        <v>466</v>
      </c>
      <c r="F392" s="3" t="s">
        <v>827</v>
      </c>
      <c r="G392" s="4">
        <v>45998</v>
      </c>
      <c r="H392" s="5">
        <f t="shared" si="7"/>
        <v>49</v>
      </c>
      <c r="I392" s="5">
        <f t="shared" si="8"/>
        <v>12</v>
      </c>
      <c r="J392" s="6">
        <f t="shared" si="9"/>
        <v>3.4965277777777776E-2</v>
      </c>
      <c r="K392" s="5" t="str">
        <f t="shared" si="6"/>
        <v>(DS-IBBLR-Kallahalli )</v>
      </c>
      <c r="L392" s="5" t="e">
        <f t="array" aca="1" ref="L392" ca="1">_xludf.XLOOKUP(E392,'[1]Migrated Societies Data'!C:C,'[1]Migrated Societies Data'!B:B)</f>
        <v>#NAME?</v>
      </c>
      <c r="M392" s="5" t="e">
        <f t="array" aca="1" ref="M392" ca="1">_xludf.XLOOKUP(E392,'[1]Migrated Societies Data'!C:C,'[1]Migrated Societies Data'!E:E)</f>
        <v>#NAME?</v>
      </c>
      <c r="N392" s="5" t="str">
        <f t="shared" si="10"/>
        <v>Yes</v>
      </c>
      <c r="O392" s="7">
        <f t="shared" si="11"/>
        <v>5.5798611111111104E-2</v>
      </c>
    </row>
    <row r="393" spans="1:15" x14ac:dyDescent="0.25">
      <c r="A393" s="3" t="s">
        <v>472</v>
      </c>
      <c r="B393" s="3" t="s">
        <v>828</v>
      </c>
      <c r="C393" s="3" t="s">
        <v>16</v>
      </c>
      <c r="D393" s="3" t="s">
        <v>17</v>
      </c>
      <c r="E393" s="3" t="s">
        <v>474</v>
      </c>
      <c r="F393" s="3" t="s">
        <v>829</v>
      </c>
      <c r="G393" s="4">
        <v>45998</v>
      </c>
      <c r="H393" s="5">
        <f t="shared" si="7"/>
        <v>49</v>
      </c>
      <c r="I393" s="5">
        <f t="shared" si="8"/>
        <v>12</v>
      </c>
      <c r="J393" s="6">
        <f t="shared" si="9"/>
        <v>5.3634259259259257E-2</v>
      </c>
      <c r="K393" s="5" t="str">
        <f t="shared" si="6"/>
        <v>(DS-IBBLR-Lingarajapu)</v>
      </c>
      <c r="L393" s="5" t="e">
        <f t="array" aca="1" ref="L393" ca="1">_xludf.XLOOKUP(E393,'[1]Migrated Societies Data'!C:C,'[1]Migrated Societies Data'!B:B)</f>
        <v>#NAME?</v>
      </c>
      <c r="M393" s="5" t="e">
        <f t="array" aca="1" ref="M393" ca="1">_xludf.XLOOKUP(E393,'[1]Migrated Societies Data'!C:C,'[1]Migrated Societies Data'!E:E)</f>
        <v>#NAME?</v>
      </c>
      <c r="N393" s="5" t="str">
        <f t="shared" si="10"/>
        <v>Yes</v>
      </c>
      <c r="O393" s="7">
        <f t="shared" si="11"/>
        <v>7.4467592592592585E-2</v>
      </c>
    </row>
    <row r="394" spans="1:15" x14ac:dyDescent="0.25">
      <c r="A394" s="3" t="s">
        <v>490</v>
      </c>
      <c r="B394" s="3" t="s">
        <v>798</v>
      </c>
      <c r="C394" s="3" t="s">
        <v>16</v>
      </c>
      <c r="D394" s="3" t="s">
        <v>17</v>
      </c>
      <c r="E394" s="3" t="s">
        <v>492</v>
      </c>
      <c r="F394" s="3" t="s">
        <v>799</v>
      </c>
      <c r="G394" s="4">
        <v>45999</v>
      </c>
      <c r="H394" s="5">
        <f t="shared" si="7"/>
        <v>50</v>
      </c>
      <c r="I394" s="5">
        <f t="shared" si="8"/>
        <v>12</v>
      </c>
      <c r="J394" s="6">
        <f t="shared" si="9"/>
        <v>8.9097222222222217E-2</v>
      </c>
      <c r="K394" s="5" t="str">
        <f t="shared" si="6"/>
        <v>(DS-IBBLR-Devanahalli)</v>
      </c>
      <c r="L394" s="5" t="e">
        <f t="array" aca="1" ref="L394" ca="1">_xludf.XLOOKUP(E394,'[1]Migrated Societies Data'!C:C,'[1]Migrated Societies Data'!B:B)</f>
        <v>#NAME?</v>
      </c>
      <c r="M394" s="5" t="e">
        <f t="array" aca="1" ref="M394" ca="1">_xludf.XLOOKUP(E394,'[1]Migrated Societies Data'!C:C,'[1]Migrated Societies Data'!E:E)</f>
        <v>#NAME?</v>
      </c>
      <c r="N394" s="5" t="str">
        <f t="shared" si="10"/>
        <v>Yes</v>
      </c>
      <c r="O394" s="7">
        <f t="shared" si="11"/>
        <v>0.10993055555555555</v>
      </c>
    </row>
    <row r="395" spans="1:15" x14ac:dyDescent="0.25">
      <c r="A395" s="3" t="s">
        <v>464</v>
      </c>
      <c r="B395" s="3" t="s">
        <v>800</v>
      </c>
      <c r="C395" s="3" t="s">
        <v>16</v>
      </c>
      <c r="D395" s="3" t="s">
        <v>82</v>
      </c>
      <c r="E395" s="3" t="s">
        <v>466</v>
      </c>
      <c r="F395" s="3" t="s">
        <v>801</v>
      </c>
      <c r="G395" s="4">
        <v>45999</v>
      </c>
      <c r="H395" s="5">
        <f t="shared" si="7"/>
        <v>50</v>
      </c>
      <c r="I395" s="5">
        <f t="shared" si="8"/>
        <v>12</v>
      </c>
      <c r="J395" s="6">
        <f t="shared" si="9"/>
        <v>6.3483796296296302E-2</v>
      </c>
      <c r="K395" s="5" t="str">
        <f t="shared" si="6"/>
        <v>(DS-IBBLR-Kallahalli )</v>
      </c>
      <c r="L395" s="5" t="e">
        <f t="array" aca="1" ref="L395" ca="1">_xludf.XLOOKUP(E395,'[1]Migrated Societies Data'!C:C,'[1]Migrated Societies Data'!B:B)</f>
        <v>#NAME?</v>
      </c>
      <c r="M395" s="5" t="e">
        <f t="array" aca="1" ref="M395" ca="1">_xludf.XLOOKUP(E395,'[1]Migrated Societies Data'!C:C,'[1]Migrated Societies Data'!E:E)</f>
        <v>#NAME?</v>
      </c>
      <c r="N395" s="5" t="str">
        <f t="shared" si="10"/>
        <v>Yes</v>
      </c>
      <c r="O395" s="7">
        <f t="shared" si="11"/>
        <v>8.4317129629629631E-2</v>
      </c>
    </row>
    <row r="396" spans="1:15" x14ac:dyDescent="0.25">
      <c r="A396" s="3" t="s">
        <v>482</v>
      </c>
      <c r="B396" s="3" t="s">
        <v>802</v>
      </c>
      <c r="C396" s="3" t="s">
        <v>16</v>
      </c>
      <c r="D396" s="3" t="s">
        <v>17</v>
      </c>
      <c r="E396" s="3" t="s">
        <v>484</v>
      </c>
      <c r="F396" s="3" t="s">
        <v>803</v>
      </c>
      <c r="G396" s="4">
        <v>45999</v>
      </c>
      <c r="H396" s="5">
        <f t="shared" si="7"/>
        <v>50</v>
      </c>
      <c r="I396" s="5">
        <f t="shared" si="8"/>
        <v>12</v>
      </c>
      <c r="J396" s="6">
        <f t="shared" si="9"/>
        <v>7.7696759259259257E-2</v>
      </c>
      <c r="K396" s="5" t="str">
        <f t="shared" si="6"/>
        <v>(DS-IBBLR-Benson Town)</v>
      </c>
      <c r="L396" s="5" t="e">
        <f t="array" aca="1" ref="L396" ca="1">_xludf.XLOOKUP(E396,'[1]Migrated Societies Data'!C:C,'[1]Migrated Societies Data'!B:B)</f>
        <v>#NAME?</v>
      </c>
      <c r="M396" s="5" t="e">
        <f t="array" aca="1" ref="M396" ca="1">_xludf.XLOOKUP(E396,'[1]Migrated Societies Data'!C:C,'[1]Migrated Societies Data'!E:E)</f>
        <v>#NAME?</v>
      </c>
      <c r="N396" s="5" t="str">
        <f t="shared" si="10"/>
        <v>Yes</v>
      </c>
      <c r="O396" s="7">
        <f t="shared" si="11"/>
        <v>9.8530092592592586E-2</v>
      </c>
    </row>
    <row r="397" spans="1:15" x14ac:dyDescent="0.25">
      <c r="A397" s="3" t="s">
        <v>486</v>
      </c>
      <c r="B397" s="3" t="s">
        <v>804</v>
      </c>
      <c r="C397" s="3" t="s">
        <v>16</v>
      </c>
      <c r="D397" s="3" t="s">
        <v>17</v>
      </c>
      <c r="E397" s="3" t="s">
        <v>488</v>
      </c>
      <c r="F397" s="3" t="s">
        <v>805</v>
      </c>
      <c r="G397" s="4">
        <v>45999</v>
      </c>
      <c r="H397" s="5">
        <f t="shared" si="7"/>
        <v>50</v>
      </c>
      <c r="I397" s="5">
        <f t="shared" si="8"/>
        <v>12</v>
      </c>
      <c r="J397" s="6">
        <f t="shared" si="9"/>
        <v>8.1782407407407401E-2</v>
      </c>
      <c r="K397" s="5" t="str">
        <f t="shared" si="6"/>
        <v>(DS-IBBLR-Jala halli)</v>
      </c>
      <c r="L397" s="5" t="e">
        <f t="array" aca="1" ref="L397" ca="1">_xludf.XLOOKUP(E397,'[1]Migrated Societies Data'!C:C,'[1]Migrated Societies Data'!B:B)</f>
        <v>#NAME?</v>
      </c>
      <c r="M397" s="5" t="e">
        <f t="array" aca="1" ref="M397" ca="1">_xludf.XLOOKUP(E397,'[1]Migrated Societies Data'!C:C,'[1]Migrated Societies Data'!E:E)</f>
        <v>#NAME?</v>
      </c>
      <c r="N397" s="5" t="str">
        <f t="shared" si="10"/>
        <v>Yes</v>
      </c>
      <c r="O397" s="7">
        <f t="shared" si="11"/>
        <v>0.10261574074074073</v>
      </c>
    </row>
    <row r="398" spans="1:15" x14ac:dyDescent="0.25">
      <c r="A398" s="3" t="s">
        <v>331</v>
      </c>
      <c r="B398" s="3" t="s">
        <v>806</v>
      </c>
      <c r="C398" s="3" t="s">
        <v>16</v>
      </c>
      <c r="D398" s="3" t="s">
        <v>82</v>
      </c>
      <c r="E398" s="3" t="s">
        <v>333</v>
      </c>
      <c r="F398" s="3" t="s">
        <v>807</v>
      </c>
      <c r="G398" s="4">
        <v>45999</v>
      </c>
      <c r="H398" s="5">
        <f t="shared" si="7"/>
        <v>50</v>
      </c>
      <c r="I398" s="5">
        <f t="shared" si="8"/>
        <v>12</v>
      </c>
      <c r="J398" s="6">
        <f t="shared" si="9"/>
        <v>0.97364583333333332</v>
      </c>
      <c r="K398" s="5" t="str">
        <f t="shared" si="6"/>
        <v>(DS-IBBLR-Attibele)</v>
      </c>
      <c r="L398" s="5" t="e">
        <f t="array" aca="1" ref="L398" ca="1">_xludf.XLOOKUP(E398,'[1]Migrated Societies Data'!C:C,'[1]Migrated Societies Data'!B:B)</f>
        <v>#NAME?</v>
      </c>
      <c r="M398" s="5" t="e">
        <f t="array" aca="1" ref="M398" ca="1">_xludf.XLOOKUP(E398,'[1]Migrated Societies Data'!C:C,'[1]Migrated Societies Data'!E:E)</f>
        <v>#NAME?</v>
      </c>
      <c r="N398" s="5" t="str">
        <f t="shared" si="10"/>
        <v>Yes</v>
      </c>
      <c r="O398" s="7">
        <f t="shared" si="11"/>
        <v>0.99447916666666669</v>
      </c>
    </row>
    <row r="399" spans="1:15" x14ac:dyDescent="0.25">
      <c r="A399" s="3" t="s">
        <v>442</v>
      </c>
      <c r="B399" s="3" t="s">
        <v>808</v>
      </c>
      <c r="C399" s="3" t="s">
        <v>16</v>
      </c>
      <c r="D399" s="3" t="s">
        <v>82</v>
      </c>
      <c r="E399" s="3" t="s">
        <v>444</v>
      </c>
      <c r="F399" s="3" t="s">
        <v>809</v>
      </c>
      <c r="G399" s="4">
        <v>45999</v>
      </c>
      <c r="H399" s="5">
        <f t="shared" si="7"/>
        <v>50</v>
      </c>
      <c r="I399" s="5">
        <f t="shared" si="8"/>
        <v>12</v>
      </c>
      <c r="J399" s="6">
        <f t="shared" si="9"/>
        <v>0.95857638888888885</v>
      </c>
      <c r="K399" s="5" t="str">
        <f t="shared" si="6"/>
        <v>(DS-IBBLR-Chinappalay)</v>
      </c>
      <c r="L399" s="5" t="e">
        <f t="array" aca="1" ref="L399" ca="1">_xludf.XLOOKUP(E399,'[1]Migrated Societies Data'!C:C,'[1]Migrated Societies Data'!B:B)</f>
        <v>#NAME?</v>
      </c>
      <c r="M399" s="5" t="e">
        <f t="array" aca="1" ref="M399" ca="1">_xludf.XLOOKUP(E399,'[1]Migrated Societies Data'!C:C,'[1]Migrated Societies Data'!E:E)</f>
        <v>#NAME?</v>
      </c>
      <c r="N399" s="5" t="str">
        <f t="shared" si="10"/>
        <v>Yes</v>
      </c>
      <c r="O399" s="7">
        <f t="shared" si="11"/>
        <v>0.97940972222222222</v>
      </c>
    </row>
    <row r="400" spans="1:15" x14ac:dyDescent="0.25">
      <c r="A400" s="3" t="s">
        <v>446</v>
      </c>
      <c r="B400" s="3" t="s">
        <v>810</v>
      </c>
      <c r="C400" s="3" t="s">
        <v>16</v>
      </c>
      <c r="D400" s="3" t="s">
        <v>82</v>
      </c>
      <c r="E400" s="3" t="s">
        <v>448</v>
      </c>
      <c r="F400" s="3" t="s">
        <v>811</v>
      </c>
      <c r="G400" s="4">
        <v>45999</v>
      </c>
      <c r="H400" s="5">
        <f t="shared" si="7"/>
        <v>50</v>
      </c>
      <c r="I400" s="5">
        <f t="shared" si="8"/>
        <v>12</v>
      </c>
      <c r="J400" s="6">
        <f t="shared" si="9"/>
        <v>0.99557870370370372</v>
      </c>
      <c r="K400" s="5" t="str">
        <f t="shared" si="6"/>
        <v>(DS-IBBLR-Jigani)</v>
      </c>
      <c r="L400" s="5" t="e">
        <f t="array" aca="1" ref="L400" ca="1">_xludf.XLOOKUP(E400,'[1]Migrated Societies Data'!C:C,'[1]Migrated Societies Data'!B:B)</f>
        <v>#NAME?</v>
      </c>
      <c r="M400" s="5" t="e">
        <f t="array" aca="1" ref="M400" ca="1">_xludf.XLOOKUP(E400,'[1]Migrated Societies Data'!C:C,'[1]Migrated Societies Data'!E:E)</f>
        <v>#NAME?</v>
      </c>
      <c r="N400" s="5" t="str">
        <f t="shared" si="10"/>
        <v>Yes</v>
      </c>
      <c r="O400" s="7">
        <f t="shared" si="11"/>
        <v>1.6412037037037086E-2</v>
      </c>
    </row>
    <row r="401" spans="1:15" x14ac:dyDescent="0.25">
      <c r="A401" s="3" t="s">
        <v>80</v>
      </c>
      <c r="B401" s="3" t="s">
        <v>812</v>
      </c>
      <c r="C401" s="3" t="s">
        <v>16</v>
      </c>
      <c r="D401" s="3" t="s">
        <v>82</v>
      </c>
      <c r="E401" s="3" t="s">
        <v>83</v>
      </c>
      <c r="F401" s="3" t="s">
        <v>813</v>
      </c>
      <c r="G401" s="4">
        <v>45999</v>
      </c>
      <c r="H401" s="5">
        <f t="shared" si="7"/>
        <v>50</v>
      </c>
      <c r="I401" s="5">
        <f t="shared" si="8"/>
        <v>12</v>
      </c>
      <c r="J401" s="6">
        <f t="shared" si="9"/>
        <v>0.99206018518518524</v>
      </c>
      <c r="K401" s="5" t="str">
        <f t="shared" si="6"/>
        <v>(DS-IBBLR-Nagondanahalli )</v>
      </c>
      <c r="L401" s="5" t="e">
        <f t="array" aca="1" ref="L401" ca="1">_xludf.XLOOKUP(E401,'[1]Migrated Societies Data'!C:C,'[1]Migrated Societies Data'!B:B)</f>
        <v>#NAME?</v>
      </c>
      <c r="M401" s="5" t="e">
        <f t="array" aca="1" ref="M401" ca="1">_xludf.XLOOKUP(E401,'[1]Migrated Societies Data'!C:C,'[1]Migrated Societies Data'!E:E)</f>
        <v>#NAME?</v>
      </c>
      <c r="N401" s="5" t="str">
        <f t="shared" si="10"/>
        <v>Yes</v>
      </c>
      <c r="O401" s="7">
        <f t="shared" si="11"/>
        <v>1.289351851851861E-2</v>
      </c>
    </row>
    <row r="402" spans="1:15" x14ac:dyDescent="0.25">
      <c r="A402" s="3" t="s">
        <v>456</v>
      </c>
      <c r="B402" s="3" t="s">
        <v>814</v>
      </c>
      <c r="C402" s="3" t="s">
        <v>16</v>
      </c>
      <c r="D402" s="3" t="s">
        <v>82</v>
      </c>
      <c r="E402" s="3" t="s">
        <v>458</v>
      </c>
      <c r="F402" s="3" t="s">
        <v>815</v>
      </c>
      <c r="G402" s="4">
        <v>45999</v>
      </c>
      <c r="H402" s="5">
        <f t="shared" si="7"/>
        <v>50</v>
      </c>
      <c r="I402" s="5">
        <f t="shared" si="8"/>
        <v>12</v>
      </c>
      <c r="J402" s="6">
        <f t="shared" si="9"/>
        <v>5.5393518518518516E-2</v>
      </c>
      <c r="K402" s="5" t="str">
        <f t="shared" si="6"/>
        <v>(DS-IBBLR-Jakkasandra)</v>
      </c>
      <c r="L402" s="5" t="e">
        <f t="array" aca="1" ref="L402" ca="1">_xludf.XLOOKUP(E402,'[1]Migrated Societies Data'!C:C,'[1]Migrated Societies Data'!B:B)</f>
        <v>#NAME?</v>
      </c>
      <c r="M402" s="5" t="e">
        <f t="array" aca="1" ref="M402" ca="1">_xludf.XLOOKUP(E402,'[1]Migrated Societies Data'!C:C,'[1]Migrated Societies Data'!E:E)</f>
        <v>#NAME?</v>
      </c>
      <c r="N402" s="5" t="str">
        <f t="shared" si="10"/>
        <v>Yes</v>
      </c>
      <c r="O402" s="7">
        <f t="shared" si="11"/>
        <v>7.6226851851851851E-2</v>
      </c>
    </row>
    <row r="403" spans="1:15" x14ac:dyDescent="0.25">
      <c r="A403" s="3" t="s">
        <v>85</v>
      </c>
      <c r="B403" s="3" t="s">
        <v>816</v>
      </c>
      <c r="C403" s="3" t="s">
        <v>16</v>
      </c>
      <c r="D403" s="3" t="s">
        <v>82</v>
      </c>
      <c r="E403" s="3" t="s">
        <v>87</v>
      </c>
      <c r="F403" s="3" t="s">
        <v>817</v>
      </c>
      <c r="G403" s="4">
        <v>45999</v>
      </c>
      <c r="H403" s="5">
        <f t="shared" si="7"/>
        <v>50</v>
      </c>
      <c r="I403" s="5">
        <f t="shared" si="8"/>
        <v>12</v>
      </c>
      <c r="J403" s="6">
        <f t="shared" si="9"/>
        <v>3.9085648148148147E-2</v>
      </c>
      <c r="K403" s="5" t="str">
        <f t="shared" si="6"/>
        <v>(DS-IBBLR-Budhigere )</v>
      </c>
      <c r="L403" s="5" t="e">
        <f t="array" aca="1" ref="L403" ca="1">_xludf.XLOOKUP(E403,'[1]Migrated Societies Data'!C:C,'[1]Migrated Societies Data'!B:B)</f>
        <v>#NAME?</v>
      </c>
      <c r="M403" s="5" t="e">
        <f t="array" aca="1" ref="M403" ca="1">_xludf.XLOOKUP(E403,'[1]Migrated Societies Data'!C:C,'[1]Migrated Societies Data'!E:E)</f>
        <v>#NAME?</v>
      </c>
      <c r="N403" s="5" t="str">
        <f t="shared" si="10"/>
        <v>Yes</v>
      </c>
      <c r="O403" s="7">
        <f t="shared" si="11"/>
        <v>5.9918981481481476E-2</v>
      </c>
    </row>
    <row r="404" spans="1:15" x14ac:dyDescent="0.25">
      <c r="A404" s="3" t="s">
        <v>14</v>
      </c>
      <c r="B404" s="3" t="s">
        <v>818</v>
      </c>
      <c r="C404" s="3" t="s">
        <v>16</v>
      </c>
      <c r="D404" s="3" t="s">
        <v>17</v>
      </c>
      <c r="E404" s="3" t="s">
        <v>18</v>
      </c>
      <c r="F404" s="3" t="s">
        <v>819</v>
      </c>
      <c r="G404" s="4">
        <v>45999</v>
      </c>
      <c r="H404" s="5">
        <f t="shared" si="7"/>
        <v>50</v>
      </c>
      <c r="I404" s="5">
        <f t="shared" si="8"/>
        <v>12</v>
      </c>
      <c r="J404" s="6">
        <f t="shared" si="9"/>
        <v>0.96681712962962962</v>
      </c>
      <c r="K404" s="5" t="str">
        <f t="shared" si="6"/>
        <v>(DS-IBBLR-Peenya PH-3)</v>
      </c>
      <c r="L404" s="5" t="e">
        <f t="array" aca="1" ref="L404" ca="1">_xludf.XLOOKUP(E404,'[1]Migrated Societies Data'!C:C,'[1]Migrated Societies Data'!B:B)</f>
        <v>#NAME?</v>
      </c>
      <c r="M404" s="5" t="e">
        <f t="array" aca="1" ref="M404" ca="1">_xludf.XLOOKUP(E404,'[1]Migrated Societies Data'!C:C,'[1]Migrated Societies Data'!E:E)</f>
        <v>#NAME?</v>
      </c>
      <c r="N404" s="5" t="str">
        <f t="shared" si="10"/>
        <v>Yes</v>
      </c>
      <c r="O404" s="7">
        <f t="shared" si="11"/>
        <v>0.98765046296296299</v>
      </c>
    </row>
    <row r="405" spans="1:15" x14ac:dyDescent="0.25">
      <c r="A405" s="3" t="s">
        <v>342</v>
      </c>
      <c r="B405" s="3" t="s">
        <v>820</v>
      </c>
      <c r="C405" s="3" t="s">
        <v>16</v>
      </c>
      <c r="D405" s="3" t="s">
        <v>17</v>
      </c>
      <c r="E405" s="3" t="s">
        <v>344</v>
      </c>
      <c r="F405" s="3" t="s">
        <v>821</v>
      </c>
      <c r="G405" s="4">
        <v>45999</v>
      </c>
      <c r="H405" s="5">
        <f t="shared" si="7"/>
        <v>50</v>
      </c>
      <c r="I405" s="5">
        <f t="shared" si="8"/>
        <v>12</v>
      </c>
      <c r="J405" s="6">
        <f t="shared" si="9"/>
        <v>5.4004629629629632E-2</v>
      </c>
      <c r="K405" s="5" t="str">
        <f t="shared" si="6"/>
        <v>(DS-IBBLR-Chikkasandr)</v>
      </c>
      <c r="L405" s="5" t="e">
        <f t="array" aca="1" ref="L405" ca="1">_xludf.XLOOKUP(E405,'[1]Migrated Societies Data'!C:C,'[1]Migrated Societies Data'!B:B)</f>
        <v>#NAME?</v>
      </c>
      <c r="M405" s="5" t="e">
        <f t="array" aca="1" ref="M405" ca="1">_xludf.XLOOKUP(E405,'[1]Migrated Societies Data'!C:C,'[1]Migrated Societies Data'!E:E)</f>
        <v>#NAME?</v>
      </c>
      <c r="N405" s="5" t="str">
        <f t="shared" si="10"/>
        <v>Yes</v>
      </c>
      <c r="O405" s="7">
        <f t="shared" si="11"/>
        <v>7.4837962962962967E-2</v>
      </c>
    </row>
    <row r="406" spans="1:15" x14ac:dyDescent="0.25">
      <c r="A406" s="3" t="s">
        <v>468</v>
      </c>
      <c r="B406" s="3" t="s">
        <v>822</v>
      </c>
      <c r="C406" s="3" t="s">
        <v>16</v>
      </c>
      <c r="D406" s="3" t="s">
        <v>17</v>
      </c>
      <c r="E406" s="3" t="s">
        <v>470</v>
      </c>
      <c r="F406" s="3" t="s">
        <v>823</v>
      </c>
      <c r="G406" s="4">
        <v>45999</v>
      </c>
      <c r="H406" s="5">
        <f t="shared" si="7"/>
        <v>50</v>
      </c>
      <c r="I406" s="5">
        <f t="shared" si="8"/>
        <v>12</v>
      </c>
      <c r="J406" s="6">
        <f t="shared" si="9"/>
        <v>7.0520833333333338E-2</v>
      </c>
      <c r="K406" s="5" t="str">
        <f t="shared" si="6"/>
        <v>(DS-BNBLR-HRBR)</v>
      </c>
      <c r="L406" s="5" t="e">
        <f t="array" aca="1" ref="L406" ca="1">_xludf.XLOOKUP(E406,'[1]Migrated Societies Data'!C:C,'[1]Migrated Societies Data'!B:B)</f>
        <v>#NAME?</v>
      </c>
      <c r="M406" s="5" t="e">
        <f t="array" aca="1" ref="M406" ca="1">_xludf.XLOOKUP(E406,'[1]Migrated Societies Data'!C:C,'[1]Migrated Societies Data'!E:E)</f>
        <v>#NAME?</v>
      </c>
      <c r="N406" s="5" t="str">
        <f t="shared" si="10"/>
        <v>Yes</v>
      </c>
      <c r="O406" s="7">
        <f t="shared" si="11"/>
        <v>9.1354166666666667E-2</v>
      </c>
    </row>
    <row r="407" spans="1:15" x14ac:dyDescent="0.25">
      <c r="A407" s="3" t="s">
        <v>460</v>
      </c>
      <c r="B407" s="3" t="s">
        <v>824</v>
      </c>
      <c r="C407" s="3" t="s">
        <v>16</v>
      </c>
      <c r="D407" s="3" t="s">
        <v>82</v>
      </c>
      <c r="E407" s="3" t="s">
        <v>462</v>
      </c>
      <c r="F407" s="3" t="s">
        <v>825</v>
      </c>
      <c r="G407" s="4">
        <v>45999</v>
      </c>
      <c r="H407" s="5">
        <f t="shared" si="7"/>
        <v>50</v>
      </c>
      <c r="I407" s="5">
        <f t="shared" si="8"/>
        <v>12</v>
      </c>
      <c r="J407" s="6">
        <f t="shared" si="9"/>
        <v>2.5879629629629631E-2</v>
      </c>
      <c r="K407" s="5" t="str">
        <f t="shared" si="6"/>
        <v>(DS-IBBLR-HAL )</v>
      </c>
      <c r="L407" s="5" t="e">
        <f t="array" aca="1" ref="L407" ca="1">_xludf.XLOOKUP(E407,'[1]Migrated Societies Data'!C:C,'[1]Migrated Societies Data'!B:B)</f>
        <v>#NAME?</v>
      </c>
      <c r="M407" s="5" t="e">
        <f t="array" aca="1" ref="M407" ca="1">_xludf.XLOOKUP(E407,'[1]Migrated Societies Data'!C:C,'[1]Migrated Societies Data'!E:E)</f>
        <v>#NAME?</v>
      </c>
      <c r="N407" s="5" t="str">
        <f t="shared" si="10"/>
        <v>Yes</v>
      </c>
      <c r="O407" s="7">
        <f t="shared" si="11"/>
        <v>4.6712962962962963E-2</v>
      </c>
    </row>
    <row r="408" spans="1:15" x14ac:dyDescent="0.25">
      <c r="A408" s="3" t="s">
        <v>464</v>
      </c>
      <c r="B408" s="3" t="s">
        <v>826</v>
      </c>
      <c r="C408" s="3" t="s">
        <v>16</v>
      </c>
      <c r="D408" s="3" t="s">
        <v>82</v>
      </c>
      <c r="E408" s="3" t="s">
        <v>466</v>
      </c>
      <c r="F408" s="3" t="s">
        <v>827</v>
      </c>
      <c r="G408" s="4">
        <v>45999</v>
      </c>
      <c r="H408" s="5">
        <f t="shared" si="7"/>
        <v>50</v>
      </c>
      <c r="I408" s="5">
        <f t="shared" si="8"/>
        <v>12</v>
      </c>
      <c r="J408" s="6">
        <f t="shared" si="9"/>
        <v>3.4965277777777776E-2</v>
      </c>
      <c r="K408" s="5" t="str">
        <f t="shared" si="6"/>
        <v>(DS-IBBLR-Kallahalli )</v>
      </c>
      <c r="L408" s="5" t="e">
        <f t="array" aca="1" ref="L408" ca="1">_xludf.XLOOKUP(E408,'[1]Migrated Societies Data'!C:C,'[1]Migrated Societies Data'!B:B)</f>
        <v>#NAME?</v>
      </c>
      <c r="M408" s="5" t="e">
        <f t="array" aca="1" ref="M408" ca="1">_xludf.XLOOKUP(E408,'[1]Migrated Societies Data'!C:C,'[1]Migrated Societies Data'!E:E)</f>
        <v>#NAME?</v>
      </c>
      <c r="N408" s="5" t="str">
        <f t="shared" si="10"/>
        <v>Yes</v>
      </c>
      <c r="O408" s="7">
        <f t="shared" si="11"/>
        <v>5.5798611111111104E-2</v>
      </c>
    </row>
    <row r="409" spans="1:15" x14ac:dyDescent="0.25">
      <c r="A409" s="3" t="s">
        <v>472</v>
      </c>
      <c r="B409" s="3" t="s">
        <v>828</v>
      </c>
      <c r="C409" s="3" t="s">
        <v>16</v>
      </c>
      <c r="D409" s="3" t="s">
        <v>17</v>
      </c>
      <c r="E409" s="3" t="s">
        <v>474</v>
      </c>
      <c r="F409" s="3" t="s">
        <v>829</v>
      </c>
      <c r="G409" s="4">
        <v>45999</v>
      </c>
      <c r="H409" s="5">
        <f t="shared" si="7"/>
        <v>50</v>
      </c>
      <c r="I409" s="5">
        <f t="shared" si="8"/>
        <v>12</v>
      </c>
      <c r="J409" s="6">
        <f t="shared" si="9"/>
        <v>5.3634259259259257E-2</v>
      </c>
      <c r="K409" s="5" t="str">
        <f t="shared" si="6"/>
        <v>(DS-IBBLR-Lingarajapu)</v>
      </c>
      <c r="L409" s="5" t="e">
        <f t="array" aca="1" ref="L409" ca="1">_xludf.XLOOKUP(E409,'[1]Migrated Societies Data'!C:C,'[1]Migrated Societies Data'!B:B)</f>
        <v>#NAME?</v>
      </c>
      <c r="M409" s="5" t="e">
        <f t="array" aca="1" ref="M409" ca="1">_xludf.XLOOKUP(E409,'[1]Migrated Societies Data'!C:C,'[1]Migrated Societies Data'!E:E)</f>
        <v>#NAME?</v>
      </c>
      <c r="N409" s="5" t="str">
        <f t="shared" si="10"/>
        <v>Yes</v>
      </c>
      <c r="O409" s="7">
        <f t="shared" si="11"/>
        <v>7.4467592592592585E-2</v>
      </c>
    </row>
    <row r="410" spans="1:15" x14ac:dyDescent="0.25">
      <c r="A410" s="3" t="s">
        <v>478</v>
      </c>
      <c r="B410" s="3" t="s">
        <v>830</v>
      </c>
      <c r="C410" s="3" t="s">
        <v>16</v>
      </c>
      <c r="D410" s="3" t="s">
        <v>17</v>
      </c>
      <c r="E410" s="3" t="s">
        <v>480</v>
      </c>
      <c r="F410" s="3" t="s">
        <v>831</v>
      </c>
      <c r="G410" s="4">
        <v>46000</v>
      </c>
      <c r="H410" s="5">
        <f t="shared" si="7"/>
        <v>50</v>
      </c>
      <c r="I410" s="5">
        <f t="shared" si="8"/>
        <v>12</v>
      </c>
      <c r="J410" s="6">
        <f t="shared" si="9"/>
        <v>5.2083333333333336E-2</v>
      </c>
      <c r="K410" s="5" t="str">
        <f t="shared" si="6"/>
        <v>(DS-IBBLR-Bellahalli)</v>
      </c>
      <c r="L410" s="5" t="e">
        <f t="array" aca="1" ref="L410" ca="1">_xludf.XLOOKUP(E410,'[1]Migrated Societies Data'!C:C,'[1]Migrated Societies Data'!B:B)</f>
        <v>#NAME?</v>
      </c>
      <c r="M410" s="5" t="e">
        <f t="array" aca="1" ref="M410" ca="1">_xludf.XLOOKUP(E410,'[1]Migrated Societies Data'!C:C,'[1]Migrated Societies Data'!E:E)</f>
        <v>#NAME?</v>
      </c>
      <c r="N410" s="5" t="str">
        <f t="shared" si="10"/>
        <v>Yes</v>
      </c>
      <c r="O410" s="7">
        <f t="shared" si="11"/>
        <v>7.2916666666666671E-2</v>
      </c>
    </row>
    <row r="411" spans="1:15" x14ac:dyDescent="0.25">
      <c r="A411" s="3" t="s">
        <v>490</v>
      </c>
      <c r="B411" s="3" t="s">
        <v>832</v>
      </c>
      <c r="C411" s="3" t="s">
        <v>16</v>
      </c>
      <c r="D411" s="3" t="s">
        <v>17</v>
      </c>
      <c r="E411" s="3" t="s">
        <v>492</v>
      </c>
      <c r="F411" s="3" t="s">
        <v>833</v>
      </c>
      <c r="G411" s="4">
        <v>46000</v>
      </c>
      <c r="H411" s="5">
        <f t="shared" si="7"/>
        <v>50</v>
      </c>
      <c r="I411" s="5">
        <f t="shared" si="8"/>
        <v>12</v>
      </c>
      <c r="J411" s="6">
        <f t="shared" si="9"/>
        <v>0.13149305555555554</v>
      </c>
      <c r="K411" s="5" t="str">
        <f t="shared" si="6"/>
        <v>(DS-IBBLR-Devanahalli)</v>
      </c>
      <c r="L411" s="5" t="e">
        <f t="array" aca="1" ref="L411" ca="1">_xludf.XLOOKUP(E411,'[1]Migrated Societies Data'!C:C,'[1]Migrated Societies Data'!B:B)</f>
        <v>#NAME?</v>
      </c>
      <c r="M411" s="5" t="e">
        <f t="array" aca="1" ref="M411" ca="1">_xludf.XLOOKUP(E411,'[1]Migrated Societies Data'!C:C,'[1]Migrated Societies Data'!E:E)</f>
        <v>#NAME?</v>
      </c>
      <c r="N411" s="5" t="str">
        <f t="shared" si="10"/>
        <v>Yes</v>
      </c>
      <c r="O411" s="7">
        <f t="shared" si="11"/>
        <v>0.15232638888888889</v>
      </c>
    </row>
    <row r="412" spans="1:15" x14ac:dyDescent="0.25">
      <c r="A412" s="3" t="s">
        <v>486</v>
      </c>
      <c r="B412" s="3" t="s">
        <v>834</v>
      </c>
      <c r="C412" s="3" t="s">
        <v>16</v>
      </c>
      <c r="D412" s="3" t="s">
        <v>17</v>
      </c>
      <c r="E412" s="3" t="s">
        <v>488</v>
      </c>
      <c r="F412" s="3" t="s">
        <v>835</v>
      </c>
      <c r="G412" s="4">
        <v>46000</v>
      </c>
      <c r="H412" s="5">
        <f t="shared" si="7"/>
        <v>50</v>
      </c>
      <c r="I412" s="5">
        <f t="shared" si="8"/>
        <v>12</v>
      </c>
      <c r="J412" s="6">
        <f t="shared" si="9"/>
        <v>0.10906250000000001</v>
      </c>
      <c r="K412" s="5" t="str">
        <f t="shared" si="6"/>
        <v>(DS-IBBLR-Jala halli)</v>
      </c>
      <c r="L412" s="5" t="e">
        <f t="array" aca="1" ref="L412" ca="1">_xludf.XLOOKUP(E412,'[1]Migrated Societies Data'!C:C,'[1]Migrated Societies Data'!B:B)</f>
        <v>#NAME?</v>
      </c>
      <c r="M412" s="5" t="e">
        <f t="array" aca="1" ref="M412" ca="1">_xludf.XLOOKUP(E412,'[1]Migrated Societies Data'!C:C,'[1]Migrated Societies Data'!E:E)</f>
        <v>#NAME?</v>
      </c>
      <c r="N412" s="5" t="str">
        <f t="shared" si="10"/>
        <v>Yes</v>
      </c>
      <c r="O412" s="7">
        <f t="shared" si="11"/>
        <v>0.12989583333333335</v>
      </c>
    </row>
    <row r="413" spans="1:15" x14ac:dyDescent="0.25">
      <c r="A413" s="3" t="s">
        <v>482</v>
      </c>
      <c r="B413" s="3" t="s">
        <v>836</v>
      </c>
      <c r="C413" s="3" t="s">
        <v>16</v>
      </c>
      <c r="D413" s="3" t="s">
        <v>17</v>
      </c>
      <c r="E413" s="3" t="s">
        <v>484</v>
      </c>
      <c r="F413" s="3" t="s">
        <v>837</v>
      </c>
      <c r="G413" s="4">
        <v>46000</v>
      </c>
      <c r="H413" s="5">
        <f t="shared" si="7"/>
        <v>50</v>
      </c>
      <c r="I413" s="5">
        <f t="shared" si="8"/>
        <v>12</v>
      </c>
      <c r="J413" s="6">
        <f t="shared" si="9"/>
        <v>0.16538194444444446</v>
      </c>
      <c r="K413" s="5" t="str">
        <f t="shared" ref="K413:K607" si="12">MID(F413,21,LEN(F413)-20)</f>
        <v>(DS-IBBLR-Benson Town)</v>
      </c>
      <c r="L413" s="5" t="e">
        <f t="array" aca="1" ref="L413" ca="1">_xludf.XLOOKUP(E413,'[1]Migrated Societies Data'!C:C,'[1]Migrated Societies Data'!B:B)</f>
        <v>#NAME?</v>
      </c>
      <c r="M413" s="5" t="e">
        <f t="array" aca="1" ref="M413" ca="1">_xludf.XLOOKUP(E413,'[1]Migrated Societies Data'!C:C,'[1]Migrated Societies Data'!E:E)</f>
        <v>#NAME?</v>
      </c>
      <c r="N413" s="5" t="str">
        <f t="shared" si="10"/>
        <v>No</v>
      </c>
      <c r="O413" s="7">
        <f t="shared" si="11"/>
        <v>0.1862152777777778</v>
      </c>
    </row>
    <row r="414" spans="1:15" x14ac:dyDescent="0.25">
      <c r="A414" s="3" t="s">
        <v>342</v>
      </c>
      <c r="B414" s="3" t="s">
        <v>838</v>
      </c>
      <c r="C414" s="3" t="s">
        <v>16</v>
      </c>
      <c r="D414" s="3" t="s">
        <v>17</v>
      </c>
      <c r="E414" s="3" t="s">
        <v>344</v>
      </c>
      <c r="F414" s="3" t="s">
        <v>839</v>
      </c>
      <c r="G414" s="4">
        <v>46000</v>
      </c>
      <c r="H414" s="5">
        <f t="shared" si="7"/>
        <v>50</v>
      </c>
      <c r="I414" s="5">
        <f t="shared" si="8"/>
        <v>12</v>
      </c>
      <c r="J414" s="6">
        <f t="shared" si="9"/>
        <v>0.29826388888888888</v>
      </c>
      <c r="K414" s="5" t="str">
        <f t="shared" si="12"/>
        <v>(DS-IBBLR-Chikkasandr)</v>
      </c>
      <c r="L414" s="5" t="e">
        <f t="array" aca="1" ref="L414" ca="1">_xludf.XLOOKUP(E414,'[1]Migrated Societies Data'!C:C,'[1]Migrated Societies Data'!B:B)</f>
        <v>#NAME?</v>
      </c>
      <c r="M414" s="5" t="e">
        <f t="array" aca="1" ref="M414" ca="1">_xludf.XLOOKUP(E414,'[1]Migrated Societies Data'!C:C,'[1]Migrated Societies Data'!E:E)</f>
        <v>#NAME?</v>
      </c>
      <c r="N414" s="5" t="str">
        <f t="shared" si="10"/>
        <v>No</v>
      </c>
      <c r="O414" s="7">
        <f t="shared" si="11"/>
        <v>0.3190972222222222</v>
      </c>
    </row>
    <row r="415" spans="1:15" x14ac:dyDescent="0.25">
      <c r="A415" s="3" t="s">
        <v>331</v>
      </c>
      <c r="B415" s="3" t="s">
        <v>840</v>
      </c>
      <c r="C415" s="3" t="s">
        <v>16</v>
      </c>
      <c r="D415" s="3" t="s">
        <v>82</v>
      </c>
      <c r="E415" s="3" t="s">
        <v>333</v>
      </c>
      <c r="F415" s="3" t="s">
        <v>841</v>
      </c>
      <c r="G415" s="4">
        <v>46000</v>
      </c>
      <c r="H415" s="5">
        <f t="shared" si="7"/>
        <v>50</v>
      </c>
      <c r="I415" s="5">
        <f t="shared" si="8"/>
        <v>12</v>
      </c>
      <c r="J415" s="6">
        <f t="shared" si="9"/>
        <v>0.97790509259259262</v>
      </c>
      <c r="K415" s="5" t="str">
        <f t="shared" si="12"/>
        <v>(DS-IBBLR-Attibele)</v>
      </c>
      <c r="L415" s="5" t="e">
        <f t="array" aca="1" ref="L415" ca="1">_xludf.XLOOKUP(E415,'[1]Migrated Societies Data'!C:C,'[1]Migrated Societies Data'!B:B)</f>
        <v>#NAME?</v>
      </c>
      <c r="M415" s="5" t="e">
        <f t="array" aca="1" ref="M415" ca="1">_xludf.XLOOKUP(E415,'[1]Migrated Societies Data'!C:C,'[1]Migrated Societies Data'!E:E)</f>
        <v>#NAME?</v>
      </c>
      <c r="N415" s="5" t="str">
        <f t="shared" si="10"/>
        <v>Yes</v>
      </c>
      <c r="O415" s="7">
        <f t="shared" si="11"/>
        <v>0.99873842592592599</v>
      </c>
    </row>
    <row r="416" spans="1:15" x14ac:dyDescent="0.25">
      <c r="A416" s="3" t="s">
        <v>446</v>
      </c>
      <c r="B416" s="3" t="s">
        <v>842</v>
      </c>
      <c r="C416" s="3" t="s">
        <v>16</v>
      </c>
      <c r="D416" s="3" t="s">
        <v>82</v>
      </c>
      <c r="E416" s="3" t="s">
        <v>448</v>
      </c>
      <c r="F416" s="3" t="s">
        <v>843</v>
      </c>
      <c r="G416" s="4">
        <v>46000</v>
      </c>
      <c r="H416" s="5">
        <f t="shared" si="7"/>
        <v>50</v>
      </c>
      <c r="I416" s="5">
        <f t="shared" si="8"/>
        <v>12</v>
      </c>
      <c r="J416" s="6">
        <f t="shared" si="9"/>
        <v>0.99174768518518519</v>
      </c>
      <c r="K416" s="5" t="str">
        <f t="shared" si="12"/>
        <v>(DS-IBBLR-Jigani)</v>
      </c>
      <c r="L416" s="5" t="e">
        <f t="array" aca="1" ref="L416" ca="1">_xludf.XLOOKUP(E416,'[1]Migrated Societies Data'!C:C,'[1]Migrated Societies Data'!B:B)</f>
        <v>#NAME?</v>
      </c>
      <c r="M416" s="5" t="e">
        <f t="array" aca="1" ref="M416" ca="1">_xludf.XLOOKUP(E416,'[1]Migrated Societies Data'!C:C,'[1]Migrated Societies Data'!E:E)</f>
        <v>#NAME?</v>
      </c>
      <c r="N416" s="5" t="str">
        <f t="shared" si="10"/>
        <v>Yes</v>
      </c>
      <c r="O416" s="7">
        <f t="shared" si="11"/>
        <v>1.258101851851845E-2</v>
      </c>
    </row>
    <row r="417" spans="1:15" x14ac:dyDescent="0.25">
      <c r="A417" s="3" t="s">
        <v>80</v>
      </c>
      <c r="B417" s="3" t="s">
        <v>844</v>
      </c>
      <c r="C417" s="3" t="s">
        <v>16</v>
      </c>
      <c r="D417" s="3" t="s">
        <v>82</v>
      </c>
      <c r="E417" s="3" t="s">
        <v>83</v>
      </c>
      <c r="F417" s="3" t="s">
        <v>845</v>
      </c>
      <c r="G417" s="4">
        <v>46000</v>
      </c>
      <c r="H417" s="5">
        <f t="shared" si="7"/>
        <v>50</v>
      </c>
      <c r="I417" s="5">
        <f t="shared" si="8"/>
        <v>12</v>
      </c>
      <c r="J417" s="6">
        <f t="shared" si="9"/>
        <v>0.99832175925925926</v>
      </c>
      <c r="K417" s="5" t="str">
        <f t="shared" si="12"/>
        <v>(DS-IBBLR-Nagondanahalli )</v>
      </c>
      <c r="L417" s="5" t="e">
        <f t="array" aca="1" ref="L417" ca="1">_xludf.XLOOKUP(E417,'[1]Migrated Societies Data'!C:C,'[1]Migrated Societies Data'!B:B)</f>
        <v>#NAME?</v>
      </c>
      <c r="M417" s="5" t="e">
        <f t="array" aca="1" ref="M417" ca="1">_xludf.XLOOKUP(E417,'[1]Migrated Societies Data'!C:C,'[1]Migrated Societies Data'!E:E)</f>
        <v>#NAME?</v>
      </c>
      <c r="N417" s="5" t="str">
        <f t="shared" si="10"/>
        <v>Yes</v>
      </c>
      <c r="O417" s="7">
        <f t="shared" si="11"/>
        <v>1.9155092592592515E-2</v>
      </c>
    </row>
    <row r="418" spans="1:15" x14ac:dyDescent="0.25">
      <c r="A418" s="3" t="s">
        <v>442</v>
      </c>
      <c r="B418" s="3" t="s">
        <v>846</v>
      </c>
      <c r="C418" s="3" t="s">
        <v>16</v>
      </c>
      <c r="D418" s="3" t="s">
        <v>82</v>
      </c>
      <c r="E418" s="3" t="s">
        <v>444</v>
      </c>
      <c r="F418" s="3" t="s">
        <v>847</v>
      </c>
      <c r="G418" s="4">
        <v>46000</v>
      </c>
      <c r="H418" s="5">
        <f t="shared" si="7"/>
        <v>50</v>
      </c>
      <c r="I418" s="5">
        <f t="shared" si="8"/>
        <v>12</v>
      </c>
      <c r="J418" s="6">
        <f t="shared" si="9"/>
        <v>0.95054398148148145</v>
      </c>
      <c r="K418" s="5" t="str">
        <f t="shared" si="12"/>
        <v>(DS-IBBLR-Chinappalay)</v>
      </c>
      <c r="L418" s="5" t="e">
        <f t="array" aca="1" ref="L418" ca="1">_xludf.XLOOKUP(E418,'[1]Migrated Societies Data'!C:C,'[1]Migrated Societies Data'!B:B)</f>
        <v>#NAME?</v>
      </c>
      <c r="M418" s="5" t="e">
        <f t="array" aca="1" ref="M418" ca="1">_xludf.XLOOKUP(E418,'[1]Migrated Societies Data'!C:C,'[1]Migrated Societies Data'!E:E)</f>
        <v>#NAME?</v>
      </c>
      <c r="N418" s="5" t="str">
        <f t="shared" si="10"/>
        <v>No</v>
      </c>
      <c r="O418" s="7">
        <f t="shared" si="11"/>
        <v>0.97137731481481482</v>
      </c>
    </row>
    <row r="419" spans="1:15" x14ac:dyDescent="0.25">
      <c r="A419" s="3" t="s">
        <v>468</v>
      </c>
      <c r="B419" s="3" t="s">
        <v>848</v>
      </c>
      <c r="C419" s="3" t="s">
        <v>16</v>
      </c>
      <c r="D419" s="3" t="s">
        <v>17</v>
      </c>
      <c r="E419" s="3" t="s">
        <v>470</v>
      </c>
      <c r="F419" s="3" t="s">
        <v>849</v>
      </c>
      <c r="G419" s="4">
        <v>46000</v>
      </c>
      <c r="H419" s="5">
        <f t="shared" si="7"/>
        <v>50</v>
      </c>
      <c r="I419" s="5">
        <f t="shared" si="8"/>
        <v>12</v>
      </c>
      <c r="J419" s="6">
        <f t="shared" si="9"/>
        <v>3.3506944444444443E-2</v>
      </c>
      <c r="K419" s="5" t="str">
        <f t="shared" si="12"/>
        <v>(DS-BNBLR-HRBR)</v>
      </c>
      <c r="L419" s="5" t="e">
        <f t="array" aca="1" ref="L419" ca="1">_xludf.XLOOKUP(E419,'[1]Migrated Societies Data'!C:C,'[1]Migrated Societies Data'!B:B)</f>
        <v>#NAME?</v>
      </c>
      <c r="M419" s="5" t="e">
        <f t="array" aca="1" ref="M419" ca="1">_xludf.XLOOKUP(E419,'[1]Migrated Societies Data'!C:C,'[1]Migrated Societies Data'!E:E)</f>
        <v>#NAME?</v>
      </c>
      <c r="N419" s="5" t="str">
        <f t="shared" si="10"/>
        <v>Yes</v>
      </c>
      <c r="O419" s="7">
        <f t="shared" si="11"/>
        <v>5.4340277777777779E-2</v>
      </c>
    </row>
    <row r="420" spans="1:15" x14ac:dyDescent="0.25">
      <c r="A420" s="3" t="s">
        <v>14</v>
      </c>
      <c r="B420" s="3" t="s">
        <v>850</v>
      </c>
      <c r="C420" s="3" t="s">
        <v>16</v>
      </c>
      <c r="D420" s="3" t="s">
        <v>17</v>
      </c>
      <c r="E420" s="3" t="s">
        <v>18</v>
      </c>
      <c r="F420" s="3" t="s">
        <v>851</v>
      </c>
      <c r="G420" s="4">
        <v>46000</v>
      </c>
      <c r="H420" s="5">
        <f t="shared" si="7"/>
        <v>50</v>
      </c>
      <c r="I420" s="5">
        <f t="shared" si="8"/>
        <v>12</v>
      </c>
      <c r="J420" s="6">
        <f t="shared" si="9"/>
        <v>2.8935185185185184E-3</v>
      </c>
      <c r="K420" s="5" t="str">
        <f t="shared" si="12"/>
        <v>(DS-IBBLR-Peenya PH-3)</v>
      </c>
      <c r="L420" s="5" t="e">
        <f t="array" aca="1" ref="L420" ca="1">_xludf.XLOOKUP(E420,'[1]Migrated Societies Data'!C:C,'[1]Migrated Societies Data'!B:B)</f>
        <v>#NAME?</v>
      </c>
      <c r="M420" s="5" t="e">
        <f t="array" aca="1" ref="M420" ca="1">_xludf.XLOOKUP(E420,'[1]Migrated Societies Data'!C:C,'[1]Migrated Societies Data'!E:E)</f>
        <v>#NAME?</v>
      </c>
      <c r="N420" s="5" t="str">
        <f t="shared" si="10"/>
        <v>Yes</v>
      </c>
      <c r="O420" s="7">
        <f t="shared" si="11"/>
        <v>2.372685185185185E-2</v>
      </c>
    </row>
    <row r="421" spans="1:15" x14ac:dyDescent="0.25">
      <c r="A421" s="3" t="s">
        <v>342</v>
      </c>
      <c r="B421" s="3" t="s">
        <v>852</v>
      </c>
      <c r="C421" s="3" t="s">
        <v>16</v>
      </c>
      <c r="D421" s="3" t="s">
        <v>17</v>
      </c>
      <c r="E421" s="3" t="s">
        <v>344</v>
      </c>
      <c r="F421" s="3" t="s">
        <v>853</v>
      </c>
      <c r="G421" s="4">
        <v>46000</v>
      </c>
      <c r="H421" s="5">
        <f t="shared" si="7"/>
        <v>50</v>
      </c>
      <c r="I421" s="5">
        <f t="shared" si="8"/>
        <v>12</v>
      </c>
      <c r="J421" s="6">
        <f t="shared" si="9"/>
        <v>1.5150462962962963E-2</v>
      </c>
      <c r="K421" s="5" t="str">
        <f t="shared" si="12"/>
        <v>(DS-IBBLR-Chikkasandr)</v>
      </c>
      <c r="L421" s="5" t="e">
        <f t="array" aca="1" ref="L421" ca="1">_xludf.XLOOKUP(E421,'[1]Migrated Societies Data'!C:C,'[1]Migrated Societies Data'!B:B)</f>
        <v>#NAME?</v>
      </c>
      <c r="M421" s="5" t="e">
        <f t="array" aca="1" ref="M421" ca="1">_xludf.XLOOKUP(E421,'[1]Migrated Societies Data'!C:C,'[1]Migrated Societies Data'!E:E)</f>
        <v>#NAME?</v>
      </c>
      <c r="N421" s="5" t="str">
        <f t="shared" si="10"/>
        <v>Yes</v>
      </c>
      <c r="O421" s="7">
        <f t="shared" si="11"/>
        <v>3.5983796296296292E-2</v>
      </c>
    </row>
    <row r="422" spans="1:15" x14ac:dyDescent="0.25">
      <c r="A422" s="3" t="s">
        <v>490</v>
      </c>
      <c r="B422" s="3" t="s">
        <v>854</v>
      </c>
      <c r="C422" s="3" t="s">
        <v>16</v>
      </c>
      <c r="D422" s="3" t="s">
        <v>17</v>
      </c>
      <c r="E422" s="3" t="s">
        <v>492</v>
      </c>
      <c r="F422" s="3" t="s">
        <v>855</v>
      </c>
      <c r="G422" s="4">
        <v>46000</v>
      </c>
      <c r="H422" s="5">
        <f t="shared" si="7"/>
        <v>50</v>
      </c>
      <c r="I422" s="5">
        <f t="shared" si="8"/>
        <v>12</v>
      </c>
      <c r="J422" s="6">
        <f t="shared" si="9"/>
        <v>8.7638888888888891E-2</v>
      </c>
      <c r="K422" s="5" t="str">
        <f t="shared" si="12"/>
        <v>(DS-IBBLR-Devanahalli)</v>
      </c>
      <c r="L422" s="5" t="e">
        <f t="array" aca="1" ref="L422" ca="1">_xludf.XLOOKUP(E422,'[1]Migrated Societies Data'!C:C,'[1]Migrated Societies Data'!B:B)</f>
        <v>#NAME?</v>
      </c>
      <c r="M422" s="5" t="e">
        <f t="array" aca="1" ref="M422" ca="1">_xludf.XLOOKUP(E422,'[1]Migrated Societies Data'!C:C,'[1]Migrated Societies Data'!E:E)</f>
        <v>#NAME?</v>
      </c>
      <c r="N422" s="5" t="str">
        <f t="shared" si="10"/>
        <v>Yes</v>
      </c>
      <c r="O422" s="7">
        <f t="shared" si="11"/>
        <v>0.10847222222222222</v>
      </c>
    </row>
    <row r="423" spans="1:15" x14ac:dyDescent="0.25">
      <c r="A423" s="3" t="s">
        <v>464</v>
      </c>
      <c r="B423" s="3" t="s">
        <v>856</v>
      </c>
      <c r="C423" s="3" t="s">
        <v>16</v>
      </c>
      <c r="D423" s="3" t="s">
        <v>82</v>
      </c>
      <c r="E423" s="3" t="s">
        <v>466</v>
      </c>
      <c r="F423" s="3" t="s">
        <v>857</v>
      </c>
      <c r="G423" s="4">
        <v>46000</v>
      </c>
      <c r="H423" s="5">
        <f t="shared" si="7"/>
        <v>50</v>
      </c>
      <c r="I423" s="5">
        <f t="shared" si="8"/>
        <v>12</v>
      </c>
      <c r="J423" s="6">
        <f t="shared" si="9"/>
        <v>2.8900462962962965E-2</v>
      </c>
      <c r="K423" s="5" t="str">
        <f t="shared" si="12"/>
        <v>(DS-IBBLR-Kallahalli )</v>
      </c>
      <c r="L423" s="5" t="e">
        <f t="array" aca="1" ref="L423" ca="1">_xludf.XLOOKUP(E423,'[1]Migrated Societies Data'!C:C,'[1]Migrated Societies Data'!B:B)</f>
        <v>#NAME?</v>
      </c>
      <c r="M423" s="5" t="e">
        <f t="array" aca="1" ref="M423" ca="1">_xludf.XLOOKUP(E423,'[1]Migrated Societies Data'!C:C,'[1]Migrated Societies Data'!E:E)</f>
        <v>#NAME?</v>
      </c>
      <c r="N423" s="5" t="str">
        <f t="shared" si="10"/>
        <v>Yes</v>
      </c>
      <c r="O423" s="7">
        <f t="shared" si="11"/>
        <v>4.9733796296296297E-2</v>
      </c>
    </row>
    <row r="424" spans="1:15" x14ac:dyDescent="0.25">
      <c r="A424" s="3" t="s">
        <v>478</v>
      </c>
      <c r="B424" s="3" t="s">
        <v>858</v>
      </c>
      <c r="C424" s="3" t="s">
        <v>16</v>
      </c>
      <c r="D424" s="3" t="s">
        <v>17</v>
      </c>
      <c r="E424" s="3" t="s">
        <v>480</v>
      </c>
      <c r="F424" s="3" t="s">
        <v>859</v>
      </c>
      <c r="G424" s="4">
        <v>46000</v>
      </c>
      <c r="H424" s="5">
        <f t="shared" si="7"/>
        <v>50</v>
      </c>
      <c r="I424" s="5">
        <f t="shared" si="8"/>
        <v>12</v>
      </c>
      <c r="J424" s="6">
        <f t="shared" si="9"/>
        <v>3.4166666666666665E-2</v>
      </c>
      <c r="K424" s="5" t="str">
        <f t="shared" si="12"/>
        <v>(DS-IBBLR-Bellahalli)</v>
      </c>
      <c r="L424" s="5" t="e">
        <f t="array" aca="1" ref="L424" ca="1">_xludf.XLOOKUP(E424,'[1]Migrated Societies Data'!C:C,'[1]Migrated Societies Data'!B:B)</f>
        <v>#NAME?</v>
      </c>
      <c r="M424" s="5" t="e">
        <f t="array" aca="1" ref="M424" ca="1">_xludf.XLOOKUP(E424,'[1]Migrated Societies Data'!C:C,'[1]Migrated Societies Data'!E:E)</f>
        <v>#NAME?</v>
      </c>
      <c r="N424" s="5" t="str">
        <f t="shared" si="10"/>
        <v>Yes</v>
      </c>
      <c r="O424" s="7">
        <f t="shared" si="11"/>
        <v>5.4999999999999993E-2</v>
      </c>
    </row>
    <row r="425" spans="1:15" x14ac:dyDescent="0.25">
      <c r="A425" s="3" t="s">
        <v>460</v>
      </c>
      <c r="B425" s="3" t="s">
        <v>860</v>
      </c>
      <c r="C425" s="3" t="s">
        <v>16</v>
      </c>
      <c r="D425" s="3" t="s">
        <v>82</v>
      </c>
      <c r="E425" s="3" t="s">
        <v>462</v>
      </c>
      <c r="F425" s="3" t="s">
        <v>861</v>
      </c>
      <c r="G425" s="4">
        <v>46000</v>
      </c>
      <c r="H425" s="5">
        <f t="shared" si="7"/>
        <v>50</v>
      </c>
      <c r="I425" s="5">
        <f t="shared" si="8"/>
        <v>12</v>
      </c>
      <c r="J425" s="6">
        <f t="shared" si="9"/>
        <v>1.6099537037037037E-2</v>
      </c>
      <c r="K425" s="5" t="str">
        <f t="shared" si="12"/>
        <v>(DS-IBBLR-HAL )</v>
      </c>
      <c r="L425" s="5" t="e">
        <f t="array" aca="1" ref="L425" ca="1">_xludf.XLOOKUP(E425,'[1]Migrated Societies Data'!C:C,'[1]Migrated Societies Data'!B:B)</f>
        <v>#NAME?</v>
      </c>
      <c r="M425" s="5" t="e">
        <f t="array" aca="1" ref="M425" ca="1">_xludf.XLOOKUP(E425,'[1]Migrated Societies Data'!C:C,'[1]Migrated Societies Data'!E:E)</f>
        <v>#NAME?</v>
      </c>
      <c r="N425" s="5" t="str">
        <f t="shared" si="10"/>
        <v>Yes</v>
      </c>
      <c r="O425" s="7">
        <f t="shared" si="11"/>
        <v>3.6932870370370366E-2</v>
      </c>
    </row>
    <row r="426" spans="1:15" x14ac:dyDescent="0.25">
      <c r="A426" s="3" t="s">
        <v>472</v>
      </c>
      <c r="B426" s="3" t="s">
        <v>862</v>
      </c>
      <c r="C426" s="3" t="s">
        <v>16</v>
      </c>
      <c r="D426" s="3" t="s">
        <v>17</v>
      </c>
      <c r="E426" s="3" t="s">
        <v>474</v>
      </c>
      <c r="F426" s="3" t="s">
        <v>863</v>
      </c>
      <c r="G426" s="4">
        <v>46000</v>
      </c>
      <c r="H426" s="5">
        <f t="shared" si="7"/>
        <v>50</v>
      </c>
      <c r="I426" s="5">
        <f t="shared" si="8"/>
        <v>12</v>
      </c>
      <c r="J426" s="6">
        <f t="shared" si="9"/>
        <v>5.2164351851851851E-2</v>
      </c>
      <c r="K426" s="5" t="str">
        <f t="shared" si="12"/>
        <v>(DS-IBBLR-Lingarajapu)</v>
      </c>
      <c r="L426" s="5" t="e">
        <f t="array" aca="1" ref="L426" ca="1">_xludf.XLOOKUP(E426,'[1]Migrated Societies Data'!C:C,'[1]Migrated Societies Data'!B:B)</f>
        <v>#NAME?</v>
      </c>
      <c r="M426" s="5" t="e">
        <f t="array" aca="1" ref="M426" ca="1">_xludf.XLOOKUP(E426,'[1]Migrated Societies Data'!C:C,'[1]Migrated Societies Data'!E:E)</f>
        <v>#NAME?</v>
      </c>
      <c r="N426" s="5" t="str">
        <f t="shared" si="10"/>
        <v>Yes</v>
      </c>
      <c r="O426" s="7">
        <f t="shared" si="11"/>
        <v>7.2997685185185179E-2</v>
      </c>
    </row>
    <row r="427" spans="1:15" x14ac:dyDescent="0.25">
      <c r="A427" s="3" t="s">
        <v>482</v>
      </c>
      <c r="B427" s="3" t="s">
        <v>864</v>
      </c>
      <c r="C427" s="3" t="s">
        <v>16</v>
      </c>
      <c r="D427" s="3" t="s">
        <v>17</v>
      </c>
      <c r="E427" s="3" t="s">
        <v>484</v>
      </c>
      <c r="F427" s="3" t="s">
        <v>865</v>
      </c>
      <c r="G427" s="4">
        <v>46001</v>
      </c>
      <c r="H427" s="5">
        <f t="shared" si="7"/>
        <v>50</v>
      </c>
      <c r="I427" s="5">
        <f t="shared" si="8"/>
        <v>12</v>
      </c>
      <c r="J427" s="6">
        <f t="shared" si="9"/>
        <v>0.10991898148148148</v>
      </c>
      <c r="K427" s="5" t="str">
        <f t="shared" si="12"/>
        <v>(DS-IBBLR-Benson Town)</v>
      </c>
      <c r="L427" s="5" t="e">
        <f t="array" aca="1" ref="L427" ca="1">_xludf.XLOOKUP(E427,'[1]Migrated Societies Data'!C:C,'[1]Migrated Societies Data'!B:B)</f>
        <v>#NAME?</v>
      </c>
      <c r="M427" s="5" t="e">
        <f t="array" aca="1" ref="M427" ca="1">_xludf.XLOOKUP(E427,'[1]Migrated Societies Data'!C:C,'[1]Migrated Societies Data'!E:E)</f>
        <v>#NAME?</v>
      </c>
      <c r="N427" s="5" t="str">
        <f t="shared" si="10"/>
        <v>Yes</v>
      </c>
      <c r="O427" s="7">
        <f t="shared" si="11"/>
        <v>0.13075231481481481</v>
      </c>
    </row>
    <row r="428" spans="1:15" x14ac:dyDescent="0.25">
      <c r="A428" s="3" t="s">
        <v>486</v>
      </c>
      <c r="B428" s="3" t="s">
        <v>866</v>
      </c>
      <c r="C428" s="3" t="s">
        <v>16</v>
      </c>
      <c r="D428" s="3" t="s">
        <v>17</v>
      </c>
      <c r="E428" s="3" t="s">
        <v>488</v>
      </c>
      <c r="F428" s="3" t="s">
        <v>867</v>
      </c>
      <c r="G428" s="4">
        <v>46001</v>
      </c>
      <c r="H428" s="5">
        <f t="shared" si="7"/>
        <v>50</v>
      </c>
      <c r="I428" s="5">
        <f t="shared" si="8"/>
        <v>12</v>
      </c>
      <c r="J428" s="6">
        <f t="shared" si="9"/>
        <v>9.5173611111111112E-2</v>
      </c>
      <c r="K428" s="5" t="str">
        <f t="shared" si="12"/>
        <v>(DS-IBBLR-Jala halli)</v>
      </c>
      <c r="L428" s="5" t="e">
        <f t="array" aca="1" ref="L428" ca="1">_xludf.XLOOKUP(E428,'[1]Migrated Societies Data'!C:C,'[1]Migrated Societies Data'!B:B)</f>
        <v>#NAME?</v>
      </c>
      <c r="M428" s="5" t="e">
        <f t="array" aca="1" ref="M428" ca="1">_xludf.XLOOKUP(E428,'[1]Migrated Societies Data'!C:C,'[1]Migrated Societies Data'!E:E)</f>
        <v>#NAME?</v>
      </c>
      <c r="N428" s="5" t="str">
        <f t="shared" si="10"/>
        <v>Yes</v>
      </c>
      <c r="O428" s="7">
        <f t="shared" si="11"/>
        <v>0.11600694444444444</v>
      </c>
    </row>
    <row r="429" spans="1:15" x14ac:dyDescent="0.25">
      <c r="A429" s="3" t="s">
        <v>80</v>
      </c>
      <c r="B429" s="3" t="s">
        <v>868</v>
      </c>
      <c r="C429" s="3" t="s">
        <v>16</v>
      </c>
      <c r="D429" s="3" t="s">
        <v>82</v>
      </c>
      <c r="E429" s="3" t="s">
        <v>83</v>
      </c>
      <c r="F429" s="3" t="s">
        <v>869</v>
      </c>
      <c r="G429" s="4">
        <v>46001</v>
      </c>
      <c r="H429" s="5">
        <f t="shared" si="7"/>
        <v>50</v>
      </c>
      <c r="I429" s="5">
        <f t="shared" si="8"/>
        <v>12</v>
      </c>
      <c r="J429" s="6">
        <f t="shared" si="9"/>
        <v>9.8148148148148144E-3</v>
      </c>
      <c r="K429" s="5" t="str">
        <f t="shared" si="12"/>
        <v>(DS-IBBLR-Nagondanahalli )</v>
      </c>
      <c r="L429" s="5" t="e">
        <f t="array" aca="1" ref="L429" ca="1">_xludf.XLOOKUP(E429,'[1]Migrated Societies Data'!C:C,'[1]Migrated Societies Data'!B:B)</f>
        <v>#NAME?</v>
      </c>
      <c r="M429" s="5" t="e">
        <f t="array" aca="1" ref="M429" ca="1">_xludf.XLOOKUP(E429,'[1]Migrated Societies Data'!C:C,'[1]Migrated Societies Data'!E:E)</f>
        <v>#NAME?</v>
      </c>
      <c r="N429" s="5" t="str">
        <f t="shared" si="10"/>
        <v>Yes</v>
      </c>
      <c r="O429" s="7">
        <f t="shared" si="11"/>
        <v>3.0648148148148147E-2</v>
      </c>
    </row>
    <row r="430" spans="1:15" x14ac:dyDescent="0.25">
      <c r="A430" s="3" t="s">
        <v>446</v>
      </c>
      <c r="B430" s="3" t="s">
        <v>870</v>
      </c>
      <c r="C430" s="3" t="s">
        <v>16</v>
      </c>
      <c r="D430" s="3" t="s">
        <v>82</v>
      </c>
      <c r="E430" s="3" t="s">
        <v>448</v>
      </c>
      <c r="F430" s="3" t="s">
        <v>871</v>
      </c>
      <c r="G430" s="4">
        <v>46001</v>
      </c>
      <c r="H430" s="5">
        <f t="shared" si="7"/>
        <v>50</v>
      </c>
      <c r="I430" s="5">
        <f t="shared" si="8"/>
        <v>12</v>
      </c>
      <c r="J430" s="6">
        <f t="shared" si="9"/>
        <v>0.99599537037037034</v>
      </c>
      <c r="K430" s="5" t="str">
        <f t="shared" si="12"/>
        <v>(DS-IBBLR-Jigani)</v>
      </c>
      <c r="L430" s="5" t="e">
        <f t="array" aca="1" ref="L430" ca="1">_xludf.XLOOKUP(E430,'[1]Migrated Societies Data'!C:C,'[1]Migrated Societies Data'!B:B)</f>
        <v>#NAME?</v>
      </c>
      <c r="M430" s="5" t="e">
        <f t="array" aca="1" ref="M430" ca="1">_xludf.XLOOKUP(E430,'[1]Migrated Societies Data'!C:C,'[1]Migrated Societies Data'!E:E)</f>
        <v>#NAME?</v>
      </c>
      <c r="N430" s="5" t="str">
        <f t="shared" si="10"/>
        <v>Yes</v>
      </c>
      <c r="O430" s="7">
        <f t="shared" si="11"/>
        <v>1.6828703703703596E-2</v>
      </c>
    </row>
    <row r="431" spans="1:15" x14ac:dyDescent="0.25">
      <c r="A431" s="3" t="s">
        <v>442</v>
      </c>
      <c r="B431" s="3" t="s">
        <v>872</v>
      </c>
      <c r="C431" s="3" t="s">
        <v>16</v>
      </c>
      <c r="D431" s="3" t="s">
        <v>82</v>
      </c>
      <c r="E431" s="3" t="s">
        <v>444</v>
      </c>
      <c r="F431" s="3" t="s">
        <v>873</v>
      </c>
      <c r="G431" s="4">
        <v>46001</v>
      </c>
      <c r="H431" s="5">
        <f t="shared" si="7"/>
        <v>50</v>
      </c>
      <c r="I431" s="5">
        <f t="shared" si="8"/>
        <v>12</v>
      </c>
      <c r="J431" s="6">
        <f t="shared" si="9"/>
        <v>0.96673611111111113</v>
      </c>
      <c r="K431" s="5" t="str">
        <f t="shared" si="12"/>
        <v>(DS-IBBLR-Chinappalay)</v>
      </c>
      <c r="L431" s="5" t="e">
        <f t="array" aca="1" ref="L431" ca="1">_xludf.XLOOKUP(E431,'[1]Migrated Societies Data'!C:C,'[1]Migrated Societies Data'!B:B)</f>
        <v>#NAME?</v>
      </c>
      <c r="M431" s="5" t="e">
        <f t="array" aca="1" ref="M431" ca="1">_xludf.XLOOKUP(E431,'[1]Migrated Societies Data'!C:C,'[1]Migrated Societies Data'!E:E)</f>
        <v>#NAME?</v>
      </c>
      <c r="N431" s="5" t="str">
        <f t="shared" si="10"/>
        <v>Yes</v>
      </c>
      <c r="O431" s="7">
        <f t="shared" si="11"/>
        <v>0.9875694444444445</v>
      </c>
    </row>
    <row r="432" spans="1:15" x14ac:dyDescent="0.25">
      <c r="A432" s="3" t="s">
        <v>468</v>
      </c>
      <c r="B432" s="3" t="s">
        <v>874</v>
      </c>
      <c r="C432" s="3" t="s">
        <v>16</v>
      </c>
      <c r="D432" s="3" t="s">
        <v>17</v>
      </c>
      <c r="E432" s="3" t="s">
        <v>470</v>
      </c>
      <c r="F432" s="3" t="s">
        <v>875</v>
      </c>
      <c r="G432" s="4">
        <v>46001</v>
      </c>
      <c r="H432" s="5">
        <f t="shared" si="7"/>
        <v>50</v>
      </c>
      <c r="I432" s="5">
        <f t="shared" si="8"/>
        <v>12</v>
      </c>
      <c r="J432" s="6">
        <f t="shared" si="9"/>
        <v>6.1828703703703705E-2</v>
      </c>
      <c r="K432" s="5" t="str">
        <f t="shared" si="12"/>
        <v>(DS-BNBLR-HRBR)</v>
      </c>
      <c r="L432" s="5" t="e">
        <f t="array" aca="1" ref="L432" ca="1">_xludf.XLOOKUP(E432,'[1]Migrated Societies Data'!C:C,'[1]Migrated Societies Data'!B:B)</f>
        <v>#NAME?</v>
      </c>
      <c r="M432" s="5" t="e">
        <f t="array" aca="1" ref="M432" ca="1">_xludf.XLOOKUP(E432,'[1]Migrated Societies Data'!C:C,'[1]Migrated Societies Data'!E:E)</f>
        <v>#NAME?</v>
      </c>
      <c r="N432" s="5" t="str">
        <f t="shared" si="10"/>
        <v>Yes</v>
      </c>
      <c r="O432" s="7">
        <f t="shared" si="11"/>
        <v>8.2662037037037034E-2</v>
      </c>
    </row>
    <row r="433" spans="1:15" x14ac:dyDescent="0.25">
      <c r="A433" s="3" t="s">
        <v>342</v>
      </c>
      <c r="B433" s="3" t="s">
        <v>876</v>
      </c>
      <c r="C433" s="3" t="s">
        <v>16</v>
      </c>
      <c r="D433" s="3" t="s">
        <v>17</v>
      </c>
      <c r="E433" s="3" t="s">
        <v>344</v>
      </c>
      <c r="F433" s="3" t="s">
        <v>877</v>
      </c>
      <c r="G433" s="4">
        <v>46001</v>
      </c>
      <c r="H433" s="5">
        <f t="shared" si="7"/>
        <v>50</v>
      </c>
      <c r="I433" s="5">
        <f t="shared" si="8"/>
        <v>12</v>
      </c>
      <c r="J433" s="6">
        <f t="shared" si="9"/>
        <v>0.10049768518518519</v>
      </c>
      <c r="K433" s="5" t="str">
        <f t="shared" si="12"/>
        <v>(DS-IBBLR-Chikkasandr)</v>
      </c>
      <c r="L433" s="5" t="e">
        <f t="array" aca="1" ref="L433" ca="1">_xludf.XLOOKUP(E433,'[1]Migrated Societies Data'!C:C,'[1]Migrated Societies Data'!B:B)</f>
        <v>#NAME?</v>
      </c>
      <c r="M433" s="5" t="e">
        <f t="array" aca="1" ref="M433" ca="1">_xludf.XLOOKUP(E433,'[1]Migrated Societies Data'!C:C,'[1]Migrated Societies Data'!E:E)</f>
        <v>#NAME?</v>
      </c>
      <c r="N433" s="5" t="str">
        <f t="shared" si="10"/>
        <v>Yes</v>
      </c>
      <c r="O433" s="7">
        <f t="shared" si="11"/>
        <v>0.12133101851851852</v>
      </c>
    </row>
    <row r="434" spans="1:15" x14ac:dyDescent="0.25">
      <c r="A434" s="3" t="s">
        <v>478</v>
      </c>
      <c r="B434" s="3" t="s">
        <v>878</v>
      </c>
      <c r="C434" s="3" t="s">
        <v>16</v>
      </c>
      <c r="D434" s="3" t="s">
        <v>17</v>
      </c>
      <c r="E434" s="3" t="s">
        <v>480</v>
      </c>
      <c r="F434" s="3" t="s">
        <v>879</v>
      </c>
      <c r="G434" s="4">
        <v>46001</v>
      </c>
      <c r="H434" s="5">
        <f t="shared" si="7"/>
        <v>50</v>
      </c>
      <c r="I434" s="5">
        <f t="shared" si="8"/>
        <v>12</v>
      </c>
      <c r="J434" s="6">
        <f t="shared" si="9"/>
        <v>3.8692129629629632E-2</v>
      </c>
      <c r="K434" s="5" t="str">
        <f t="shared" si="12"/>
        <v>(DS-IBBLR-Bellahalli)</v>
      </c>
      <c r="L434" s="5" t="e">
        <f t="array" aca="1" ref="L434" ca="1">_xludf.XLOOKUP(E434,'[1]Migrated Societies Data'!C:C,'[1]Migrated Societies Data'!B:B)</f>
        <v>#NAME?</v>
      </c>
      <c r="M434" s="5" t="e">
        <f t="array" aca="1" ref="M434" ca="1">_xludf.XLOOKUP(E434,'[1]Migrated Societies Data'!C:C,'[1]Migrated Societies Data'!E:E)</f>
        <v>#NAME?</v>
      </c>
      <c r="N434" s="5" t="str">
        <f t="shared" si="10"/>
        <v>Yes</v>
      </c>
      <c r="O434" s="7">
        <f t="shared" si="11"/>
        <v>5.9525462962962961E-2</v>
      </c>
    </row>
    <row r="435" spans="1:15" x14ac:dyDescent="0.25">
      <c r="A435" s="3" t="s">
        <v>14</v>
      </c>
      <c r="B435" s="3" t="s">
        <v>880</v>
      </c>
      <c r="C435" s="3" t="s">
        <v>16</v>
      </c>
      <c r="D435" s="3" t="s">
        <v>17</v>
      </c>
      <c r="E435" s="3" t="s">
        <v>18</v>
      </c>
      <c r="F435" s="3" t="s">
        <v>881</v>
      </c>
      <c r="G435" s="4">
        <v>46001</v>
      </c>
      <c r="H435" s="5">
        <f t="shared" si="7"/>
        <v>50</v>
      </c>
      <c r="I435" s="5">
        <f t="shared" si="8"/>
        <v>12</v>
      </c>
      <c r="J435" s="6">
        <f t="shared" si="9"/>
        <v>2.5266203703703704E-2</v>
      </c>
      <c r="K435" s="5" t="str">
        <f t="shared" si="12"/>
        <v>(DS-IBBLR-Peenya PH-3)</v>
      </c>
      <c r="L435" s="5" t="e">
        <f t="array" aca="1" ref="L435" ca="1">_xludf.XLOOKUP(E435,'[1]Migrated Societies Data'!C:C,'[1]Migrated Societies Data'!B:B)</f>
        <v>#NAME?</v>
      </c>
      <c r="M435" s="5" t="e">
        <f t="array" aca="1" ref="M435" ca="1">_xludf.XLOOKUP(E435,'[1]Migrated Societies Data'!C:C,'[1]Migrated Societies Data'!E:E)</f>
        <v>#NAME?</v>
      </c>
      <c r="N435" s="5" t="str">
        <f t="shared" si="10"/>
        <v>Yes</v>
      </c>
      <c r="O435" s="7">
        <f t="shared" si="11"/>
        <v>4.6099537037037036E-2</v>
      </c>
    </row>
    <row r="436" spans="1:15" x14ac:dyDescent="0.25">
      <c r="A436" s="3" t="s">
        <v>460</v>
      </c>
      <c r="B436" s="3" t="s">
        <v>882</v>
      </c>
      <c r="C436" s="3" t="s">
        <v>16</v>
      </c>
      <c r="D436" s="3" t="s">
        <v>82</v>
      </c>
      <c r="E436" s="3" t="s">
        <v>462</v>
      </c>
      <c r="F436" s="3" t="s">
        <v>883</v>
      </c>
      <c r="G436" s="4">
        <v>46001</v>
      </c>
      <c r="H436" s="5">
        <f t="shared" si="7"/>
        <v>50</v>
      </c>
      <c r="I436" s="5">
        <f t="shared" si="8"/>
        <v>12</v>
      </c>
      <c r="J436" s="6">
        <f t="shared" si="9"/>
        <v>2.1377314814814814E-2</v>
      </c>
      <c r="K436" s="5" t="str">
        <f t="shared" si="12"/>
        <v>(DS-IBBLR-HAL )</v>
      </c>
      <c r="L436" s="5" t="e">
        <f t="array" aca="1" ref="L436" ca="1">_xludf.XLOOKUP(E436,'[1]Migrated Societies Data'!C:C,'[1]Migrated Societies Data'!B:B)</f>
        <v>#NAME?</v>
      </c>
      <c r="M436" s="5" t="e">
        <f t="array" aca="1" ref="M436" ca="1">_xludf.XLOOKUP(E436,'[1]Migrated Societies Data'!C:C,'[1]Migrated Societies Data'!E:E)</f>
        <v>#NAME?</v>
      </c>
      <c r="N436" s="5" t="str">
        <f t="shared" si="10"/>
        <v>Yes</v>
      </c>
      <c r="O436" s="7">
        <f t="shared" si="11"/>
        <v>4.221064814814815E-2</v>
      </c>
    </row>
    <row r="437" spans="1:15" x14ac:dyDescent="0.25">
      <c r="A437" s="3" t="s">
        <v>490</v>
      </c>
      <c r="B437" s="3" t="s">
        <v>884</v>
      </c>
      <c r="C437" s="3" t="s">
        <v>16</v>
      </c>
      <c r="D437" s="3" t="s">
        <v>17</v>
      </c>
      <c r="E437" s="3" t="s">
        <v>492</v>
      </c>
      <c r="F437" s="3" t="s">
        <v>885</v>
      </c>
      <c r="G437" s="4">
        <v>46001</v>
      </c>
      <c r="H437" s="5">
        <f t="shared" si="7"/>
        <v>50</v>
      </c>
      <c r="I437" s="5">
        <f t="shared" si="8"/>
        <v>12</v>
      </c>
      <c r="J437" s="6">
        <f t="shared" si="9"/>
        <v>0.10103009259259259</v>
      </c>
      <c r="K437" s="5" t="str">
        <f t="shared" si="12"/>
        <v>(DS-IBBLR-Devanahalli)</v>
      </c>
      <c r="L437" s="5" t="e">
        <f t="array" aca="1" ref="L437" ca="1">_xludf.XLOOKUP(E437,'[1]Migrated Societies Data'!C:C,'[1]Migrated Societies Data'!B:B)</f>
        <v>#NAME?</v>
      </c>
      <c r="M437" s="5" t="e">
        <f t="array" aca="1" ref="M437" ca="1">_xludf.XLOOKUP(E437,'[1]Migrated Societies Data'!C:C,'[1]Migrated Societies Data'!E:E)</f>
        <v>#NAME?</v>
      </c>
      <c r="N437" s="5" t="str">
        <f t="shared" si="10"/>
        <v>Yes</v>
      </c>
      <c r="O437" s="7">
        <f t="shared" si="11"/>
        <v>0.12186342592592592</v>
      </c>
    </row>
    <row r="438" spans="1:15" x14ac:dyDescent="0.25">
      <c r="A438" s="3" t="s">
        <v>456</v>
      </c>
      <c r="B438" s="3" t="s">
        <v>886</v>
      </c>
      <c r="C438" s="3" t="s">
        <v>16</v>
      </c>
      <c r="D438" s="3" t="s">
        <v>82</v>
      </c>
      <c r="E438" s="3" t="s">
        <v>458</v>
      </c>
      <c r="F438" s="3" t="s">
        <v>887</v>
      </c>
      <c r="G438" s="4">
        <v>46002</v>
      </c>
      <c r="H438" s="5">
        <f t="shared" si="7"/>
        <v>50</v>
      </c>
      <c r="I438" s="5">
        <f t="shared" si="8"/>
        <v>12</v>
      </c>
      <c r="J438" s="6">
        <f t="shared" si="9"/>
        <v>6.3923611111111112E-2</v>
      </c>
      <c r="K438" s="5" t="str">
        <f t="shared" si="12"/>
        <v>(DS-IBBLR-Jakkasandra)</v>
      </c>
      <c r="L438" s="5" t="e">
        <f t="array" aca="1" ref="L438" ca="1">_xludf.XLOOKUP(E438,'[1]Migrated Societies Data'!C:C,'[1]Migrated Societies Data'!B:B)</f>
        <v>#NAME?</v>
      </c>
      <c r="M438" s="5" t="e">
        <f t="array" aca="1" ref="M438" ca="1">_xludf.XLOOKUP(E438,'[1]Migrated Societies Data'!C:C,'[1]Migrated Societies Data'!E:E)</f>
        <v>#NAME?</v>
      </c>
      <c r="N438" s="5" t="str">
        <f t="shared" si="10"/>
        <v>Yes</v>
      </c>
      <c r="O438" s="7">
        <f t="shared" si="11"/>
        <v>8.475694444444444E-2</v>
      </c>
    </row>
    <row r="439" spans="1:15" x14ac:dyDescent="0.25">
      <c r="A439" s="3" t="s">
        <v>472</v>
      </c>
      <c r="B439" s="3" t="s">
        <v>888</v>
      </c>
      <c r="C439" s="3" t="s">
        <v>16</v>
      </c>
      <c r="D439" s="3" t="s">
        <v>17</v>
      </c>
      <c r="E439" s="3" t="s">
        <v>474</v>
      </c>
      <c r="F439" s="3" t="s">
        <v>889</v>
      </c>
      <c r="G439" s="4">
        <v>46002</v>
      </c>
      <c r="H439" s="5">
        <f t="shared" si="7"/>
        <v>50</v>
      </c>
      <c r="I439" s="5">
        <f t="shared" si="8"/>
        <v>12</v>
      </c>
      <c r="J439" s="6">
        <f t="shared" si="9"/>
        <v>0.11229166666666666</v>
      </c>
      <c r="K439" s="5" t="str">
        <f t="shared" si="12"/>
        <v>(DS-IBBLR-Lingarajapu)</v>
      </c>
      <c r="L439" s="5" t="e">
        <f t="array" aca="1" ref="L439" ca="1">_xludf.XLOOKUP(E439,'[1]Migrated Societies Data'!C:C,'[1]Migrated Societies Data'!B:B)</f>
        <v>#NAME?</v>
      </c>
      <c r="M439" s="5" t="e">
        <f t="array" aca="1" ref="M439" ca="1">_xludf.XLOOKUP(E439,'[1]Migrated Societies Data'!C:C,'[1]Migrated Societies Data'!E:E)</f>
        <v>#NAME?</v>
      </c>
      <c r="N439" s="5" t="str">
        <f t="shared" si="10"/>
        <v>Yes</v>
      </c>
      <c r="O439" s="7">
        <f t="shared" si="11"/>
        <v>0.13312499999999999</v>
      </c>
    </row>
    <row r="440" spans="1:15" x14ac:dyDescent="0.25">
      <c r="A440" s="3" t="s">
        <v>490</v>
      </c>
      <c r="B440" s="3" t="s">
        <v>890</v>
      </c>
      <c r="C440" s="3" t="s">
        <v>16</v>
      </c>
      <c r="D440" s="3" t="s">
        <v>17</v>
      </c>
      <c r="E440" s="3" t="s">
        <v>492</v>
      </c>
      <c r="F440" s="3" t="s">
        <v>891</v>
      </c>
      <c r="G440" s="4">
        <v>46002</v>
      </c>
      <c r="H440" s="5">
        <f t="shared" si="7"/>
        <v>50</v>
      </c>
      <c r="I440" s="5">
        <f t="shared" si="8"/>
        <v>12</v>
      </c>
      <c r="J440" s="6">
        <f t="shared" si="9"/>
        <v>8.7199074074074068E-2</v>
      </c>
      <c r="K440" s="5" t="str">
        <f t="shared" si="12"/>
        <v>(DS-IBBLR-Devanahalli)</v>
      </c>
      <c r="L440" s="5" t="e">
        <f t="array" aca="1" ref="L440" ca="1">_xludf.XLOOKUP(E440,'[1]Migrated Societies Data'!C:C,'[1]Migrated Societies Data'!B:B)</f>
        <v>#NAME?</v>
      </c>
      <c r="M440" s="5" t="e">
        <f t="array" aca="1" ref="M440" ca="1">_xludf.XLOOKUP(E440,'[1]Migrated Societies Data'!C:C,'[1]Migrated Societies Data'!E:E)</f>
        <v>#NAME?</v>
      </c>
      <c r="N440" s="5" t="str">
        <f t="shared" si="10"/>
        <v>Yes</v>
      </c>
      <c r="O440" s="7">
        <f t="shared" si="11"/>
        <v>0.1080324074074074</v>
      </c>
    </row>
    <row r="441" spans="1:15" x14ac:dyDescent="0.25">
      <c r="A441" s="3" t="s">
        <v>331</v>
      </c>
      <c r="B441" s="3" t="s">
        <v>892</v>
      </c>
      <c r="C441" s="3" t="s">
        <v>16</v>
      </c>
      <c r="D441" s="3" t="s">
        <v>82</v>
      </c>
      <c r="E441" s="3" t="s">
        <v>333</v>
      </c>
      <c r="F441" s="3" t="s">
        <v>893</v>
      </c>
      <c r="G441" s="4">
        <v>46002</v>
      </c>
      <c r="H441" s="5">
        <f t="shared" si="7"/>
        <v>50</v>
      </c>
      <c r="I441" s="5">
        <f t="shared" si="8"/>
        <v>12</v>
      </c>
      <c r="J441" s="6">
        <f t="shared" si="9"/>
        <v>0.98062499999999997</v>
      </c>
      <c r="K441" s="5" t="str">
        <f t="shared" si="12"/>
        <v>(DS-IBBLR-Attibele)</v>
      </c>
      <c r="L441" s="5" t="e">
        <f t="array" aca="1" ref="L441" ca="1">_xludf.XLOOKUP(E441,'[1]Migrated Societies Data'!C:C,'[1]Migrated Societies Data'!B:B)</f>
        <v>#NAME?</v>
      </c>
      <c r="M441" s="5" t="e">
        <f t="array" aca="1" ref="M441" ca="1">_xludf.XLOOKUP(E441,'[1]Migrated Societies Data'!C:C,'[1]Migrated Societies Data'!E:E)</f>
        <v>#NAME?</v>
      </c>
      <c r="N441" s="5" t="str">
        <f t="shared" si="10"/>
        <v>Yes</v>
      </c>
      <c r="O441" s="7">
        <f t="shared" si="11"/>
        <v>1.4583333333333393E-3</v>
      </c>
    </row>
    <row r="442" spans="1:15" x14ac:dyDescent="0.25">
      <c r="A442" s="3" t="s">
        <v>442</v>
      </c>
      <c r="B442" s="3" t="s">
        <v>894</v>
      </c>
      <c r="C442" s="3" t="s">
        <v>16</v>
      </c>
      <c r="D442" s="3" t="s">
        <v>82</v>
      </c>
      <c r="E442" s="3" t="s">
        <v>444</v>
      </c>
      <c r="F442" s="3" t="s">
        <v>895</v>
      </c>
      <c r="G442" s="4">
        <v>46002</v>
      </c>
      <c r="H442" s="5">
        <f t="shared" si="7"/>
        <v>50</v>
      </c>
      <c r="I442" s="5">
        <f t="shared" si="8"/>
        <v>12</v>
      </c>
      <c r="J442" s="6">
        <f t="shared" si="9"/>
        <v>0.94311342592592595</v>
      </c>
      <c r="K442" s="5" t="str">
        <f t="shared" si="12"/>
        <v>(DS-IBBLR-Chinappalay)</v>
      </c>
      <c r="L442" s="5" t="e">
        <f t="array" aca="1" ref="L442" ca="1">_xludf.XLOOKUP(E442,'[1]Migrated Societies Data'!C:C,'[1]Migrated Societies Data'!B:B)</f>
        <v>#NAME?</v>
      </c>
      <c r="M442" s="5" t="e">
        <f t="array" aca="1" ref="M442" ca="1">_xludf.XLOOKUP(E442,'[1]Migrated Societies Data'!C:C,'[1]Migrated Societies Data'!E:E)</f>
        <v>#NAME?</v>
      </c>
      <c r="N442" s="5" t="str">
        <f t="shared" si="10"/>
        <v>No</v>
      </c>
      <c r="O442" s="7">
        <f t="shared" si="11"/>
        <v>0.96394675925925932</v>
      </c>
    </row>
    <row r="443" spans="1:15" x14ac:dyDescent="0.25">
      <c r="A443" s="3" t="s">
        <v>446</v>
      </c>
      <c r="B443" s="3" t="s">
        <v>896</v>
      </c>
      <c r="C443" s="3" t="s">
        <v>16</v>
      </c>
      <c r="D443" s="3" t="s">
        <v>82</v>
      </c>
      <c r="E443" s="3" t="s">
        <v>448</v>
      </c>
      <c r="F443" s="3" t="s">
        <v>897</v>
      </c>
      <c r="G443" s="4">
        <v>46002</v>
      </c>
      <c r="H443" s="5">
        <f t="shared" si="7"/>
        <v>50</v>
      </c>
      <c r="I443" s="5">
        <f t="shared" si="8"/>
        <v>12</v>
      </c>
      <c r="J443" s="6">
        <f t="shared" si="9"/>
        <v>6.5856481481481478E-3</v>
      </c>
      <c r="K443" s="5" t="str">
        <f t="shared" si="12"/>
        <v>(DS-IBBLR-Jigani)</v>
      </c>
      <c r="L443" s="5" t="e">
        <f t="array" aca="1" ref="L443" ca="1">_xludf.XLOOKUP(E443,'[1]Migrated Societies Data'!C:C,'[1]Migrated Societies Data'!B:B)</f>
        <v>#NAME?</v>
      </c>
      <c r="M443" s="5" t="e">
        <f t="array" aca="1" ref="M443" ca="1">_xludf.XLOOKUP(E443,'[1]Migrated Societies Data'!C:C,'[1]Migrated Societies Data'!E:E)</f>
        <v>#NAME?</v>
      </c>
      <c r="N443" s="5" t="str">
        <f t="shared" si="10"/>
        <v>Yes</v>
      </c>
      <c r="O443" s="7">
        <f t="shared" si="11"/>
        <v>2.7418981481481482E-2</v>
      </c>
    </row>
    <row r="444" spans="1:15" x14ac:dyDescent="0.25">
      <c r="A444" s="3" t="s">
        <v>80</v>
      </c>
      <c r="B444" s="3" t="s">
        <v>898</v>
      </c>
      <c r="C444" s="3" t="s">
        <v>16</v>
      </c>
      <c r="D444" s="3" t="s">
        <v>82</v>
      </c>
      <c r="E444" s="3" t="s">
        <v>83</v>
      </c>
      <c r="F444" s="3" t="s">
        <v>899</v>
      </c>
      <c r="G444" s="4">
        <v>46002</v>
      </c>
      <c r="H444" s="5">
        <f t="shared" si="7"/>
        <v>50</v>
      </c>
      <c r="I444" s="5">
        <f t="shared" si="8"/>
        <v>12</v>
      </c>
      <c r="J444" s="6">
        <f t="shared" si="9"/>
        <v>2.5810185185185185E-3</v>
      </c>
      <c r="K444" s="5" t="str">
        <f t="shared" si="12"/>
        <v>(DS-IBBLR-Nagondanahalli )</v>
      </c>
      <c r="L444" s="5" t="e">
        <f t="array" aca="1" ref="L444" ca="1">_xludf.XLOOKUP(E444,'[1]Migrated Societies Data'!C:C,'[1]Migrated Societies Data'!B:B)</f>
        <v>#NAME?</v>
      </c>
      <c r="M444" s="5" t="e">
        <f t="array" aca="1" ref="M444" ca="1">_xludf.XLOOKUP(E444,'[1]Migrated Societies Data'!C:C,'[1]Migrated Societies Data'!E:E)</f>
        <v>#NAME?</v>
      </c>
      <c r="N444" s="5" t="str">
        <f t="shared" si="10"/>
        <v>Yes</v>
      </c>
      <c r="O444" s="7">
        <f t="shared" si="11"/>
        <v>2.3414351851851849E-2</v>
      </c>
    </row>
    <row r="445" spans="1:15" x14ac:dyDescent="0.25">
      <c r="A445" s="3" t="s">
        <v>456</v>
      </c>
      <c r="B445" s="3" t="s">
        <v>900</v>
      </c>
      <c r="C445" s="3" t="s">
        <v>16</v>
      </c>
      <c r="D445" s="3" t="s">
        <v>82</v>
      </c>
      <c r="E445" s="3" t="s">
        <v>458</v>
      </c>
      <c r="F445" s="3" t="s">
        <v>901</v>
      </c>
      <c r="G445" s="4">
        <v>46002</v>
      </c>
      <c r="H445" s="5">
        <f t="shared" si="7"/>
        <v>50</v>
      </c>
      <c r="I445" s="5">
        <f t="shared" si="8"/>
        <v>12</v>
      </c>
      <c r="J445" s="6">
        <f t="shared" si="9"/>
        <v>4.866898148148148E-2</v>
      </c>
      <c r="K445" s="5" t="str">
        <f t="shared" si="12"/>
        <v>(DS-IBBLR-Jakkasandra)</v>
      </c>
      <c r="L445" s="5" t="e">
        <f t="array" aca="1" ref="L445" ca="1">_xludf.XLOOKUP(E445,'[1]Migrated Societies Data'!C:C,'[1]Migrated Societies Data'!B:B)</f>
        <v>#NAME?</v>
      </c>
      <c r="M445" s="5" t="e">
        <f t="array" aca="1" ref="M445" ca="1">_xludf.XLOOKUP(E445,'[1]Migrated Societies Data'!C:C,'[1]Migrated Societies Data'!E:E)</f>
        <v>#NAME?</v>
      </c>
      <c r="N445" s="5" t="str">
        <f t="shared" si="10"/>
        <v>Yes</v>
      </c>
      <c r="O445" s="7">
        <f t="shared" si="11"/>
        <v>6.9502314814814808E-2</v>
      </c>
    </row>
    <row r="446" spans="1:15" x14ac:dyDescent="0.25">
      <c r="A446" s="3" t="s">
        <v>460</v>
      </c>
      <c r="B446" s="3" t="s">
        <v>902</v>
      </c>
      <c r="C446" s="3" t="s">
        <v>16</v>
      </c>
      <c r="D446" s="3" t="s">
        <v>82</v>
      </c>
      <c r="E446" s="3" t="s">
        <v>462</v>
      </c>
      <c r="F446" s="3" t="s">
        <v>903</v>
      </c>
      <c r="G446" s="4">
        <v>46002</v>
      </c>
      <c r="H446" s="5">
        <f t="shared" si="7"/>
        <v>50</v>
      </c>
      <c r="I446" s="5">
        <f t="shared" si="8"/>
        <v>12</v>
      </c>
      <c r="J446" s="6">
        <f t="shared" si="9"/>
        <v>1.6979166666666667E-2</v>
      </c>
      <c r="K446" s="5" t="str">
        <f t="shared" si="12"/>
        <v>(DS-IBBLR-HAL )</v>
      </c>
      <c r="L446" s="5" t="e">
        <f t="array" aca="1" ref="L446" ca="1">_xludf.XLOOKUP(E446,'[1]Migrated Societies Data'!C:C,'[1]Migrated Societies Data'!B:B)</f>
        <v>#NAME?</v>
      </c>
      <c r="M446" s="5" t="e">
        <f t="array" aca="1" ref="M446" ca="1">_xludf.XLOOKUP(E446,'[1]Migrated Societies Data'!C:C,'[1]Migrated Societies Data'!E:E)</f>
        <v>#NAME?</v>
      </c>
      <c r="N446" s="5" t="str">
        <f t="shared" si="10"/>
        <v>Yes</v>
      </c>
      <c r="O446" s="7">
        <f t="shared" si="11"/>
        <v>3.7812499999999999E-2</v>
      </c>
    </row>
    <row r="447" spans="1:15" x14ac:dyDescent="0.25">
      <c r="A447" s="3" t="s">
        <v>342</v>
      </c>
      <c r="B447" s="3" t="s">
        <v>904</v>
      </c>
      <c r="C447" s="3" t="s">
        <v>16</v>
      </c>
      <c r="D447" s="3" t="s">
        <v>17</v>
      </c>
      <c r="E447" s="3" t="s">
        <v>344</v>
      </c>
      <c r="F447" s="3" t="s">
        <v>905</v>
      </c>
      <c r="G447" s="4">
        <v>46002</v>
      </c>
      <c r="H447" s="5">
        <f t="shared" si="7"/>
        <v>50</v>
      </c>
      <c r="I447" s="5">
        <f t="shared" si="8"/>
        <v>12</v>
      </c>
      <c r="J447" s="6">
        <f t="shared" si="9"/>
        <v>5.9525462962962961E-2</v>
      </c>
      <c r="K447" s="5" t="str">
        <f t="shared" si="12"/>
        <v>(DS-IBBLR-Chikkasandr)</v>
      </c>
      <c r="L447" s="5" t="e">
        <f t="array" aca="1" ref="L447" ca="1">_xludf.XLOOKUP(E447,'[1]Migrated Societies Data'!C:C,'[1]Migrated Societies Data'!B:B)</f>
        <v>#NAME?</v>
      </c>
      <c r="M447" s="5" t="e">
        <f t="array" aca="1" ref="M447" ca="1">_xludf.XLOOKUP(E447,'[1]Migrated Societies Data'!C:C,'[1]Migrated Societies Data'!E:E)</f>
        <v>#NAME?</v>
      </c>
      <c r="N447" s="5" t="str">
        <f t="shared" si="10"/>
        <v>Yes</v>
      </c>
      <c r="O447" s="7">
        <f t="shared" si="11"/>
        <v>8.0358796296296289E-2</v>
      </c>
    </row>
    <row r="448" spans="1:15" x14ac:dyDescent="0.25">
      <c r="A448" s="3" t="s">
        <v>468</v>
      </c>
      <c r="B448" s="3" t="s">
        <v>906</v>
      </c>
      <c r="C448" s="3" t="s">
        <v>16</v>
      </c>
      <c r="D448" s="3" t="s">
        <v>17</v>
      </c>
      <c r="E448" s="3" t="s">
        <v>470</v>
      </c>
      <c r="F448" s="3" t="s">
        <v>907</v>
      </c>
      <c r="G448" s="4">
        <v>46002</v>
      </c>
      <c r="H448" s="5">
        <f t="shared" si="7"/>
        <v>50</v>
      </c>
      <c r="I448" s="5">
        <f t="shared" si="8"/>
        <v>12</v>
      </c>
      <c r="J448" s="6">
        <f t="shared" si="9"/>
        <v>9.7395833333333334E-2</v>
      </c>
      <c r="K448" s="5" t="str">
        <f t="shared" si="12"/>
        <v>(DS-BNBLR-HRBR)</v>
      </c>
      <c r="L448" s="5" t="e">
        <f t="array" aca="1" ref="L448" ca="1">_xludf.XLOOKUP(E448,'[1]Migrated Societies Data'!C:C,'[1]Migrated Societies Data'!B:B)</f>
        <v>#NAME?</v>
      </c>
      <c r="M448" s="5" t="e">
        <f t="array" aca="1" ref="M448" ca="1">_xludf.XLOOKUP(E448,'[1]Migrated Societies Data'!C:C,'[1]Migrated Societies Data'!E:E)</f>
        <v>#NAME?</v>
      </c>
      <c r="N448" s="5" t="str">
        <f t="shared" si="10"/>
        <v>Yes</v>
      </c>
      <c r="O448" s="7">
        <f t="shared" si="11"/>
        <v>0.11822916666666666</v>
      </c>
    </row>
    <row r="449" spans="1:15" x14ac:dyDescent="0.25">
      <c r="A449" s="3" t="s">
        <v>490</v>
      </c>
      <c r="B449" s="3" t="s">
        <v>908</v>
      </c>
      <c r="C449" s="3" t="s">
        <v>16</v>
      </c>
      <c r="D449" s="3" t="s">
        <v>17</v>
      </c>
      <c r="E449" s="3" t="s">
        <v>492</v>
      </c>
      <c r="F449" s="3" t="s">
        <v>909</v>
      </c>
      <c r="G449" s="4">
        <v>46002</v>
      </c>
      <c r="H449" s="5">
        <f t="shared" si="7"/>
        <v>50</v>
      </c>
      <c r="I449" s="5">
        <f t="shared" si="8"/>
        <v>12</v>
      </c>
      <c r="J449" s="6">
        <f t="shared" si="9"/>
        <v>0.1205787037037037</v>
      </c>
      <c r="K449" s="5" t="str">
        <f t="shared" si="12"/>
        <v>(DS-IBBLR-Devanahalli)</v>
      </c>
      <c r="L449" s="5" t="e">
        <f t="array" aca="1" ref="L449" ca="1">_xludf.XLOOKUP(E449,'[1]Migrated Societies Data'!C:C,'[1]Migrated Societies Data'!B:B)</f>
        <v>#NAME?</v>
      </c>
      <c r="M449" s="5" t="e">
        <f t="array" aca="1" ref="M449" ca="1">_xludf.XLOOKUP(E449,'[1]Migrated Societies Data'!C:C,'[1]Migrated Societies Data'!E:E)</f>
        <v>#NAME?</v>
      </c>
      <c r="N449" s="5" t="str">
        <f t="shared" si="10"/>
        <v>Yes</v>
      </c>
      <c r="O449" s="7">
        <f t="shared" si="11"/>
        <v>0.14141203703703703</v>
      </c>
    </row>
    <row r="450" spans="1:15" x14ac:dyDescent="0.25">
      <c r="A450" s="3" t="s">
        <v>478</v>
      </c>
      <c r="B450" s="3" t="s">
        <v>910</v>
      </c>
      <c r="C450" s="3" t="s">
        <v>16</v>
      </c>
      <c r="D450" s="3" t="s">
        <v>17</v>
      </c>
      <c r="E450" s="3" t="s">
        <v>480</v>
      </c>
      <c r="F450" s="3" t="s">
        <v>911</v>
      </c>
      <c r="G450" s="4">
        <v>46002</v>
      </c>
      <c r="H450" s="5">
        <f t="shared" si="7"/>
        <v>50</v>
      </c>
      <c r="I450" s="5">
        <f t="shared" si="8"/>
        <v>12</v>
      </c>
      <c r="J450" s="6">
        <f t="shared" si="9"/>
        <v>7.0266203703703706E-2</v>
      </c>
      <c r="K450" s="5" t="str">
        <f t="shared" si="12"/>
        <v>(DS-IBBLR-Bellahalli)</v>
      </c>
      <c r="L450" s="5" t="e">
        <f t="array" aca="1" ref="L450" ca="1">_xludf.XLOOKUP(E450,'[1]Migrated Societies Data'!C:C,'[1]Migrated Societies Data'!B:B)</f>
        <v>#NAME?</v>
      </c>
      <c r="M450" s="5" t="e">
        <f t="array" aca="1" ref="M450" ca="1">_xludf.XLOOKUP(E450,'[1]Migrated Societies Data'!C:C,'[1]Migrated Societies Data'!E:E)</f>
        <v>#NAME?</v>
      </c>
      <c r="N450" s="5" t="str">
        <f t="shared" si="10"/>
        <v>Yes</v>
      </c>
      <c r="O450" s="7">
        <f t="shared" si="11"/>
        <v>9.1099537037037034E-2</v>
      </c>
    </row>
    <row r="451" spans="1:15" x14ac:dyDescent="0.25">
      <c r="A451" s="3" t="s">
        <v>472</v>
      </c>
      <c r="B451" s="3" t="s">
        <v>912</v>
      </c>
      <c r="C451" s="3" t="s">
        <v>16</v>
      </c>
      <c r="D451" s="3" t="s">
        <v>17</v>
      </c>
      <c r="E451" s="3" t="s">
        <v>474</v>
      </c>
      <c r="F451" s="3" t="s">
        <v>913</v>
      </c>
      <c r="G451" s="4">
        <v>46003</v>
      </c>
      <c r="H451" s="5">
        <f t="shared" si="7"/>
        <v>50</v>
      </c>
      <c r="I451" s="5">
        <f t="shared" si="8"/>
        <v>12</v>
      </c>
      <c r="J451" s="6">
        <f t="shared" si="9"/>
        <v>5.5069444444444442E-2</v>
      </c>
      <c r="K451" s="5" t="str">
        <f t="shared" si="12"/>
        <v>(DS-IBBLR-Lingarajapu)</v>
      </c>
      <c r="L451" s="5" t="e">
        <f t="array" aca="1" ref="L451" ca="1">_xludf.XLOOKUP(E451,'[1]Migrated Societies Data'!C:C,'[1]Migrated Societies Data'!B:B)</f>
        <v>#NAME?</v>
      </c>
      <c r="M451" s="5" t="e">
        <f t="array" aca="1" ref="M451" ca="1">_xludf.XLOOKUP(E451,'[1]Migrated Societies Data'!C:C,'[1]Migrated Societies Data'!E:E)</f>
        <v>#NAME?</v>
      </c>
      <c r="N451" s="5" t="str">
        <f t="shared" si="10"/>
        <v>Yes</v>
      </c>
      <c r="O451" s="7">
        <f t="shared" si="11"/>
        <v>7.5902777777777777E-2</v>
      </c>
    </row>
    <row r="452" spans="1:15" x14ac:dyDescent="0.25">
      <c r="A452" s="3" t="s">
        <v>482</v>
      </c>
      <c r="B452" s="3" t="s">
        <v>914</v>
      </c>
      <c r="C452" s="3" t="s">
        <v>16</v>
      </c>
      <c r="D452" s="3" t="s">
        <v>17</v>
      </c>
      <c r="E452" s="3" t="s">
        <v>484</v>
      </c>
      <c r="F452" s="3" t="s">
        <v>915</v>
      </c>
      <c r="G452" s="4">
        <v>46003</v>
      </c>
      <c r="H452" s="5">
        <f t="shared" si="7"/>
        <v>50</v>
      </c>
      <c r="I452" s="5">
        <f t="shared" si="8"/>
        <v>12</v>
      </c>
      <c r="J452" s="6">
        <f t="shared" si="9"/>
        <v>0.10704861111111111</v>
      </c>
      <c r="K452" s="5" t="str">
        <f t="shared" si="12"/>
        <v>(DS-IBBLR-Benson Town)</v>
      </c>
      <c r="L452" s="5" t="e">
        <f t="array" aca="1" ref="L452" ca="1">_xludf.XLOOKUP(E452,'[1]Migrated Societies Data'!C:C,'[1]Migrated Societies Data'!B:B)</f>
        <v>#NAME?</v>
      </c>
      <c r="M452" s="5" t="e">
        <f t="array" aca="1" ref="M452" ca="1">_xludf.XLOOKUP(E452,'[1]Migrated Societies Data'!C:C,'[1]Migrated Societies Data'!E:E)</f>
        <v>#NAME?</v>
      </c>
      <c r="N452" s="5" t="str">
        <f t="shared" si="10"/>
        <v>Yes</v>
      </c>
      <c r="O452" s="7">
        <f t="shared" si="11"/>
        <v>0.12788194444444445</v>
      </c>
    </row>
    <row r="453" spans="1:15" x14ac:dyDescent="0.25">
      <c r="A453" s="3" t="s">
        <v>486</v>
      </c>
      <c r="B453" s="3" t="s">
        <v>916</v>
      </c>
      <c r="C453" s="3" t="s">
        <v>16</v>
      </c>
      <c r="D453" s="3" t="s">
        <v>17</v>
      </c>
      <c r="E453" s="3" t="s">
        <v>488</v>
      </c>
      <c r="F453" s="3" t="s">
        <v>917</v>
      </c>
      <c r="G453" s="4">
        <v>46003</v>
      </c>
      <c r="H453" s="5">
        <f t="shared" si="7"/>
        <v>50</v>
      </c>
      <c r="I453" s="5">
        <f t="shared" si="8"/>
        <v>12</v>
      </c>
      <c r="J453" s="6">
        <f t="shared" si="9"/>
        <v>0.12737268518518519</v>
      </c>
      <c r="K453" s="5" t="str">
        <f t="shared" si="12"/>
        <v>(DS-IBBLR-Jala halli)</v>
      </c>
      <c r="L453" s="5" t="e">
        <f t="array" aca="1" ref="L453" ca="1">_xludf.XLOOKUP(E453,'[1]Migrated Societies Data'!C:C,'[1]Migrated Societies Data'!B:B)</f>
        <v>#NAME?</v>
      </c>
      <c r="M453" s="5" t="e">
        <f t="array" aca="1" ref="M453" ca="1">_xludf.XLOOKUP(E453,'[1]Migrated Societies Data'!C:C,'[1]Migrated Societies Data'!E:E)</f>
        <v>#NAME?</v>
      </c>
      <c r="N453" s="5" t="str">
        <f t="shared" si="10"/>
        <v>Yes</v>
      </c>
      <c r="O453" s="7">
        <f t="shared" si="11"/>
        <v>0.14820601851851853</v>
      </c>
    </row>
    <row r="454" spans="1:15" x14ac:dyDescent="0.25">
      <c r="A454" s="3" t="s">
        <v>446</v>
      </c>
      <c r="B454" s="3" t="s">
        <v>918</v>
      </c>
      <c r="C454" s="3" t="s">
        <v>16</v>
      </c>
      <c r="D454" s="3" t="s">
        <v>82</v>
      </c>
      <c r="E454" s="3" t="s">
        <v>448</v>
      </c>
      <c r="F454" s="3" t="s">
        <v>919</v>
      </c>
      <c r="G454" s="4">
        <v>46003</v>
      </c>
      <c r="H454" s="5">
        <f t="shared" si="7"/>
        <v>50</v>
      </c>
      <c r="I454" s="5">
        <f t="shared" si="8"/>
        <v>12</v>
      </c>
      <c r="J454" s="6">
        <f t="shared" si="9"/>
        <v>0.99774305555555554</v>
      </c>
      <c r="K454" s="5" t="str">
        <f t="shared" si="12"/>
        <v>(DS-IBBLR-Jigani)</v>
      </c>
      <c r="L454" s="5" t="e">
        <f t="array" aca="1" ref="L454" ca="1">_xludf.XLOOKUP(E454,'[1]Migrated Societies Data'!C:C,'[1]Migrated Societies Data'!B:B)</f>
        <v>#NAME?</v>
      </c>
      <c r="M454" s="5" t="e">
        <f t="array" aca="1" ref="M454" ca="1">_xludf.XLOOKUP(E454,'[1]Migrated Societies Data'!C:C,'[1]Migrated Societies Data'!E:E)</f>
        <v>#NAME?</v>
      </c>
      <c r="N454" s="5" t="str">
        <f t="shared" si="10"/>
        <v>Yes</v>
      </c>
      <c r="O454" s="7">
        <f t="shared" si="11"/>
        <v>1.8576388888888795E-2</v>
      </c>
    </row>
    <row r="455" spans="1:15" x14ac:dyDescent="0.25">
      <c r="A455" s="3" t="s">
        <v>331</v>
      </c>
      <c r="B455" s="3" t="s">
        <v>920</v>
      </c>
      <c r="C455" s="3" t="s">
        <v>16</v>
      </c>
      <c r="D455" s="3" t="s">
        <v>82</v>
      </c>
      <c r="E455" s="3" t="s">
        <v>333</v>
      </c>
      <c r="F455" s="3" t="s">
        <v>921</v>
      </c>
      <c r="G455" s="4">
        <v>46003</v>
      </c>
      <c r="H455" s="5">
        <f t="shared" si="7"/>
        <v>50</v>
      </c>
      <c r="I455" s="5">
        <f t="shared" si="8"/>
        <v>12</v>
      </c>
      <c r="J455" s="6">
        <f t="shared" si="9"/>
        <v>0.99642361111111111</v>
      </c>
      <c r="K455" s="5" t="str">
        <f t="shared" si="12"/>
        <v>(DS-IBBLR-Attibele)</v>
      </c>
      <c r="L455" s="5" t="e">
        <f t="array" aca="1" ref="L455" ca="1">_xludf.XLOOKUP(E455,'[1]Migrated Societies Data'!C:C,'[1]Migrated Societies Data'!B:B)</f>
        <v>#NAME?</v>
      </c>
      <c r="M455" s="5" t="e">
        <f t="array" aca="1" ref="M455" ca="1">_xludf.XLOOKUP(E455,'[1]Migrated Societies Data'!C:C,'[1]Migrated Societies Data'!E:E)</f>
        <v>#NAME?</v>
      </c>
      <c r="N455" s="5" t="str">
        <f t="shared" si="10"/>
        <v>Yes</v>
      </c>
      <c r="O455" s="7">
        <f t="shared" si="11"/>
        <v>1.7256944444444366E-2</v>
      </c>
    </row>
    <row r="456" spans="1:15" x14ac:dyDescent="0.25">
      <c r="A456" s="3" t="s">
        <v>442</v>
      </c>
      <c r="B456" s="3" t="s">
        <v>922</v>
      </c>
      <c r="C456" s="3" t="s">
        <v>16</v>
      </c>
      <c r="D456" s="3" t="s">
        <v>82</v>
      </c>
      <c r="E456" s="3" t="s">
        <v>444</v>
      </c>
      <c r="F456" s="3" t="s">
        <v>923</v>
      </c>
      <c r="G456" s="4">
        <v>46003</v>
      </c>
      <c r="H456" s="5">
        <f t="shared" si="7"/>
        <v>50</v>
      </c>
      <c r="I456" s="5">
        <f t="shared" si="8"/>
        <v>12</v>
      </c>
      <c r="J456" s="6">
        <f t="shared" si="9"/>
        <v>0.98594907407407406</v>
      </c>
      <c r="K456" s="5" t="str">
        <f t="shared" si="12"/>
        <v>(DS-IBBLR-Chinappalay)</v>
      </c>
      <c r="L456" s="5" t="e">
        <f t="array" aca="1" ref="L456" ca="1">_xludf.XLOOKUP(E456,'[1]Migrated Societies Data'!C:C,'[1]Migrated Societies Data'!B:B)</f>
        <v>#NAME?</v>
      </c>
      <c r="M456" s="5" t="e">
        <f t="array" aca="1" ref="M456" ca="1">_xludf.XLOOKUP(E456,'[1]Migrated Societies Data'!C:C,'[1]Migrated Societies Data'!E:E)</f>
        <v>#NAME?</v>
      </c>
      <c r="N456" s="5" t="str">
        <f t="shared" si="10"/>
        <v>Yes</v>
      </c>
      <c r="O456" s="7">
        <f t="shared" si="11"/>
        <v>6.7824074074074314E-3</v>
      </c>
    </row>
    <row r="457" spans="1:15" x14ac:dyDescent="0.25">
      <c r="A457" s="3" t="s">
        <v>80</v>
      </c>
      <c r="B457" s="3" t="s">
        <v>924</v>
      </c>
      <c r="C457" s="3" t="s">
        <v>16</v>
      </c>
      <c r="D457" s="3" t="s">
        <v>82</v>
      </c>
      <c r="E457" s="3" t="s">
        <v>83</v>
      </c>
      <c r="F457" s="3" t="s">
        <v>925</v>
      </c>
      <c r="G457" s="4">
        <v>46003</v>
      </c>
      <c r="H457" s="5">
        <f t="shared" si="7"/>
        <v>50</v>
      </c>
      <c r="I457" s="5">
        <f t="shared" si="8"/>
        <v>12</v>
      </c>
      <c r="J457" s="6">
        <f t="shared" si="9"/>
        <v>2.7141203703703702E-2</v>
      </c>
      <c r="K457" s="5" t="str">
        <f t="shared" si="12"/>
        <v>(DS-IBBLR-Nagondanahalli )</v>
      </c>
      <c r="L457" s="5" t="e">
        <f t="array" aca="1" ref="L457" ca="1">_xludf.XLOOKUP(E457,'[1]Migrated Societies Data'!C:C,'[1]Migrated Societies Data'!B:B)</f>
        <v>#NAME?</v>
      </c>
      <c r="M457" s="5" t="e">
        <f t="array" aca="1" ref="M457" ca="1">_xludf.XLOOKUP(E457,'[1]Migrated Societies Data'!C:C,'[1]Migrated Societies Data'!E:E)</f>
        <v>#NAME?</v>
      </c>
      <c r="N457" s="5" t="str">
        <f t="shared" si="10"/>
        <v>Yes</v>
      </c>
      <c r="O457" s="7">
        <f t="shared" si="11"/>
        <v>4.7974537037037038E-2</v>
      </c>
    </row>
    <row r="458" spans="1:15" x14ac:dyDescent="0.25">
      <c r="A458" s="3" t="s">
        <v>468</v>
      </c>
      <c r="B458" s="3" t="s">
        <v>926</v>
      </c>
      <c r="C458" s="3" t="s">
        <v>16</v>
      </c>
      <c r="D458" s="3" t="s">
        <v>17</v>
      </c>
      <c r="E458" s="3" t="s">
        <v>470</v>
      </c>
      <c r="F458" s="3" t="s">
        <v>927</v>
      </c>
      <c r="G458" s="4">
        <v>46003</v>
      </c>
      <c r="H458" s="5">
        <f t="shared" si="7"/>
        <v>50</v>
      </c>
      <c r="I458" s="5">
        <f t="shared" si="8"/>
        <v>12</v>
      </c>
      <c r="J458" s="6">
        <f t="shared" si="9"/>
        <v>8.6851851851851847E-2</v>
      </c>
      <c r="K458" s="5" t="str">
        <f t="shared" si="12"/>
        <v>(DS-BNBLR-HRBR)</v>
      </c>
      <c r="L458" s="5" t="e">
        <f t="array" aca="1" ref="L458" ca="1">_xludf.XLOOKUP(E458,'[1]Migrated Societies Data'!C:C,'[1]Migrated Societies Data'!B:B)</f>
        <v>#NAME?</v>
      </c>
      <c r="M458" s="5" t="e">
        <f t="array" aca="1" ref="M458" ca="1">_xludf.XLOOKUP(E458,'[1]Migrated Societies Data'!C:C,'[1]Migrated Societies Data'!E:E)</f>
        <v>#NAME?</v>
      </c>
      <c r="N458" s="5" t="str">
        <f t="shared" si="10"/>
        <v>Yes</v>
      </c>
      <c r="O458" s="7">
        <f t="shared" si="11"/>
        <v>0.10768518518518518</v>
      </c>
    </row>
    <row r="459" spans="1:15" x14ac:dyDescent="0.25">
      <c r="A459" s="3" t="s">
        <v>342</v>
      </c>
      <c r="B459" s="3" t="s">
        <v>928</v>
      </c>
      <c r="C459" s="3" t="s">
        <v>16</v>
      </c>
      <c r="D459" s="3" t="s">
        <v>17</v>
      </c>
      <c r="E459" s="3" t="s">
        <v>344</v>
      </c>
      <c r="F459" s="3" t="s">
        <v>929</v>
      </c>
      <c r="G459" s="4">
        <v>46003</v>
      </c>
      <c r="H459" s="5">
        <f t="shared" si="7"/>
        <v>50</v>
      </c>
      <c r="I459" s="5">
        <f t="shared" si="8"/>
        <v>12</v>
      </c>
      <c r="J459" s="6">
        <f t="shared" si="9"/>
        <v>9.3564814814814809E-2</v>
      </c>
      <c r="K459" s="5" t="str">
        <f t="shared" si="12"/>
        <v>(DS-IBBLR-Chikkasandr)</v>
      </c>
      <c r="L459" s="5" t="e">
        <f t="array" aca="1" ref="L459" ca="1">_xludf.XLOOKUP(E459,'[1]Migrated Societies Data'!C:C,'[1]Migrated Societies Data'!B:B)</f>
        <v>#NAME?</v>
      </c>
      <c r="M459" s="5" t="e">
        <f t="array" aca="1" ref="M459" ca="1">_xludf.XLOOKUP(E459,'[1]Migrated Societies Data'!C:C,'[1]Migrated Societies Data'!E:E)</f>
        <v>#NAME?</v>
      </c>
      <c r="N459" s="5" t="str">
        <f t="shared" si="10"/>
        <v>Yes</v>
      </c>
      <c r="O459" s="7">
        <f t="shared" si="11"/>
        <v>0.11439814814814814</v>
      </c>
    </row>
    <row r="460" spans="1:15" x14ac:dyDescent="0.25">
      <c r="A460" s="3" t="s">
        <v>472</v>
      </c>
      <c r="B460" s="3" t="s">
        <v>930</v>
      </c>
      <c r="C460" s="3" t="s">
        <v>16</v>
      </c>
      <c r="D460" s="3" t="s">
        <v>17</v>
      </c>
      <c r="E460" s="3" t="s">
        <v>474</v>
      </c>
      <c r="F460" s="3" t="s">
        <v>931</v>
      </c>
      <c r="G460" s="4">
        <v>46003</v>
      </c>
      <c r="H460" s="5">
        <f t="shared" si="7"/>
        <v>50</v>
      </c>
      <c r="I460" s="5">
        <f t="shared" si="8"/>
        <v>12</v>
      </c>
      <c r="J460" s="6">
        <f t="shared" si="9"/>
        <v>8.8252314814814811E-2</v>
      </c>
      <c r="K460" s="5" t="str">
        <f t="shared" si="12"/>
        <v>(DS-IBBLR-Lingarajapu)</v>
      </c>
      <c r="L460" s="5" t="e">
        <f t="array" aca="1" ref="L460" ca="1">_xludf.XLOOKUP(E460,'[1]Migrated Societies Data'!C:C,'[1]Migrated Societies Data'!B:B)</f>
        <v>#NAME?</v>
      </c>
      <c r="M460" s="5" t="e">
        <f t="array" aca="1" ref="M460" ca="1">_xludf.XLOOKUP(E460,'[1]Migrated Societies Data'!C:C,'[1]Migrated Societies Data'!E:E)</f>
        <v>#NAME?</v>
      </c>
      <c r="N460" s="5" t="str">
        <f t="shared" si="10"/>
        <v>Yes</v>
      </c>
      <c r="O460" s="7">
        <f t="shared" si="11"/>
        <v>0.10908564814814814</v>
      </c>
    </row>
    <row r="461" spans="1:15" x14ac:dyDescent="0.25">
      <c r="A461" s="3" t="s">
        <v>14</v>
      </c>
      <c r="B461" s="3" t="s">
        <v>932</v>
      </c>
      <c r="C461" s="3" t="s">
        <v>16</v>
      </c>
      <c r="D461" s="3" t="s">
        <v>17</v>
      </c>
      <c r="E461" s="3" t="s">
        <v>18</v>
      </c>
      <c r="F461" s="3" t="s">
        <v>933</v>
      </c>
      <c r="G461" s="4">
        <v>46003</v>
      </c>
      <c r="H461" s="5">
        <f t="shared" si="7"/>
        <v>50</v>
      </c>
      <c r="I461" s="5">
        <f t="shared" si="8"/>
        <v>12</v>
      </c>
      <c r="J461" s="6">
        <f t="shared" si="9"/>
        <v>5.935185185185185E-2</v>
      </c>
      <c r="K461" s="5" t="str">
        <f t="shared" si="12"/>
        <v>(DS-IBBLR-Peenya PH-3)</v>
      </c>
      <c r="L461" s="5" t="e">
        <f t="array" aca="1" ref="L461" ca="1">_xludf.XLOOKUP(E461,'[1]Migrated Societies Data'!C:C,'[1]Migrated Societies Data'!B:B)</f>
        <v>#NAME?</v>
      </c>
      <c r="M461" s="5" t="e">
        <f t="array" aca="1" ref="M461" ca="1">_xludf.XLOOKUP(E461,'[1]Migrated Societies Data'!C:C,'[1]Migrated Societies Data'!E:E)</f>
        <v>#NAME?</v>
      </c>
      <c r="N461" s="5" t="str">
        <f t="shared" si="10"/>
        <v>Yes</v>
      </c>
      <c r="O461" s="7">
        <f t="shared" si="11"/>
        <v>8.0185185185185179E-2</v>
      </c>
    </row>
    <row r="462" spans="1:15" x14ac:dyDescent="0.25">
      <c r="A462" s="3" t="s">
        <v>478</v>
      </c>
      <c r="B462" s="3" t="s">
        <v>934</v>
      </c>
      <c r="C462" s="3" t="s">
        <v>16</v>
      </c>
      <c r="D462" s="3" t="s">
        <v>17</v>
      </c>
      <c r="E462" s="3" t="s">
        <v>480</v>
      </c>
      <c r="F462" s="3" t="s">
        <v>935</v>
      </c>
      <c r="G462" s="4">
        <v>46003</v>
      </c>
      <c r="H462" s="5">
        <f t="shared" si="7"/>
        <v>50</v>
      </c>
      <c r="I462" s="5">
        <f t="shared" si="8"/>
        <v>12</v>
      </c>
      <c r="J462" s="6">
        <f t="shared" si="9"/>
        <v>7.947916666666667E-2</v>
      </c>
      <c r="K462" s="5" t="str">
        <f t="shared" si="12"/>
        <v>(DS-IBBLR-Bellahalli)</v>
      </c>
      <c r="L462" s="5" t="e">
        <f t="array" aca="1" ref="L462" ca="1">_xludf.XLOOKUP(E462,'[1]Migrated Societies Data'!C:C,'[1]Migrated Societies Data'!B:B)</f>
        <v>#NAME?</v>
      </c>
      <c r="M462" s="5" t="e">
        <f t="array" aca="1" ref="M462" ca="1">_xludf.XLOOKUP(E462,'[1]Migrated Societies Data'!C:C,'[1]Migrated Societies Data'!E:E)</f>
        <v>#NAME?</v>
      </c>
      <c r="N462" s="5" t="str">
        <f t="shared" si="10"/>
        <v>Yes</v>
      </c>
      <c r="O462" s="7">
        <f t="shared" si="11"/>
        <v>0.1003125</v>
      </c>
    </row>
    <row r="463" spans="1:15" x14ac:dyDescent="0.25">
      <c r="A463" s="3" t="s">
        <v>490</v>
      </c>
      <c r="B463" s="3" t="s">
        <v>936</v>
      </c>
      <c r="C463" s="3" t="s">
        <v>16</v>
      </c>
      <c r="D463" s="3" t="s">
        <v>17</v>
      </c>
      <c r="E463" s="3" t="s">
        <v>492</v>
      </c>
      <c r="F463" s="3" t="s">
        <v>937</v>
      </c>
      <c r="G463" s="4">
        <v>46003</v>
      </c>
      <c r="H463" s="5">
        <f t="shared" si="7"/>
        <v>50</v>
      </c>
      <c r="I463" s="5">
        <f t="shared" si="8"/>
        <v>12</v>
      </c>
      <c r="J463" s="6">
        <f t="shared" si="9"/>
        <v>8.9409722222222224E-2</v>
      </c>
      <c r="K463" s="5" t="str">
        <f t="shared" si="12"/>
        <v>(DS-IBBLR-Devanahalli)</v>
      </c>
      <c r="L463" s="5" t="e">
        <f t="array" aca="1" ref="L463" ca="1">_xludf.XLOOKUP(E463,'[1]Migrated Societies Data'!C:C,'[1]Migrated Societies Data'!B:B)</f>
        <v>#NAME?</v>
      </c>
      <c r="M463" s="5" t="e">
        <f t="array" aca="1" ref="M463" ca="1">_xludf.XLOOKUP(E463,'[1]Migrated Societies Data'!C:C,'[1]Migrated Societies Data'!E:E)</f>
        <v>#NAME?</v>
      </c>
      <c r="N463" s="5" t="str">
        <f t="shared" si="10"/>
        <v>Yes</v>
      </c>
      <c r="O463" s="7">
        <f t="shared" si="11"/>
        <v>0.11024305555555555</v>
      </c>
    </row>
    <row r="464" spans="1:15" x14ac:dyDescent="0.25">
      <c r="A464" s="3" t="s">
        <v>456</v>
      </c>
      <c r="B464" s="3" t="s">
        <v>938</v>
      </c>
      <c r="C464" s="3" t="s">
        <v>16</v>
      </c>
      <c r="D464" s="3" t="s">
        <v>82</v>
      </c>
      <c r="E464" s="3" t="s">
        <v>458</v>
      </c>
      <c r="F464" s="3" t="s">
        <v>939</v>
      </c>
      <c r="G464" s="4">
        <v>46004</v>
      </c>
      <c r="H464" s="5">
        <f t="shared" si="7"/>
        <v>50</v>
      </c>
      <c r="I464" s="5">
        <f t="shared" si="8"/>
        <v>12</v>
      </c>
      <c r="J464" s="6">
        <f t="shared" si="9"/>
        <v>7.8113425925925919E-2</v>
      </c>
      <c r="K464" s="5" t="str">
        <f t="shared" si="12"/>
        <v>(DS-IBBLR-Jakkasandra)</v>
      </c>
      <c r="L464" s="5" t="e">
        <f t="array" aca="1" ref="L464" ca="1">_xludf.XLOOKUP(E464,'[1]Migrated Societies Data'!C:C,'[1]Migrated Societies Data'!B:B)</f>
        <v>#NAME?</v>
      </c>
      <c r="M464" s="5" t="e">
        <f t="array" aca="1" ref="M464" ca="1">_xludf.XLOOKUP(E464,'[1]Migrated Societies Data'!C:C,'[1]Migrated Societies Data'!E:E)</f>
        <v>#NAME?</v>
      </c>
      <c r="N464" s="5" t="str">
        <f t="shared" si="10"/>
        <v>Yes</v>
      </c>
      <c r="O464" s="7">
        <f t="shared" si="11"/>
        <v>9.8946759259259248E-2</v>
      </c>
    </row>
    <row r="465" spans="1:15" x14ac:dyDescent="0.25">
      <c r="A465" s="3" t="s">
        <v>460</v>
      </c>
      <c r="B465" s="3" t="s">
        <v>940</v>
      </c>
      <c r="C465" s="3" t="s">
        <v>16</v>
      </c>
      <c r="D465" s="3" t="s">
        <v>82</v>
      </c>
      <c r="E465" s="3" t="s">
        <v>462</v>
      </c>
      <c r="F465" s="3" t="s">
        <v>941</v>
      </c>
      <c r="G465" s="4">
        <v>46004</v>
      </c>
      <c r="H465" s="5">
        <f t="shared" si="7"/>
        <v>50</v>
      </c>
      <c r="I465" s="5">
        <f t="shared" si="8"/>
        <v>12</v>
      </c>
      <c r="J465" s="6">
        <f t="shared" si="9"/>
        <v>5.8055555555555555E-2</v>
      </c>
      <c r="K465" s="5" t="str">
        <f t="shared" si="12"/>
        <v>(DS-IBBLR-HAL )</v>
      </c>
      <c r="L465" s="5" t="e">
        <f t="array" aca="1" ref="L465" ca="1">_xludf.XLOOKUP(E465,'[1]Migrated Societies Data'!C:C,'[1]Migrated Societies Data'!B:B)</f>
        <v>#NAME?</v>
      </c>
      <c r="M465" s="5" t="e">
        <f t="array" aca="1" ref="M465" ca="1">_xludf.XLOOKUP(E465,'[1]Migrated Societies Data'!C:C,'[1]Migrated Societies Data'!E:E)</f>
        <v>#NAME?</v>
      </c>
      <c r="N465" s="5" t="str">
        <f t="shared" si="10"/>
        <v>Yes</v>
      </c>
      <c r="O465" s="7">
        <f t="shared" si="11"/>
        <v>7.8888888888888883E-2</v>
      </c>
    </row>
    <row r="466" spans="1:15" x14ac:dyDescent="0.25">
      <c r="A466" s="3" t="s">
        <v>446</v>
      </c>
      <c r="B466" s="3" t="s">
        <v>942</v>
      </c>
      <c r="C466" s="3" t="s">
        <v>16</v>
      </c>
      <c r="D466" s="3" t="s">
        <v>82</v>
      </c>
      <c r="E466" s="3" t="s">
        <v>448</v>
      </c>
      <c r="F466" s="3" t="s">
        <v>943</v>
      </c>
      <c r="G466" s="4">
        <v>46004</v>
      </c>
      <c r="H466" s="5">
        <f t="shared" si="7"/>
        <v>50</v>
      </c>
      <c r="I466" s="5">
        <f t="shared" si="8"/>
        <v>12</v>
      </c>
      <c r="J466" s="6">
        <f t="shared" si="9"/>
        <v>9.4837962962962957E-2</v>
      </c>
      <c r="K466" s="5" t="str">
        <f t="shared" si="12"/>
        <v>(DS-IBBLR-Jigani)</v>
      </c>
      <c r="L466" s="5" t="e">
        <f t="array" aca="1" ref="L466" ca="1">_xludf.XLOOKUP(E466,'[1]Migrated Societies Data'!C:C,'[1]Migrated Societies Data'!B:B)</f>
        <v>#NAME?</v>
      </c>
      <c r="M466" s="5" t="e">
        <f t="array" aca="1" ref="M466" ca="1">_xludf.XLOOKUP(E466,'[1]Migrated Societies Data'!C:C,'[1]Migrated Societies Data'!E:E)</f>
        <v>#NAME?</v>
      </c>
      <c r="N466" s="5" t="str">
        <f t="shared" si="10"/>
        <v>Yes</v>
      </c>
      <c r="O466" s="7">
        <f t="shared" si="11"/>
        <v>0.11567129629629629</v>
      </c>
    </row>
    <row r="467" spans="1:15" x14ac:dyDescent="0.25">
      <c r="A467" s="3" t="s">
        <v>482</v>
      </c>
      <c r="B467" s="3" t="s">
        <v>944</v>
      </c>
      <c r="C467" s="3" t="s">
        <v>16</v>
      </c>
      <c r="D467" s="3" t="s">
        <v>17</v>
      </c>
      <c r="E467" s="3" t="s">
        <v>484</v>
      </c>
      <c r="F467" s="3" t="s">
        <v>945</v>
      </c>
      <c r="G467" s="4">
        <v>46004</v>
      </c>
      <c r="H467" s="5">
        <f t="shared" si="7"/>
        <v>50</v>
      </c>
      <c r="I467" s="5">
        <f t="shared" si="8"/>
        <v>12</v>
      </c>
      <c r="J467" s="6">
        <f t="shared" si="9"/>
        <v>0.14226851851851852</v>
      </c>
      <c r="K467" s="5" t="str">
        <f t="shared" si="12"/>
        <v>(DS-IBBLR-Benson Town)</v>
      </c>
      <c r="L467" s="5" t="e">
        <f t="array" aca="1" ref="L467" ca="1">_xludf.XLOOKUP(E467,'[1]Migrated Societies Data'!C:C,'[1]Migrated Societies Data'!B:B)</f>
        <v>#NAME?</v>
      </c>
      <c r="M467" s="5" t="e">
        <f t="array" aca="1" ref="M467" ca="1">_xludf.XLOOKUP(E467,'[1]Migrated Societies Data'!C:C,'[1]Migrated Societies Data'!E:E)</f>
        <v>#NAME?</v>
      </c>
      <c r="N467" s="5" t="str">
        <f t="shared" si="10"/>
        <v>Yes</v>
      </c>
      <c r="O467" s="7">
        <f t="shared" si="11"/>
        <v>0.16310185185185186</v>
      </c>
    </row>
    <row r="468" spans="1:15" x14ac:dyDescent="0.25">
      <c r="A468" s="3" t="s">
        <v>482</v>
      </c>
      <c r="B468" s="3" t="s">
        <v>946</v>
      </c>
      <c r="C468" s="3" t="s">
        <v>16</v>
      </c>
      <c r="D468" s="3" t="s">
        <v>17</v>
      </c>
      <c r="E468" s="3" t="s">
        <v>484</v>
      </c>
      <c r="F468" s="3" t="s">
        <v>947</v>
      </c>
      <c r="G468" s="4">
        <v>46004</v>
      </c>
      <c r="H468" s="5">
        <f t="shared" si="7"/>
        <v>50</v>
      </c>
      <c r="I468" s="5">
        <f t="shared" si="8"/>
        <v>12</v>
      </c>
      <c r="J468" s="6">
        <f t="shared" si="9"/>
        <v>0.14800925925925926</v>
      </c>
      <c r="K468" s="5" t="str">
        <f t="shared" si="12"/>
        <v>(DS-IBBLR-Benson Town)</v>
      </c>
      <c r="L468" s="5" t="e">
        <f t="array" aca="1" ref="L468" ca="1">_xludf.XLOOKUP(E468,'[1]Migrated Societies Data'!C:C,'[1]Migrated Societies Data'!B:B)</f>
        <v>#NAME?</v>
      </c>
      <c r="M468" s="5" t="e">
        <f t="array" aca="1" ref="M468" ca="1">_xludf.XLOOKUP(E468,'[1]Migrated Societies Data'!C:C,'[1]Migrated Societies Data'!E:E)</f>
        <v>#NAME?</v>
      </c>
      <c r="N468" s="5" t="str">
        <f t="shared" si="10"/>
        <v>No</v>
      </c>
      <c r="O468" s="7">
        <f t="shared" si="11"/>
        <v>0.1688425925925926</v>
      </c>
    </row>
    <row r="469" spans="1:15" x14ac:dyDescent="0.25">
      <c r="A469" s="3" t="s">
        <v>486</v>
      </c>
      <c r="B469" s="3" t="s">
        <v>948</v>
      </c>
      <c r="C469" s="3" t="s">
        <v>16</v>
      </c>
      <c r="D469" s="3" t="s">
        <v>17</v>
      </c>
      <c r="E469" s="3" t="s">
        <v>488</v>
      </c>
      <c r="F469" s="3" t="s">
        <v>949</v>
      </c>
      <c r="G469" s="4">
        <v>46004</v>
      </c>
      <c r="H469" s="5">
        <f t="shared" si="7"/>
        <v>50</v>
      </c>
      <c r="I469" s="5">
        <f t="shared" si="8"/>
        <v>12</v>
      </c>
      <c r="J469" s="6">
        <f t="shared" si="9"/>
        <v>0.13879629629629631</v>
      </c>
      <c r="K469" s="5" t="str">
        <f t="shared" si="12"/>
        <v>(DS-IBBLR-Jala halli)</v>
      </c>
      <c r="L469" s="5" t="e">
        <f t="array" aca="1" ref="L469" ca="1">_xludf.XLOOKUP(E469,'[1]Migrated Societies Data'!C:C,'[1]Migrated Societies Data'!B:B)</f>
        <v>#NAME?</v>
      </c>
      <c r="M469" s="5" t="e">
        <f t="array" aca="1" ref="M469" ca="1">_xludf.XLOOKUP(E469,'[1]Migrated Societies Data'!C:C,'[1]Migrated Societies Data'!E:E)</f>
        <v>#NAME?</v>
      </c>
      <c r="N469" s="5" t="str">
        <f t="shared" si="10"/>
        <v>Yes</v>
      </c>
      <c r="O469" s="7">
        <f t="shared" si="11"/>
        <v>0.15962962962962965</v>
      </c>
    </row>
    <row r="470" spans="1:15" x14ac:dyDescent="0.25">
      <c r="A470" s="3" t="s">
        <v>446</v>
      </c>
      <c r="B470" s="3" t="s">
        <v>950</v>
      </c>
      <c r="C470" s="3" t="s">
        <v>16</v>
      </c>
      <c r="D470" s="3" t="s">
        <v>82</v>
      </c>
      <c r="E470" s="3" t="s">
        <v>448</v>
      </c>
      <c r="F470" s="3" t="s">
        <v>951</v>
      </c>
      <c r="G470" s="4">
        <v>46004</v>
      </c>
      <c r="H470" s="5">
        <f t="shared" si="7"/>
        <v>50</v>
      </c>
      <c r="I470" s="5">
        <f t="shared" si="8"/>
        <v>12</v>
      </c>
      <c r="J470" s="6">
        <f t="shared" si="9"/>
        <v>1.59375E-2</v>
      </c>
      <c r="K470" s="5" t="str">
        <f t="shared" si="12"/>
        <v>(DS-IBBLR-Jigani)</v>
      </c>
      <c r="L470" s="5" t="e">
        <f t="array" aca="1" ref="L470" ca="1">_xludf.XLOOKUP(E470,'[1]Migrated Societies Data'!C:C,'[1]Migrated Societies Data'!B:B)</f>
        <v>#NAME?</v>
      </c>
      <c r="M470" s="5" t="e">
        <f t="array" aca="1" ref="M470" ca="1">_xludf.XLOOKUP(E470,'[1]Migrated Societies Data'!C:C,'[1]Migrated Societies Data'!E:E)</f>
        <v>#NAME?</v>
      </c>
      <c r="N470" s="5" t="str">
        <f t="shared" si="10"/>
        <v>Yes</v>
      </c>
      <c r="O470" s="7">
        <f t="shared" si="11"/>
        <v>3.6770833333333336E-2</v>
      </c>
    </row>
    <row r="471" spans="1:15" x14ac:dyDescent="0.25">
      <c r="A471" s="3" t="s">
        <v>442</v>
      </c>
      <c r="B471" s="3" t="s">
        <v>952</v>
      </c>
      <c r="C471" s="3" t="s">
        <v>16</v>
      </c>
      <c r="D471" s="3" t="s">
        <v>82</v>
      </c>
      <c r="E471" s="3" t="s">
        <v>444</v>
      </c>
      <c r="F471" s="3" t="s">
        <v>953</v>
      </c>
      <c r="G471" s="4">
        <v>46004</v>
      </c>
      <c r="H471" s="5">
        <f t="shared" si="7"/>
        <v>50</v>
      </c>
      <c r="I471" s="5">
        <f t="shared" si="8"/>
        <v>12</v>
      </c>
      <c r="J471" s="6">
        <f t="shared" si="9"/>
        <v>0.97207175925925926</v>
      </c>
      <c r="K471" s="5" t="str">
        <f t="shared" si="12"/>
        <v>(DS-IBBLR-Chinappalay)</v>
      </c>
      <c r="L471" s="5" t="e">
        <f t="array" aca="1" ref="L471" ca="1">_xludf.XLOOKUP(E471,'[1]Migrated Societies Data'!C:C,'[1]Migrated Societies Data'!B:B)</f>
        <v>#NAME?</v>
      </c>
      <c r="M471" s="5" t="e">
        <f t="array" aca="1" ref="M471" ca="1">_xludf.XLOOKUP(E471,'[1]Migrated Societies Data'!C:C,'[1]Migrated Societies Data'!E:E)</f>
        <v>#NAME?</v>
      </c>
      <c r="N471" s="5" t="str">
        <f t="shared" si="10"/>
        <v>Yes</v>
      </c>
      <c r="O471" s="7">
        <f t="shared" si="11"/>
        <v>0.99290509259259263</v>
      </c>
    </row>
    <row r="472" spans="1:15" x14ac:dyDescent="0.25">
      <c r="A472" s="3" t="s">
        <v>331</v>
      </c>
      <c r="B472" s="3" t="s">
        <v>954</v>
      </c>
      <c r="C472" s="3" t="s">
        <v>16</v>
      </c>
      <c r="D472" s="3" t="s">
        <v>82</v>
      </c>
      <c r="E472" s="3" t="s">
        <v>333</v>
      </c>
      <c r="F472" s="3" t="s">
        <v>955</v>
      </c>
      <c r="G472" s="4">
        <v>46004</v>
      </c>
      <c r="H472" s="5">
        <f t="shared" si="7"/>
        <v>50</v>
      </c>
      <c r="I472" s="5">
        <f t="shared" si="8"/>
        <v>12</v>
      </c>
      <c r="J472" s="6">
        <f t="shared" si="9"/>
        <v>0.9953819444444445</v>
      </c>
      <c r="K472" s="5" t="str">
        <f t="shared" si="12"/>
        <v>(DS-IBBLR-Attibele)</v>
      </c>
      <c r="L472" s="5" t="e">
        <f t="array" aca="1" ref="L472" ca="1">_xludf.XLOOKUP(E472,'[1]Migrated Societies Data'!C:C,'[1]Migrated Societies Data'!B:B)</f>
        <v>#NAME?</v>
      </c>
      <c r="M472" s="5" t="e">
        <f t="array" aca="1" ref="M472" ca="1">_xludf.XLOOKUP(E472,'[1]Migrated Societies Data'!C:C,'[1]Migrated Societies Data'!E:E)</f>
        <v>#NAME?</v>
      </c>
      <c r="N472" s="5" t="str">
        <f t="shared" si="10"/>
        <v>Yes</v>
      </c>
      <c r="O472" s="7">
        <f t="shared" si="11"/>
        <v>1.6215277777777759E-2</v>
      </c>
    </row>
    <row r="473" spans="1:15" x14ac:dyDescent="0.25">
      <c r="A473" s="3" t="s">
        <v>468</v>
      </c>
      <c r="B473" s="3" t="s">
        <v>956</v>
      </c>
      <c r="C473" s="3" t="s">
        <v>16</v>
      </c>
      <c r="D473" s="3" t="s">
        <v>17</v>
      </c>
      <c r="E473" s="3" t="s">
        <v>470</v>
      </c>
      <c r="F473" s="3" t="s">
        <v>957</v>
      </c>
      <c r="G473" s="4">
        <v>46004</v>
      </c>
      <c r="H473" s="5">
        <f t="shared" si="7"/>
        <v>50</v>
      </c>
      <c r="I473" s="5">
        <f t="shared" si="8"/>
        <v>12</v>
      </c>
      <c r="J473" s="6">
        <f t="shared" si="9"/>
        <v>6.0358796296296299E-2</v>
      </c>
      <c r="K473" s="5" t="str">
        <f t="shared" si="12"/>
        <v>(DS-BNBLR-HRBR)</v>
      </c>
      <c r="L473" s="5" t="e">
        <f t="array" aca="1" ref="L473" ca="1">_xludf.XLOOKUP(E473,'[1]Migrated Societies Data'!C:C,'[1]Migrated Societies Data'!B:B)</f>
        <v>#NAME?</v>
      </c>
      <c r="M473" s="5" t="e">
        <f t="array" aca="1" ref="M473" ca="1">_xludf.XLOOKUP(E473,'[1]Migrated Societies Data'!C:C,'[1]Migrated Societies Data'!E:E)</f>
        <v>#NAME?</v>
      </c>
      <c r="N473" s="5" t="str">
        <f t="shared" si="10"/>
        <v>Yes</v>
      </c>
      <c r="O473" s="7">
        <f t="shared" si="11"/>
        <v>8.1192129629629628E-2</v>
      </c>
    </row>
    <row r="474" spans="1:15" x14ac:dyDescent="0.25">
      <c r="A474" s="3" t="s">
        <v>14</v>
      </c>
      <c r="B474" s="3" t="s">
        <v>958</v>
      </c>
      <c r="C474" s="3" t="s">
        <v>16</v>
      </c>
      <c r="D474" s="3" t="s">
        <v>17</v>
      </c>
      <c r="E474" s="3" t="s">
        <v>18</v>
      </c>
      <c r="F474" s="3" t="s">
        <v>959</v>
      </c>
      <c r="G474" s="4">
        <v>46004</v>
      </c>
      <c r="H474" s="5">
        <f t="shared" si="7"/>
        <v>50</v>
      </c>
      <c r="I474" s="5">
        <f t="shared" si="8"/>
        <v>12</v>
      </c>
      <c r="J474" s="6">
        <f t="shared" si="9"/>
        <v>3.4942129629629629E-2</v>
      </c>
      <c r="K474" s="5" t="str">
        <f t="shared" si="12"/>
        <v>(DS-IBBLR-Peenya PH-3)</v>
      </c>
      <c r="L474" s="5" t="e">
        <f t="array" aca="1" ref="L474" ca="1">_xludf.XLOOKUP(E474,'[1]Migrated Societies Data'!C:C,'[1]Migrated Societies Data'!B:B)</f>
        <v>#NAME?</v>
      </c>
      <c r="M474" s="5" t="e">
        <f t="array" aca="1" ref="M474" ca="1">_xludf.XLOOKUP(E474,'[1]Migrated Societies Data'!C:C,'[1]Migrated Societies Data'!E:E)</f>
        <v>#NAME?</v>
      </c>
      <c r="N474" s="5" t="str">
        <f t="shared" si="10"/>
        <v>Yes</v>
      </c>
      <c r="O474" s="7">
        <f t="shared" si="11"/>
        <v>5.5775462962962957E-2</v>
      </c>
    </row>
    <row r="475" spans="1:15" x14ac:dyDescent="0.25">
      <c r="A475" s="3" t="s">
        <v>472</v>
      </c>
      <c r="B475" s="3" t="s">
        <v>960</v>
      </c>
      <c r="C475" s="3" t="s">
        <v>16</v>
      </c>
      <c r="D475" s="3" t="s">
        <v>17</v>
      </c>
      <c r="E475" s="3" t="s">
        <v>474</v>
      </c>
      <c r="F475" s="3" t="s">
        <v>961</v>
      </c>
      <c r="G475" s="4">
        <v>46004</v>
      </c>
      <c r="H475" s="5">
        <f t="shared" si="7"/>
        <v>50</v>
      </c>
      <c r="I475" s="5">
        <f t="shared" si="8"/>
        <v>12</v>
      </c>
      <c r="J475" s="6">
        <f t="shared" si="9"/>
        <v>4.2314814814814812E-2</v>
      </c>
      <c r="K475" s="5" t="str">
        <f t="shared" si="12"/>
        <v>(DS-IBBLR-Lingarajapu)</v>
      </c>
      <c r="L475" s="5" t="e">
        <f t="array" aca="1" ref="L475" ca="1">_xludf.XLOOKUP(E475,'[1]Migrated Societies Data'!C:C,'[1]Migrated Societies Data'!B:B)</f>
        <v>#NAME?</v>
      </c>
      <c r="M475" s="5" t="e">
        <f t="array" aca="1" ref="M475" ca="1">_xludf.XLOOKUP(E475,'[1]Migrated Societies Data'!C:C,'[1]Migrated Societies Data'!E:E)</f>
        <v>#NAME?</v>
      </c>
      <c r="N475" s="5" t="str">
        <f t="shared" si="10"/>
        <v>Yes</v>
      </c>
      <c r="O475" s="7">
        <f t="shared" si="11"/>
        <v>6.3148148148148148E-2</v>
      </c>
    </row>
    <row r="476" spans="1:15" x14ac:dyDescent="0.25">
      <c r="A476" s="3" t="s">
        <v>342</v>
      </c>
      <c r="B476" s="3" t="s">
        <v>962</v>
      </c>
      <c r="C476" s="3" t="s">
        <v>16</v>
      </c>
      <c r="D476" s="3" t="s">
        <v>17</v>
      </c>
      <c r="E476" s="3" t="s">
        <v>344</v>
      </c>
      <c r="F476" s="3" t="s">
        <v>963</v>
      </c>
      <c r="G476" s="4">
        <v>46004</v>
      </c>
      <c r="H476" s="5">
        <f t="shared" si="7"/>
        <v>50</v>
      </c>
      <c r="I476" s="5">
        <f t="shared" si="8"/>
        <v>12</v>
      </c>
      <c r="J476" s="6">
        <f t="shared" si="9"/>
        <v>3.7604166666666668E-2</v>
      </c>
      <c r="K476" s="5" t="str">
        <f t="shared" si="12"/>
        <v>(DS-IBBLR-Chikkasandr)</v>
      </c>
      <c r="L476" s="5" t="e">
        <f t="array" aca="1" ref="L476" ca="1">_xludf.XLOOKUP(E476,'[1]Migrated Societies Data'!C:C,'[1]Migrated Societies Data'!B:B)</f>
        <v>#NAME?</v>
      </c>
      <c r="M476" s="5" t="e">
        <f t="array" aca="1" ref="M476" ca="1">_xludf.XLOOKUP(E476,'[1]Migrated Societies Data'!C:C,'[1]Migrated Societies Data'!E:E)</f>
        <v>#NAME?</v>
      </c>
      <c r="N476" s="5" t="str">
        <f t="shared" si="10"/>
        <v>Yes</v>
      </c>
      <c r="O476" s="7">
        <f t="shared" si="11"/>
        <v>5.8437500000000003E-2</v>
      </c>
    </row>
    <row r="477" spans="1:15" x14ac:dyDescent="0.25">
      <c r="A477" s="3" t="s">
        <v>490</v>
      </c>
      <c r="B477" s="3" t="s">
        <v>964</v>
      </c>
      <c r="C477" s="3" t="s">
        <v>16</v>
      </c>
      <c r="D477" s="3" t="s">
        <v>17</v>
      </c>
      <c r="E477" s="3" t="s">
        <v>492</v>
      </c>
      <c r="F477" s="3" t="s">
        <v>965</v>
      </c>
      <c r="G477" s="4">
        <v>46004</v>
      </c>
      <c r="H477" s="5">
        <f t="shared" si="7"/>
        <v>50</v>
      </c>
      <c r="I477" s="5">
        <f t="shared" si="8"/>
        <v>12</v>
      </c>
      <c r="J477" s="6">
        <f t="shared" si="9"/>
        <v>0.11021990740740741</v>
      </c>
      <c r="K477" s="5" t="str">
        <f t="shared" si="12"/>
        <v>(DS-IBBLR-Devanahalli)</v>
      </c>
      <c r="L477" s="5" t="e">
        <f t="array" aca="1" ref="L477" ca="1">_xludf.XLOOKUP(E477,'[1]Migrated Societies Data'!C:C,'[1]Migrated Societies Data'!B:B)</f>
        <v>#NAME?</v>
      </c>
      <c r="M477" s="5" t="e">
        <f t="array" aca="1" ref="M477" ca="1">_xludf.XLOOKUP(E477,'[1]Migrated Societies Data'!C:C,'[1]Migrated Societies Data'!E:E)</f>
        <v>#NAME?</v>
      </c>
      <c r="N477" s="5" t="str">
        <f t="shared" si="10"/>
        <v>Yes</v>
      </c>
      <c r="O477" s="7">
        <f t="shared" si="11"/>
        <v>0.13105324074074073</v>
      </c>
    </row>
    <row r="478" spans="1:15" x14ac:dyDescent="0.25">
      <c r="A478" s="3" t="s">
        <v>478</v>
      </c>
      <c r="B478" s="3" t="s">
        <v>966</v>
      </c>
      <c r="C478" s="3" t="s">
        <v>16</v>
      </c>
      <c r="D478" s="3" t="s">
        <v>17</v>
      </c>
      <c r="E478" s="3" t="s">
        <v>480</v>
      </c>
      <c r="F478" s="3" t="s">
        <v>967</v>
      </c>
      <c r="G478" s="4">
        <v>46004</v>
      </c>
      <c r="H478" s="5">
        <f t="shared" si="7"/>
        <v>50</v>
      </c>
      <c r="I478" s="5">
        <f t="shared" si="8"/>
        <v>12</v>
      </c>
      <c r="J478" s="6">
        <f t="shared" si="9"/>
        <v>7.2835648148148149E-2</v>
      </c>
      <c r="K478" s="5" t="str">
        <f t="shared" si="12"/>
        <v>(DS-IBBLR-Bellahalli)</v>
      </c>
      <c r="L478" s="5" t="e">
        <f t="array" aca="1" ref="L478" ca="1">_xludf.XLOOKUP(E478,'[1]Migrated Societies Data'!C:C,'[1]Migrated Societies Data'!B:B)</f>
        <v>#NAME?</v>
      </c>
      <c r="M478" s="5" t="e">
        <f t="array" aca="1" ref="M478" ca="1">_xludf.XLOOKUP(E478,'[1]Migrated Societies Data'!C:C,'[1]Migrated Societies Data'!E:E)</f>
        <v>#NAME?</v>
      </c>
      <c r="N478" s="5" t="str">
        <f t="shared" si="10"/>
        <v>Yes</v>
      </c>
      <c r="O478" s="7">
        <f t="shared" si="11"/>
        <v>9.3668981481481478E-2</v>
      </c>
    </row>
    <row r="479" spans="1:15" x14ac:dyDescent="0.25">
      <c r="A479" s="3" t="s">
        <v>460</v>
      </c>
      <c r="B479" s="3" t="s">
        <v>968</v>
      </c>
      <c r="C479" s="3" t="s">
        <v>16</v>
      </c>
      <c r="D479" s="3" t="s">
        <v>82</v>
      </c>
      <c r="E479" s="3" t="s">
        <v>462</v>
      </c>
      <c r="F479" s="3" t="s">
        <v>969</v>
      </c>
      <c r="G479" s="4">
        <v>46005</v>
      </c>
      <c r="H479" s="5">
        <f t="shared" si="7"/>
        <v>50</v>
      </c>
      <c r="I479" s="5">
        <f t="shared" si="8"/>
        <v>12</v>
      </c>
      <c r="J479" s="6">
        <f t="shared" si="9"/>
        <v>5.2951388888888888E-2</v>
      </c>
      <c r="K479" s="5" t="str">
        <f t="shared" si="12"/>
        <v>(DS-IBBLR-HAL )</v>
      </c>
      <c r="L479" s="5" t="e">
        <f t="array" aca="1" ref="L479" ca="1">_xludf.XLOOKUP(E479,'[1]Migrated Societies Data'!C:C,'[1]Migrated Societies Data'!B:B)</f>
        <v>#NAME?</v>
      </c>
      <c r="M479" s="5" t="e">
        <f t="array" aca="1" ref="M479" ca="1">_xludf.XLOOKUP(E479,'[1]Migrated Societies Data'!C:C,'[1]Migrated Societies Data'!E:E)</f>
        <v>#NAME?</v>
      </c>
      <c r="N479" s="5" t="str">
        <f t="shared" si="10"/>
        <v>Yes</v>
      </c>
      <c r="O479" s="7">
        <f t="shared" si="11"/>
        <v>7.3784722222222224E-2</v>
      </c>
    </row>
    <row r="480" spans="1:15" x14ac:dyDescent="0.25">
      <c r="A480" s="3" t="s">
        <v>14</v>
      </c>
      <c r="B480" s="3" t="s">
        <v>970</v>
      </c>
      <c r="C480" s="3" t="s">
        <v>16</v>
      </c>
      <c r="D480" s="3" t="s">
        <v>17</v>
      </c>
      <c r="E480" s="3" t="s">
        <v>18</v>
      </c>
      <c r="F480" s="3" t="s">
        <v>971</v>
      </c>
      <c r="G480" s="4">
        <v>46005</v>
      </c>
      <c r="H480" s="5">
        <f t="shared" si="7"/>
        <v>50</v>
      </c>
      <c r="I480" s="5">
        <f t="shared" si="8"/>
        <v>12</v>
      </c>
      <c r="J480" s="6">
        <f t="shared" si="9"/>
        <v>3.6516203703703703E-2</v>
      </c>
      <c r="K480" s="5" t="str">
        <f t="shared" si="12"/>
        <v>(DS-IBBLR-Peenya PH-3)</v>
      </c>
      <c r="L480" s="5" t="e">
        <f t="array" aca="1" ref="L480" ca="1">_xludf.XLOOKUP(E480,'[1]Migrated Societies Data'!C:C,'[1]Migrated Societies Data'!B:B)</f>
        <v>#NAME?</v>
      </c>
      <c r="M480" s="5" t="e">
        <f t="array" aca="1" ref="M480" ca="1">_xludf.XLOOKUP(E480,'[1]Migrated Societies Data'!C:C,'[1]Migrated Societies Data'!E:E)</f>
        <v>#NAME?</v>
      </c>
      <c r="N480" s="5" t="str">
        <f t="shared" si="10"/>
        <v>Yes</v>
      </c>
      <c r="O480" s="7">
        <f t="shared" si="11"/>
        <v>5.7349537037037032E-2</v>
      </c>
    </row>
    <row r="481" spans="1:15" x14ac:dyDescent="0.25">
      <c r="A481" s="3" t="s">
        <v>456</v>
      </c>
      <c r="B481" s="3" t="s">
        <v>972</v>
      </c>
      <c r="C481" s="3" t="s">
        <v>16</v>
      </c>
      <c r="D481" s="3" t="s">
        <v>82</v>
      </c>
      <c r="E481" s="3" t="s">
        <v>458</v>
      </c>
      <c r="F481" s="3" t="s">
        <v>973</v>
      </c>
      <c r="G481" s="4">
        <v>46005</v>
      </c>
      <c r="H481" s="5">
        <f t="shared" si="7"/>
        <v>50</v>
      </c>
      <c r="I481" s="5">
        <f t="shared" si="8"/>
        <v>12</v>
      </c>
      <c r="J481" s="6">
        <f t="shared" si="9"/>
        <v>8.099537037037037E-2</v>
      </c>
      <c r="K481" s="5" t="str">
        <f t="shared" si="12"/>
        <v>(DS-IBBLR-Jakkasandra)</v>
      </c>
      <c r="L481" s="5" t="e">
        <f t="array" aca="1" ref="L481" ca="1">_xludf.XLOOKUP(E481,'[1]Migrated Societies Data'!C:C,'[1]Migrated Societies Data'!B:B)</f>
        <v>#NAME?</v>
      </c>
      <c r="M481" s="5" t="e">
        <f t="array" aca="1" ref="M481" ca="1">_xludf.XLOOKUP(E481,'[1]Migrated Societies Data'!C:C,'[1]Migrated Societies Data'!E:E)</f>
        <v>#NAME?</v>
      </c>
      <c r="N481" s="5" t="str">
        <f t="shared" si="10"/>
        <v>Yes</v>
      </c>
      <c r="O481" s="7">
        <f t="shared" si="11"/>
        <v>0.1018287037037037</v>
      </c>
    </row>
    <row r="482" spans="1:15" x14ac:dyDescent="0.25">
      <c r="A482" s="3" t="s">
        <v>486</v>
      </c>
      <c r="B482" s="3" t="s">
        <v>974</v>
      </c>
      <c r="C482" s="3" t="s">
        <v>16</v>
      </c>
      <c r="D482" s="3" t="s">
        <v>17</v>
      </c>
      <c r="E482" s="3" t="s">
        <v>488</v>
      </c>
      <c r="F482" s="3" t="s">
        <v>975</v>
      </c>
      <c r="G482" s="4">
        <v>46005</v>
      </c>
      <c r="H482" s="5">
        <f t="shared" si="7"/>
        <v>50</v>
      </c>
      <c r="I482" s="5">
        <f t="shared" si="8"/>
        <v>12</v>
      </c>
      <c r="J482" s="6">
        <f t="shared" si="9"/>
        <v>8.3877314814814821E-2</v>
      </c>
      <c r="K482" s="5" t="str">
        <f t="shared" si="12"/>
        <v>(DS-IBBLR-Jala halli)</v>
      </c>
      <c r="L482" s="5" t="e">
        <f t="array" aca="1" ref="L482" ca="1">_xludf.XLOOKUP(E482,'[1]Migrated Societies Data'!C:C,'[1]Migrated Societies Data'!B:B)</f>
        <v>#NAME?</v>
      </c>
      <c r="M482" s="5" t="e">
        <f t="array" aca="1" ref="M482" ca="1">_xludf.XLOOKUP(E482,'[1]Migrated Societies Data'!C:C,'[1]Migrated Societies Data'!E:E)</f>
        <v>#NAME?</v>
      </c>
      <c r="N482" s="5" t="str">
        <f t="shared" si="10"/>
        <v>Yes</v>
      </c>
      <c r="O482" s="7">
        <f t="shared" si="11"/>
        <v>0.10471064814814815</v>
      </c>
    </row>
    <row r="483" spans="1:15" x14ac:dyDescent="0.25">
      <c r="A483" s="3" t="s">
        <v>482</v>
      </c>
      <c r="B483" s="3" t="s">
        <v>976</v>
      </c>
      <c r="C483" s="3" t="s">
        <v>16</v>
      </c>
      <c r="D483" s="3" t="s">
        <v>17</v>
      </c>
      <c r="E483" s="3" t="s">
        <v>484</v>
      </c>
      <c r="F483" s="3" t="s">
        <v>977</v>
      </c>
      <c r="G483" s="4">
        <v>46005</v>
      </c>
      <c r="H483" s="5">
        <f t="shared" si="7"/>
        <v>50</v>
      </c>
      <c r="I483" s="5">
        <f t="shared" si="8"/>
        <v>12</v>
      </c>
      <c r="J483" s="6">
        <f t="shared" si="9"/>
        <v>0.13601851851851851</v>
      </c>
      <c r="K483" s="5" t="str">
        <f t="shared" si="12"/>
        <v>(DS-IBBLR-Benson Town)</v>
      </c>
      <c r="L483" s="5" t="e">
        <f t="array" aca="1" ref="L483" ca="1">_xludf.XLOOKUP(E483,'[1]Migrated Societies Data'!C:C,'[1]Migrated Societies Data'!B:B)</f>
        <v>#NAME?</v>
      </c>
      <c r="M483" s="5" t="e">
        <f t="array" aca="1" ref="M483" ca="1">_xludf.XLOOKUP(E483,'[1]Migrated Societies Data'!C:C,'[1]Migrated Societies Data'!E:E)</f>
        <v>#NAME?</v>
      </c>
      <c r="N483" s="5" t="str">
        <f t="shared" si="10"/>
        <v>Yes</v>
      </c>
      <c r="O483" s="7">
        <f t="shared" si="11"/>
        <v>0.15685185185185185</v>
      </c>
    </row>
    <row r="484" spans="1:15" x14ac:dyDescent="0.25">
      <c r="A484" s="3" t="s">
        <v>446</v>
      </c>
      <c r="B484" s="3" t="s">
        <v>978</v>
      </c>
      <c r="C484" s="3" t="s">
        <v>16</v>
      </c>
      <c r="D484" s="3" t="s">
        <v>82</v>
      </c>
      <c r="E484" s="3" t="s">
        <v>448</v>
      </c>
      <c r="F484" s="3" t="s">
        <v>979</v>
      </c>
      <c r="G484" s="4">
        <v>46005</v>
      </c>
      <c r="H484" s="5">
        <f t="shared" si="7"/>
        <v>50</v>
      </c>
      <c r="I484" s="5">
        <f t="shared" si="8"/>
        <v>12</v>
      </c>
      <c r="J484" s="6">
        <f t="shared" si="9"/>
        <v>2.0104166666666666E-2</v>
      </c>
      <c r="K484" s="5" t="str">
        <f t="shared" si="12"/>
        <v>(DS-IBBLR-Jigani)</v>
      </c>
      <c r="L484" s="5" t="e">
        <f t="array" aca="1" ref="L484" ca="1">_xludf.XLOOKUP(E484,'[1]Migrated Societies Data'!C:C,'[1]Migrated Societies Data'!B:B)</f>
        <v>#NAME?</v>
      </c>
      <c r="M484" s="5" t="e">
        <f t="array" aca="1" ref="M484" ca="1">_xludf.XLOOKUP(E484,'[1]Migrated Societies Data'!C:C,'[1]Migrated Societies Data'!E:E)</f>
        <v>#NAME?</v>
      </c>
      <c r="N484" s="5" t="str">
        <f t="shared" si="10"/>
        <v>Yes</v>
      </c>
      <c r="O484" s="7">
        <f t="shared" si="11"/>
        <v>4.0937500000000002E-2</v>
      </c>
    </row>
    <row r="485" spans="1:15" x14ac:dyDescent="0.25">
      <c r="A485" s="3" t="s">
        <v>331</v>
      </c>
      <c r="B485" s="3" t="s">
        <v>980</v>
      </c>
      <c r="C485" s="3" t="s">
        <v>16</v>
      </c>
      <c r="D485" s="3" t="s">
        <v>82</v>
      </c>
      <c r="E485" s="3" t="s">
        <v>333</v>
      </c>
      <c r="F485" s="3" t="s">
        <v>981</v>
      </c>
      <c r="G485" s="4">
        <v>46005</v>
      </c>
      <c r="H485" s="5">
        <f t="shared" si="7"/>
        <v>50</v>
      </c>
      <c r="I485" s="5">
        <f t="shared" si="8"/>
        <v>12</v>
      </c>
      <c r="J485" s="6">
        <f t="shared" si="9"/>
        <v>0.98446759259259264</v>
      </c>
      <c r="K485" s="5" t="str">
        <f t="shared" si="12"/>
        <v>(DS-IBBLR-Attibele)</v>
      </c>
      <c r="L485" s="5" t="e">
        <f t="array" aca="1" ref="L485" ca="1">_xludf.XLOOKUP(E485,'[1]Migrated Societies Data'!C:C,'[1]Migrated Societies Data'!B:B)</f>
        <v>#NAME?</v>
      </c>
      <c r="M485" s="5" t="e">
        <f t="array" aca="1" ref="M485" ca="1">_xludf.XLOOKUP(E485,'[1]Migrated Societies Data'!C:C,'[1]Migrated Societies Data'!E:E)</f>
        <v>#NAME?</v>
      </c>
      <c r="N485" s="5" t="str">
        <f t="shared" si="10"/>
        <v>Yes</v>
      </c>
      <c r="O485" s="7">
        <f t="shared" si="11"/>
        <v>5.3009259259260144E-3</v>
      </c>
    </row>
    <row r="486" spans="1:15" x14ac:dyDescent="0.25">
      <c r="A486" s="3" t="s">
        <v>442</v>
      </c>
      <c r="B486" s="3" t="s">
        <v>982</v>
      </c>
      <c r="C486" s="3" t="s">
        <v>16</v>
      </c>
      <c r="D486" s="3" t="s">
        <v>82</v>
      </c>
      <c r="E486" s="3" t="s">
        <v>444</v>
      </c>
      <c r="F486" s="3" t="s">
        <v>983</v>
      </c>
      <c r="G486" s="4">
        <v>46005</v>
      </c>
      <c r="H486" s="5">
        <f t="shared" si="7"/>
        <v>50</v>
      </c>
      <c r="I486" s="5">
        <f t="shared" si="8"/>
        <v>12</v>
      </c>
      <c r="J486" s="6">
        <f t="shared" si="9"/>
        <v>0.9939930555555555</v>
      </c>
      <c r="K486" s="5" t="str">
        <f t="shared" si="12"/>
        <v>(DS-IBBLR-Chinappalay)</v>
      </c>
      <c r="L486" s="5" t="e">
        <f t="array" aca="1" ref="L486" ca="1">_xludf.XLOOKUP(E486,'[1]Migrated Societies Data'!C:C,'[1]Migrated Societies Data'!B:B)</f>
        <v>#NAME?</v>
      </c>
      <c r="M486" s="5" t="e">
        <f t="array" aca="1" ref="M486" ca="1">_xludf.XLOOKUP(E486,'[1]Migrated Societies Data'!C:C,'[1]Migrated Societies Data'!E:E)</f>
        <v>#NAME?</v>
      </c>
      <c r="N486" s="5" t="str">
        <f t="shared" si="10"/>
        <v>Yes</v>
      </c>
      <c r="O486" s="7">
        <f t="shared" si="11"/>
        <v>1.4826388888888875E-2</v>
      </c>
    </row>
    <row r="487" spans="1:15" x14ac:dyDescent="0.25">
      <c r="A487" s="3" t="s">
        <v>14</v>
      </c>
      <c r="B487" s="3" t="s">
        <v>984</v>
      </c>
      <c r="C487" s="3" t="s">
        <v>16</v>
      </c>
      <c r="D487" s="3" t="s">
        <v>17</v>
      </c>
      <c r="E487" s="3" t="s">
        <v>18</v>
      </c>
      <c r="F487" s="3" t="s">
        <v>985</v>
      </c>
      <c r="G487" s="4">
        <v>46005</v>
      </c>
      <c r="H487" s="5">
        <f t="shared" si="7"/>
        <v>50</v>
      </c>
      <c r="I487" s="5">
        <f t="shared" si="8"/>
        <v>12</v>
      </c>
      <c r="J487" s="6">
        <f t="shared" si="9"/>
        <v>6.7939814814814816E-3</v>
      </c>
      <c r="K487" s="5" t="str">
        <f t="shared" si="12"/>
        <v>(DS-IBBLR-Peenya PH-3)</v>
      </c>
      <c r="L487" s="5" t="e">
        <f t="array" aca="1" ref="L487" ca="1">_xludf.XLOOKUP(E487,'[1]Migrated Societies Data'!C:C,'[1]Migrated Societies Data'!B:B)</f>
        <v>#NAME?</v>
      </c>
      <c r="M487" s="5" t="e">
        <f t="array" aca="1" ref="M487" ca="1">_xludf.XLOOKUP(E487,'[1]Migrated Societies Data'!C:C,'[1]Migrated Societies Data'!E:E)</f>
        <v>#NAME?</v>
      </c>
      <c r="N487" s="5" t="str">
        <f t="shared" si="10"/>
        <v>Yes</v>
      </c>
      <c r="O487" s="7">
        <f t="shared" si="11"/>
        <v>2.7627314814814813E-2</v>
      </c>
    </row>
    <row r="488" spans="1:15" x14ac:dyDescent="0.25">
      <c r="A488" s="3" t="s">
        <v>478</v>
      </c>
      <c r="B488" s="3" t="s">
        <v>986</v>
      </c>
      <c r="C488" s="3" t="s">
        <v>16</v>
      </c>
      <c r="D488" s="3" t="s">
        <v>17</v>
      </c>
      <c r="E488" s="3" t="s">
        <v>480</v>
      </c>
      <c r="F488" s="3" t="s">
        <v>987</v>
      </c>
      <c r="G488" s="4">
        <v>46005</v>
      </c>
      <c r="H488" s="5">
        <f t="shared" si="7"/>
        <v>50</v>
      </c>
      <c r="I488" s="5">
        <f t="shared" si="8"/>
        <v>12</v>
      </c>
      <c r="J488" s="6">
        <f t="shared" si="9"/>
        <v>5.0370370370370371E-2</v>
      </c>
      <c r="K488" s="5" t="str">
        <f t="shared" si="12"/>
        <v>(DS-IBBLR-Bellahalli)</v>
      </c>
      <c r="L488" s="5" t="e">
        <f t="array" aca="1" ref="L488" ca="1">_xludf.XLOOKUP(E488,'[1]Migrated Societies Data'!C:C,'[1]Migrated Societies Data'!B:B)</f>
        <v>#NAME?</v>
      </c>
      <c r="M488" s="5" t="e">
        <f t="array" aca="1" ref="M488" ca="1">_xludf.XLOOKUP(E488,'[1]Migrated Societies Data'!C:C,'[1]Migrated Societies Data'!E:E)</f>
        <v>#NAME?</v>
      </c>
      <c r="N488" s="5" t="str">
        <f t="shared" si="10"/>
        <v>Yes</v>
      </c>
      <c r="O488" s="7">
        <f t="shared" si="11"/>
        <v>7.12037037037037E-2</v>
      </c>
    </row>
    <row r="489" spans="1:15" x14ac:dyDescent="0.25">
      <c r="A489" s="3" t="s">
        <v>468</v>
      </c>
      <c r="B489" s="3" t="s">
        <v>988</v>
      </c>
      <c r="C489" s="3" t="s">
        <v>16</v>
      </c>
      <c r="D489" s="3" t="s">
        <v>17</v>
      </c>
      <c r="E489" s="3" t="s">
        <v>470</v>
      </c>
      <c r="F489" s="3" t="s">
        <v>989</v>
      </c>
      <c r="G489" s="4">
        <v>46005</v>
      </c>
      <c r="H489" s="5">
        <f t="shared" si="7"/>
        <v>50</v>
      </c>
      <c r="I489" s="5">
        <f t="shared" si="8"/>
        <v>12</v>
      </c>
      <c r="J489" s="6">
        <f t="shared" si="9"/>
        <v>6.700231481481482E-2</v>
      </c>
      <c r="K489" s="5" t="str">
        <f t="shared" si="12"/>
        <v>(DS-BNBLR-HRBR)</v>
      </c>
      <c r="L489" s="5" t="e">
        <f t="array" aca="1" ref="L489" ca="1">_xludf.XLOOKUP(E489,'[1]Migrated Societies Data'!C:C,'[1]Migrated Societies Data'!B:B)</f>
        <v>#NAME?</v>
      </c>
      <c r="M489" s="5" t="e">
        <f t="array" aca="1" ref="M489" ca="1">_xludf.XLOOKUP(E489,'[1]Migrated Societies Data'!C:C,'[1]Migrated Societies Data'!E:E)</f>
        <v>#NAME?</v>
      </c>
      <c r="N489" s="5" t="str">
        <f t="shared" si="10"/>
        <v>Yes</v>
      </c>
      <c r="O489" s="7">
        <f t="shared" si="11"/>
        <v>8.7835648148148149E-2</v>
      </c>
    </row>
    <row r="490" spans="1:15" x14ac:dyDescent="0.25">
      <c r="A490" s="3" t="s">
        <v>342</v>
      </c>
      <c r="B490" s="3" t="s">
        <v>990</v>
      </c>
      <c r="C490" s="3" t="s">
        <v>16</v>
      </c>
      <c r="D490" s="3" t="s">
        <v>17</v>
      </c>
      <c r="E490" s="3" t="s">
        <v>344</v>
      </c>
      <c r="F490" s="3" t="s">
        <v>991</v>
      </c>
      <c r="G490" s="4">
        <v>46005</v>
      </c>
      <c r="H490" s="5">
        <f t="shared" si="7"/>
        <v>50</v>
      </c>
      <c r="I490" s="5">
        <f t="shared" si="8"/>
        <v>12</v>
      </c>
      <c r="J490" s="6">
        <f t="shared" si="9"/>
        <v>6.0011574074074071E-2</v>
      </c>
      <c r="K490" s="5" t="str">
        <f t="shared" si="12"/>
        <v>(DS-IBBLR-Chikkasandr)</v>
      </c>
      <c r="L490" s="5" t="e">
        <f t="array" aca="1" ref="L490" ca="1">_xludf.XLOOKUP(E490,'[1]Migrated Societies Data'!C:C,'[1]Migrated Societies Data'!B:B)</f>
        <v>#NAME?</v>
      </c>
      <c r="M490" s="5" t="e">
        <f t="array" aca="1" ref="M490" ca="1">_xludf.XLOOKUP(E490,'[1]Migrated Societies Data'!C:C,'[1]Migrated Societies Data'!E:E)</f>
        <v>#NAME?</v>
      </c>
      <c r="N490" s="5" t="str">
        <f t="shared" si="10"/>
        <v>Yes</v>
      </c>
      <c r="O490" s="7">
        <f t="shared" si="11"/>
        <v>8.0844907407407407E-2</v>
      </c>
    </row>
    <row r="491" spans="1:15" x14ac:dyDescent="0.25">
      <c r="A491" s="3" t="s">
        <v>472</v>
      </c>
      <c r="B491" s="3" t="s">
        <v>992</v>
      </c>
      <c r="C491" s="3" t="s">
        <v>16</v>
      </c>
      <c r="D491" s="3" t="s">
        <v>17</v>
      </c>
      <c r="E491" s="3" t="s">
        <v>474</v>
      </c>
      <c r="F491" s="3" t="s">
        <v>993</v>
      </c>
      <c r="G491" s="4">
        <v>46005</v>
      </c>
      <c r="H491" s="5">
        <f t="shared" si="7"/>
        <v>50</v>
      </c>
      <c r="I491" s="5">
        <f t="shared" si="8"/>
        <v>12</v>
      </c>
      <c r="J491" s="6">
        <f t="shared" si="9"/>
        <v>4.7557870370370368E-2</v>
      </c>
      <c r="K491" s="5" t="str">
        <f t="shared" si="12"/>
        <v>(DS-IBBLR-Lingarajapu)</v>
      </c>
      <c r="L491" s="5" t="e">
        <f t="array" aca="1" ref="L491" ca="1">_xludf.XLOOKUP(E491,'[1]Migrated Societies Data'!C:C,'[1]Migrated Societies Data'!B:B)</f>
        <v>#NAME?</v>
      </c>
      <c r="M491" s="5" t="e">
        <f t="array" aca="1" ref="M491" ca="1">_xludf.XLOOKUP(E491,'[1]Migrated Societies Data'!C:C,'[1]Migrated Societies Data'!E:E)</f>
        <v>#NAME?</v>
      </c>
      <c r="N491" s="5" t="str">
        <f t="shared" si="10"/>
        <v>Yes</v>
      </c>
      <c r="O491" s="7">
        <f t="shared" si="11"/>
        <v>6.8391203703703704E-2</v>
      </c>
    </row>
    <row r="492" spans="1:15" x14ac:dyDescent="0.25">
      <c r="A492" s="3" t="s">
        <v>490</v>
      </c>
      <c r="B492" s="3" t="s">
        <v>994</v>
      </c>
      <c r="C492" s="3" t="s">
        <v>16</v>
      </c>
      <c r="D492" s="3" t="s">
        <v>17</v>
      </c>
      <c r="E492" s="3" t="s">
        <v>492</v>
      </c>
      <c r="F492" s="3" t="s">
        <v>995</v>
      </c>
      <c r="G492" s="4">
        <v>46005</v>
      </c>
      <c r="H492" s="5">
        <f t="shared" si="7"/>
        <v>50</v>
      </c>
      <c r="I492" s="5">
        <f t="shared" si="8"/>
        <v>12</v>
      </c>
      <c r="J492" s="6">
        <f t="shared" si="9"/>
        <v>8.6273148148148154E-2</v>
      </c>
      <c r="K492" s="5" t="str">
        <f t="shared" si="12"/>
        <v>(DS-IBBLR-Devanahalli)</v>
      </c>
      <c r="L492" s="5" t="e">
        <f t="array" aca="1" ref="L492" ca="1">_xludf.XLOOKUP(E492,'[1]Migrated Societies Data'!C:C,'[1]Migrated Societies Data'!B:B)</f>
        <v>#NAME?</v>
      </c>
      <c r="M492" s="5" t="e">
        <f t="array" aca="1" ref="M492" ca="1">_xludf.XLOOKUP(E492,'[1]Migrated Societies Data'!C:C,'[1]Migrated Societies Data'!E:E)</f>
        <v>#NAME?</v>
      </c>
      <c r="N492" s="5" t="str">
        <f t="shared" si="10"/>
        <v>Yes</v>
      </c>
      <c r="O492" s="7">
        <f t="shared" si="11"/>
        <v>0.10710648148148148</v>
      </c>
    </row>
    <row r="493" spans="1:15" x14ac:dyDescent="0.25">
      <c r="A493" s="3" t="s">
        <v>80</v>
      </c>
      <c r="B493" s="3" t="s">
        <v>996</v>
      </c>
      <c r="C493" s="3" t="s">
        <v>16</v>
      </c>
      <c r="D493" s="3" t="s">
        <v>82</v>
      </c>
      <c r="E493" s="3" t="s">
        <v>83</v>
      </c>
      <c r="F493" s="3" t="s">
        <v>997</v>
      </c>
      <c r="G493" s="4">
        <v>46006</v>
      </c>
      <c r="H493" s="5">
        <f t="shared" si="7"/>
        <v>51</v>
      </c>
      <c r="I493" s="5">
        <f t="shared" si="8"/>
        <v>12</v>
      </c>
      <c r="J493" s="6">
        <f t="shared" si="9"/>
        <v>2.2303240740740742E-2</v>
      </c>
      <c r="K493" s="5" t="str">
        <f t="shared" si="12"/>
        <v>(DS-IBBLR-Nagondanahalli )</v>
      </c>
      <c r="L493" s="5" t="e">
        <f t="array" aca="1" ref="L493" ca="1">_xludf.XLOOKUP(E493,'[1]Migrated Societies Data'!C:C,'[1]Migrated Societies Data'!B:B)</f>
        <v>#NAME?</v>
      </c>
      <c r="M493" s="5" t="e">
        <f t="array" aca="1" ref="M493" ca="1">_xludf.XLOOKUP(E493,'[1]Migrated Societies Data'!C:C,'[1]Migrated Societies Data'!E:E)</f>
        <v>#NAME?</v>
      </c>
      <c r="N493" s="5" t="str">
        <f t="shared" si="10"/>
        <v>Yes</v>
      </c>
      <c r="O493" s="7">
        <f t="shared" si="11"/>
        <v>4.3136574074074077E-2</v>
      </c>
    </row>
    <row r="494" spans="1:15" x14ac:dyDescent="0.25">
      <c r="A494" s="3" t="s">
        <v>456</v>
      </c>
      <c r="B494" s="3" t="s">
        <v>998</v>
      </c>
      <c r="C494" s="3" t="s">
        <v>16</v>
      </c>
      <c r="D494" s="3" t="s">
        <v>82</v>
      </c>
      <c r="E494" s="3" t="s">
        <v>458</v>
      </c>
      <c r="F494" s="3" t="s">
        <v>999</v>
      </c>
      <c r="G494" s="4">
        <v>46006</v>
      </c>
      <c r="H494" s="5">
        <f t="shared" si="7"/>
        <v>51</v>
      </c>
      <c r="I494" s="5">
        <f t="shared" si="8"/>
        <v>12</v>
      </c>
      <c r="J494" s="6">
        <f t="shared" si="9"/>
        <v>6.6620370370370371E-2</v>
      </c>
      <c r="K494" s="5" t="str">
        <f t="shared" si="12"/>
        <v>(DS-IBBLR-Jakkasandra)</v>
      </c>
      <c r="L494" s="5" t="e">
        <f t="array" aca="1" ref="L494" ca="1">_xludf.XLOOKUP(E494,'[1]Migrated Societies Data'!C:C,'[1]Migrated Societies Data'!B:B)</f>
        <v>#NAME?</v>
      </c>
      <c r="M494" s="5" t="e">
        <f t="array" aca="1" ref="M494" ca="1">_xludf.XLOOKUP(E494,'[1]Migrated Societies Data'!C:C,'[1]Migrated Societies Data'!E:E)</f>
        <v>#NAME?</v>
      </c>
      <c r="N494" s="5" t="str">
        <f t="shared" si="10"/>
        <v>Yes</v>
      </c>
      <c r="O494" s="7">
        <f t="shared" si="11"/>
        <v>8.74537037037037E-2</v>
      </c>
    </row>
    <row r="495" spans="1:15" x14ac:dyDescent="0.25">
      <c r="A495" s="3" t="s">
        <v>460</v>
      </c>
      <c r="B495" s="3" t="s">
        <v>1000</v>
      </c>
      <c r="C495" s="3" t="s">
        <v>16</v>
      </c>
      <c r="D495" s="3" t="s">
        <v>82</v>
      </c>
      <c r="E495" s="3" t="s">
        <v>462</v>
      </c>
      <c r="F495" s="3" t="s">
        <v>1001</v>
      </c>
      <c r="G495" s="4">
        <v>46006</v>
      </c>
      <c r="H495" s="5">
        <f t="shared" si="7"/>
        <v>51</v>
      </c>
      <c r="I495" s="5">
        <f t="shared" si="8"/>
        <v>12</v>
      </c>
      <c r="J495" s="6">
        <f t="shared" si="9"/>
        <v>5.1249999999999997E-2</v>
      </c>
      <c r="K495" s="5" t="str">
        <f t="shared" si="12"/>
        <v>(DS-IBBLR-HAL )</v>
      </c>
      <c r="L495" s="5" t="e">
        <f t="array" aca="1" ref="L495" ca="1">_xludf.XLOOKUP(E495,'[1]Migrated Societies Data'!C:C,'[1]Migrated Societies Data'!B:B)</f>
        <v>#NAME?</v>
      </c>
      <c r="M495" s="5" t="e">
        <f t="array" aca="1" ref="M495" ca="1">_xludf.XLOOKUP(E495,'[1]Migrated Societies Data'!C:C,'[1]Migrated Societies Data'!E:E)</f>
        <v>#NAME?</v>
      </c>
      <c r="N495" s="5" t="str">
        <f t="shared" si="10"/>
        <v>Yes</v>
      </c>
      <c r="O495" s="7">
        <f t="shared" si="11"/>
        <v>7.2083333333333333E-2</v>
      </c>
    </row>
    <row r="496" spans="1:15" x14ac:dyDescent="0.25">
      <c r="A496" s="3" t="s">
        <v>482</v>
      </c>
      <c r="B496" s="3" t="s">
        <v>1002</v>
      </c>
      <c r="C496" s="3" t="s">
        <v>16</v>
      </c>
      <c r="D496" s="3" t="s">
        <v>17</v>
      </c>
      <c r="E496" s="3" t="s">
        <v>484</v>
      </c>
      <c r="F496" s="3" t="s">
        <v>1003</v>
      </c>
      <c r="G496" s="4">
        <v>46006</v>
      </c>
      <c r="H496" s="5">
        <f t="shared" si="7"/>
        <v>51</v>
      </c>
      <c r="I496" s="5">
        <f t="shared" si="8"/>
        <v>12</v>
      </c>
      <c r="J496" s="6">
        <f t="shared" si="9"/>
        <v>0.15053240740740742</v>
      </c>
      <c r="K496" s="5" t="str">
        <f t="shared" si="12"/>
        <v>(DS-IBBLR-Benson Town)</v>
      </c>
      <c r="L496" s="5" t="e">
        <f t="array" aca="1" ref="L496" ca="1">_xludf.XLOOKUP(E496,'[1]Migrated Societies Data'!C:C,'[1]Migrated Societies Data'!B:B)</f>
        <v>#NAME?</v>
      </c>
      <c r="M496" s="5" t="e">
        <f t="array" aca="1" ref="M496" ca="1">_xludf.XLOOKUP(E496,'[1]Migrated Societies Data'!C:C,'[1]Migrated Societies Data'!E:E)</f>
        <v>#NAME?</v>
      </c>
      <c r="N496" s="5" t="str">
        <f t="shared" si="10"/>
        <v>No</v>
      </c>
      <c r="O496" s="7">
        <f t="shared" si="11"/>
        <v>0.17136574074074076</v>
      </c>
    </row>
    <row r="497" spans="1:15" x14ac:dyDescent="0.25">
      <c r="A497" s="3" t="s">
        <v>486</v>
      </c>
      <c r="B497" s="3" t="s">
        <v>1004</v>
      </c>
      <c r="C497" s="3" t="s">
        <v>16</v>
      </c>
      <c r="D497" s="3" t="s">
        <v>17</v>
      </c>
      <c r="E497" s="3" t="s">
        <v>488</v>
      </c>
      <c r="F497" s="3" t="s">
        <v>1005</v>
      </c>
      <c r="G497" s="4">
        <v>46006</v>
      </c>
      <c r="H497" s="5">
        <f t="shared" si="7"/>
        <v>51</v>
      </c>
      <c r="I497" s="5">
        <f t="shared" si="8"/>
        <v>12</v>
      </c>
      <c r="J497" s="6">
        <f t="shared" si="9"/>
        <v>0.11429398148148148</v>
      </c>
      <c r="K497" s="5" t="str">
        <f t="shared" si="12"/>
        <v>(DS-IBBLR-Jala halli)</v>
      </c>
      <c r="L497" s="5" t="e">
        <f t="array" aca="1" ref="L497" ca="1">_xludf.XLOOKUP(E497,'[1]Migrated Societies Data'!C:C,'[1]Migrated Societies Data'!B:B)</f>
        <v>#NAME?</v>
      </c>
      <c r="M497" s="5" t="e">
        <f t="array" aca="1" ref="M497" ca="1">_xludf.XLOOKUP(E497,'[1]Migrated Societies Data'!C:C,'[1]Migrated Societies Data'!E:E)</f>
        <v>#NAME?</v>
      </c>
      <c r="N497" s="5" t="str">
        <f t="shared" si="10"/>
        <v>Yes</v>
      </c>
      <c r="O497" s="7">
        <f t="shared" si="11"/>
        <v>0.13512731481481483</v>
      </c>
    </row>
    <row r="498" spans="1:15" x14ac:dyDescent="0.25">
      <c r="A498" s="3" t="s">
        <v>442</v>
      </c>
      <c r="B498" s="3" t="s">
        <v>1006</v>
      </c>
      <c r="C498" s="3" t="s">
        <v>16</v>
      </c>
      <c r="D498" s="3" t="s">
        <v>82</v>
      </c>
      <c r="E498" s="3" t="s">
        <v>444</v>
      </c>
      <c r="F498" s="3" t="s">
        <v>1007</v>
      </c>
      <c r="G498" s="4">
        <v>46006</v>
      </c>
      <c r="H498" s="5">
        <f t="shared" si="7"/>
        <v>51</v>
      </c>
      <c r="I498" s="5">
        <f t="shared" si="8"/>
        <v>12</v>
      </c>
      <c r="J498" s="6">
        <f t="shared" si="9"/>
        <v>0.94686342592592587</v>
      </c>
      <c r="K498" s="5" t="str">
        <f t="shared" si="12"/>
        <v>(DS-IBBLR-Chinappalay)</v>
      </c>
      <c r="L498" s="5" t="e">
        <f t="array" aca="1" ref="L498" ca="1">_xludf.XLOOKUP(E498,'[1]Migrated Societies Data'!C:C,'[1]Migrated Societies Data'!B:B)</f>
        <v>#NAME?</v>
      </c>
      <c r="M498" s="5" t="e">
        <f t="array" aca="1" ref="M498" ca="1">_xludf.XLOOKUP(E498,'[1]Migrated Societies Data'!C:C,'[1]Migrated Societies Data'!E:E)</f>
        <v>#NAME?</v>
      </c>
      <c r="N498" s="5" t="str">
        <f t="shared" si="10"/>
        <v>No</v>
      </c>
      <c r="O498" s="7">
        <f t="shared" si="11"/>
        <v>0.96769675925925924</v>
      </c>
    </row>
    <row r="499" spans="1:15" x14ac:dyDescent="0.25">
      <c r="A499" s="3" t="s">
        <v>85</v>
      </c>
      <c r="B499" s="3" t="s">
        <v>1008</v>
      </c>
      <c r="C499" s="3" t="s">
        <v>16</v>
      </c>
      <c r="D499" s="3" t="s">
        <v>82</v>
      </c>
      <c r="E499" s="3" t="s">
        <v>87</v>
      </c>
      <c r="F499" s="3" t="s">
        <v>1009</v>
      </c>
      <c r="G499" s="4">
        <v>46006</v>
      </c>
      <c r="H499" s="5">
        <f t="shared" si="7"/>
        <v>51</v>
      </c>
      <c r="I499" s="5">
        <f t="shared" si="8"/>
        <v>12</v>
      </c>
      <c r="J499" s="6">
        <f t="shared" si="9"/>
        <v>7.5821759259259255E-2</v>
      </c>
      <c r="K499" s="5" t="str">
        <f t="shared" si="12"/>
        <v>(DS-IBBLR-Budhigere )</v>
      </c>
      <c r="L499" s="5" t="e">
        <f t="array" aca="1" ref="L499" ca="1">_xludf.XLOOKUP(E499,'[1]Migrated Societies Data'!C:C,'[1]Migrated Societies Data'!B:B)</f>
        <v>#NAME?</v>
      </c>
      <c r="M499" s="5" t="e">
        <f t="array" aca="1" ref="M499" ca="1">_xludf.XLOOKUP(E499,'[1]Migrated Societies Data'!C:C,'[1]Migrated Societies Data'!E:E)</f>
        <v>#NAME?</v>
      </c>
      <c r="N499" s="5" t="str">
        <f t="shared" si="10"/>
        <v>Yes</v>
      </c>
      <c r="O499" s="7">
        <f t="shared" si="11"/>
        <v>9.6655092592592584E-2</v>
      </c>
    </row>
    <row r="500" spans="1:15" x14ac:dyDescent="0.25">
      <c r="A500" s="3" t="s">
        <v>80</v>
      </c>
      <c r="B500" s="3" t="s">
        <v>1010</v>
      </c>
      <c r="C500" s="3" t="s">
        <v>16</v>
      </c>
      <c r="D500" s="3" t="s">
        <v>82</v>
      </c>
      <c r="E500" s="3" t="s">
        <v>83</v>
      </c>
      <c r="F500" s="3" t="s">
        <v>1011</v>
      </c>
      <c r="G500" s="4">
        <v>46006</v>
      </c>
      <c r="H500" s="5">
        <f t="shared" si="7"/>
        <v>51</v>
      </c>
      <c r="I500" s="5">
        <f t="shared" si="8"/>
        <v>12</v>
      </c>
      <c r="J500" s="6">
        <f t="shared" si="9"/>
        <v>0.99104166666666671</v>
      </c>
      <c r="K500" s="5" t="str">
        <f t="shared" si="12"/>
        <v>(DS-IBBLR-Nagondanahalli )</v>
      </c>
      <c r="L500" s="5" t="e">
        <f t="array" aca="1" ref="L500" ca="1">_xludf.XLOOKUP(E500,'[1]Migrated Societies Data'!C:C,'[1]Migrated Societies Data'!B:B)</f>
        <v>#NAME?</v>
      </c>
      <c r="M500" s="5" t="e">
        <f t="array" aca="1" ref="M500" ca="1">_xludf.XLOOKUP(E500,'[1]Migrated Societies Data'!C:C,'[1]Migrated Societies Data'!E:E)</f>
        <v>#NAME?</v>
      </c>
      <c r="N500" s="5" t="str">
        <f t="shared" si="10"/>
        <v>Yes</v>
      </c>
      <c r="O500" s="7">
        <f t="shared" si="11"/>
        <v>1.187500000000008E-2</v>
      </c>
    </row>
    <row r="501" spans="1:15" x14ac:dyDescent="0.25">
      <c r="A501" s="3" t="s">
        <v>456</v>
      </c>
      <c r="B501" s="3" t="s">
        <v>1012</v>
      </c>
      <c r="C501" s="3" t="s">
        <v>16</v>
      </c>
      <c r="D501" s="3" t="s">
        <v>82</v>
      </c>
      <c r="E501" s="3" t="s">
        <v>458</v>
      </c>
      <c r="F501" s="3" t="s">
        <v>1013</v>
      </c>
      <c r="G501" s="4">
        <v>46006</v>
      </c>
      <c r="H501" s="5">
        <f t="shared" si="7"/>
        <v>51</v>
      </c>
      <c r="I501" s="5">
        <f t="shared" si="8"/>
        <v>12</v>
      </c>
      <c r="J501" s="6">
        <f t="shared" si="9"/>
        <v>8.4039351851851851E-2</v>
      </c>
      <c r="K501" s="5" t="str">
        <f t="shared" si="12"/>
        <v>(DS-IBBLR-Jakkasandra)</v>
      </c>
      <c r="L501" s="5" t="e">
        <f t="array" aca="1" ref="L501" ca="1">_xludf.XLOOKUP(E501,'[1]Migrated Societies Data'!C:C,'[1]Migrated Societies Data'!B:B)</f>
        <v>#NAME?</v>
      </c>
      <c r="M501" s="5" t="e">
        <f t="array" aca="1" ref="M501" ca="1">_xludf.XLOOKUP(E501,'[1]Migrated Societies Data'!C:C,'[1]Migrated Societies Data'!E:E)</f>
        <v>#NAME?</v>
      </c>
      <c r="N501" s="5" t="str">
        <f t="shared" si="10"/>
        <v>Yes</v>
      </c>
      <c r="O501" s="7">
        <f t="shared" si="11"/>
        <v>0.10487268518518518</v>
      </c>
    </row>
    <row r="502" spans="1:15" x14ac:dyDescent="0.25">
      <c r="A502" s="3" t="s">
        <v>446</v>
      </c>
      <c r="B502" s="3" t="s">
        <v>1014</v>
      </c>
      <c r="C502" s="3" t="s">
        <v>16</v>
      </c>
      <c r="D502" s="3" t="s">
        <v>82</v>
      </c>
      <c r="E502" s="3" t="s">
        <v>448</v>
      </c>
      <c r="F502" s="3" t="s">
        <v>1015</v>
      </c>
      <c r="G502" s="4">
        <v>46006</v>
      </c>
      <c r="H502" s="5">
        <f t="shared" si="7"/>
        <v>51</v>
      </c>
      <c r="I502" s="5">
        <f t="shared" si="8"/>
        <v>12</v>
      </c>
      <c r="J502" s="6">
        <f t="shared" si="9"/>
        <v>2.0995370370370369E-2</v>
      </c>
      <c r="K502" s="5" t="str">
        <f t="shared" si="12"/>
        <v>(DS-IBBLR-Jigani)</v>
      </c>
      <c r="L502" s="5" t="e">
        <f t="array" aca="1" ref="L502" ca="1">_xludf.XLOOKUP(E502,'[1]Migrated Societies Data'!C:C,'[1]Migrated Societies Data'!B:B)</f>
        <v>#NAME?</v>
      </c>
      <c r="M502" s="5" t="e">
        <f t="array" aca="1" ref="M502" ca="1">_xludf.XLOOKUP(E502,'[1]Migrated Societies Data'!C:C,'[1]Migrated Societies Data'!E:E)</f>
        <v>#NAME?</v>
      </c>
      <c r="N502" s="5" t="str">
        <f t="shared" si="10"/>
        <v>Yes</v>
      </c>
      <c r="O502" s="7">
        <f t="shared" si="11"/>
        <v>4.1828703703703701E-2</v>
      </c>
    </row>
    <row r="503" spans="1:15" x14ac:dyDescent="0.25">
      <c r="A503" s="3" t="s">
        <v>331</v>
      </c>
      <c r="B503" s="3" t="s">
        <v>1016</v>
      </c>
      <c r="C503" s="3" t="s">
        <v>16</v>
      </c>
      <c r="D503" s="3" t="s">
        <v>82</v>
      </c>
      <c r="E503" s="3" t="s">
        <v>333</v>
      </c>
      <c r="F503" s="3" t="s">
        <v>1017</v>
      </c>
      <c r="G503" s="4">
        <v>46006</v>
      </c>
      <c r="H503" s="5">
        <f t="shared" si="7"/>
        <v>51</v>
      </c>
      <c r="I503" s="5">
        <f t="shared" si="8"/>
        <v>12</v>
      </c>
      <c r="J503" s="6">
        <f t="shared" si="9"/>
        <v>0.9965046296296296</v>
      </c>
      <c r="K503" s="5" t="str">
        <f t="shared" si="12"/>
        <v>(DS-IBBLR-Attibele)</v>
      </c>
      <c r="L503" s="5" t="e">
        <f t="array" aca="1" ref="L503" ca="1">_xludf.XLOOKUP(E503,'[1]Migrated Societies Data'!C:C,'[1]Migrated Societies Data'!B:B)</f>
        <v>#NAME?</v>
      </c>
      <c r="M503" s="5" t="e">
        <f t="array" aca="1" ref="M503" ca="1">_xludf.XLOOKUP(E503,'[1]Migrated Societies Data'!C:C,'[1]Migrated Societies Data'!E:E)</f>
        <v>#NAME?</v>
      </c>
      <c r="N503" s="5" t="str">
        <f t="shared" si="10"/>
        <v>Yes</v>
      </c>
      <c r="O503" s="7">
        <f t="shared" si="11"/>
        <v>1.7337962962962861E-2</v>
      </c>
    </row>
    <row r="504" spans="1:15" x14ac:dyDescent="0.25">
      <c r="A504" s="3" t="s">
        <v>468</v>
      </c>
      <c r="B504" s="3" t="s">
        <v>1018</v>
      </c>
      <c r="C504" s="3" t="s">
        <v>16</v>
      </c>
      <c r="D504" s="3" t="s">
        <v>17</v>
      </c>
      <c r="E504" s="3" t="s">
        <v>470</v>
      </c>
      <c r="F504" s="3" t="s">
        <v>1019</v>
      </c>
      <c r="G504" s="4">
        <v>46006</v>
      </c>
      <c r="H504" s="5">
        <f t="shared" si="7"/>
        <v>51</v>
      </c>
      <c r="I504" s="5">
        <f t="shared" si="8"/>
        <v>12</v>
      </c>
      <c r="J504" s="6">
        <f t="shared" si="9"/>
        <v>8.8611111111111113E-2</v>
      </c>
      <c r="K504" s="5" t="str">
        <f t="shared" si="12"/>
        <v>(DS-BNBLR-HRBR)</v>
      </c>
      <c r="L504" s="5" t="e">
        <f t="array" aca="1" ref="L504" ca="1">_xludf.XLOOKUP(E504,'[1]Migrated Societies Data'!C:C,'[1]Migrated Societies Data'!B:B)</f>
        <v>#NAME?</v>
      </c>
      <c r="M504" s="5" t="e">
        <f t="array" aca="1" ref="M504" ca="1">_xludf.XLOOKUP(E504,'[1]Migrated Societies Data'!C:C,'[1]Migrated Societies Data'!E:E)</f>
        <v>#NAME?</v>
      </c>
      <c r="N504" s="5" t="str">
        <f t="shared" si="10"/>
        <v>Yes</v>
      </c>
      <c r="O504" s="7">
        <f t="shared" si="11"/>
        <v>0.10944444444444444</v>
      </c>
    </row>
    <row r="505" spans="1:15" x14ac:dyDescent="0.25">
      <c r="A505" s="3" t="s">
        <v>460</v>
      </c>
      <c r="B505" s="3" t="s">
        <v>1020</v>
      </c>
      <c r="C505" s="3" t="s">
        <v>16</v>
      </c>
      <c r="D505" s="3" t="s">
        <v>82</v>
      </c>
      <c r="E505" s="3" t="s">
        <v>462</v>
      </c>
      <c r="F505" s="3" t="s">
        <v>1021</v>
      </c>
      <c r="G505" s="4">
        <v>46006</v>
      </c>
      <c r="H505" s="5">
        <f t="shared" si="7"/>
        <v>51</v>
      </c>
      <c r="I505" s="5">
        <f t="shared" si="8"/>
        <v>12</v>
      </c>
      <c r="J505" s="6">
        <f t="shared" si="9"/>
        <v>1.0590277777777778E-2</v>
      </c>
      <c r="K505" s="5" t="str">
        <f t="shared" si="12"/>
        <v>(DS-IBBLR-HAL )</v>
      </c>
      <c r="L505" s="5" t="e">
        <f t="array" aca="1" ref="L505" ca="1">_xludf.XLOOKUP(E505,'[1]Migrated Societies Data'!C:C,'[1]Migrated Societies Data'!B:B)</f>
        <v>#NAME?</v>
      </c>
      <c r="M505" s="5" t="e">
        <f t="array" aca="1" ref="M505" ca="1">_xludf.XLOOKUP(E505,'[1]Migrated Societies Data'!C:C,'[1]Migrated Societies Data'!E:E)</f>
        <v>#NAME?</v>
      </c>
      <c r="N505" s="5" t="str">
        <f t="shared" si="10"/>
        <v>Yes</v>
      </c>
      <c r="O505" s="7">
        <f t="shared" si="11"/>
        <v>3.142361111111111E-2</v>
      </c>
    </row>
    <row r="506" spans="1:15" x14ac:dyDescent="0.25">
      <c r="A506" s="3" t="s">
        <v>342</v>
      </c>
      <c r="B506" s="3" t="s">
        <v>1022</v>
      </c>
      <c r="C506" s="3" t="s">
        <v>16</v>
      </c>
      <c r="D506" s="3" t="s">
        <v>17</v>
      </c>
      <c r="E506" s="3" t="s">
        <v>344</v>
      </c>
      <c r="F506" s="3" t="s">
        <v>1023</v>
      </c>
      <c r="G506" s="4">
        <v>46006</v>
      </c>
      <c r="H506" s="5">
        <f t="shared" si="7"/>
        <v>51</v>
      </c>
      <c r="I506" s="5">
        <f t="shared" si="8"/>
        <v>12</v>
      </c>
      <c r="J506" s="6">
        <f t="shared" si="9"/>
        <v>2.1921296296296296E-2</v>
      </c>
      <c r="K506" s="5" t="str">
        <f t="shared" si="12"/>
        <v>(DS-IBBLR-Chikkasandr)</v>
      </c>
      <c r="L506" s="5" t="e">
        <f t="array" aca="1" ref="L506" ca="1">_xludf.XLOOKUP(E506,'[1]Migrated Societies Data'!C:C,'[1]Migrated Societies Data'!B:B)</f>
        <v>#NAME?</v>
      </c>
      <c r="M506" s="5" t="e">
        <f t="array" aca="1" ref="M506" ca="1">_xludf.XLOOKUP(E506,'[1]Migrated Societies Data'!C:C,'[1]Migrated Societies Data'!E:E)</f>
        <v>#NAME?</v>
      </c>
      <c r="N506" s="5" t="str">
        <f t="shared" si="10"/>
        <v>Yes</v>
      </c>
      <c r="O506" s="7">
        <f t="shared" si="11"/>
        <v>4.2754629629629629E-2</v>
      </c>
    </row>
    <row r="507" spans="1:15" x14ac:dyDescent="0.25">
      <c r="A507" s="3" t="s">
        <v>14</v>
      </c>
      <c r="B507" s="3" t="s">
        <v>1024</v>
      </c>
      <c r="C507" s="3" t="s">
        <v>16</v>
      </c>
      <c r="D507" s="3" t="s">
        <v>17</v>
      </c>
      <c r="E507" s="3" t="s">
        <v>18</v>
      </c>
      <c r="F507" s="3" t="s">
        <v>1025</v>
      </c>
      <c r="G507" s="4">
        <v>46006</v>
      </c>
      <c r="H507" s="5">
        <f t="shared" si="7"/>
        <v>51</v>
      </c>
      <c r="I507" s="5">
        <f t="shared" si="8"/>
        <v>12</v>
      </c>
      <c r="J507" s="6">
        <f t="shared" si="9"/>
        <v>1.7523148148148149E-2</v>
      </c>
      <c r="K507" s="5" t="str">
        <f t="shared" si="12"/>
        <v>(DS-IBBLR-Peenya PH-3)</v>
      </c>
      <c r="L507" s="5" t="e">
        <f t="array" aca="1" ref="L507" ca="1">_xludf.XLOOKUP(E507,'[1]Migrated Societies Data'!C:C,'[1]Migrated Societies Data'!B:B)</f>
        <v>#NAME?</v>
      </c>
      <c r="M507" s="5" t="e">
        <f t="array" aca="1" ref="M507" ca="1">_xludf.XLOOKUP(E507,'[1]Migrated Societies Data'!C:C,'[1]Migrated Societies Data'!E:E)</f>
        <v>#NAME?</v>
      </c>
      <c r="N507" s="5" t="str">
        <f t="shared" si="10"/>
        <v>Yes</v>
      </c>
      <c r="O507" s="7">
        <f t="shared" si="11"/>
        <v>3.8356481481481478E-2</v>
      </c>
    </row>
    <row r="508" spans="1:15" x14ac:dyDescent="0.25">
      <c r="A508" s="3" t="s">
        <v>464</v>
      </c>
      <c r="B508" s="3" t="s">
        <v>1026</v>
      </c>
      <c r="C508" s="3" t="s">
        <v>16</v>
      </c>
      <c r="D508" s="3" t="s">
        <v>82</v>
      </c>
      <c r="E508" s="3" t="s">
        <v>466</v>
      </c>
      <c r="F508" s="3" t="s">
        <v>1027</v>
      </c>
      <c r="G508" s="4">
        <v>46006</v>
      </c>
      <c r="H508" s="5">
        <f t="shared" si="7"/>
        <v>51</v>
      </c>
      <c r="I508" s="5">
        <f t="shared" si="8"/>
        <v>12</v>
      </c>
      <c r="J508" s="6">
        <f t="shared" si="9"/>
        <v>2.7488425925925927E-2</v>
      </c>
      <c r="K508" s="5" t="str">
        <f t="shared" si="12"/>
        <v>(DS-IBBLR-Kallahalli )</v>
      </c>
      <c r="L508" s="5" t="e">
        <f t="array" aca="1" ref="L508" ca="1">_xludf.XLOOKUP(E508,'[1]Migrated Societies Data'!C:C,'[1]Migrated Societies Data'!B:B)</f>
        <v>#NAME?</v>
      </c>
      <c r="M508" s="5" t="e">
        <f t="array" aca="1" ref="M508" ca="1">_xludf.XLOOKUP(E508,'[1]Migrated Societies Data'!C:C,'[1]Migrated Societies Data'!E:E)</f>
        <v>#NAME?</v>
      </c>
      <c r="N508" s="5" t="str">
        <f t="shared" si="10"/>
        <v>Yes</v>
      </c>
      <c r="O508" s="7">
        <f t="shared" si="11"/>
        <v>4.8321759259259259E-2</v>
      </c>
    </row>
    <row r="509" spans="1:15" x14ac:dyDescent="0.25">
      <c r="A509" s="3" t="s">
        <v>478</v>
      </c>
      <c r="B509" s="3" t="s">
        <v>1028</v>
      </c>
      <c r="C509" s="3" t="s">
        <v>16</v>
      </c>
      <c r="D509" s="3" t="s">
        <v>17</v>
      </c>
      <c r="E509" s="3" t="s">
        <v>480</v>
      </c>
      <c r="F509" s="3" t="s">
        <v>1029</v>
      </c>
      <c r="G509" s="4">
        <v>46006</v>
      </c>
      <c r="H509" s="5">
        <f t="shared" si="7"/>
        <v>51</v>
      </c>
      <c r="I509" s="5">
        <f t="shared" si="8"/>
        <v>12</v>
      </c>
      <c r="J509" s="6">
        <f t="shared" si="9"/>
        <v>4.7870370370370369E-2</v>
      </c>
      <c r="K509" s="5" t="str">
        <f t="shared" si="12"/>
        <v>(DS-IBBLR-Bellahalli)</v>
      </c>
      <c r="L509" s="5" t="e">
        <f t="array" aca="1" ref="L509" ca="1">_xludf.XLOOKUP(E509,'[1]Migrated Societies Data'!C:C,'[1]Migrated Societies Data'!B:B)</f>
        <v>#NAME?</v>
      </c>
      <c r="M509" s="5" t="e">
        <f t="array" aca="1" ref="M509" ca="1">_xludf.XLOOKUP(E509,'[1]Migrated Societies Data'!C:C,'[1]Migrated Societies Data'!E:E)</f>
        <v>#NAME?</v>
      </c>
      <c r="N509" s="5" t="str">
        <f t="shared" si="10"/>
        <v>Yes</v>
      </c>
      <c r="O509" s="7">
        <f t="shared" si="11"/>
        <v>6.8703703703703697E-2</v>
      </c>
    </row>
    <row r="510" spans="1:15" x14ac:dyDescent="0.25">
      <c r="A510" s="3" t="s">
        <v>80</v>
      </c>
      <c r="B510" s="3" t="s">
        <v>1030</v>
      </c>
      <c r="C510" s="3" t="s">
        <v>16</v>
      </c>
      <c r="D510" s="3" t="s">
        <v>82</v>
      </c>
      <c r="E510" s="3" t="s">
        <v>83</v>
      </c>
      <c r="F510" s="3" t="s">
        <v>1031</v>
      </c>
      <c r="G510" s="4">
        <v>46007</v>
      </c>
      <c r="H510" s="5">
        <f t="shared" si="7"/>
        <v>51</v>
      </c>
      <c r="I510" s="5">
        <f t="shared" si="8"/>
        <v>12</v>
      </c>
      <c r="J510" s="6">
        <f t="shared" si="9"/>
        <v>1.5358796296296296E-2</v>
      </c>
      <c r="K510" s="5" t="str">
        <f t="shared" si="12"/>
        <v>(DS-IBBLR-Nagondanahalli )</v>
      </c>
      <c r="L510" s="5" t="e">
        <f t="array" aca="1" ref="L510" ca="1">_xludf.XLOOKUP(E510,'[1]Migrated Societies Data'!C:C,'[1]Migrated Societies Data'!B:B)</f>
        <v>#NAME?</v>
      </c>
      <c r="M510" s="5" t="e">
        <f t="array" aca="1" ref="M510" ca="1">_xludf.XLOOKUP(E510,'[1]Migrated Societies Data'!C:C,'[1]Migrated Societies Data'!E:E)</f>
        <v>#NAME?</v>
      </c>
      <c r="N510" s="5" t="str">
        <f t="shared" si="10"/>
        <v>Yes</v>
      </c>
      <c r="O510" s="7">
        <f t="shared" si="11"/>
        <v>3.619212962962963E-2</v>
      </c>
    </row>
    <row r="511" spans="1:15" x14ac:dyDescent="0.25">
      <c r="A511" s="3" t="s">
        <v>456</v>
      </c>
      <c r="B511" s="3" t="s">
        <v>1032</v>
      </c>
      <c r="C511" s="3" t="s">
        <v>16</v>
      </c>
      <c r="D511" s="3" t="s">
        <v>82</v>
      </c>
      <c r="E511" s="3" t="s">
        <v>458</v>
      </c>
      <c r="F511" s="3" t="s">
        <v>1033</v>
      </c>
      <c r="G511" s="4">
        <v>46007</v>
      </c>
      <c r="H511" s="5">
        <f t="shared" si="7"/>
        <v>51</v>
      </c>
      <c r="I511" s="5">
        <f t="shared" si="8"/>
        <v>12</v>
      </c>
      <c r="J511" s="6">
        <f t="shared" si="9"/>
        <v>5.5601851851851854E-2</v>
      </c>
      <c r="K511" s="5" t="str">
        <f t="shared" si="12"/>
        <v>(DS-IBBLR-Jakkasandra)</v>
      </c>
      <c r="L511" s="5" t="e">
        <f t="array" aca="1" ref="L511" ca="1">_xludf.XLOOKUP(E511,'[1]Migrated Societies Data'!C:C,'[1]Migrated Societies Data'!B:B)</f>
        <v>#NAME?</v>
      </c>
      <c r="M511" s="5" t="e">
        <f t="array" aca="1" ref="M511" ca="1">_xludf.XLOOKUP(E511,'[1]Migrated Societies Data'!C:C,'[1]Migrated Societies Data'!E:E)</f>
        <v>#NAME?</v>
      </c>
      <c r="N511" s="5" t="str">
        <f t="shared" si="10"/>
        <v>Yes</v>
      </c>
      <c r="O511" s="7">
        <f t="shared" si="11"/>
        <v>7.6435185185185189E-2</v>
      </c>
    </row>
    <row r="512" spans="1:15" x14ac:dyDescent="0.25">
      <c r="A512" s="3" t="s">
        <v>442</v>
      </c>
      <c r="B512" s="3" t="s">
        <v>1034</v>
      </c>
      <c r="C512" s="3" t="s">
        <v>16</v>
      </c>
      <c r="D512" s="3" t="s">
        <v>82</v>
      </c>
      <c r="E512" s="3" t="s">
        <v>444</v>
      </c>
      <c r="F512" s="3" t="s">
        <v>1035</v>
      </c>
      <c r="G512" s="4">
        <v>46007</v>
      </c>
      <c r="H512" s="5">
        <f t="shared" ref="H512:H607" si="13">WEEKNUM(G512,11)</f>
        <v>51</v>
      </c>
      <c r="I512" s="5">
        <f t="shared" ref="I512:I607" si="14">MONTH(G512)</f>
        <v>12</v>
      </c>
      <c r="J512" s="6">
        <f t="shared" ref="J512:J607" si="15">MOD(MID(F512,12,8),1)</f>
        <v>0.94891203703703708</v>
      </c>
      <c r="K512" s="5" t="str">
        <f t="shared" si="12"/>
        <v>(DS-IBBLR-Chinappalay)</v>
      </c>
      <c r="L512" s="5" t="e">
        <f t="array" aca="1" ref="L512" ca="1">_xludf.XLOOKUP(E512,'[1]Migrated Societies Data'!C:C,'[1]Migrated Societies Data'!B:B)</f>
        <v>#NAME?</v>
      </c>
      <c r="M512" s="5" t="e">
        <f t="array" aca="1" ref="M512" ca="1">_xludf.XLOOKUP(E512,'[1]Migrated Societies Data'!C:C,'[1]Migrated Societies Data'!E:E)</f>
        <v>#NAME?</v>
      </c>
      <c r="N512" s="5" t="str">
        <f t="shared" ref="N512:N607" si="16">IF(OR(J512&lt;=TIME(3,30,0),J512&gt;TIME(23,0,0)),"Yes","No")</f>
        <v>No</v>
      </c>
      <c r="O512" s="7">
        <f t="shared" ref="O512:O607" si="17">MOD(J512+TIME(0,30,0),1)</f>
        <v>0.96974537037037045</v>
      </c>
    </row>
    <row r="513" spans="1:15" x14ac:dyDescent="0.25">
      <c r="A513" s="3" t="s">
        <v>331</v>
      </c>
      <c r="B513" s="3" t="s">
        <v>1036</v>
      </c>
      <c r="C513" s="3" t="s">
        <v>16</v>
      </c>
      <c r="D513" s="3" t="s">
        <v>82</v>
      </c>
      <c r="E513" s="3" t="s">
        <v>333</v>
      </c>
      <c r="F513" s="3" t="s">
        <v>1037</v>
      </c>
      <c r="G513" s="4">
        <v>46007</v>
      </c>
      <c r="H513" s="5">
        <f t="shared" si="13"/>
        <v>51</v>
      </c>
      <c r="I513" s="5">
        <f t="shared" si="14"/>
        <v>12</v>
      </c>
      <c r="J513" s="6">
        <f t="shared" si="15"/>
        <v>0.99840277777777775</v>
      </c>
      <c r="K513" s="5" t="str">
        <f t="shared" si="12"/>
        <v>(DS-IBBLR-Attibele)</v>
      </c>
      <c r="L513" s="5" t="e">
        <f t="array" aca="1" ref="L513" ca="1">_xludf.XLOOKUP(E513,'[1]Migrated Societies Data'!C:C,'[1]Migrated Societies Data'!B:B)</f>
        <v>#NAME?</v>
      </c>
      <c r="M513" s="5" t="e">
        <f t="array" aca="1" ref="M513" ca="1">_xludf.XLOOKUP(E513,'[1]Migrated Societies Data'!C:C,'[1]Migrated Societies Data'!E:E)</f>
        <v>#NAME?</v>
      </c>
      <c r="N513" s="5" t="str">
        <f t="shared" si="16"/>
        <v>Yes</v>
      </c>
      <c r="O513" s="7">
        <f t="shared" si="17"/>
        <v>1.9236111111111009E-2</v>
      </c>
    </row>
    <row r="514" spans="1:15" x14ac:dyDescent="0.25">
      <c r="A514" s="3" t="s">
        <v>468</v>
      </c>
      <c r="B514" s="3" t="s">
        <v>1038</v>
      </c>
      <c r="C514" s="3" t="s">
        <v>16</v>
      </c>
      <c r="D514" s="3" t="s">
        <v>17</v>
      </c>
      <c r="E514" s="3" t="s">
        <v>470</v>
      </c>
      <c r="F514" s="3" t="s">
        <v>1039</v>
      </c>
      <c r="G514" s="4">
        <v>46007</v>
      </c>
      <c r="H514" s="5">
        <f t="shared" si="13"/>
        <v>51</v>
      </c>
      <c r="I514" s="5">
        <f t="shared" si="14"/>
        <v>12</v>
      </c>
      <c r="J514" s="6">
        <f t="shared" si="15"/>
        <v>5.0069444444444444E-2</v>
      </c>
      <c r="K514" s="5" t="str">
        <f t="shared" si="12"/>
        <v>(DS-BNBLR-HRBR)</v>
      </c>
      <c r="L514" s="5" t="e">
        <f t="array" aca="1" ref="L514" ca="1">_xludf.XLOOKUP(E514,'[1]Migrated Societies Data'!C:C,'[1]Migrated Societies Data'!B:B)</f>
        <v>#NAME?</v>
      </c>
      <c r="M514" s="5" t="e">
        <f t="array" aca="1" ref="M514" ca="1">_xludf.XLOOKUP(E514,'[1]Migrated Societies Data'!C:C,'[1]Migrated Societies Data'!E:E)</f>
        <v>#NAME?</v>
      </c>
      <c r="N514" s="5" t="str">
        <f t="shared" si="16"/>
        <v>Yes</v>
      </c>
      <c r="O514" s="7">
        <f t="shared" si="17"/>
        <v>7.0902777777777773E-2</v>
      </c>
    </row>
    <row r="515" spans="1:15" x14ac:dyDescent="0.25">
      <c r="A515" s="3" t="s">
        <v>490</v>
      </c>
      <c r="B515" s="3" t="s">
        <v>1040</v>
      </c>
      <c r="C515" s="3" t="s">
        <v>16</v>
      </c>
      <c r="D515" s="3" t="s">
        <v>17</v>
      </c>
      <c r="E515" s="3" t="s">
        <v>492</v>
      </c>
      <c r="F515" s="3" t="s">
        <v>1041</v>
      </c>
      <c r="G515" s="4">
        <v>46007</v>
      </c>
      <c r="H515" s="5">
        <f t="shared" si="13"/>
        <v>51</v>
      </c>
      <c r="I515" s="5">
        <f t="shared" si="14"/>
        <v>12</v>
      </c>
      <c r="J515" s="6">
        <f t="shared" si="15"/>
        <v>8.3761574074074072E-2</v>
      </c>
      <c r="K515" s="5" t="str">
        <f t="shared" si="12"/>
        <v>(DS-IBBLR-Devanahalli)</v>
      </c>
      <c r="L515" s="5" t="e">
        <f t="array" aca="1" ref="L515" ca="1">_xludf.XLOOKUP(E515,'[1]Migrated Societies Data'!C:C,'[1]Migrated Societies Data'!B:B)</f>
        <v>#NAME?</v>
      </c>
      <c r="M515" s="5" t="e">
        <f t="array" aca="1" ref="M515" ca="1">_xludf.XLOOKUP(E515,'[1]Migrated Societies Data'!C:C,'[1]Migrated Societies Data'!E:E)</f>
        <v>#NAME?</v>
      </c>
      <c r="N515" s="5" t="str">
        <f t="shared" si="16"/>
        <v>Yes</v>
      </c>
      <c r="O515" s="7">
        <f t="shared" si="17"/>
        <v>0.1045949074074074</v>
      </c>
    </row>
    <row r="516" spans="1:15" x14ac:dyDescent="0.25">
      <c r="A516" s="3" t="s">
        <v>14</v>
      </c>
      <c r="B516" s="3" t="s">
        <v>1042</v>
      </c>
      <c r="C516" s="3" t="s">
        <v>16</v>
      </c>
      <c r="D516" s="3" t="s">
        <v>17</v>
      </c>
      <c r="E516" s="3" t="s">
        <v>18</v>
      </c>
      <c r="F516" s="3" t="s">
        <v>1043</v>
      </c>
      <c r="G516" s="4">
        <v>46007</v>
      </c>
      <c r="H516" s="5">
        <f t="shared" si="13"/>
        <v>51</v>
      </c>
      <c r="I516" s="5">
        <f t="shared" si="14"/>
        <v>12</v>
      </c>
      <c r="J516" s="6">
        <f t="shared" si="15"/>
        <v>2.8043981481481482E-2</v>
      </c>
      <c r="K516" s="5" t="str">
        <f t="shared" si="12"/>
        <v>(DS-IBBLR-Peenya PH-3)</v>
      </c>
      <c r="L516" s="5" t="e">
        <f t="array" aca="1" ref="L516" ca="1">_xludf.XLOOKUP(E516,'[1]Migrated Societies Data'!C:C,'[1]Migrated Societies Data'!B:B)</f>
        <v>#NAME?</v>
      </c>
      <c r="M516" s="5" t="e">
        <f t="array" aca="1" ref="M516" ca="1">_xludf.XLOOKUP(E516,'[1]Migrated Societies Data'!C:C,'[1]Migrated Societies Data'!E:E)</f>
        <v>#NAME?</v>
      </c>
      <c r="N516" s="5" t="str">
        <f t="shared" si="16"/>
        <v>Yes</v>
      </c>
      <c r="O516" s="7">
        <f t="shared" si="17"/>
        <v>4.8877314814814818E-2</v>
      </c>
    </row>
    <row r="517" spans="1:15" x14ac:dyDescent="0.25">
      <c r="A517" s="3" t="s">
        <v>472</v>
      </c>
      <c r="B517" s="3" t="s">
        <v>1044</v>
      </c>
      <c r="C517" s="3" t="s">
        <v>16</v>
      </c>
      <c r="D517" s="3" t="s">
        <v>17</v>
      </c>
      <c r="E517" s="3" t="s">
        <v>474</v>
      </c>
      <c r="F517" s="3" t="s">
        <v>1045</v>
      </c>
      <c r="G517" s="4">
        <v>46007</v>
      </c>
      <c r="H517" s="5">
        <f t="shared" si="13"/>
        <v>51</v>
      </c>
      <c r="I517" s="5">
        <f t="shared" si="14"/>
        <v>12</v>
      </c>
      <c r="J517" s="6">
        <f t="shared" si="15"/>
        <v>4.565972222222222E-2</v>
      </c>
      <c r="K517" s="5" t="str">
        <f t="shared" si="12"/>
        <v>(DS-IBBLR-Lingarajapu)</v>
      </c>
      <c r="L517" s="5" t="e">
        <f t="array" aca="1" ref="L517" ca="1">_xludf.XLOOKUP(E517,'[1]Migrated Societies Data'!C:C,'[1]Migrated Societies Data'!B:B)</f>
        <v>#NAME?</v>
      </c>
      <c r="M517" s="5" t="e">
        <f t="array" aca="1" ref="M517" ca="1">_xludf.XLOOKUP(E517,'[1]Migrated Societies Data'!C:C,'[1]Migrated Societies Data'!E:E)</f>
        <v>#NAME?</v>
      </c>
      <c r="N517" s="5" t="str">
        <f t="shared" si="16"/>
        <v>Yes</v>
      </c>
      <c r="O517" s="7">
        <f t="shared" si="17"/>
        <v>6.6493055555555555E-2</v>
      </c>
    </row>
    <row r="518" spans="1:15" x14ac:dyDescent="0.25">
      <c r="A518" s="3" t="s">
        <v>478</v>
      </c>
      <c r="B518" s="3" t="s">
        <v>1046</v>
      </c>
      <c r="C518" s="3" t="s">
        <v>16</v>
      </c>
      <c r="D518" s="3" t="s">
        <v>17</v>
      </c>
      <c r="E518" s="3" t="s">
        <v>480</v>
      </c>
      <c r="F518" s="3" t="s">
        <v>1047</v>
      </c>
      <c r="G518" s="4">
        <v>46007</v>
      </c>
      <c r="H518" s="5">
        <f t="shared" si="13"/>
        <v>51</v>
      </c>
      <c r="I518" s="5">
        <f t="shared" si="14"/>
        <v>12</v>
      </c>
      <c r="J518" s="6">
        <f t="shared" si="15"/>
        <v>4.3784722222222225E-2</v>
      </c>
      <c r="K518" s="5" t="str">
        <f t="shared" si="12"/>
        <v>(DS-IBBLR-Bellahalli)</v>
      </c>
      <c r="L518" s="5" t="e">
        <f t="array" aca="1" ref="L518" ca="1">_xludf.XLOOKUP(E518,'[1]Migrated Societies Data'!C:C,'[1]Migrated Societies Data'!B:B)</f>
        <v>#NAME?</v>
      </c>
      <c r="M518" s="5" t="e">
        <f t="array" aca="1" ref="M518" ca="1">_xludf.XLOOKUP(E518,'[1]Migrated Societies Data'!C:C,'[1]Migrated Societies Data'!E:E)</f>
        <v>#NAME?</v>
      </c>
      <c r="N518" s="5" t="str">
        <f t="shared" si="16"/>
        <v>Yes</v>
      </c>
      <c r="O518" s="7">
        <f t="shared" si="17"/>
        <v>6.4618055555555554E-2</v>
      </c>
    </row>
    <row r="519" spans="1:15" x14ac:dyDescent="0.25">
      <c r="A519" s="3" t="s">
        <v>342</v>
      </c>
      <c r="B519" s="3" t="s">
        <v>1048</v>
      </c>
      <c r="C519" s="3" t="s">
        <v>16</v>
      </c>
      <c r="D519" s="3" t="s">
        <v>17</v>
      </c>
      <c r="E519" s="3" t="s">
        <v>344</v>
      </c>
      <c r="F519" s="3" t="s">
        <v>1049</v>
      </c>
      <c r="G519" s="4">
        <v>46007</v>
      </c>
      <c r="H519" s="5">
        <f t="shared" si="13"/>
        <v>51</v>
      </c>
      <c r="I519" s="5">
        <f t="shared" si="14"/>
        <v>12</v>
      </c>
      <c r="J519" s="6">
        <f t="shared" si="15"/>
        <v>0.99392361111111116</v>
      </c>
      <c r="K519" s="5" t="str">
        <f t="shared" si="12"/>
        <v>(DS-IBBLR-Chikkasandr)</v>
      </c>
      <c r="L519" s="5" t="e">
        <f t="array" aca="1" ref="L519" ca="1">_xludf.XLOOKUP(E519,'[1]Migrated Societies Data'!C:C,'[1]Migrated Societies Data'!B:B)</f>
        <v>#NAME?</v>
      </c>
      <c r="M519" s="5" t="e">
        <f t="array" aca="1" ref="M519" ca="1">_xludf.XLOOKUP(E519,'[1]Migrated Societies Data'!C:C,'[1]Migrated Societies Data'!E:E)</f>
        <v>#NAME?</v>
      </c>
      <c r="N519" s="5" t="str">
        <f t="shared" si="16"/>
        <v>Yes</v>
      </c>
      <c r="O519" s="7">
        <f t="shared" si="17"/>
        <v>1.475694444444442E-2</v>
      </c>
    </row>
    <row r="520" spans="1:15" x14ac:dyDescent="0.25">
      <c r="A520" s="3" t="s">
        <v>460</v>
      </c>
      <c r="B520" s="3" t="s">
        <v>1050</v>
      </c>
      <c r="C520" s="3" t="s">
        <v>16</v>
      </c>
      <c r="D520" s="3" t="s">
        <v>82</v>
      </c>
      <c r="E520" s="3" t="s">
        <v>462</v>
      </c>
      <c r="F520" s="3" t="s">
        <v>1051</v>
      </c>
      <c r="G520" s="4">
        <v>46007</v>
      </c>
      <c r="H520" s="5">
        <f t="shared" si="13"/>
        <v>51</v>
      </c>
      <c r="I520" s="5">
        <f t="shared" si="14"/>
        <v>12</v>
      </c>
      <c r="J520" s="6">
        <f t="shared" si="15"/>
        <v>3.2997685185185185E-2</v>
      </c>
      <c r="K520" s="5" t="str">
        <f t="shared" si="12"/>
        <v>(DS-IBBLR-HAL )</v>
      </c>
      <c r="L520" s="5" t="e">
        <f t="array" aca="1" ref="L520" ca="1">_xludf.XLOOKUP(E520,'[1]Migrated Societies Data'!C:C,'[1]Migrated Societies Data'!B:B)</f>
        <v>#NAME?</v>
      </c>
      <c r="M520" s="5" t="e">
        <f t="array" aca="1" ref="M520" ca="1">_xludf.XLOOKUP(E520,'[1]Migrated Societies Data'!C:C,'[1]Migrated Societies Data'!E:E)</f>
        <v>#NAME?</v>
      </c>
      <c r="N520" s="5" t="str">
        <f t="shared" si="16"/>
        <v>Yes</v>
      </c>
      <c r="O520" s="7">
        <f t="shared" si="17"/>
        <v>5.3831018518518514E-2</v>
      </c>
    </row>
    <row r="521" spans="1:15" x14ac:dyDescent="0.25">
      <c r="A521" s="3" t="s">
        <v>482</v>
      </c>
      <c r="B521" s="3" t="s">
        <v>1052</v>
      </c>
      <c r="C521" s="3" t="s">
        <v>36</v>
      </c>
      <c r="D521" s="3" t="s">
        <v>17</v>
      </c>
      <c r="E521" s="3" t="s">
        <v>484</v>
      </c>
      <c r="F521" s="3" t="s">
        <v>1053</v>
      </c>
      <c r="G521" s="4">
        <v>46007</v>
      </c>
      <c r="H521" s="5">
        <f t="shared" si="13"/>
        <v>51</v>
      </c>
      <c r="I521" s="5">
        <f t="shared" si="14"/>
        <v>12</v>
      </c>
      <c r="J521" s="6">
        <f t="shared" si="15"/>
        <v>0.11787037037037038</v>
      </c>
      <c r="K521" s="5" t="str">
        <f t="shared" si="12"/>
        <v>(DS-IBBLR-Benson Town)</v>
      </c>
      <c r="L521" s="5" t="e">
        <f t="array" aca="1" ref="L521" ca="1">_xludf.XLOOKUP(E521,'[1]Migrated Societies Data'!C:C,'[1]Migrated Societies Data'!B:B)</f>
        <v>#NAME?</v>
      </c>
      <c r="M521" s="5" t="e">
        <f t="array" aca="1" ref="M521" ca="1">_xludf.XLOOKUP(E521,'[1]Migrated Societies Data'!C:C,'[1]Migrated Societies Data'!E:E)</f>
        <v>#NAME?</v>
      </c>
      <c r="N521" s="5" t="str">
        <f t="shared" si="16"/>
        <v>Yes</v>
      </c>
      <c r="O521" s="7">
        <f t="shared" si="17"/>
        <v>0.13870370370370372</v>
      </c>
    </row>
    <row r="522" spans="1:15" x14ac:dyDescent="0.25">
      <c r="A522" s="3" t="s">
        <v>486</v>
      </c>
      <c r="B522" s="3" t="s">
        <v>1054</v>
      </c>
      <c r="C522" s="3" t="s">
        <v>16</v>
      </c>
      <c r="D522" s="3" t="s">
        <v>17</v>
      </c>
      <c r="E522" s="3" t="s">
        <v>488</v>
      </c>
      <c r="F522" s="3" t="s">
        <v>1055</v>
      </c>
      <c r="G522" s="4">
        <v>46007</v>
      </c>
      <c r="H522" s="5">
        <f t="shared" si="13"/>
        <v>51</v>
      </c>
      <c r="I522" s="5">
        <f t="shared" si="14"/>
        <v>12</v>
      </c>
      <c r="J522" s="6">
        <f t="shared" si="15"/>
        <v>0.11430555555555555</v>
      </c>
      <c r="K522" s="5" t="str">
        <f t="shared" si="12"/>
        <v>(DS-IBBLR-Jala halli)</v>
      </c>
      <c r="L522" s="5" t="e">
        <f t="array" aca="1" ref="L522" ca="1">_xludf.XLOOKUP(E522,'[1]Migrated Societies Data'!C:C,'[1]Migrated Societies Data'!B:B)</f>
        <v>#NAME?</v>
      </c>
      <c r="M522" s="5" t="e">
        <f t="array" aca="1" ref="M522" ca="1">_xludf.XLOOKUP(E522,'[1]Migrated Societies Data'!C:C,'[1]Migrated Societies Data'!E:E)</f>
        <v>#NAME?</v>
      </c>
      <c r="N522" s="5" t="str">
        <f t="shared" si="16"/>
        <v>Yes</v>
      </c>
      <c r="O522" s="7">
        <f t="shared" si="17"/>
        <v>0.13513888888888889</v>
      </c>
    </row>
    <row r="523" spans="1:15" x14ac:dyDescent="0.25">
      <c r="A523" s="3" t="s">
        <v>331</v>
      </c>
      <c r="B523" s="3" t="s">
        <v>1056</v>
      </c>
      <c r="C523" s="3" t="s">
        <v>16</v>
      </c>
      <c r="D523" s="3" t="s">
        <v>82</v>
      </c>
      <c r="E523" s="3" t="s">
        <v>333</v>
      </c>
      <c r="F523" s="3" t="s">
        <v>1057</v>
      </c>
      <c r="G523" s="4">
        <v>46008</v>
      </c>
      <c r="H523" s="5">
        <f t="shared" si="13"/>
        <v>51</v>
      </c>
      <c r="I523" s="5">
        <f t="shared" si="14"/>
        <v>12</v>
      </c>
      <c r="J523" s="6">
        <f t="shared" si="15"/>
        <v>0.97065972222222219</v>
      </c>
      <c r="K523" s="5" t="str">
        <f t="shared" si="12"/>
        <v>(DS-IBBLR-Attibele)</v>
      </c>
      <c r="L523" s="5" t="e">
        <f t="array" aca="1" ref="L523" ca="1">_xludf.XLOOKUP(E523,'[1]Migrated Societies Data'!C:C,'[1]Migrated Societies Data'!B:B)</f>
        <v>#NAME?</v>
      </c>
      <c r="M523" s="5" t="e">
        <f t="array" aca="1" ref="M523" ca="1">_xludf.XLOOKUP(E523,'[1]Migrated Societies Data'!C:C,'[1]Migrated Societies Data'!E:E)</f>
        <v>#NAME?</v>
      </c>
      <c r="N523" s="5" t="str">
        <f t="shared" si="16"/>
        <v>Yes</v>
      </c>
      <c r="O523" s="7">
        <f t="shared" si="17"/>
        <v>0.99149305555555556</v>
      </c>
    </row>
    <row r="524" spans="1:15" x14ac:dyDescent="0.25">
      <c r="A524" s="3" t="s">
        <v>442</v>
      </c>
      <c r="B524" s="3" t="s">
        <v>1058</v>
      </c>
      <c r="C524" s="3" t="s">
        <v>16</v>
      </c>
      <c r="D524" s="3" t="s">
        <v>82</v>
      </c>
      <c r="E524" s="3" t="s">
        <v>444</v>
      </c>
      <c r="F524" s="3" t="s">
        <v>1059</v>
      </c>
      <c r="G524" s="4">
        <v>46008</v>
      </c>
      <c r="H524" s="5">
        <f t="shared" si="13"/>
        <v>51</v>
      </c>
      <c r="I524" s="5">
        <f t="shared" si="14"/>
        <v>12</v>
      </c>
      <c r="J524" s="6">
        <f t="shared" si="15"/>
        <v>0.93821759259259263</v>
      </c>
      <c r="K524" s="5" t="str">
        <f t="shared" si="12"/>
        <v>(DS-IBBLR-Chinappalay)</v>
      </c>
      <c r="L524" s="5" t="e">
        <f t="array" aca="1" ref="L524" ca="1">_xludf.XLOOKUP(E524,'[1]Migrated Societies Data'!C:C,'[1]Migrated Societies Data'!B:B)</f>
        <v>#NAME?</v>
      </c>
      <c r="M524" s="5" t="e">
        <f t="array" aca="1" ref="M524" ca="1">_xludf.XLOOKUP(E524,'[1]Migrated Societies Data'!C:C,'[1]Migrated Societies Data'!E:E)</f>
        <v>#NAME?</v>
      </c>
      <c r="N524" s="5" t="str">
        <f t="shared" si="16"/>
        <v>No</v>
      </c>
      <c r="O524" s="7">
        <f t="shared" si="17"/>
        <v>0.959050925925926</v>
      </c>
    </row>
    <row r="525" spans="1:15" x14ac:dyDescent="0.25">
      <c r="A525" s="3" t="s">
        <v>446</v>
      </c>
      <c r="B525" s="3" t="s">
        <v>1060</v>
      </c>
      <c r="C525" s="3" t="s">
        <v>16</v>
      </c>
      <c r="D525" s="3" t="s">
        <v>82</v>
      </c>
      <c r="E525" s="3" t="s">
        <v>448</v>
      </c>
      <c r="F525" s="3" t="s">
        <v>1061</v>
      </c>
      <c r="G525" s="4">
        <v>46008</v>
      </c>
      <c r="H525" s="5">
        <f t="shared" si="13"/>
        <v>51</v>
      </c>
      <c r="I525" s="5">
        <f t="shared" si="14"/>
        <v>12</v>
      </c>
      <c r="J525" s="6">
        <f t="shared" si="15"/>
        <v>0.98033564814814811</v>
      </c>
      <c r="K525" s="5" t="str">
        <f t="shared" si="12"/>
        <v>(DS-IBBLR-Jigani)</v>
      </c>
      <c r="L525" s="5" t="e">
        <f t="array" aca="1" ref="L525" ca="1">_xludf.XLOOKUP(E525,'[1]Migrated Societies Data'!C:C,'[1]Migrated Societies Data'!B:B)</f>
        <v>#NAME?</v>
      </c>
      <c r="M525" s="5" t="e">
        <f t="array" aca="1" ref="M525" ca="1">_xludf.XLOOKUP(E525,'[1]Migrated Societies Data'!C:C,'[1]Migrated Societies Data'!E:E)</f>
        <v>#NAME?</v>
      </c>
      <c r="N525" s="5" t="str">
        <f t="shared" si="16"/>
        <v>Yes</v>
      </c>
      <c r="O525" s="7">
        <f t="shared" si="17"/>
        <v>1.1689814814814792E-3</v>
      </c>
    </row>
    <row r="526" spans="1:15" x14ac:dyDescent="0.25">
      <c r="A526" s="3" t="s">
        <v>456</v>
      </c>
      <c r="B526" s="3" t="s">
        <v>1062</v>
      </c>
      <c r="C526" s="3" t="s">
        <v>33</v>
      </c>
      <c r="D526" s="3" t="s">
        <v>82</v>
      </c>
      <c r="E526" s="3" t="s">
        <v>458</v>
      </c>
      <c r="F526" s="3" t="s">
        <v>1063</v>
      </c>
      <c r="G526" s="4">
        <v>46008</v>
      </c>
      <c r="H526" s="5">
        <f t="shared" si="13"/>
        <v>51</v>
      </c>
      <c r="I526" s="5">
        <f t="shared" si="14"/>
        <v>12</v>
      </c>
      <c r="J526" s="6">
        <f t="shared" si="15"/>
        <v>3.0127314814814815E-2</v>
      </c>
      <c r="K526" s="5" t="str">
        <f t="shared" si="12"/>
        <v>(DS-IBBLR-Jakkasandra)</v>
      </c>
      <c r="L526" s="5" t="e">
        <f t="array" aca="1" ref="L526" ca="1">_xludf.XLOOKUP(E526,'[1]Migrated Societies Data'!C:C,'[1]Migrated Societies Data'!B:B)</f>
        <v>#NAME?</v>
      </c>
      <c r="M526" s="5" t="e">
        <f t="array" aca="1" ref="M526" ca="1">_xludf.XLOOKUP(E526,'[1]Migrated Societies Data'!C:C,'[1]Migrated Societies Data'!E:E)</f>
        <v>#NAME?</v>
      </c>
      <c r="N526" s="5" t="str">
        <f t="shared" si="16"/>
        <v>Yes</v>
      </c>
      <c r="O526" s="7">
        <f t="shared" si="17"/>
        <v>5.0960648148148144E-2</v>
      </c>
    </row>
    <row r="527" spans="1:15" x14ac:dyDescent="0.25">
      <c r="A527" s="3" t="s">
        <v>80</v>
      </c>
      <c r="B527" s="3" t="s">
        <v>1064</v>
      </c>
      <c r="C527" s="3" t="s">
        <v>16</v>
      </c>
      <c r="D527" s="3" t="s">
        <v>82</v>
      </c>
      <c r="E527" s="3" t="s">
        <v>83</v>
      </c>
      <c r="F527" s="3" t="s">
        <v>1065</v>
      </c>
      <c r="G527" s="4">
        <v>46008</v>
      </c>
      <c r="H527" s="5">
        <f t="shared" si="13"/>
        <v>51</v>
      </c>
      <c r="I527" s="5">
        <f t="shared" si="14"/>
        <v>12</v>
      </c>
      <c r="J527" s="6">
        <f t="shared" si="15"/>
        <v>0.97890046296296296</v>
      </c>
      <c r="K527" s="5" t="str">
        <f t="shared" si="12"/>
        <v>(DS-IBBLR-Nagondanahalli )</v>
      </c>
      <c r="L527" s="5" t="e">
        <f t="array" aca="1" ref="L527" ca="1">_xludf.XLOOKUP(E527,'[1]Migrated Societies Data'!C:C,'[1]Migrated Societies Data'!B:B)</f>
        <v>#NAME?</v>
      </c>
      <c r="M527" s="5" t="e">
        <f t="array" aca="1" ref="M527" ca="1">_xludf.XLOOKUP(E527,'[1]Migrated Societies Data'!C:C,'[1]Migrated Societies Data'!E:E)</f>
        <v>#NAME?</v>
      </c>
      <c r="N527" s="5" t="str">
        <f t="shared" si="16"/>
        <v>Yes</v>
      </c>
      <c r="O527" s="7">
        <f t="shared" si="17"/>
        <v>0.99973379629629633</v>
      </c>
    </row>
    <row r="528" spans="1:15" x14ac:dyDescent="0.25">
      <c r="A528" s="3" t="s">
        <v>468</v>
      </c>
      <c r="B528" s="3" t="s">
        <v>1066</v>
      </c>
      <c r="C528" s="3" t="s">
        <v>16</v>
      </c>
      <c r="D528" s="3" t="s">
        <v>17</v>
      </c>
      <c r="E528" s="3" t="s">
        <v>470</v>
      </c>
      <c r="F528" s="3" t="s">
        <v>1067</v>
      </c>
      <c r="G528" s="4">
        <v>46008</v>
      </c>
      <c r="H528" s="5">
        <f t="shared" si="13"/>
        <v>51</v>
      </c>
      <c r="I528" s="5">
        <f t="shared" si="14"/>
        <v>12</v>
      </c>
      <c r="J528" s="6">
        <f t="shared" si="15"/>
        <v>5.3900462962962963E-2</v>
      </c>
      <c r="K528" s="5" t="str">
        <f t="shared" si="12"/>
        <v>(DS-BNBLR-HRBR)</v>
      </c>
      <c r="L528" s="5" t="e">
        <f t="array" aca="1" ref="L528" ca="1">_xludf.XLOOKUP(E528,'[1]Migrated Societies Data'!C:C,'[1]Migrated Societies Data'!B:B)</f>
        <v>#NAME?</v>
      </c>
      <c r="M528" s="5" t="e">
        <f t="array" aca="1" ref="M528" ca="1">_xludf.XLOOKUP(E528,'[1]Migrated Societies Data'!C:C,'[1]Migrated Societies Data'!E:E)</f>
        <v>#NAME?</v>
      </c>
      <c r="N528" s="5" t="str">
        <f t="shared" si="16"/>
        <v>Yes</v>
      </c>
      <c r="O528" s="7">
        <f t="shared" si="17"/>
        <v>7.4733796296296298E-2</v>
      </c>
    </row>
    <row r="529" spans="1:15" x14ac:dyDescent="0.25">
      <c r="A529" s="3" t="s">
        <v>14</v>
      </c>
      <c r="B529" s="3" t="s">
        <v>1068</v>
      </c>
      <c r="C529" s="3" t="s">
        <v>16</v>
      </c>
      <c r="D529" s="3" t="s">
        <v>17</v>
      </c>
      <c r="E529" s="3" t="s">
        <v>18</v>
      </c>
      <c r="F529" s="3" t="s">
        <v>1069</v>
      </c>
      <c r="G529" s="4">
        <v>46008</v>
      </c>
      <c r="H529" s="5">
        <f t="shared" si="13"/>
        <v>51</v>
      </c>
      <c r="I529" s="5">
        <f t="shared" si="14"/>
        <v>12</v>
      </c>
      <c r="J529" s="6">
        <f t="shared" si="15"/>
        <v>2.3032407407407407E-3</v>
      </c>
      <c r="K529" s="5" t="str">
        <f t="shared" si="12"/>
        <v>(DS-IBBLR-Peenya PH-3)</v>
      </c>
      <c r="L529" s="5" t="e">
        <f t="array" aca="1" ref="L529" ca="1">_xludf.XLOOKUP(E529,'[1]Migrated Societies Data'!C:C,'[1]Migrated Societies Data'!B:B)</f>
        <v>#NAME?</v>
      </c>
      <c r="M529" s="5" t="e">
        <f t="array" aca="1" ref="M529" ca="1">_xludf.XLOOKUP(E529,'[1]Migrated Societies Data'!C:C,'[1]Migrated Societies Data'!E:E)</f>
        <v>#NAME?</v>
      </c>
      <c r="N529" s="5" t="str">
        <f t="shared" si="16"/>
        <v>Yes</v>
      </c>
      <c r="O529" s="7">
        <f t="shared" si="17"/>
        <v>2.3136574074074073E-2</v>
      </c>
    </row>
    <row r="530" spans="1:15" x14ac:dyDescent="0.25">
      <c r="A530" s="3" t="s">
        <v>478</v>
      </c>
      <c r="B530" s="3" t="s">
        <v>1070</v>
      </c>
      <c r="C530" s="3" t="s">
        <v>16</v>
      </c>
      <c r="D530" s="3" t="s">
        <v>17</v>
      </c>
      <c r="E530" s="3" t="s">
        <v>480</v>
      </c>
      <c r="F530" s="3" t="s">
        <v>1071</v>
      </c>
      <c r="G530" s="4">
        <v>46008</v>
      </c>
      <c r="H530" s="5">
        <f t="shared" si="13"/>
        <v>51</v>
      </c>
      <c r="I530" s="5">
        <f t="shared" si="14"/>
        <v>12</v>
      </c>
      <c r="J530" s="6">
        <f t="shared" si="15"/>
        <v>4.8622685185185185E-2</v>
      </c>
      <c r="K530" s="5" t="str">
        <f t="shared" si="12"/>
        <v>(DS-IBBLR-Bellahalli)</v>
      </c>
      <c r="L530" s="5" t="e">
        <f t="array" aca="1" ref="L530" ca="1">_xludf.XLOOKUP(E530,'[1]Migrated Societies Data'!C:C,'[1]Migrated Societies Data'!B:B)</f>
        <v>#NAME?</v>
      </c>
      <c r="M530" s="5" t="e">
        <f t="array" aca="1" ref="M530" ca="1">_xludf.XLOOKUP(E530,'[1]Migrated Societies Data'!C:C,'[1]Migrated Societies Data'!E:E)</f>
        <v>#NAME?</v>
      </c>
      <c r="N530" s="5" t="str">
        <f t="shared" si="16"/>
        <v>Yes</v>
      </c>
      <c r="O530" s="7">
        <f t="shared" si="17"/>
        <v>6.9456018518518514E-2</v>
      </c>
    </row>
    <row r="531" spans="1:15" x14ac:dyDescent="0.25">
      <c r="A531" s="3" t="s">
        <v>490</v>
      </c>
      <c r="B531" s="3" t="s">
        <v>1072</v>
      </c>
      <c r="C531" s="3" t="s">
        <v>33</v>
      </c>
      <c r="D531" s="3" t="s">
        <v>17</v>
      </c>
      <c r="E531" s="3" t="s">
        <v>492</v>
      </c>
      <c r="F531" s="3" t="s">
        <v>1073</v>
      </c>
      <c r="G531" s="4">
        <v>46008</v>
      </c>
      <c r="H531" s="5">
        <f t="shared" si="13"/>
        <v>51</v>
      </c>
      <c r="I531" s="5">
        <f t="shared" si="14"/>
        <v>12</v>
      </c>
      <c r="J531" s="6">
        <f t="shared" si="15"/>
        <v>8.8749999999999996E-2</v>
      </c>
      <c r="K531" s="5" t="str">
        <f t="shared" si="12"/>
        <v>(DS-IBBLR-Devanahalli)</v>
      </c>
      <c r="L531" s="5" t="e">
        <f t="array" aca="1" ref="L531" ca="1">_xludf.XLOOKUP(E531,'[1]Migrated Societies Data'!C:C,'[1]Migrated Societies Data'!B:B)</f>
        <v>#NAME?</v>
      </c>
      <c r="M531" s="5" t="e">
        <f t="array" aca="1" ref="M531" ca="1">_xludf.XLOOKUP(E531,'[1]Migrated Societies Data'!C:C,'[1]Migrated Societies Data'!E:E)</f>
        <v>#NAME?</v>
      </c>
      <c r="N531" s="5" t="str">
        <f t="shared" si="16"/>
        <v>Yes</v>
      </c>
      <c r="O531" s="7">
        <f t="shared" si="17"/>
        <v>0.10958333333333332</v>
      </c>
    </row>
    <row r="532" spans="1:15" x14ac:dyDescent="0.25">
      <c r="A532" s="3" t="s">
        <v>342</v>
      </c>
      <c r="B532" s="3" t="s">
        <v>1074</v>
      </c>
      <c r="C532" s="3" t="s">
        <v>16</v>
      </c>
      <c r="D532" s="3" t="s">
        <v>17</v>
      </c>
      <c r="E532" s="3" t="s">
        <v>344</v>
      </c>
      <c r="F532" s="3" t="s">
        <v>1075</v>
      </c>
      <c r="G532" s="4">
        <v>46008</v>
      </c>
      <c r="H532" s="5">
        <f t="shared" si="13"/>
        <v>51</v>
      </c>
      <c r="I532" s="5">
        <f t="shared" si="14"/>
        <v>12</v>
      </c>
      <c r="J532" s="6">
        <f t="shared" si="15"/>
        <v>3.5057870370370371E-2</v>
      </c>
      <c r="K532" s="5" t="str">
        <f t="shared" si="12"/>
        <v>(DS-IBBLR-Chikkasandr)</v>
      </c>
      <c r="L532" s="5" t="e">
        <f t="array" aca="1" ref="L532" ca="1">_xludf.XLOOKUP(E532,'[1]Migrated Societies Data'!C:C,'[1]Migrated Societies Data'!B:B)</f>
        <v>#NAME?</v>
      </c>
      <c r="M532" s="5" t="e">
        <f t="array" aca="1" ref="M532" ca="1">_xludf.XLOOKUP(E532,'[1]Migrated Societies Data'!C:C,'[1]Migrated Societies Data'!E:E)</f>
        <v>#NAME?</v>
      </c>
      <c r="N532" s="5" t="str">
        <f t="shared" si="16"/>
        <v>Yes</v>
      </c>
      <c r="O532" s="7">
        <f t="shared" si="17"/>
        <v>5.5891203703703707E-2</v>
      </c>
    </row>
    <row r="533" spans="1:15" x14ac:dyDescent="0.25">
      <c r="A533" s="3" t="s">
        <v>460</v>
      </c>
      <c r="B533" s="3" t="s">
        <v>1076</v>
      </c>
      <c r="C533" s="3" t="s">
        <v>16</v>
      </c>
      <c r="D533" s="3" t="s">
        <v>82</v>
      </c>
      <c r="E533" s="3" t="s">
        <v>462</v>
      </c>
      <c r="F533" s="3" t="s">
        <v>1077</v>
      </c>
      <c r="G533" s="4">
        <v>46008</v>
      </c>
      <c r="H533" s="5">
        <f t="shared" si="13"/>
        <v>51</v>
      </c>
      <c r="I533" s="5">
        <f t="shared" si="14"/>
        <v>12</v>
      </c>
      <c r="J533" s="6">
        <f t="shared" si="15"/>
        <v>1.5914351851851853E-2</v>
      </c>
      <c r="K533" s="5" t="str">
        <f t="shared" si="12"/>
        <v>(DS-IBBLR-HAL )</v>
      </c>
      <c r="L533" s="5" t="e">
        <f t="array" aca="1" ref="L533" ca="1">_xludf.XLOOKUP(E533,'[1]Migrated Societies Data'!C:C,'[1]Migrated Societies Data'!B:B)</f>
        <v>#NAME?</v>
      </c>
      <c r="M533" s="5" t="e">
        <f t="array" aca="1" ref="M533" ca="1">_xludf.XLOOKUP(E533,'[1]Migrated Societies Data'!C:C,'[1]Migrated Societies Data'!E:E)</f>
        <v>#NAME?</v>
      </c>
      <c r="N533" s="5" t="str">
        <f t="shared" si="16"/>
        <v>Yes</v>
      </c>
      <c r="O533" s="7">
        <f t="shared" si="17"/>
        <v>3.6747685185185189E-2</v>
      </c>
    </row>
    <row r="534" spans="1:15" x14ac:dyDescent="0.25">
      <c r="A534" s="3" t="s">
        <v>472</v>
      </c>
      <c r="B534" s="3" t="s">
        <v>1078</v>
      </c>
      <c r="C534" s="3" t="s">
        <v>36</v>
      </c>
      <c r="D534" s="3" t="s">
        <v>17</v>
      </c>
      <c r="E534" s="3" t="s">
        <v>474</v>
      </c>
      <c r="F534" s="3" t="s">
        <v>1079</v>
      </c>
      <c r="G534" s="4">
        <v>46008</v>
      </c>
      <c r="H534" s="5">
        <f t="shared" si="13"/>
        <v>51</v>
      </c>
      <c r="I534" s="5">
        <f t="shared" si="14"/>
        <v>12</v>
      </c>
      <c r="J534" s="6">
        <f t="shared" si="15"/>
        <v>3.7349537037037035E-2</v>
      </c>
      <c r="K534" s="5" t="str">
        <f t="shared" si="12"/>
        <v>(DS-IBBLR-Lingarajapu)</v>
      </c>
      <c r="L534" s="5" t="e">
        <f t="array" aca="1" ref="L534" ca="1">_xludf.XLOOKUP(E534,'[1]Migrated Societies Data'!C:C,'[1]Migrated Societies Data'!B:B)</f>
        <v>#NAME?</v>
      </c>
      <c r="M534" s="5" t="e">
        <f t="array" aca="1" ref="M534" ca="1">_xludf.XLOOKUP(E534,'[1]Migrated Societies Data'!C:C,'[1]Migrated Societies Data'!E:E)</f>
        <v>#NAME?</v>
      </c>
      <c r="N534" s="5" t="str">
        <f t="shared" si="16"/>
        <v>Yes</v>
      </c>
      <c r="O534" s="7">
        <f t="shared" si="17"/>
        <v>5.8182870370370371E-2</v>
      </c>
    </row>
    <row r="535" spans="1:15" x14ac:dyDescent="0.25">
      <c r="A535" s="3" t="s">
        <v>486</v>
      </c>
      <c r="B535" s="3" t="s">
        <v>1080</v>
      </c>
      <c r="C535" s="3" t="s">
        <v>16</v>
      </c>
      <c r="D535" s="3" t="s">
        <v>17</v>
      </c>
      <c r="E535" s="3" t="s">
        <v>488</v>
      </c>
      <c r="F535" s="3" t="s">
        <v>1081</v>
      </c>
      <c r="G535" s="4">
        <v>46008</v>
      </c>
      <c r="H535" s="5">
        <f t="shared" si="13"/>
        <v>51</v>
      </c>
      <c r="I535" s="5">
        <f t="shared" si="14"/>
        <v>12</v>
      </c>
      <c r="J535" s="6">
        <f t="shared" si="15"/>
        <v>7.1863425925925928E-2</v>
      </c>
      <c r="K535" s="5" t="str">
        <f t="shared" si="12"/>
        <v>(DS-IBBLR-Jala halli)</v>
      </c>
      <c r="L535" s="5" t="e">
        <f t="array" aca="1" ref="L535" ca="1">_xludf.XLOOKUP(E535,'[1]Migrated Societies Data'!C:C,'[1]Migrated Societies Data'!B:B)</f>
        <v>#NAME?</v>
      </c>
      <c r="M535" s="5" t="e">
        <f t="array" aca="1" ref="M535" ca="1">_xludf.XLOOKUP(E535,'[1]Migrated Societies Data'!C:C,'[1]Migrated Societies Data'!E:E)</f>
        <v>#NAME?</v>
      </c>
      <c r="N535" s="5" t="str">
        <f t="shared" si="16"/>
        <v>Yes</v>
      </c>
      <c r="O535" s="7">
        <f t="shared" si="17"/>
        <v>9.2696759259259257E-2</v>
      </c>
    </row>
    <row r="536" spans="1:15" x14ac:dyDescent="0.25">
      <c r="A536" s="3" t="s">
        <v>482</v>
      </c>
      <c r="B536" s="3" t="s">
        <v>1082</v>
      </c>
      <c r="C536" s="3" t="s">
        <v>16</v>
      </c>
      <c r="D536" s="3" t="s">
        <v>17</v>
      </c>
      <c r="E536" s="3" t="s">
        <v>484</v>
      </c>
      <c r="F536" s="3" t="s">
        <v>1083</v>
      </c>
      <c r="G536" s="4">
        <v>46008</v>
      </c>
      <c r="H536" s="5">
        <f t="shared" si="13"/>
        <v>51</v>
      </c>
      <c r="I536" s="5">
        <f t="shared" si="14"/>
        <v>12</v>
      </c>
      <c r="J536" s="6">
        <f t="shared" si="15"/>
        <v>6.1400462962962962E-2</v>
      </c>
      <c r="K536" s="5" t="str">
        <f t="shared" si="12"/>
        <v>(DS-IBBLR-Benson Town)</v>
      </c>
      <c r="L536" s="5" t="e">
        <f t="array" aca="1" ref="L536" ca="1">_xludf.XLOOKUP(E536,'[1]Migrated Societies Data'!C:C,'[1]Migrated Societies Data'!B:B)</f>
        <v>#NAME?</v>
      </c>
      <c r="M536" s="5" t="e">
        <f t="array" aca="1" ref="M536" ca="1">_xludf.XLOOKUP(E536,'[1]Migrated Societies Data'!C:C,'[1]Migrated Societies Data'!E:E)</f>
        <v>#NAME?</v>
      </c>
      <c r="N536" s="5" t="str">
        <f t="shared" si="16"/>
        <v>Yes</v>
      </c>
      <c r="O536" s="7">
        <f t="shared" si="17"/>
        <v>8.2233796296296291E-2</v>
      </c>
    </row>
    <row r="537" spans="1:15" x14ac:dyDescent="0.25">
      <c r="A537" s="3" t="s">
        <v>472</v>
      </c>
      <c r="B537" s="3" t="s">
        <v>1084</v>
      </c>
      <c r="C537" s="3" t="s">
        <v>16</v>
      </c>
      <c r="D537" s="3" t="s">
        <v>17</v>
      </c>
      <c r="E537" s="3" t="s">
        <v>474</v>
      </c>
      <c r="F537" s="3" t="s">
        <v>1085</v>
      </c>
      <c r="G537" s="4">
        <v>46009</v>
      </c>
      <c r="H537" s="5">
        <f t="shared" si="13"/>
        <v>51</v>
      </c>
      <c r="I537" s="5">
        <f t="shared" si="14"/>
        <v>12</v>
      </c>
      <c r="J537" s="6">
        <f t="shared" si="15"/>
        <v>0.63651620370370365</v>
      </c>
      <c r="K537" s="5" t="str">
        <f t="shared" si="12"/>
        <v>(DS-IBBLR-Lingarajapu)</v>
      </c>
      <c r="L537" s="5" t="e">
        <f t="array" aca="1" ref="L537" ca="1">_xludf.XLOOKUP(E537,'[1]Migrated Societies Data'!C:C,'[1]Migrated Societies Data'!B:B)</f>
        <v>#NAME?</v>
      </c>
      <c r="M537" s="5" t="e">
        <f t="array" aca="1" ref="M537" ca="1">_xludf.XLOOKUP(E537,'[1]Migrated Societies Data'!C:C,'[1]Migrated Societies Data'!E:E)</f>
        <v>#NAME?</v>
      </c>
      <c r="N537" s="5" t="str">
        <f t="shared" si="16"/>
        <v>No</v>
      </c>
      <c r="O537" s="7">
        <f t="shared" si="17"/>
        <v>0.65734953703703702</v>
      </c>
    </row>
    <row r="538" spans="1:15" x14ac:dyDescent="0.25">
      <c r="A538" s="3" t="s">
        <v>442</v>
      </c>
      <c r="B538" s="3" t="s">
        <v>1086</v>
      </c>
      <c r="C538" s="3" t="s">
        <v>16</v>
      </c>
      <c r="D538" s="3" t="s">
        <v>82</v>
      </c>
      <c r="E538" s="3" t="s">
        <v>444</v>
      </c>
      <c r="F538" s="3" t="s">
        <v>1087</v>
      </c>
      <c r="G538" s="4">
        <v>46009</v>
      </c>
      <c r="H538" s="5">
        <f t="shared" si="13"/>
        <v>51</v>
      </c>
      <c r="I538" s="5">
        <f t="shared" si="14"/>
        <v>12</v>
      </c>
      <c r="J538" s="6">
        <f t="shared" si="15"/>
        <v>0.94590277777777776</v>
      </c>
      <c r="K538" s="5" t="str">
        <f t="shared" si="12"/>
        <v>(DS-IBBLR-Chinappalay)</v>
      </c>
      <c r="L538" s="5" t="e">
        <f t="array" aca="1" ref="L538" ca="1">_xludf.XLOOKUP(E538,'[1]Migrated Societies Data'!C:C,'[1]Migrated Societies Data'!B:B)</f>
        <v>#NAME?</v>
      </c>
      <c r="M538" s="5" t="e">
        <f t="array" aca="1" ref="M538" ca="1">_xludf.XLOOKUP(E538,'[1]Migrated Societies Data'!C:C,'[1]Migrated Societies Data'!E:E)</f>
        <v>#NAME?</v>
      </c>
      <c r="N538" s="5" t="str">
        <f t="shared" si="16"/>
        <v>No</v>
      </c>
      <c r="O538" s="7">
        <f t="shared" si="17"/>
        <v>0.96673611111111113</v>
      </c>
    </row>
    <row r="539" spans="1:15" x14ac:dyDescent="0.25">
      <c r="A539" s="3" t="s">
        <v>446</v>
      </c>
      <c r="B539" s="3" t="s">
        <v>1088</v>
      </c>
      <c r="C539" s="3" t="s">
        <v>16</v>
      </c>
      <c r="D539" s="3" t="s">
        <v>82</v>
      </c>
      <c r="E539" s="3" t="s">
        <v>448</v>
      </c>
      <c r="F539" s="3" t="s">
        <v>1089</v>
      </c>
      <c r="G539" s="4">
        <v>46009</v>
      </c>
      <c r="H539" s="5">
        <f t="shared" si="13"/>
        <v>51</v>
      </c>
      <c r="I539" s="5">
        <f t="shared" si="14"/>
        <v>12</v>
      </c>
      <c r="J539" s="6">
        <f t="shared" si="15"/>
        <v>0.98001157407407402</v>
      </c>
      <c r="K539" s="5" t="str">
        <f t="shared" si="12"/>
        <v>(DS-IBBLR-Jigani)</v>
      </c>
      <c r="L539" s="5" t="e">
        <f t="array" aca="1" ref="L539" ca="1">_xludf.XLOOKUP(E539,'[1]Migrated Societies Data'!C:C,'[1]Migrated Societies Data'!B:B)</f>
        <v>#NAME?</v>
      </c>
      <c r="M539" s="5" t="e">
        <f t="array" aca="1" ref="M539" ca="1">_xludf.XLOOKUP(E539,'[1]Migrated Societies Data'!C:C,'[1]Migrated Societies Data'!E:E)</f>
        <v>#NAME?</v>
      </c>
      <c r="N539" s="5" t="str">
        <f t="shared" si="16"/>
        <v>Yes</v>
      </c>
      <c r="O539" s="7">
        <f t="shared" si="17"/>
        <v>8.4490740740728043E-4</v>
      </c>
    </row>
    <row r="540" spans="1:15" x14ac:dyDescent="0.25">
      <c r="A540" s="3" t="s">
        <v>331</v>
      </c>
      <c r="B540" s="3" t="s">
        <v>1090</v>
      </c>
      <c r="C540" s="3" t="s">
        <v>16</v>
      </c>
      <c r="D540" s="3" t="s">
        <v>82</v>
      </c>
      <c r="E540" s="3" t="s">
        <v>333</v>
      </c>
      <c r="F540" s="3" t="s">
        <v>1091</v>
      </c>
      <c r="G540" s="4">
        <v>46009</v>
      </c>
      <c r="H540" s="5">
        <f t="shared" si="13"/>
        <v>51</v>
      </c>
      <c r="I540" s="5">
        <f t="shared" si="14"/>
        <v>12</v>
      </c>
      <c r="J540" s="6">
        <f t="shared" si="15"/>
        <v>0.98592592592592587</v>
      </c>
      <c r="K540" s="5" t="str">
        <f t="shared" si="12"/>
        <v>(DS-IBBLR-Attibele)</v>
      </c>
      <c r="L540" s="5" t="e">
        <f t="array" aca="1" ref="L540" ca="1">_xludf.XLOOKUP(E540,'[1]Migrated Societies Data'!C:C,'[1]Migrated Societies Data'!B:B)</f>
        <v>#NAME?</v>
      </c>
      <c r="M540" s="5" t="e">
        <f t="array" aca="1" ref="M540" ca="1">_xludf.XLOOKUP(E540,'[1]Migrated Societies Data'!C:C,'[1]Migrated Societies Data'!E:E)</f>
        <v>#NAME?</v>
      </c>
      <c r="N540" s="5" t="str">
        <f t="shared" si="16"/>
        <v>Yes</v>
      </c>
      <c r="O540" s="7">
        <f t="shared" si="17"/>
        <v>6.7592592592591316E-3</v>
      </c>
    </row>
    <row r="541" spans="1:15" x14ac:dyDescent="0.25">
      <c r="A541" s="3" t="s">
        <v>80</v>
      </c>
      <c r="B541" s="3" t="s">
        <v>1092</v>
      </c>
      <c r="C541" s="3" t="s">
        <v>16</v>
      </c>
      <c r="D541" s="3" t="s">
        <v>82</v>
      </c>
      <c r="E541" s="3" t="s">
        <v>83</v>
      </c>
      <c r="F541" s="3" t="s">
        <v>1093</v>
      </c>
      <c r="G541" s="4">
        <v>46009</v>
      </c>
      <c r="H541" s="5">
        <f t="shared" si="13"/>
        <v>51</v>
      </c>
      <c r="I541" s="5">
        <f t="shared" si="14"/>
        <v>12</v>
      </c>
      <c r="J541" s="6">
        <f t="shared" si="15"/>
        <v>0.98813657407407407</v>
      </c>
      <c r="K541" s="5" t="str">
        <f t="shared" si="12"/>
        <v>(DS-IBBLR-Nagondanahalli )</v>
      </c>
      <c r="L541" s="5" t="e">
        <f t="array" aca="1" ref="L541" ca="1">_xludf.XLOOKUP(E541,'[1]Migrated Societies Data'!C:C,'[1]Migrated Societies Data'!B:B)</f>
        <v>#NAME?</v>
      </c>
      <c r="M541" s="5" t="e">
        <f t="array" aca="1" ref="M541" ca="1">_xludf.XLOOKUP(E541,'[1]Migrated Societies Data'!C:C,'[1]Migrated Societies Data'!E:E)</f>
        <v>#NAME?</v>
      </c>
      <c r="N541" s="5" t="str">
        <f t="shared" si="16"/>
        <v>Yes</v>
      </c>
      <c r="O541" s="7">
        <f t="shared" si="17"/>
        <v>8.9699074074074403E-3</v>
      </c>
    </row>
    <row r="542" spans="1:15" x14ac:dyDescent="0.25">
      <c r="A542" s="3" t="s">
        <v>460</v>
      </c>
      <c r="B542" s="3" t="s">
        <v>1094</v>
      </c>
      <c r="C542" s="3" t="s">
        <v>16</v>
      </c>
      <c r="D542" s="3" t="s">
        <v>82</v>
      </c>
      <c r="E542" s="3" t="s">
        <v>462</v>
      </c>
      <c r="F542" s="3" t="s">
        <v>1095</v>
      </c>
      <c r="G542" s="4">
        <v>46009</v>
      </c>
      <c r="H542" s="5">
        <f t="shared" si="13"/>
        <v>51</v>
      </c>
      <c r="I542" s="5">
        <f t="shared" si="14"/>
        <v>12</v>
      </c>
      <c r="J542" s="6">
        <f t="shared" si="15"/>
        <v>0.99642361111111111</v>
      </c>
      <c r="K542" s="5" t="str">
        <f t="shared" si="12"/>
        <v>(DS-IBBLR-HAL )</v>
      </c>
      <c r="L542" s="5" t="e">
        <f t="array" aca="1" ref="L542" ca="1">_xludf.XLOOKUP(E542,'[1]Migrated Societies Data'!C:C,'[1]Migrated Societies Data'!B:B)</f>
        <v>#NAME?</v>
      </c>
      <c r="M542" s="5" t="e">
        <f t="array" aca="1" ref="M542" ca="1">_xludf.XLOOKUP(E542,'[1]Migrated Societies Data'!C:C,'[1]Migrated Societies Data'!E:E)</f>
        <v>#NAME?</v>
      </c>
      <c r="N542" s="5" t="str">
        <f t="shared" si="16"/>
        <v>Yes</v>
      </c>
      <c r="O542" s="7">
        <f t="shared" si="17"/>
        <v>1.7256944444444366E-2</v>
      </c>
    </row>
    <row r="543" spans="1:15" x14ac:dyDescent="0.25">
      <c r="A543" s="3" t="s">
        <v>14</v>
      </c>
      <c r="B543" s="3" t="s">
        <v>1096</v>
      </c>
      <c r="C543" s="3" t="s">
        <v>16</v>
      </c>
      <c r="D543" s="3" t="s">
        <v>17</v>
      </c>
      <c r="E543" s="3" t="s">
        <v>18</v>
      </c>
      <c r="F543" s="3" t="s">
        <v>1097</v>
      </c>
      <c r="G543" s="4">
        <v>46009</v>
      </c>
      <c r="H543" s="5">
        <f t="shared" si="13"/>
        <v>51</v>
      </c>
      <c r="I543" s="5">
        <f t="shared" si="14"/>
        <v>12</v>
      </c>
      <c r="J543" s="6">
        <f t="shared" si="15"/>
        <v>2.4305555555555555E-4</v>
      </c>
      <c r="K543" s="5" t="str">
        <f t="shared" si="12"/>
        <v>(DS-IBBLR-Peenya PH-3)</v>
      </c>
      <c r="L543" s="5" t="e">
        <f t="array" aca="1" ref="L543" ca="1">_xludf.XLOOKUP(E543,'[1]Migrated Societies Data'!C:C,'[1]Migrated Societies Data'!B:B)</f>
        <v>#NAME?</v>
      </c>
      <c r="M543" s="5" t="e">
        <f t="array" aca="1" ref="M543" ca="1">_xludf.XLOOKUP(E543,'[1]Migrated Societies Data'!C:C,'[1]Migrated Societies Data'!E:E)</f>
        <v>#NAME?</v>
      </c>
      <c r="N543" s="5" t="str">
        <f t="shared" si="16"/>
        <v>Yes</v>
      </c>
      <c r="O543" s="7">
        <f t="shared" si="17"/>
        <v>2.1076388888888888E-2</v>
      </c>
    </row>
    <row r="544" spans="1:15" x14ac:dyDescent="0.25">
      <c r="A544" s="3" t="s">
        <v>478</v>
      </c>
      <c r="B544" s="3" t="s">
        <v>1098</v>
      </c>
      <c r="C544" s="3" t="s">
        <v>16</v>
      </c>
      <c r="D544" s="3" t="s">
        <v>17</v>
      </c>
      <c r="E544" s="3" t="s">
        <v>480</v>
      </c>
      <c r="F544" s="3" t="s">
        <v>1099</v>
      </c>
      <c r="G544" s="4">
        <v>46009</v>
      </c>
      <c r="H544" s="5">
        <f t="shared" si="13"/>
        <v>51</v>
      </c>
      <c r="I544" s="5">
        <f t="shared" si="14"/>
        <v>12</v>
      </c>
      <c r="J544" s="6">
        <f t="shared" si="15"/>
        <v>2.1388888888888888E-2</v>
      </c>
      <c r="K544" s="5" t="str">
        <f t="shared" si="12"/>
        <v>(DS-IBBLR-Bellahalli)</v>
      </c>
      <c r="L544" s="5" t="e">
        <f t="array" aca="1" ref="L544" ca="1">_xludf.XLOOKUP(E544,'[1]Migrated Societies Data'!C:C,'[1]Migrated Societies Data'!B:B)</f>
        <v>#NAME?</v>
      </c>
      <c r="M544" s="5" t="e">
        <f t="array" aca="1" ref="M544" ca="1">_xludf.XLOOKUP(E544,'[1]Migrated Societies Data'!C:C,'[1]Migrated Societies Data'!E:E)</f>
        <v>#NAME?</v>
      </c>
      <c r="N544" s="5" t="str">
        <f t="shared" si="16"/>
        <v>Yes</v>
      </c>
      <c r="O544" s="7">
        <f t="shared" si="17"/>
        <v>4.2222222222222217E-2</v>
      </c>
    </row>
    <row r="545" spans="1:15" x14ac:dyDescent="0.25">
      <c r="A545" s="3" t="s">
        <v>342</v>
      </c>
      <c r="B545" s="3" t="s">
        <v>1100</v>
      </c>
      <c r="C545" s="3" t="s">
        <v>16</v>
      </c>
      <c r="D545" s="3" t="s">
        <v>17</v>
      </c>
      <c r="E545" s="3" t="s">
        <v>344</v>
      </c>
      <c r="F545" s="3" t="s">
        <v>1101</v>
      </c>
      <c r="G545" s="4">
        <v>46009</v>
      </c>
      <c r="H545" s="5">
        <f t="shared" si="13"/>
        <v>51</v>
      </c>
      <c r="I545" s="5">
        <f t="shared" si="14"/>
        <v>12</v>
      </c>
      <c r="J545" s="6">
        <f t="shared" si="15"/>
        <v>2.3125E-2</v>
      </c>
      <c r="K545" s="5" t="str">
        <f t="shared" si="12"/>
        <v>(DS-IBBLR-Chikkasandr)</v>
      </c>
      <c r="L545" s="5" t="e">
        <f t="array" aca="1" ref="L545" ca="1">_xludf.XLOOKUP(E545,'[1]Migrated Societies Data'!C:C,'[1]Migrated Societies Data'!B:B)</f>
        <v>#NAME?</v>
      </c>
      <c r="M545" s="5" t="e">
        <f t="array" aca="1" ref="M545" ca="1">_xludf.XLOOKUP(E545,'[1]Migrated Societies Data'!C:C,'[1]Migrated Societies Data'!E:E)</f>
        <v>#NAME?</v>
      </c>
      <c r="N545" s="5" t="str">
        <f t="shared" si="16"/>
        <v>Yes</v>
      </c>
      <c r="O545" s="7">
        <f t="shared" si="17"/>
        <v>4.3958333333333335E-2</v>
      </c>
    </row>
    <row r="546" spans="1:15" x14ac:dyDescent="0.25">
      <c r="A546" s="3" t="s">
        <v>472</v>
      </c>
      <c r="B546" s="3" t="s">
        <v>1102</v>
      </c>
      <c r="C546" s="3" t="s">
        <v>16</v>
      </c>
      <c r="D546" s="3" t="s">
        <v>17</v>
      </c>
      <c r="E546" s="3" t="s">
        <v>474</v>
      </c>
      <c r="F546" s="3" t="s">
        <v>1103</v>
      </c>
      <c r="G546" s="4">
        <v>46009</v>
      </c>
      <c r="H546" s="5">
        <f t="shared" si="13"/>
        <v>51</v>
      </c>
      <c r="I546" s="5">
        <f t="shared" si="14"/>
        <v>12</v>
      </c>
      <c r="J546" s="6">
        <f t="shared" si="15"/>
        <v>2.6226851851851852E-2</v>
      </c>
      <c r="K546" s="5" t="str">
        <f t="shared" si="12"/>
        <v>(DS-IBBLR-Lingarajapu)</v>
      </c>
      <c r="L546" s="5" t="e">
        <f t="array" aca="1" ref="L546" ca="1">_xludf.XLOOKUP(E546,'[1]Migrated Societies Data'!C:C,'[1]Migrated Societies Data'!B:B)</f>
        <v>#NAME?</v>
      </c>
      <c r="M546" s="5" t="e">
        <f t="array" aca="1" ref="M546" ca="1">_xludf.XLOOKUP(E546,'[1]Migrated Societies Data'!C:C,'[1]Migrated Societies Data'!E:E)</f>
        <v>#NAME?</v>
      </c>
      <c r="N546" s="5" t="str">
        <f t="shared" si="16"/>
        <v>Yes</v>
      </c>
      <c r="O546" s="7">
        <f t="shared" si="17"/>
        <v>4.7060185185185184E-2</v>
      </c>
    </row>
    <row r="547" spans="1:15" x14ac:dyDescent="0.25">
      <c r="A547" s="3" t="s">
        <v>468</v>
      </c>
      <c r="B547" s="3" t="s">
        <v>1104</v>
      </c>
      <c r="C547" s="3" t="s">
        <v>16</v>
      </c>
      <c r="D547" s="3" t="s">
        <v>17</v>
      </c>
      <c r="E547" s="3" t="s">
        <v>470</v>
      </c>
      <c r="F547" s="3" t="s">
        <v>1105</v>
      </c>
      <c r="G547" s="4">
        <v>46009</v>
      </c>
      <c r="H547" s="5">
        <f t="shared" si="13"/>
        <v>51</v>
      </c>
      <c r="I547" s="5">
        <f t="shared" si="14"/>
        <v>12</v>
      </c>
      <c r="J547" s="6">
        <f t="shared" si="15"/>
        <v>5.6770833333333333E-2</v>
      </c>
      <c r="K547" s="5" t="str">
        <f t="shared" si="12"/>
        <v>(DS-BNBLR-HRBR)</v>
      </c>
      <c r="L547" s="5" t="e">
        <f t="array" aca="1" ref="L547" ca="1">_xludf.XLOOKUP(E547,'[1]Migrated Societies Data'!C:C,'[1]Migrated Societies Data'!B:B)</f>
        <v>#NAME?</v>
      </c>
      <c r="M547" s="5" t="e">
        <f t="array" aca="1" ref="M547" ca="1">_xludf.XLOOKUP(E547,'[1]Migrated Societies Data'!C:C,'[1]Migrated Societies Data'!E:E)</f>
        <v>#NAME?</v>
      </c>
      <c r="N547" s="5" t="str">
        <f t="shared" si="16"/>
        <v>Yes</v>
      </c>
      <c r="O547" s="7">
        <f t="shared" si="17"/>
        <v>7.7604166666666669E-2</v>
      </c>
    </row>
    <row r="548" spans="1:15" x14ac:dyDescent="0.25">
      <c r="A548" s="3" t="s">
        <v>456</v>
      </c>
      <c r="B548" s="3" t="s">
        <v>1106</v>
      </c>
      <c r="C548" s="3" t="s">
        <v>16</v>
      </c>
      <c r="D548" s="3" t="s">
        <v>82</v>
      </c>
      <c r="E548" s="3" t="s">
        <v>458</v>
      </c>
      <c r="F548" s="3" t="s">
        <v>1107</v>
      </c>
      <c r="G548" s="4">
        <v>46009</v>
      </c>
      <c r="H548" s="5">
        <f t="shared" si="13"/>
        <v>51</v>
      </c>
      <c r="I548" s="5">
        <f t="shared" si="14"/>
        <v>12</v>
      </c>
      <c r="J548" s="6">
        <f t="shared" si="15"/>
        <v>6.008101851851852E-2</v>
      </c>
      <c r="K548" s="5" t="str">
        <f t="shared" si="12"/>
        <v>(DS-IBBLR-Jakkasandra)</v>
      </c>
      <c r="L548" s="5" t="e">
        <f t="array" aca="1" ref="L548" ca="1">_xludf.XLOOKUP(E548,'[1]Migrated Societies Data'!C:C,'[1]Migrated Societies Data'!B:B)</f>
        <v>#NAME?</v>
      </c>
      <c r="M548" s="5" t="e">
        <f t="array" aca="1" ref="M548" ca="1">_xludf.XLOOKUP(E548,'[1]Migrated Societies Data'!C:C,'[1]Migrated Societies Data'!E:E)</f>
        <v>#NAME?</v>
      </c>
      <c r="N548" s="5" t="str">
        <f t="shared" si="16"/>
        <v>Yes</v>
      </c>
      <c r="O548" s="7">
        <f t="shared" si="17"/>
        <v>8.0914351851851848E-2</v>
      </c>
    </row>
    <row r="549" spans="1:15" x14ac:dyDescent="0.25">
      <c r="A549" s="3" t="s">
        <v>490</v>
      </c>
      <c r="B549" s="3" t="s">
        <v>1108</v>
      </c>
      <c r="C549" s="3" t="s">
        <v>16</v>
      </c>
      <c r="D549" s="3" t="s">
        <v>17</v>
      </c>
      <c r="E549" s="3" t="s">
        <v>492</v>
      </c>
      <c r="F549" s="3" t="s">
        <v>1109</v>
      </c>
      <c r="G549" s="4">
        <v>46009</v>
      </c>
      <c r="H549" s="5">
        <f t="shared" si="13"/>
        <v>51</v>
      </c>
      <c r="I549" s="5">
        <f t="shared" si="14"/>
        <v>12</v>
      </c>
      <c r="J549" s="6">
        <f t="shared" si="15"/>
        <v>6.4675925925925928E-2</v>
      </c>
      <c r="K549" s="5" t="str">
        <f t="shared" si="12"/>
        <v>(DS-IBBLR-Devanahalli)</v>
      </c>
      <c r="L549" s="5" t="e">
        <f t="array" aca="1" ref="L549" ca="1">_xludf.XLOOKUP(E549,'[1]Migrated Societies Data'!C:C,'[1]Migrated Societies Data'!B:B)</f>
        <v>#NAME?</v>
      </c>
      <c r="M549" s="5" t="e">
        <f t="array" aca="1" ref="M549" ca="1">_xludf.XLOOKUP(E549,'[1]Migrated Societies Data'!C:C,'[1]Migrated Societies Data'!E:E)</f>
        <v>#NAME?</v>
      </c>
      <c r="N549" s="5" t="str">
        <f t="shared" si="16"/>
        <v>Yes</v>
      </c>
      <c r="O549" s="7">
        <f t="shared" si="17"/>
        <v>8.5509259259259257E-2</v>
      </c>
    </row>
    <row r="550" spans="1:15" x14ac:dyDescent="0.25">
      <c r="A550" s="3" t="s">
        <v>482</v>
      </c>
      <c r="B550" s="3" t="s">
        <v>1110</v>
      </c>
      <c r="C550" s="3" t="s">
        <v>16</v>
      </c>
      <c r="D550" s="3" t="s">
        <v>17</v>
      </c>
      <c r="E550" s="3" t="s">
        <v>484</v>
      </c>
      <c r="F550" s="3" t="s">
        <v>1111</v>
      </c>
      <c r="G550" s="4">
        <v>46009</v>
      </c>
      <c r="H550" s="5">
        <f t="shared" si="13"/>
        <v>51</v>
      </c>
      <c r="I550" s="5">
        <f t="shared" si="14"/>
        <v>12</v>
      </c>
      <c r="J550" s="6">
        <f t="shared" si="15"/>
        <v>6.5960648148148143E-2</v>
      </c>
      <c r="K550" s="5" t="str">
        <f t="shared" si="12"/>
        <v>(DS-IBBLR-Benson Town)</v>
      </c>
      <c r="L550" s="5" t="e">
        <f t="array" aca="1" ref="L550" ca="1">_xludf.XLOOKUP(E550,'[1]Migrated Societies Data'!C:C,'[1]Migrated Societies Data'!B:B)</f>
        <v>#NAME?</v>
      </c>
      <c r="M550" s="5" t="e">
        <f t="array" aca="1" ref="M550" ca="1">_xludf.XLOOKUP(E550,'[1]Migrated Societies Data'!C:C,'[1]Migrated Societies Data'!E:E)</f>
        <v>#NAME?</v>
      </c>
      <c r="N550" s="5" t="str">
        <f t="shared" si="16"/>
        <v>Yes</v>
      </c>
      <c r="O550" s="7">
        <f t="shared" si="17"/>
        <v>8.6793981481481472E-2</v>
      </c>
    </row>
    <row r="551" spans="1:15" x14ac:dyDescent="0.25">
      <c r="A551" s="3" t="s">
        <v>486</v>
      </c>
      <c r="B551" s="3" t="s">
        <v>1112</v>
      </c>
      <c r="C551" s="3" t="s">
        <v>16</v>
      </c>
      <c r="D551" s="3" t="s">
        <v>17</v>
      </c>
      <c r="E551" s="3" t="s">
        <v>488</v>
      </c>
      <c r="F551" s="3" t="s">
        <v>1113</v>
      </c>
      <c r="G551" s="4">
        <v>46009</v>
      </c>
      <c r="H551" s="5">
        <f t="shared" si="13"/>
        <v>51</v>
      </c>
      <c r="I551" s="5">
        <f t="shared" si="14"/>
        <v>12</v>
      </c>
      <c r="J551" s="6">
        <f t="shared" si="15"/>
        <v>8.0462962962962958E-2</v>
      </c>
      <c r="K551" s="5" t="str">
        <f t="shared" si="12"/>
        <v>(DS-IBBLR-Jala halli)</v>
      </c>
      <c r="L551" s="5" t="e">
        <f t="array" aca="1" ref="L551" ca="1">_xludf.XLOOKUP(E551,'[1]Migrated Societies Data'!C:C,'[1]Migrated Societies Data'!B:B)</f>
        <v>#NAME?</v>
      </c>
      <c r="M551" s="5" t="e">
        <f t="array" aca="1" ref="M551" ca="1">_xludf.XLOOKUP(E551,'[1]Migrated Societies Data'!C:C,'[1]Migrated Societies Data'!E:E)</f>
        <v>#NAME?</v>
      </c>
      <c r="N551" s="5" t="str">
        <f t="shared" si="16"/>
        <v>Yes</v>
      </c>
      <c r="O551" s="7">
        <f t="shared" si="17"/>
        <v>0.10129629629629629</v>
      </c>
    </row>
    <row r="552" spans="1:15" x14ac:dyDescent="0.25">
      <c r="A552" s="3" t="s">
        <v>456</v>
      </c>
      <c r="B552" s="3" t="s">
        <v>1114</v>
      </c>
      <c r="C552" s="3" t="s">
        <v>16</v>
      </c>
      <c r="D552" s="3" t="s">
        <v>82</v>
      </c>
      <c r="E552" s="3" t="s">
        <v>458</v>
      </c>
      <c r="F552" s="3" t="s">
        <v>1115</v>
      </c>
      <c r="G552" s="4">
        <v>46010</v>
      </c>
      <c r="H552" s="5">
        <f t="shared" si="13"/>
        <v>51</v>
      </c>
      <c r="I552" s="5">
        <f t="shared" si="14"/>
        <v>12</v>
      </c>
      <c r="J552" s="6">
        <f t="shared" si="15"/>
        <v>3.5185185185185187E-2</v>
      </c>
      <c r="K552" s="5" t="str">
        <f t="shared" si="12"/>
        <v>(DS-IBBLR-Jakkasandra)</v>
      </c>
      <c r="L552" s="5" t="e">
        <f t="array" aca="1" ref="L552" ca="1">_xludf.XLOOKUP(E552,'[1]Migrated Societies Data'!C:C,'[1]Migrated Societies Data'!B:B)</f>
        <v>#NAME?</v>
      </c>
      <c r="M552" s="5" t="e">
        <f t="array" aca="1" ref="M552" ca="1">_xludf.XLOOKUP(E552,'[1]Migrated Societies Data'!C:C,'[1]Migrated Societies Data'!E:E)</f>
        <v>#NAME?</v>
      </c>
      <c r="N552" s="5" t="str">
        <f t="shared" si="16"/>
        <v>Yes</v>
      </c>
      <c r="O552" s="7">
        <f t="shared" si="17"/>
        <v>5.6018518518518523E-2</v>
      </c>
    </row>
    <row r="553" spans="1:15" x14ac:dyDescent="0.25">
      <c r="A553" s="3" t="s">
        <v>80</v>
      </c>
      <c r="B553" s="3" t="s">
        <v>1116</v>
      </c>
      <c r="C553" s="3" t="s">
        <v>16</v>
      </c>
      <c r="D553" s="3" t="s">
        <v>82</v>
      </c>
      <c r="E553" s="3" t="s">
        <v>83</v>
      </c>
      <c r="F553" s="3" t="s">
        <v>1117</v>
      </c>
      <c r="G553" s="4">
        <v>46010</v>
      </c>
      <c r="H553" s="5">
        <f t="shared" si="13"/>
        <v>51</v>
      </c>
      <c r="I553" s="5">
        <f t="shared" si="14"/>
        <v>12</v>
      </c>
      <c r="J553" s="6">
        <f t="shared" si="15"/>
        <v>6.0185185185185185E-3</v>
      </c>
      <c r="K553" s="5" t="str">
        <f t="shared" si="12"/>
        <v>(DS-IBBLR-Nagondanahalli )</v>
      </c>
      <c r="L553" s="5" t="e">
        <f t="array" aca="1" ref="L553" ca="1">_xludf.XLOOKUP(E553,'[1]Migrated Societies Data'!C:C,'[1]Migrated Societies Data'!B:B)</f>
        <v>#NAME?</v>
      </c>
      <c r="M553" s="5" t="e">
        <f t="array" aca="1" ref="M553" ca="1">_xludf.XLOOKUP(E553,'[1]Migrated Societies Data'!C:C,'[1]Migrated Societies Data'!E:E)</f>
        <v>#NAME?</v>
      </c>
      <c r="N553" s="5" t="str">
        <f t="shared" si="16"/>
        <v>Yes</v>
      </c>
      <c r="O553" s="7">
        <f t="shared" si="17"/>
        <v>2.6851851851851849E-2</v>
      </c>
    </row>
    <row r="554" spans="1:15" x14ac:dyDescent="0.25">
      <c r="A554" s="3" t="s">
        <v>446</v>
      </c>
      <c r="B554" s="3" t="s">
        <v>1118</v>
      </c>
      <c r="C554" s="3" t="s">
        <v>16</v>
      </c>
      <c r="D554" s="3" t="s">
        <v>82</v>
      </c>
      <c r="E554" s="3" t="s">
        <v>448</v>
      </c>
      <c r="F554" s="3" t="s">
        <v>1119</v>
      </c>
      <c r="G554" s="4">
        <v>46010</v>
      </c>
      <c r="H554" s="5">
        <f t="shared" si="13"/>
        <v>51</v>
      </c>
      <c r="I554" s="5">
        <f t="shared" si="14"/>
        <v>12</v>
      </c>
      <c r="J554" s="6">
        <f t="shared" si="15"/>
        <v>2.013888888888889E-2</v>
      </c>
      <c r="K554" s="5" t="str">
        <f t="shared" si="12"/>
        <v>(DS-IBBLR-Jigani)</v>
      </c>
      <c r="L554" s="5" t="e">
        <f t="array" aca="1" ref="L554" ca="1">_xludf.XLOOKUP(E554,'[1]Migrated Societies Data'!C:C,'[1]Migrated Societies Data'!B:B)</f>
        <v>#NAME?</v>
      </c>
      <c r="M554" s="5" t="e">
        <f t="array" aca="1" ref="M554" ca="1">_xludf.XLOOKUP(E554,'[1]Migrated Societies Data'!C:C,'[1]Migrated Societies Data'!E:E)</f>
        <v>#NAME?</v>
      </c>
      <c r="N554" s="5" t="str">
        <f t="shared" si="16"/>
        <v>Yes</v>
      </c>
      <c r="O554" s="7">
        <f t="shared" si="17"/>
        <v>4.0972222222222222E-2</v>
      </c>
    </row>
    <row r="555" spans="1:15" x14ac:dyDescent="0.25">
      <c r="A555" s="3" t="s">
        <v>442</v>
      </c>
      <c r="B555" s="3" t="s">
        <v>1120</v>
      </c>
      <c r="C555" s="3" t="s">
        <v>16</v>
      </c>
      <c r="D555" s="3" t="s">
        <v>82</v>
      </c>
      <c r="E555" s="3" t="s">
        <v>444</v>
      </c>
      <c r="F555" s="3" t="s">
        <v>1121</v>
      </c>
      <c r="G555" s="4">
        <v>46010</v>
      </c>
      <c r="H555" s="5">
        <f t="shared" si="13"/>
        <v>51</v>
      </c>
      <c r="I555" s="5">
        <f t="shared" si="14"/>
        <v>12</v>
      </c>
      <c r="J555" s="6">
        <f t="shared" si="15"/>
        <v>0.98103009259259255</v>
      </c>
      <c r="K555" s="5" t="str">
        <f t="shared" si="12"/>
        <v>(DS-IBBLR-Chinappalay)</v>
      </c>
      <c r="L555" s="5" t="e">
        <f t="array" aca="1" ref="L555" ca="1">_xludf.XLOOKUP(E555,'[1]Migrated Societies Data'!C:C,'[1]Migrated Societies Data'!B:B)</f>
        <v>#NAME?</v>
      </c>
      <c r="M555" s="5" t="e">
        <f t="array" aca="1" ref="M555" ca="1">_xludf.XLOOKUP(E555,'[1]Migrated Societies Data'!C:C,'[1]Migrated Societies Data'!E:E)</f>
        <v>#NAME?</v>
      </c>
      <c r="N555" s="5" t="str">
        <f t="shared" si="16"/>
        <v>Yes</v>
      </c>
      <c r="O555" s="7">
        <f t="shared" si="17"/>
        <v>1.8634259259258101E-3</v>
      </c>
    </row>
    <row r="556" spans="1:15" x14ac:dyDescent="0.25">
      <c r="A556" s="3" t="s">
        <v>331</v>
      </c>
      <c r="B556" s="3" t="s">
        <v>1122</v>
      </c>
      <c r="C556" s="3" t="s">
        <v>16</v>
      </c>
      <c r="D556" s="3" t="s">
        <v>82</v>
      </c>
      <c r="E556" s="3" t="s">
        <v>333</v>
      </c>
      <c r="F556" s="3" t="s">
        <v>1123</v>
      </c>
      <c r="G556" s="4">
        <v>46010</v>
      </c>
      <c r="H556" s="5">
        <f t="shared" si="13"/>
        <v>51</v>
      </c>
      <c r="I556" s="5">
        <f t="shared" si="14"/>
        <v>12</v>
      </c>
      <c r="J556" s="6">
        <f t="shared" si="15"/>
        <v>7.4421296296296293E-3</v>
      </c>
      <c r="K556" s="5" t="str">
        <f t="shared" si="12"/>
        <v>(DS-IBBLR-Attibele)</v>
      </c>
      <c r="L556" s="5" t="e">
        <f t="array" aca="1" ref="L556" ca="1">_xludf.XLOOKUP(E556,'[1]Migrated Societies Data'!C:C,'[1]Migrated Societies Data'!B:B)</f>
        <v>#NAME?</v>
      </c>
      <c r="M556" s="5" t="e">
        <f t="array" aca="1" ref="M556" ca="1">_xludf.XLOOKUP(E556,'[1]Migrated Societies Data'!C:C,'[1]Migrated Societies Data'!E:E)</f>
        <v>#NAME?</v>
      </c>
      <c r="N556" s="5" t="str">
        <f t="shared" si="16"/>
        <v>Yes</v>
      </c>
      <c r="O556" s="7">
        <f t="shared" si="17"/>
        <v>2.8275462962962961E-2</v>
      </c>
    </row>
    <row r="557" spans="1:15" x14ac:dyDescent="0.25">
      <c r="A557" s="3" t="s">
        <v>468</v>
      </c>
      <c r="B557" s="3" t="s">
        <v>1124</v>
      </c>
      <c r="C557" s="3" t="s">
        <v>16</v>
      </c>
      <c r="D557" s="3" t="s">
        <v>17</v>
      </c>
      <c r="E557" s="3" t="s">
        <v>470</v>
      </c>
      <c r="F557" s="3" t="s">
        <v>1125</v>
      </c>
      <c r="G557" s="4">
        <v>46010</v>
      </c>
      <c r="H557" s="5">
        <f t="shared" si="13"/>
        <v>51</v>
      </c>
      <c r="I557" s="5">
        <f t="shared" si="14"/>
        <v>12</v>
      </c>
      <c r="J557" s="6">
        <f t="shared" si="15"/>
        <v>4.2766203703703702E-2</v>
      </c>
      <c r="K557" s="5" t="str">
        <f t="shared" si="12"/>
        <v>(DS-BNBLR-HRBR)</v>
      </c>
      <c r="L557" s="5" t="e">
        <f t="array" aca="1" ref="L557" ca="1">_xludf.XLOOKUP(E557,'[1]Migrated Societies Data'!C:C,'[1]Migrated Societies Data'!B:B)</f>
        <v>#NAME?</v>
      </c>
      <c r="M557" s="5" t="e">
        <f t="array" aca="1" ref="M557" ca="1">_xludf.XLOOKUP(E557,'[1]Migrated Societies Data'!C:C,'[1]Migrated Societies Data'!E:E)</f>
        <v>#NAME?</v>
      </c>
      <c r="N557" s="5" t="str">
        <f t="shared" si="16"/>
        <v>Yes</v>
      </c>
      <c r="O557" s="7">
        <f t="shared" si="17"/>
        <v>6.3599537037037038E-2</v>
      </c>
    </row>
    <row r="558" spans="1:15" x14ac:dyDescent="0.25">
      <c r="A558" s="3" t="s">
        <v>14</v>
      </c>
      <c r="B558" s="3" t="s">
        <v>1126</v>
      </c>
      <c r="C558" s="3" t="s">
        <v>16</v>
      </c>
      <c r="D558" s="3" t="s">
        <v>17</v>
      </c>
      <c r="E558" s="3" t="s">
        <v>18</v>
      </c>
      <c r="F558" s="3" t="s">
        <v>1127</v>
      </c>
      <c r="G558" s="4">
        <v>46010</v>
      </c>
      <c r="H558" s="5">
        <f t="shared" si="13"/>
        <v>51</v>
      </c>
      <c r="I558" s="5">
        <f t="shared" si="14"/>
        <v>12</v>
      </c>
      <c r="J558" s="6">
        <f t="shared" si="15"/>
        <v>2.011574074074074E-2</v>
      </c>
      <c r="K558" s="5" t="str">
        <f t="shared" si="12"/>
        <v>(DS-IBBLR-Peenya PH-3)</v>
      </c>
      <c r="L558" s="5" t="e">
        <f t="array" aca="1" ref="L558" ca="1">_xludf.XLOOKUP(E558,'[1]Migrated Societies Data'!C:C,'[1]Migrated Societies Data'!B:B)</f>
        <v>#NAME?</v>
      </c>
      <c r="M558" s="5" t="e">
        <f t="array" aca="1" ref="M558" ca="1">_xludf.XLOOKUP(E558,'[1]Migrated Societies Data'!C:C,'[1]Migrated Societies Data'!E:E)</f>
        <v>#NAME?</v>
      </c>
      <c r="N558" s="5" t="str">
        <f t="shared" si="16"/>
        <v>Yes</v>
      </c>
      <c r="O558" s="7">
        <f t="shared" si="17"/>
        <v>4.0949074074074068E-2</v>
      </c>
    </row>
    <row r="559" spans="1:15" x14ac:dyDescent="0.25">
      <c r="A559" s="3" t="s">
        <v>460</v>
      </c>
      <c r="B559" s="3" t="s">
        <v>1128</v>
      </c>
      <c r="C559" s="3" t="s">
        <v>16</v>
      </c>
      <c r="D559" s="3" t="s">
        <v>82</v>
      </c>
      <c r="E559" s="3" t="s">
        <v>462</v>
      </c>
      <c r="F559" s="3" t="s">
        <v>1129</v>
      </c>
      <c r="G559" s="4">
        <v>46010</v>
      </c>
      <c r="H559" s="5">
        <f t="shared" si="13"/>
        <v>51</v>
      </c>
      <c r="I559" s="5">
        <f t="shared" si="14"/>
        <v>12</v>
      </c>
      <c r="J559" s="6">
        <f t="shared" si="15"/>
        <v>1.4618055555555556E-2</v>
      </c>
      <c r="K559" s="5" t="str">
        <f t="shared" si="12"/>
        <v>(DS-IBBLR-HAL )</v>
      </c>
      <c r="L559" s="5" t="e">
        <f t="array" aca="1" ref="L559" ca="1">_xludf.XLOOKUP(E559,'[1]Migrated Societies Data'!C:C,'[1]Migrated Societies Data'!B:B)</f>
        <v>#NAME?</v>
      </c>
      <c r="M559" s="5" t="e">
        <f t="array" aca="1" ref="M559" ca="1">_xludf.XLOOKUP(E559,'[1]Migrated Societies Data'!C:C,'[1]Migrated Societies Data'!E:E)</f>
        <v>#NAME?</v>
      </c>
      <c r="N559" s="5" t="str">
        <f t="shared" si="16"/>
        <v>Yes</v>
      </c>
      <c r="O559" s="7">
        <f t="shared" si="17"/>
        <v>3.5451388888888886E-2</v>
      </c>
    </row>
    <row r="560" spans="1:15" x14ac:dyDescent="0.25">
      <c r="A560" s="3" t="s">
        <v>490</v>
      </c>
      <c r="B560" s="3" t="s">
        <v>1130</v>
      </c>
      <c r="C560" s="3" t="s">
        <v>16</v>
      </c>
      <c r="D560" s="3" t="s">
        <v>17</v>
      </c>
      <c r="E560" s="3" t="s">
        <v>492</v>
      </c>
      <c r="F560" s="3" t="s">
        <v>1131</v>
      </c>
      <c r="G560" s="4">
        <v>46010</v>
      </c>
      <c r="H560" s="5">
        <f t="shared" si="13"/>
        <v>51</v>
      </c>
      <c r="I560" s="5">
        <f t="shared" si="14"/>
        <v>12</v>
      </c>
      <c r="J560" s="6">
        <f t="shared" si="15"/>
        <v>6.2106481481481485E-2</v>
      </c>
      <c r="K560" s="5" t="str">
        <f t="shared" si="12"/>
        <v>(DS-IBBLR-Devanahalli)</v>
      </c>
      <c r="L560" s="5" t="e">
        <f t="array" aca="1" ref="L560" ca="1">_xludf.XLOOKUP(E560,'[1]Migrated Societies Data'!C:C,'[1]Migrated Societies Data'!B:B)</f>
        <v>#NAME?</v>
      </c>
      <c r="M560" s="5" t="e">
        <f t="array" aca="1" ref="M560" ca="1">_xludf.XLOOKUP(E560,'[1]Migrated Societies Data'!C:C,'[1]Migrated Societies Data'!E:E)</f>
        <v>#NAME?</v>
      </c>
      <c r="N560" s="5" t="str">
        <f t="shared" si="16"/>
        <v>Yes</v>
      </c>
      <c r="O560" s="7">
        <f t="shared" si="17"/>
        <v>8.2939814814814813E-2</v>
      </c>
    </row>
    <row r="561" spans="1:15" x14ac:dyDescent="0.25">
      <c r="A561" s="3" t="s">
        <v>478</v>
      </c>
      <c r="B561" s="3" t="s">
        <v>1132</v>
      </c>
      <c r="C561" s="3" t="s">
        <v>16</v>
      </c>
      <c r="D561" s="3" t="s">
        <v>17</v>
      </c>
      <c r="E561" s="3" t="s">
        <v>480</v>
      </c>
      <c r="F561" s="3" t="s">
        <v>1133</v>
      </c>
      <c r="G561" s="4">
        <v>46010</v>
      </c>
      <c r="H561" s="5">
        <f t="shared" si="13"/>
        <v>51</v>
      </c>
      <c r="I561" s="5">
        <f t="shared" si="14"/>
        <v>12</v>
      </c>
      <c r="J561" s="6">
        <f t="shared" si="15"/>
        <v>4.386574074074074E-2</v>
      </c>
      <c r="K561" s="5" t="str">
        <f t="shared" si="12"/>
        <v>(DS-IBBLR-Bellahalli)</v>
      </c>
      <c r="L561" s="5" t="e">
        <f t="array" aca="1" ref="L561" ca="1">_xludf.XLOOKUP(E561,'[1]Migrated Societies Data'!C:C,'[1]Migrated Societies Data'!B:B)</f>
        <v>#NAME?</v>
      </c>
      <c r="M561" s="5" t="e">
        <f t="array" aca="1" ref="M561" ca="1">_xludf.XLOOKUP(E561,'[1]Migrated Societies Data'!C:C,'[1]Migrated Societies Data'!E:E)</f>
        <v>#NAME?</v>
      </c>
      <c r="N561" s="5" t="str">
        <f t="shared" si="16"/>
        <v>Yes</v>
      </c>
      <c r="O561" s="7">
        <f t="shared" si="17"/>
        <v>6.4699074074074076E-2</v>
      </c>
    </row>
    <row r="562" spans="1:15" x14ac:dyDescent="0.25">
      <c r="A562" s="3" t="s">
        <v>472</v>
      </c>
      <c r="B562" s="3" t="s">
        <v>1134</v>
      </c>
      <c r="C562" s="3" t="s">
        <v>16</v>
      </c>
      <c r="D562" s="3" t="s">
        <v>17</v>
      </c>
      <c r="E562" s="3" t="s">
        <v>474</v>
      </c>
      <c r="F562" s="3" t="s">
        <v>1135</v>
      </c>
      <c r="G562" s="4">
        <v>46010</v>
      </c>
      <c r="H562" s="5">
        <f t="shared" si="13"/>
        <v>51</v>
      </c>
      <c r="I562" s="5">
        <f t="shared" si="14"/>
        <v>12</v>
      </c>
      <c r="J562" s="6">
        <f t="shared" si="15"/>
        <v>5.6712962962962965E-2</v>
      </c>
      <c r="K562" s="5" t="str">
        <f t="shared" si="12"/>
        <v>(DS-IBBLR-Lingarajapu)</v>
      </c>
      <c r="L562" s="5" t="e">
        <f t="array" aca="1" ref="L562" ca="1">_xludf.XLOOKUP(E562,'[1]Migrated Societies Data'!C:C,'[1]Migrated Societies Data'!B:B)</f>
        <v>#NAME?</v>
      </c>
      <c r="M562" s="5" t="e">
        <f t="array" aca="1" ref="M562" ca="1">_xludf.XLOOKUP(E562,'[1]Migrated Societies Data'!C:C,'[1]Migrated Societies Data'!E:E)</f>
        <v>#NAME?</v>
      </c>
      <c r="N562" s="5" t="str">
        <f t="shared" si="16"/>
        <v>Yes</v>
      </c>
      <c r="O562" s="7">
        <f t="shared" si="17"/>
        <v>7.7546296296296294E-2</v>
      </c>
    </row>
    <row r="563" spans="1:15" x14ac:dyDescent="0.25">
      <c r="A563" s="3" t="s">
        <v>342</v>
      </c>
      <c r="B563" s="3" t="s">
        <v>1136</v>
      </c>
      <c r="C563" s="3" t="s">
        <v>16</v>
      </c>
      <c r="D563" s="3" t="s">
        <v>17</v>
      </c>
      <c r="E563" s="3" t="s">
        <v>344</v>
      </c>
      <c r="F563" s="3" t="s">
        <v>1137</v>
      </c>
      <c r="G563" s="4">
        <v>46010</v>
      </c>
      <c r="H563" s="5">
        <f t="shared" si="13"/>
        <v>51</v>
      </c>
      <c r="I563" s="5">
        <f t="shared" si="14"/>
        <v>12</v>
      </c>
      <c r="J563" s="6">
        <f t="shared" si="15"/>
        <v>2.1238425925925924E-2</v>
      </c>
      <c r="K563" s="5" t="str">
        <f t="shared" si="12"/>
        <v>(DS-IBBLR-Chikkasandr)</v>
      </c>
      <c r="L563" s="5" t="e">
        <f t="array" aca="1" ref="L563" ca="1">_xludf.XLOOKUP(E563,'[1]Migrated Societies Data'!C:C,'[1]Migrated Societies Data'!B:B)</f>
        <v>#NAME?</v>
      </c>
      <c r="M563" s="5" t="e">
        <f t="array" aca="1" ref="M563" ca="1">_xludf.XLOOKUP(E563,'[1]Migrated Societies Data'!C:C,'[1]Migrated Societies Data'!E:E)</f>
        <v>#NAME?</v>
      </c>
      <c r="N563" s="5" t="str">
        <f t="shared" si="16"/>
        <v>Yes</v>
      </c>
      <c r="O563" s="7">
        <f t="shared" si="17"/>
        <v>4.2071759259259253E-2</v>
      </c>
    </row>
    <row r="564" spans="1:15" x14ac:dyDescent="0.25">
      <c r="A564" s="3" t="s">
        <v>482</v>
      </c>
      <c r="B564" s="3" t="s">
        <v>1138</v>
      </c>
      <c r="C564" s="3" t="s">
        <v>16</v>
      </c>
      <c r="D564" s="3" t="s">
        <v>17</v>
      </c>
      <c r="E564" s="3" t="s">
        <v>484</v>
      </c>
      <c r="F564" s="3" t="s">
        <v>1139</v>
      </c>
      <c r="G564" s="4">
        <v>46010</v>
      </c>
      <c r="H564" s="5">
        <f t="shared" si="13"/>
        <v>51</v>
      </c>
      <c r="I564" s="5">
        <f t="shared" si="14"/>
        <v>12</v>
      </c>
      <c r="J564" s="6">
        <f t="shared" si="15"/>
        <v>0.10170138888888888</v>
      </c>
      <c r="K564" s="5" t="str">
        <f t="shared" si="12"/>
        <v>(DS-IBBLR-Benson Town)</v>
      </c>
      <c r="L564" s="5" t="e">
        <f t="array" aca="1" ref="L564" ca="1">_xludf.XLOOKUP(E564,'[1]Migrated Societies Data'!C:C,'[1]Migrated Societies Data'!B:B)</f>
        <v>#NAME?</v>
      </c>
      <c r="M564" s="5" t="e">
        <f t="array" aca="1" ref="M564" ca="1">_xludf.XLOOKUP(E564,'[1]Migrated Societies Data'!C:C,'[1]Migrated Societies Data'!E:E)</f>
        <v>#NAME?</v>
      </c>
      <c r="N564" s="5" t="str">
        <f t="shared" si="16"/>
        <v>Yes</v>
      </c>
      <c r="O564" s="7">
        <f t="shared" si="17"/>
        <v>0.12253472222222221</v>
      </c>
    </row>
    <row r="565" spans="1:15" x14ac:dyDescent="0.25">
      <c r="A565" s="3" t="s">
        <v>490</v>
      </c>
      <c r="B565" s="3" t="s">
        <v>1140</v>
      </c>
      <c r="C565" s="3" t="s">
        <v>16</v>
      </c>
      <c r="D565" s="3" t="s">
        <v>17</v>
      </c>
      <c r="E565" s="3" t="s">
        <v>492</v>
      </c>
      <c r="F565" s="3" t="s">
        <v>1141</v>
      </c>
      <c r="G565" s="4">
        <v>46010</v>
      </c>
      <c r="H565" s="5">
        <f t="shared" si="13"/>
        <v>51</v>
      </c>
      <c r="I565" s="5">
        <f t="shared" si="14"/>
        <v>12</v>
      </c>
      <c r="J565" s="6">
        <f t="shared" si="15"/>
        <v>0.17571759259259259</v>
      </c>
      <c r="K565" s="5" t="str">
        <f t="shared" si="12"/>
        <v>(DS-IBBLR-Devanahalli)</v>
      </c>
      <c r="L565" s="5" t="e">
        <f t="array" aca="1" ref="L565" ca="1">_xludf.XLOOKUP(E565,'[1]Migrated Societies Data'!C:C,'[1]Migrated Societies Data'!B:B)</f>
        <v>#NAME?</v>
      </c>
      <c r="M565" s="5" t="e">
        <f t="array" aca="1" ref="M565" ca="1">_xludf.XLOOKUP(E565,'[1]Migrated Societies Data'!C:C,'[1]Migrated Societies Data'!E:E)</f>
        <v>#NAME?</v>
      </c>
      <c r="N565" s="5" t="str">
        <f t="shared" si="16"/>
        <v>No</v>
      </c>
      <c r="O565" s="7">
        <f t="shared" si="17"/>
        <v>0.19655092592592593</v>
      </c>
    </row>
    <row r="566" spans="1:15" x14ac:dyDescent="0.25">
      <c r="A566" s="3" t="s">
        <v>442</v>
      </c>
      <c r="B566" s="3" t="s">
        <v>1142</v>
      </c>
      <c r="C566" s="3" t="s">
        <v>16</v>
      </c>
      <c r="D566" s="3" t="s">
        <v>82</v>
      </c>
      <c r="E566" s="3" t="s">
        <v>444</v>
      </c>
      <c r="F566" s="3" t="s">
        <v>1143</v>
      </c>
      <c r="G566" s="4">
        <v>46011</v>
      </c>
      <c r="H566" s="5">
        <f t="shared" si="13"/>
        <v>51</v>
      </c>
      <c r="I566" s="5">
        <f t="shared" si="14"/>
        <v>12</v>
      </c>
      <c r="J566" s="6">
        <f t="shared" si="15"/>
        <v>0.95384259259259263</v>
      </c>
      <c r="K566" s="5" t="str">
        <f t="shared" si="12"/>
        <v>(DS-IBBLR-Chinappalay)</v>
      </c>
      <c r="L566" s="5" t="e">
        <f t="array" aca="1" ref="L566" ca="1">_xludf.XLOOKUP(E566,'[1]Migrated Societies Data'!C:C,'[1]Migrated Societies Data'!B:B)</f>
        <v>#NAME?</v>
      </c>
      <c r="M566" s="5" t="e">
        <f t="array" aca="1" ref="M566" ca="1">_xludf.XLOOKUP(E566,'[1]Migrated Societies Data'!C:C,'[1]Migrated Societies Data'!E:E)</f>
        <v>#NAME?</v>
      </c>
      <c r="N566" s="5" t="str">
        <f t="shared" si="16"/>
        <v>No</v>
      </c>
      <c r="O566" s="7">
        <f t="shared" si="17"/>
        <v>0.974675925925926</v>
      </c>
    </row>
    <row r="567" spans="1:15" x14ac:dyDescent="0.25">
      <c r="A567" s="3" t="s">
        <v>446</v>
      </c>
      <c r="B567" s="3" t="s">
        <v>1144</v>
      </c>
      <c r="C567" s="3" t="s">
        <v>33</v>
      </c>
      <c r="D567" s="3" t="s">
        <v>82</v>
      </c>
      <c r="E567" s="3" t="s">
        <v>448</v>
      </c>
      <c r="F567" s="3" t="s">
        <v>1145</v>
      </c>
      <c r="G567" s="4">
        <v>46011</v>
      </c>
      <c r="H567" s="5">
        <f t="shared" si="13"/>
        <v>51</v>
      </c>
      <c r="I567" s="5">
        <f t="shared" si="14"/>
        <v>12</v>
      </c>
      <c r="J567" s="6">
        <f t="shared" si="15"/>
        <v>2.3564814814814816E-2</v>
      </c>
      <c r="K567" s="5" t="str">
        <f t="shared" si="12"/>
        <v>(DS-IBBLR-Jigani)</v>
      </c>
      <c r="L567" s="5" t="e">
        <f t="array" aca="1" ref="L567" ca="1">_xludf.XLOOKUP(E567,'[1]Migrated Societies Data'!C:C,'[1]Migrated Societies Data'!B:B)</f>
        <v>#NAME?</v>
      </c>
      <c r="M567" s="5" t="e">
        <f t="array" aca="1" ref="M567" ca="1">_xludf.XLOOKUP(E567,'[1]Migrated Societies Data'!C:C,'[1]Migrated Societies Data'!E:E)</f>
        <v>#NAME?</v>
      </c>
      <c r="N567" s="5" t="str">
        <f t="shared" si="16"/>
        <v>Yes</v>
      </c>
      <c r="O567" s="7">
        <f t="shared" si="17"/>
        <v>4.4398148148148145E-2</v>
      </c>
    </row>
    <row r="568" spans="1:15" x14ac:dyDescent="0.25">
      <c r="A568" s="3" t="s">
        <v>331</v>
      </c>
      <c r="B568" s="3" t="s">
        <v>1146</v>
      </c>
      <c r="C568" s="3" t="s">
        <v>16</v>
      </c>
      <c r="D568" s="3" t="s">
        <v>82</v>
      </c>
      <c r="E568" s="3" t="s">
        <v>333</v>
      </c>
      <c r="F568" s="3" t="s">
        <v>1147</v>
      </c>
      <c r="G568" s="4">
        <v>46011</v>
      </c>
      <c r="H568" s="5">
        <f t="shared" si="13"/>
        <v>51</v>
      </c>
      <c r="I568" s="5">
        <f t="shared" si="14"/>
        <v>12</v>
      </c>
      <c r="J568" s="6">
        <f t="shared" si="15"/>
        <v>0.97340277777777773</v>
      </c>
      <c r="K568" s="5" t="str">
        <f t="shared" si="12"/>
        <v>(DS-IBBLR-Attibele)</v>
      </c>
      <c r="L568" s="5" t="e">
        <f t="array" aca="1" ref="L568" ca="1">_xludf.XLOOKUP(E568,'[1]Migrated Societies Data'!C:C,'[1]Migrated Societies Data'!B:B)</f>
        <v>#NAME?</v>
      </c>
      <c r="M568" s="5" t="e">
        <f t="array" aca="1" ref="M568" ca="1">_xludf.XLOOKUP(E568,'[1]Migrated Societies Data'!C:C,'[1]Migrated Societies Data'!E:E)</f>
        <v>#NAME?</v>
      </c>
      <c r="N568" s="5" t="str">
        <f t="shared" si="16"/>
        <v>Yes</v>
      </c>
      <c r="O568" s="7">
        <f t="shared" si="17"/>
        <v>0.9942361111111111</v>
      </c>
    </row>
    <row r="569" spans="1:15" x14ac:dyDescent="0.25">
      <c r="A569" s="3" t="s">
        <v>456</v>
      </c>
      <c r="B569" s="3" t="s">
        <v>1148</v>
      </c>
      <c r="C569" s="3" t="s">
        <v>16</v>
      </c>
      <c r="D569" s="3" t="s">
        <v>82</v>
      </c>
      <c r="E569" s="3" t="s">
        <v>458</v>
      </c>
      <c r="F569" s="3" t="s">
        <v>1149</v>
      </c>
      <c r="G569" s="4">
        <v>46011</v>
      </c>
      <c r="H569" s="5">
        <f t="shared" si="13"/>
        <v>51</v>
      </c>
      <c r="I569" s="5">
        <f t="shared" si="14"/>
        <v>12</v>
      </c>
      <c r="J569" s="6">
        <f t="shared" si="15"/>
        <v>5.5011574074074074E-2</v>
      </c>
      <c r="K569" s="5" t="str">
        <f t="shared" si="12"/>
        <v>(DS-IBBLR-Jakkasandra)</v>
      </c>
      <c r="L569" s="5" t="e">
        <f t="array" aca="1" ref="L569" ca="1">_xludf.XLOOKUP(E569,'[1]Migrated Societies Data'!C:C,'[1]Migrated Societies Data'!B:B)</f>
        <v>#NAME?</v>
      </c>
      <c r="M569" s="5" t="e">
        <f t="array" aca="1" ref="M569" ca="1">_xludf.XLOOKUP(E569,'[1]Migrated Societies Data'!C:C,'[1]Migrated Societies Data'!E:E)</f>
        <v>#NAME?</v>
      </c>
      <c r="N569" s="5" t="str">
        <f t="shared" si="16"/>
        <v>Yes</v>
      </c>
      <c r="O569" s="7">
        <f t="shared" si="17"/>
        <v>7.5844907407407403E-2</v>
      </c>
    </row>
    <row r="570" spans="1:15" x14ac:dyDescent="0.25">
      <c r="A570" s="3" t="s">
        <v>80</v>
      </c>
      <c r="B570" s="3" t="s">
        <v>1150</v>
      </c>
      <c r="C570" s="3" t="s">
        <v>16</v>
      </c>
      <c r="D570" s="3" t="s">
        <v>82</v>
      </c>
      <c r="E570" s="3" t="s">
        <v>83</v>
      </c>
      <c r="F570" s="3" t="s">
        <v>1151</v>
      </c>
      <c r="G570" s="4">
        <v>46011</v>
      </c>
      <c r="H570" s="5">
        <f t="shared" si="13"/>
        <v>51</v>
      </c>
      <c r="I570" s="5">
        <f t="shared" si="14"/>
        <v>12</v>
      </c>
      <c r="J570" s="6">
        <f t="shared" si="15"/>
        <v>0.99700231481481483</v>
      </c>
      <c r="K570" s="5" t="str">
        <f t="shared" si="12"/>
        <v>(DS-IBBLR-Nagondanahalli )</v>
      </c>
      <c r="L570" s="5" t="e">
        <f t="array" aca="1" ref="L570" ca="1">_xludf.XLOOKUP(E570,'[1]Migrated Societies Data'!C:C,'[1]Migrated Societies Data'!B:B)</f>
        <v>#NAME?</v>
      </c>
      <c r="M570" s="5" t="e">
        <f t="array" aca="1" ref="M570" ca="1">_xludf.XLOOKUP(E570,'[1]Migrated Societies Data'!C:C,'[1]Migrated Societies Data'!E:E)</f>
        <v>#NAME?</v>
      </c>
      <c r="N570" s="5" t="str">
        <f t="shared" si="16"/>
        <v>Yes</v>
      </c>
      <c r="O570" s="7">
        <f t="shared" si="17"/>
        <v>1.7835648148148087E-2</v>
      </c>
    </row>
    <row r="571" spans="1:15" x14ac:dyDescent="0.25">
      <c r="A571" s="3" t="s">
        <v>14</v>
      </c>
      <c r="B571" s="3" t="s">
        <v>1152</v>
      </c>
      <c r="C571" s="3" t="s">
        <v>16</v>
      </c>
      <c r="D571" s="3" t="s">
        <v>17</v>
      </c>
      <c r="E571" s="3" t="s">
        <v>18</v>
      </c>
      <c r="F571" s="3" t="s">
        <v>1153</v>
      </c>
      <c r="G571" s="4">
        <v>46011</v>
      </c>
      <c r="H571" s="5">
        <f t="shared" si="13"/>
        <v>51</v>
      </c>
      <c r="I571" s="5">
        <f t="shared" si="14"/>
        <v>12</v>
      </c>
      <c r="J571" s="6">
        <f t="shared" si="15"/>
        <v>7.6504629629629631E-3</v>
      </c>
      <c r="K571" s="5" t="str">
        <f t="shared" si="12"/>
        <v>(DS-IBBLR-Peenya PH-3)</v>
      </c>
      <c r="L571" s="5" t="e">
        <f t="array" aca="1" ref="L571" ca="1">_xludf.XLOOKUP(E571,'[1]Migrated Societies Data'!C:C,'[1]Migrated Societies Data'!B:B)</f>
        <v>#NAME?</v>
      </c>
      <c r="M571" s="5" t="e">
        <f t="array" aca="1" ref="M571" ca="1">_xludf.XLOOKUP(E571,'[1]Migrated Societies Data'!C:C,'[1]Migrated Societies Data'!E:E)</f>
        <v>#NAME?</v>
      </c>
      <c r="N571" s="5" t="str">
        <f t="shared" si="16"/>
        <v>Yes</v>
      </c>
      <c r="O571" s="7">
        <f t="shared" si="17"/>
        <v>2.8483796296296295E-2</v>
      </c>
    </row>
    <row r="572" spans="1:15" x14ac:dyDescent="0.25">
      <c r="A572" s="3" t="s">
        <v>468</v>
      </c>
      <c r="B572" s="3" t="s">
        <v>1154</v>
      </c>
      <c r="C572" s="3" t="s">
        <v>16</v>
      </c>
      <c r="D572" s="3" t="s">
        <v>17</v>
      </c>
      <c r="E572" s="3" t="s">
        <v>470</v>
      </c>
      <c r="F572" s="3" t="s">
        <v>1155</v>
      </c>
      <c r="G572" s="4">
        <v>46011</v>
      </c>
      <c r="H572" s="5">
        <f t="shared" si="13"/>
        <v>51</v>
      </c>
      <c r="I572" s="5">
        <f t="shared" si="14"/>
        <v>12</v>
      </c>
      <c r="J572" s="6">
        <f t="shared" si="15"/>
        <v>4.085648148148148E-2</v>
      </c>
      <c r="K572" s="5" t="str">
        <f t="shared" si="12"/>
        <v>(DS-BNBLR-HRBR)</v>
      </c>
      <c r="L572" s="5" t="e">
        <f t="array" aca="1" ref="L572" ca="1">_xludf.XLOOKUP(E572,'[1]Migrated Societies Data'!C:C,'[1]Migrated Societies Data'!B:B)</f>
        <v>#NAME?</v>
      </c>
      <c r="M572" s="5" t="e">
        <f t="array" aca="1" ref="M572" ca="1">_xludf.XLOOKUP(E572,'[1]Migrated Societies Data'!C:C,'[1]Migrated Societies Data'!E:E)</f>
        <v>#NAME?</v>
      </c>
      <c r="N572" s="5" t="str">
        <f t="shared" si="16"/>
        <v>Yes</v>
      </c>
      <c r="O572" s="7">
        <f t="shared" si="17"/>
        <v>6.1689814814814808E-2</v>
      </c>
    </row>
    <row r="573" spans="1:15" x14ac:dyDescent="0.25">
      <c r="A573" s="3" t="s">
        <v>460</v>
      </c>
      <c r="B573" s="3" t="s">
        <v>1156</v>
      </c>
      <c r="C573" s="3" t="s">
        <v>16</v>
      </c>
      <c r="D573" s="3" t="s">
        <v>82</v>
      </c>
      <c r="E573" s="3" t="s">
        <v>462</v>
      </c>
      <c r="F573" s="3" t="s">
        <v>1157</v>
      </c>
      <c r="G573" s="4">
        <v>46011</v>
      </c>
      <c r="H573" s="5">
        <f t="shared" si="13"/>
        <v>51</v>
      </c>
      <c r="I573" s="5">
        <f t="shared" si="14"/>
        <v>12</v>
      </c>
      <c r="J573" s="6">
        <f t="shared" si="15"/>
        <v>2.1261574074074075E-2</v>
      </c>
      <c r="K573" s="5" t="str">
        <f t="shared" si="12"/>
        <v>(DS-IBBLR-HAL )</v>
      </c>
      <c r="L573" s="5" t="e">
        <f t="array" aca="1" ref="L573" ca="1">_xludf.XLOOKUP(E573,'[1]Migrated Societies Data'!C:C,'[1]Migrated Societies Data'!B:B)</f>
        <v>#NAME?</v>
      </c>
      <c r="M573" s="5" t="e">
        <f t="array" aca="1" ref="M573" ca="1">_xludf.XLOOKUP(E573,'[1]Migrated Societies Data'!C:C,'[1]Migrated Societies Data'!E:E)</f>
        <v>#NAME?</v>
      </c>
      <c r="N573" s="5" t="str">
        <f t="shared" si="16"/>
        <v>Yes</v>
      </c>
      <c r="O573" s="7">
        <f t="shared" si="17"/>
        <v>4.2094907407407407E-2</v>
      </c>
    </row>
    <row r="574" spans="1:15" x14ac:dyDescent="0.25">
      <c r="A574" s="3" t="s">
        <v>478</v>
      </c>
      <c r="B574" s="3" t="s">
        <v>1158</v>
      </c>
      <c r="C574" s="3" t="s">
        <v>16</v>
      </c>
      <c r="D574" s="3" t="s">
        <v>17</v>
      </c>
      <c r="E574" s="3" t="s">
        <v>480</v>
      </c>
      <c r="F574" s="3" t="s">
        <v>1159</v>
      </c>
      <c r="G574" s="4">
        <v>46011</v>
      </c>
      <c r="H574" s="5">
        <f t="shared" si="13"/>
        <v>51</v>
      </c>
      <c r="I574" s="5">
        <f t="shared" si="14"/>
        <v>12</v>
      </c>
      <c r="J574" s="6">
        <f t="shared" si="15"/>
        <v>3.8819444444444441E-2</v>
      </c>
      <c r="K574" s="5" t="str">
        <f t="shared" si="12"/>
        <v>(DS-IBBLR-Bellahalli)</v>
      </c>
      <c r="L574" s="5" t="e">
        <f t="array" aca="1" ref="L574" ca="1">_xludf.XLOOKUP(E574,'[1]Migrated Societies Data'!C:C,'[1]Migrated Societies Data'!B:B)</f>
        <v>#NAME?</v>
      </c>
      <c r="M574" s="5" t="e">
        <f t="array" aca="1" ref="M574" ca="1">_xludf.XLOOKUP(E574,'[1]Migrated Societies Data'!C:C,'[1]Migrated Societies Data'!E:E)</f>
        <v>#NAME?</v>
      </c>
      <c r="N574" s="5" t="str">
        <f t="shared" si="16"/>
        <v>Yes</v>
      </c>
      <c r="O574" s="7">
        <f t="shared" si="17"/>
        <v>5.9652777777777777E-2</v>
      </c>
    </row>
    <row r="575" spans="1:15" x14ac:dyDescent="0.25">
      <c r="A575" s="3" t="s">
        <v>342</v>
      </c>
      <c r="B575" s="3" t="s">
        <v>1160</v>
      </c>
      <c r="C575" s="3" t="s">
        <v>16</v>
      </c>
      <c r="D575" s="3" t="s">
        <v>17</v>
      </c>
      <c r="E575" s="3" t="s">
        <v>344</v>
      </c>
      <c r="F575" s="3" t="s">
        <v>1161</v>
      </c>
      <c r="G575" s="4">
        <v>46011</v>
      </c>
      <c r="H575" s="5">
        <f t="shared" si="13"/>
        <v>51</v>
      </c>
      <c r="I575" s="5">
        <f t="shared" si="14"/>
        <v>12</v>
      </c>
      <c r="J575" s="6">
        <f t="shared" si="15"/>
        <v>8.206018518518518E-2</v>
      </c>
      <c r="K575" s="5" t="str">
        <f t="shared" si="12"/>
        <v>(DS-IBBLR-Chikkasandr)</v>
      </c>
      <c r="L575" s="5" t="e">
        <f t="array" aca="1" ref="L575" ca="1">_xludf.XLOOKUP(E575,'[1]Migrated Societies Data'!C:C,'[1]Migrated Societies Data'!B:B)</f>
        <v>#NAME?</v>
      </c>
      <c r="M575" s="5" t="e">
        <f t="array" aca="1" ref="M575" ca="1">_xludf.XLOOKUP(E575,'[1]Migrated Societies Data'!C:C,'[1]Migrated Societies Data'!E:E)</f>
        <v>#NAME?</v>
      </c>
      <c r="N575" s="5" t="str">
        <f t="shared" si="16"/>
        <v>Yes</v>
      </c>
      <c r="O575" s="7">
        <f t="shared" si="17"/>
        <v>0.10289351851851851</v>
      </c>
    </row>
    <row r="576" spans="1:15" x14ac:dyDescent="0.25">
      <c r="A576" s="3" t="s">
        <v>490</v>
      </c>
      <c r="B576" s="3" t="s">
        <v>1162</v>
      </c>
      <c r="C576" s="3" t="s">
        <v>16</v>
      </c>
      <c r="D576" s="3" t="s">
        <v>17</v>
      </c>
      <c r="E576" s="3" t="s">
        <v>492</v>
      </c>
      <c r="F576" s="3" t="s">
        <v>1163</v>
      </c>
      <c r="G576" s="4">
        <v>46011</v>
      </c>
      <c r="H576" s="5">
        <f t="shared" si="13"/>
        <v>51</v>
      </c>
      <c r="I576" s="5">
        <f t="shared" si="14"/>
        <v>12</v>
      </c>
      <c r="J576" s="6">
        <f t="shared" si="15"/>
        <v>8.3506944444444439E-2</v>
      </c>
      <c r="K576" s="5" t="str">
        <f t="shared" si="12"/>
        <v>(DS-IBBLR-Devanahalli)</v>
      </c>
      <c r="L576" s="5" t="e">
        <f t="array" aca="1" ref="L576" ca="1">_xludf.XLOOKUP(E576,'[1]Migrated Societies Data'!C:C,'[1]Migrated Societies Data'!B:B)</f>
        <v>#NAME?</v>
      </c>
      <c r="M576" s="5" t="e">
        <f t="array" aca="1" ref="M576" ca="1">_xludf.XLOOKUP(E576,'[1]Migrated Societies Data'!C:C,'[1]Migrated Societies Data'!E:E)</f>
        <v>#NAME?</v>
      </c>
      <c r="N576" s="5" t="str">
        <f t="shared" si="16"/>
        <v>Yes</v>
      </c>
      <c r="O576" s="7">
        <f t="shared" si="17"/>
        <v>0.10434027777777777</v>
      </c>
    </row>
    <row r="577" spans="1:15" x14ac:dyDescent="0.25">
      <c r="A577" s="3" t="s">
        <v>472</v>
      </c>
      <c r="B577" s="3" t="s">
        <v>1164</v>
      </c>
      <c r="C577" s="3" t="s">
        <v>16</v>
      </c>
      <c r="D577" s="3" t="s">
        <v>17</v>
      </c>
      <c r="E577" s="3" t="s">
        <v>474</v>
      </c>
      <c r="F577" s="3" t="s">
        <v>1165</v>
      </c>
      <c r="G577" s="4">
        <v>46011</v>
      </c>
      <c r="H577" s="5">
        <f t="shared" si="13"/>
        <v>51</v>
      </c>
      <c r="I577" s="5">
        <f t="shared" si="14"/>
        <v>12</v>
      </c>
      <c r="J577" s="6">
        <f t="shared" si="15"/>
        <v>4.8946759259259259E-2</v>
      </c>
      <c r="K577" s="5" t="str">
        <f t="shared" si="12"/>
        <v>(DS-IBBLR-Lingarajapu)</v>
      </c>
      <c r="L577" s="5" t="e">
        <f t="array" aca="1" ref="L577" ca="1">_xludf.XLOOKUP(E577,'[1]Migrated Societies Data'!C:C,'[1]Migrated Societies Data'!B:B)</f>
        <v>#NAME?</v>
      </c>
      <c r="M577" s="5" t="e">
        <f t="array" aca="1" ref="M577" ca="1">_xludf.XLOOKUP(E577,'[1]Migrated Societies Data'!C:C,'[1]Migrated Societies Data'!E:E)</f>
        <v>#NAME?</v>
      </c>
      <c r="N577" s="5" t="str">
        <f t="shared" si="16"/>
        <v>Yes</v>
      </c>
      <c r="O577" s="7">
        <f t="shared" si="17"/>
        <v>6.9780092592592588E-2</v>
      </c>
    </row>
    <row r="578" spans="1:15" x14ac:dyDescent="0.25">
      <c r="A578" s="3" t="s">
        <v>482</v>
      </c>
      <c r="B578" s="3" t="s">
        <v>1166</v>
      </c>
      <c r="C578" s="3" t="s">
        <v>16</v>
      </c>
      <c r="D578" s="3" t="s">
        <v>17</v>
      </c>
      <c r="E578" s="3" t="s">
        <v>484</v>
      </c>
      <c r="F578" s="3" t="s">
        <v>1167</v>
      </c>
      <c r="G578" s="4">
        <v>46011</v>
      </c>
      <c r="H578" s="5">
        <f t="shared" si="13"/>
        <v>51</v>
      </c>
      <c r="I578" s="5">
        <f t="shared" si="14"/>
        <v>12</v>
      </c>
      <c r="J578" s="6">
        <f t="shared" si="15"/>
        <v>0.11350694444444444</v>
      </c>
      <c r="K578" s="5" t="str">
        <f t="shared" si="12"/>
        <v>(DS-IBBLR-Benson Town)</v>
      </c>
      <c r="L578" s="5" t="e">
        <f t="array" aca="1" ref="L578" ca="1">_xludf.XLOOKUP(E578,'[1]Migrated Societies Data'!C:C,'[1]Migrated Societies Data'!B:B)</f>
        <v>#NAME?</v>
      </c>
      <c r="M578" s="5" t="e">
        <f t="array" aca="1" ref="M578" ca="1">_xludf.XLOOKUP(E578,'[1]Migrated Societies Data'!C:C,'[1]Migrated Societies Data'!E:E)</f>
        <v>#NAME?</v>
      </c>
      <c r="N578" s="5" t="str">
        <f t="shared" si="16"/>
        <v>Yes</v>
      </c>
      <c r="O578" s="7">
        <f t="shared" si="17"/>
        <v>0.13434027777777777</v>
      </c>
    </row>
    <row r="579" spans="1:15" x14ac:dyDescent="0.25">
      <c r="A579" s="3" t="s">
        <v>446</v>
      </c>
      <c r="B579" s="3" t="s">
        <v>1168</v>
      </c>
      <c r="C579" s="3" t="s">
        <v>16</v>
      </c>
      <c r="D579" s="3" t="s">
        <v>82</v>
      </c>
      <c r="E579" s="3" t="s">
        <v>448</v>
      </c>
      <c r="F579" s="3" t="s">
        <v>1169</v>
      </c>
      <c r="G579" s="4">
        <v>46012</v>
      </c>
      <c r="H579" s="5">
        <f t="shared" si="13"/>
        <v>51</v>
      </c>
      <c r="I579" s="5">
        <f t="shared" si="14"/>
        <v>12</v>
      </c>
      <c r="J579" s="6">
        <f t="shared" si="15"/>
        <v>0.98548611111111106</v>
      </c>
      <c r="K579" s="5" t="str">
        <f t="shared" si="12"/>
        <v>(DS-IBBLR-Jigani)</v>
      </c>
      <c r="L579" s="5" t="e">
        <f t="array" aca="1" ref="L579" ca="1">_xludf.XLOOKUP(E579,'[1]Migrated Societies Data'!C:C,'[1]Migrated Societies Data'!B:B)</f>
        <v>#NAME?</v>
      </c>
      <c r="M579" s="5" t="e">
        <f t="array" aca="1" ref="M579" ca="1">_xludf.XLOOKUP(E579,'[1]Migrated Societies Data'!C:C,'[1]Migrated Societies Data'!E:E)</f>
        <v>#NAME?</v>
      </c>
      <c r="N579" s="5" t="str">
        <f t="shared" si="16"/>
        <v>Yes</v>
      </c>
      <c r="O579" s="7">
        <f t="shared" si="17"/>
        <v>6.3194444444443221E-3</v>
      </c>
    </row>
    <row r="580" spans="1:15" x14ac:dyDescent="0.25">
      <c r="A580" s="3" t="s">
        <v>331</v>
      </c>
      <c r="B580" s="3" t="s">
        <v>1170</v>
      </c>
      <c r="C580" s="3" t="s">
        <v>16</v>
      </c>
      <c r="D580" s="3" t="s">
        <v>82</v>
      </c>
      <c r="E580" s="3" t="s">
        <v>333</v>
      </c>
      <c r="F580" s="3" t="s">
        <v>1171</v>
      </c>
      <c r="G580" s="4">
        <v>46012</v>
      </c>
      <c r="H580" s="5">
        <f t="shared" si="13"/>
        <v>51</v>
      </c>
      <c r="I580" s="5">
        <f t="shared" si="14"/>
        <v>12</v>
      </c>
      <c r="J580" s="6">
        <f t="shared" si="15"/>
        <v>0.99979166666666663</v>
      </c>
      <c r="K580" s="5" t="str">
        <f t="shared" si="12"/>
        <v>(DS-IBBLR-Attibele)</v>
      </c>
      <c r="L580" s="5" t="e">
        <f t="array" aca="1" ref="L580" ca="1">_xludf.XLOOKUP(E580,'[1]Migrated Societies Data'!C:C,'[1]Migrated Societies Data'!B:B)</f>
        <v>#NAME?</v>
      </c>
      <c r="M580" s="5" t="e">
        <f t="array" aca="1" ref="M580" ca="1">_xludf.XLOOKUP(E580,'[1]Migrated Societies Data'!C:C,'[1]Migrated Societies Data'!E:E)</f>
        <v>#NAME?</v>
      </c>
      <c r="N580" s="5" t="str">
        <f t="shared" si="16"/>
        <v>Yes</v>
      </c>
      <c r="O580" s="7">
        <f t="shared" si="17"/>
        <v>2.0624999999999893E-2</v>
      </c>
    </row>
    <row r="581" spans="1:15" x14ac:dyDescent="0.25">
      <c r="A581" s="3" t="s">
        <v>456</v>
      </c>
      <c r="B581" s="3" t="s">
        <v>1172</v>
      </c>
      <c r="C581" s="3" t="s">
        <v>16</v>
      </c>
      <c r="D581" s="3" t="s">
        <v>82</v>
      </c>
      <c r="E581" s="3" t="s">
        <v>458</v>
      </c>
      <c r="F581" s="3" t="s">
        <v>1173</v>
      </c>
      <c r="G581" s="4">
        <v>46012</v>
      </c>
      <c r="H581" s="5">
        <f t="shared" si="13"/>
        <v>51</v>
      </c>
      <c r="I581" s="5">
        <f t="shared" si="14"/>
        <v>12</v>
      </c>
      <c r="J581" s="6">
        <f t="shared" si="15"/>
        <v>3.7349537037037035E-2</v>
      </c>
      <c r="K581" s="5" t="str">
        <f t="shared" si="12"/>
        <v>(DS-IBBLR-Jakkasandra)</v>
      </c>
      <c r="L581" s="5" t="e">
        <f t="array" aca="1" ref="L581" ca="1">_xludf.XLOOKUP(E581,'[1]Migrated Societies Data'!C:C,'[1]Migrated Societies Data'!B:B)</f>
        <v>#NAME?</v>
      </c>
      <c r="M581" s="5" t="e">
        <f t="array" aca="1" ref="M581" ca="1">_xludf.XLOOKUP(E581,'[1]Migrated Societies Data'!C:C,'[1]Migrated Societies Data'!E:E)</f>
        <v>#NAME?</v>
      </c>
      <c r="N581" s="5" t="str">
        <f t="shared" si="16"/>
        <v>Yes</v>
      </c>
      <c r="O581" s="7">
        <f t="shared" si="17"/>
        <v>5.8182870370370371E-2</v>
      </c>
    </row>
    <row r="582" spans="1:15" x14ac:dyDescent="0.25">
      <c r="A582" s="3" t="s">
        <v>80</v>
      </c>
      <c r="B582" s="3" t="s">
        <v>1174</v>
      </c>
      <c r="C582" s="3" t="s">
        <v>16</v>
      </c>
      <c r="D582" s="3" t="s">
        <v>82</v>
      </c>
      <c r="E582" s="3" t="s">
        <v>83</v>
      </c>
      <c r="F582" s="3" t="s">
        <v>1175</v>
      </c>
      <c r="G582" s="4">
        <v>46012</v>
      </c>
      <c r="H582" s="5">
        <f t="shared" si="13"/>
        <v>51</v>
      </c>
      <c r="I582" s="5">
        <f t="shared" si="14"/>
        <v>12</v>
      </c>
      <c r="J582" s="6">
        <f t="shared" si="15"/>
        <v>0.99460648148148145</v>
      </c>
      <c r="K582" s="5" t="str">
        <f t="shared" si="12"/>
        <v>(DS-IBBLR-Nagondanahalli )</v>
      </c>
      <c r="L582" s="5" t="e">
        <f t="array" aca="1" ref="L582" ca="1">_xludf.XLOOKUP(E582,'[1]Migrated Societies Data'!C:C,'[1]Migrated Societies Data'!B:B)</f>
        <v>#NAME?</v>
      </c>
      <c r="M582" s="5" t="e">
        <f t="array" aca="1" ref="M582" ca="1">_xludf.XLOOKUP(E582,'[1]Migrated Societies Data'!C:C,'[1]Migrated Societies Data'!E:E)</f>
        <v>#NAME?</v>
      </c>
      <c r="N582" s="5" t="str">
        <f t="shared" si="16"/>
        <v>Yes</v>
      </c>
      <c r="O582" s="7">
        <f t="shared" si="17"/>
        <v>1.5439814814814712E-2</v>
      </c>
    </row>
    <row r="583" spans="1:15" x14ac:dyDescent="0.25">
      <c r="A583" s="3" t="s">
        <v>442</v>
      </c>
      <c r="B583" s="3" t="s">
        <v>1176</v>
      </c>
      <c r="C583" s="3" t="s">
        <v>16</v>
      </c>
      <c r="D583" s="3" t="s">
        <v>82</v>
      </c>
      <c r="E583" s="3" t="s">
        <v>444</v>
      </c>
      <c r="F583" s="3" t="s">
        <v>1177</v>
      </c>
      <c r="G583" s="4">
        <v>46012</v>
      </c>
      <c r="H583" s="5">
        <f t="shared" si="13"/>
        <v>51</v>
      </c>
      <c r="I583" s="5">
        <f t="shared" si="14"/>
        <v>12</v>
      </c>
      <c r="J583" s="6">
        <f t="shared" si="15"/>
        <v>0.96585648148148151</v>
      </c>
      <c r="K583" s="5" t="str">
        <f t="shared" si="12"/>
        <v>(DS-IBBLR-Chinappalay)</v>
      </c>
      <c r="L583" s="5" t="e">
        <f t="array" aca="1" ref="L583" ca="1">_xludf.XLOOKUP(E583,'[1]Migrated Societies Data'!C:C,'[1]Migrated Societies Data'!B:B)</f>
        <v>#NAME?</v>
      </c>
      <c r="M583" s="5" t="e">
        <f t="array" aca="1" ref="M583" ca="1">_xludf.XLOOKUP(E583,'[1]Migrated Societies Data'!C:C,'[1]Migrated Societies Data'!E:E)</f>
        <v>#NAME?</v>
      </c>
      <c r="N583" s="5" t="str">
        <f t="shared" si="16"/>
        <v>Yes</v>
      </c>
      <c r="O583" s="7">
        <f t="shared" si="17"/>
        <v>0.98668981481481488</v>
      </c>
    </row>
    <row r="584" spans="1:15" x14ac:dyDescent="0.25">
      <c r="A584" s="3" t="s">
        <v>460</v>
      </c>
      <c r="B584" s="3" t="s">
        <v>1178</v>
      </c>
      <c r="C584" s="3" t="s">
        <v>16</v>
      </c>
      <c r="D584" s="3" t="s">
        <v>82</v>
      </c>
      <c r="E584" s="3" t="s">
        <v>462</v>
      </c>
      <c r="F584" s="3" t="s">
        <v>1179</v>
      </c>
      <c r="G584" s="4">
        <v>46012</v>
      </c>
      <c r="H584" s="5">
        <f t="shared" si="13"/>
        <v>51</v>
      </c>
      <c r="I584" s="5">
        <f t="shared" si="14"/>
        <v>12</v>
      </c>
      <c r="J584" s="6">
        <f t="shared" si="15"/>
        <v>1.5682870370370371E-2</v>
      </c>
      <c r="K584" s="5" t="str">
        <f t="shared" si="12"/>
        <v>(DS-IBBLR-HAL )</v>
      </c>
      <c r="L584" s="5" t="e">
        <f t="array" aca="1" ref="L584" ca="1">_xludf.XLOOKUP(E584,'[1]Migrated Societies Data'!C:C,'[1]Migrated Societies Data'!B:B)</f>
        <v>#NAME?</v>
      </c>
      <c r="M584" s="5" t="e">
        <f t="array" aca="1" ref="M584" ca="1">_xludf.XLOOKUP(E584,'[1]Migrated Societies Data'!C:C,'[1]Migrated Societies Data'!E:E)</f>
        <v>#NAME?</v>
      </c>
      <c r="N584" s="5" t="str">
        <f t="shared" si="16"/>
        <v>Yes</v>
      </c>
      <c r="O584" s="7">
        <f t="shared" si="17"/>
        <v>3.6516203703703703E-2</v>
      </c>
    </row>
    <row r="585" spans="1:15" x14ac:dyDescent="0.25">
      <c r="A585" s="3" t="s">
        <v>342</v>
      </c>
      <c r="B585" s="3" t="s">
        <v>1180</v>
      </c>
      <c r="C585" s="3" t="s">
        <v>16</v>
      </c>
      <c r="D585" s="3" t="s">
        <v>17</v>
      </c>
      <c r="E585" s="3" t="s">
        <v>344</v>
      </c>
      <c r="F585" s="3" t="s">
        <v>1181</v>
      </c>
      <c r="G585" s="4">
        <v>46012</v>
      </c>
      <c r="H585" s="5">
        <f t="shared" si="13"/>
        <v>51</v>
      </c>
      <c r="I585" s="5">
        <f t="shared" si="14"/>
        <v>12</v>
      </c>
      <c r="J585" s="6">
        <f t="shared" si="15"/>
        <v>1.8275462962962962E-2</v>
      </c>
      <c r="K585" s="5" t="str">
        <f t="shared" si="12"/>
        <v>(DS-IBBLR-Chikkasandr)</v>
      </c>
      <c r="L585" s="5" t="e">
        <f t="array" aca="1" ref="L585" ca="1">_xludf.XLOOKUP(E585,'[1]Migrated Societies Data'!C:C,'[1]Migrated Societies Data'!B:B)</f>
        <v>#NAME?</v>
      </c>
      <c r="M585" s="5" t="e">
        <f t="array" aca="1" ref="M585" ca="1">_xludf.XLOOKUP(E585,'[1]Migrated Societies Data'!C:C,'[1]Migrated Societies Data'!E:E)</f>
        <v>#NAME?</v>
      </c>
      <c r="N585" s="5" t="str">
        <f t="shared" si="16"/>
        <v>Yes</v>
      </c>
      <c r="O585" s="7">
        <f t="shared" si="17"/>
        <v>3.9108796296296294E-2</v>
      </c>
    </row>
    <row r="586" spans="1:15" x14ac:dyDescent="0.25">
      <c r="A586" s="3" t="s">
        <v>464</v>
      </c>
      <c r="B586" s="3" t="s">
        <v>1182</v>
      </c>
      <c r="C586" s="3" t="s">
        <v>16</v>
      </c>
      <c r="D586" s="3" t="s">
        <v>82</v>
      </c>
      <c r="E586" s="3" t="s">
        <v>466</v>
      </c>
      <c r="F586" s="3" t="s">
        <v>1183</v>
      </c>
      <c r="G586" s="4">
        <v>46012</v>
      </c>
      <c r="H586" s="5">
        <f t="shared" si="13"/>
        <v>51</v>
      </c>
      <c r="I586" s="5">
        <f t="shared" si="14"/>
        <v>12</v>
      </c>
      <c r="J586" s="6">
        <f t="shared" si="15"/>
        <v>2.1250000000000002E-2</v>
      </c>
      <c r="K586" s="5" t="str">
        <f t="shared" si="12"/>
        <v>(DS-IBBLR-Kallahalli )</v>
      </c>
      <c r="L586" s="5" t="e">
        <f t="array" aca="1" ref="L586" ca="1">_xludf.XLOOKUP(E586,'[1]Migrated Societies Data'!C:C,'[1]Migrated Societies Data'!B:B)</f>
        <v>#NAME?</v>
      </c>
      <c r="M586" s="5" t="e">
        <f t="array" aca="1" ref="M586" ca="1">_xludf.XLOOKUP(E586,'[1]Migrated Societies Data'!C:C,'[1]Migrated Societies Data'!E:E)</f>
        <v>#NAME?</v>
      </c>
      <c r="N586" s="5" t="str">
        <f t="shared" si="16"/>
        <v>Yes</v>
      </c>
      <c r="O586" s="7">
        <f t="shared" si="17"/>
        <v>4.2083333333333334E-2</v>
      </c>
    </row>
    <row r="587" spans="1:15" x14ac:dyDescent="0.25">
      <c r="A587" s="3" t="s">
        <v>468</v>
      </c>
      <c r="B587" s="3" t="s">
        <v>1184</v>
      </c>
      <c r="C587" s="3" t="s">
        <v>16</v>
      </c>
      <c r="D587" s="3" t="s">
        <v>17</v>
      </c>
      <c r="E587" s="3" t="s">
        <v>470</v>
      </c>
      <c r="F587" s="3" t="s">
        <v>1185</v>
      </c>
      <c r="G587" s="4">
        <v>46012</v>
      </c>
      <c r="H587" s="5">
        <f t="shared" si="13"/>
        <v>51</v>
      </c>
      <c r="I587" s="5">
        <f t="shared" si="14"/>
        <v>12</v>
      </c>
      <c r="J587" s="6">
        <f t="shared" si="15"/>
        <v>0.11486111111111111</v>
      </c>
      <c r="K587" s="5" t="str">
        <f t="shared" si="12"/>
        <v>(DS-BNBLR-HRBR)</v>
      </c>
      <c r="L587" s="5" t="e">
        <f t="array" aca="1" ref="L587" ca="1">_xludf.XLOOKUP(E587,'[1]Migrated Societies Data'!C:C,'[1]Migrated Societies Data'!B:B)</f>
        <v>#NAME?</v>
      </c>
      <c r="M587" s="5" t="e">
        <f t="array" aca="1" ref="M587" ca="1">_xludf.XLOOKUP(E587,'[1]Migrated Societies Data'!C:C,'[1]Migrated Societies Data'!E:E)</f>
        <v>#NAME?</v>
      </c>
      <c r="N587" s="5" t="str">
        <f t="shared" si="16"/>
        <v>Yes</v>
      </c>
      <c r="O587" s="7">
        <f t="shared" si="17"/>
        <v>0.13569444444444445</v>
      </c>
    </row>
    <row r="588" spans="1:15" x14ac:dyDescent="0.25">
      <c r="A588" s="3" t="s">
        <v>490</v>
      </c>
      <c r="B588" s="3" t="s">
        <v>1186</v>
      </c>
      <c r="C588" s="3" t="s">
        <v>16</v>
      </c>
      <c r="D588" s="3" t="s">
        <v>17</v>
      </c>
      <c r="E588" s="3" t="s">
        <v>492</v>
      </c>
      <c r="F588" s="3" t="s">
        <v>1187</v>
      </c>
      <c r="G588" s="4">
        <v>46012</v>
      </c>
      <c r="H588" s="5">
        <f t="shared" si="13"/>
        <v>51</v>
      </c>
      <c r="I588" s="5">
        <f t="shared" si="14"/>
        <v>12</v>
      </c>
      <c r="J588" s="6">
        <f t="shared" si="15"/>
        <v>7.7013888888888896E-2</v>
      </c>
      <c r="K588" s="5" t="str">
        <f t="shared" si="12"/>
        <v>(DS-IBBLR-Devanahalli)</v>
      </c>
      <c r="L588" s="5" t="e">
        <f t="array" aca="1" ref="L588" ca="1">_xludf.XLOOKUP(E588,'[1]Migrated Societies Data'!C:C,'[1]Migrated Societies Data'!B:B)</f>
        <v>#NAME?</v>
      </c>
      <c r="M588" s="5" t="e">
        <f t="array" aca="1" ref="M588" ca="1">_xludf.XLOOKUP(E588,'[1]Migrated Societies Data'!C:C,'[1]Migrated Societies Data'!E:E)</f>
        <v>#NAME?</v>
      </c>
      <c r="N588" s="5" t="str">
        <f t="shared" si="16"/>
        <v>Yes</v>
      </c>
      <c r="O588" s="7">
        <f t="shared" si="17"/>
        <v>9.7847222222222224E-2</v>
      </c>
    </row>
    <row r="589" spans="1:15" x14ac:dyDescent="0.25">
      <c r="A589" s="3" t="s">
        <v>14</v>
      </c>
      <c r="B589" s="3" t="s">
        <v>1188</v>
      </c>
      <c r="C589" s="3" t="s">
        <v>16</v>
      </c>
      <c r="D589" s="3" t="s">
        <v>17</v>
      </c>
      <c r="E589" s="3" t="s">
        <v>18</v>
      </c>
      <c r="F589" s="3" t="s">
        <v>1189</v>
      </c>
      <c r="G589" s="4">
        <v>46012</v>
      </c>
      <c r="H589" s="5">
        <f t="shared" si="13"/>
        <v>51</v>
      </c>
      <c r="I589" s="5">
        <f t="shared" si="14"/>
        <v>12</v>
      </c>
      <c r="J589" s="6">
        <f t="shared" si="15"/>
        <v>5.1655092592592593E-2</v>
      </c>
      <c r="K589" s="5" t="str">
        <f t="shared" si="12"/>
        <v>(DS-IBBLR-Peenya PH-3)</v>
      </c>
      <c r="L589" s="5" t="e">
        <f t="array" aca="1" ref="L589" ca="1">_xludf.XLOOKUP(E589,'[1]Migrated Societies Data'!C:C,'[1]Migrated Societies Data'!B:B)</f>
        <v>#NAME?</v>
      </c>
      <c r="M589" s="5" t="e">
        <f t="array" aca="1" ref="M589" ca="1">_xludf.XLOOKUP(E589,'[1]Migrated Societies Data'!C:C,'[1]Migrated Societies Data'!E:E)</f>
        <v>#NAME?</v>
      </c>
      <c r="N589" s="5" t="str">
        <f t="shared" si="16"/>
        <v>Yes</v>
      </c>
      <c r="O589" s="7">
        <f t="shared" si="17"/>
        <v>7.2488425925925928E-2</v>
      </c>
    </row>
    <row r="590" spans="1:15" x14ac:dyDescent="0.25">
      <c r="A590" s="3" t="s">
        <v>478</v>
      </c>
      <c r="B590" s="3" t="s">
        <v>1190</v>
      </c>
      <c r="C590" s="3" t="s">
        <v>16</v>
      </c>
      <c r="D590" s="3" t="s">
        <v>17</v>
      </c>
      <c r="E590" s="3" t="s">
        <v>480</v>
      </c>
      <c r="F590" s="3" t="s">
        <v>1191</v>
      </c>
      <c r="G590" s="4">
        <v>46012</v>
      </c>
      <c r="H590" s="5">
        <f t="shared" si="13"/>
        <v>51</v>
      </c>
      <c r="I590" s="5">
        <f t="shared" si="14"/>
        <v>12</v>
      </c>
      <c r="J590" s="6">
        <f t="shared" si="15"/>
        <v>5.4166666666666669E-2</v>
      </c>
      <c r="K590" s="5" t="str">
        <f t="shared" si="12"/>
        <v>(DS-IBBLR-Bellahalli)</v>
      </c>
      <c r="L590" s="5" t="e">
        <f t="array" aca="1" ref="L590" ca="1">_xludf.XLOOKUP(E590,'[1]Migrated Societies Data'!C:C,'[1]Migrated Societies Data'!B:B)</f>
        <v>#NAME?</v>
      </c>
      <c r="M590" s="5" t="e">
        <f t="array" aca="1" ref="M590" ca="1">_xludf.XLOOKUP(E590,'[1]Migrated Societies Data'!C:C,'[1]Migrated Societies Data'!E:E)</f>
        <v>#NAME?</v>
      </c>
      <c r="N590" s="5" t="str">
        <f t="shared" si="16"/>
        <v>Yes</v>
      </c>
      <c r="O590" s="7">
        <f t="shared" si="17"/>
        <v>7.4999999999999997E-2</v>
      </c>
    </row>
    <row r="591" spans="1:15" x14ac:dyDescent="0.25">
      <c r="A591" s="3" t="s">
        <v>472</v>
      </c>
      <c r="B591" s="3" t="s">
        <v>1192</v>
      </c>
      <c r="C591" s="3" t="s">
        <v>16</v>
      </c>
      <c r="D591" s="3" t="s">
        <v>17</v>
      </c>
      <c r="E591" s="3" t="s">
        <v>474</v>
      </c>
      <c r="F591" s="3" t="s">
        <v>1193</v>
      </c>
      <c r="G591" s="4">
        <v>46012</v>
      </c>
      <c r="H591" s="5">
        <f t="shared" si="13"/>
        <v>51</v>
      </c>
      <c r="I591" s="5">
        <f t="shared" si="14"/>
        <v>12</v>
      </c>
      <c r="J591" s="6">
        <f t="shared" si="15"/>
        <v>7.6099537037037035E-2</v>
      </c>
      <c r="K591" s="5" t="str">
        <f t="shared" si="12"/>
        <v>(DS-IBBLR-Lingarajapu)</v>
      </c>
      <c r="L591" s="5" t="e">
        <f t="array" aca="1" ref="L591" ca="1">_xludf.XLOOKUP(E591,'[1]Migrated Societies Data'!C:C,'[1]Migrated Societies Data'!B:B)</f>
        <v>#NAME?</v>
      </c>
      <c r="M591" s="5" t="e">
        <f t="array" aca="1" ref="M591" ca="1">_xludf.XLOOKUP(E591,'[1]Migrated Societies Data'!C:C,'[1]Migrated Societies Data'!E:E)</f>
        <v>#NAME?</v>
      </c>
      <c r="N591" s="5" t="str">
        <f t="shared" si="16"/>
        <v>Yes</v>
      </c>
      <c r="O591" s="7">
        <f t="shared" si="17"/>
        <v>9.6932870370370364E-2</v>
      </c>
    </row>
    <row r="592" spans="1:15" x14ac:dyDescent="0.25">
      <c r="A592" s="3" t="s">
        <v>482</v>
      </c>
      <c r="B592" s="3" t="s">
        <v>1194</v>
      </c>
      <c r="C592" s="3" t="s">
        <v>16</v>
      </c>
      <c r="D592" s="3" t="s">
        <v>17</v>
      </c>
      <c r="E592" s="3" t="s">
        <v>484</v>
      </c>
      <c r="F592" s="3" t="s">
        <v>1195</v>
      </c>
      <c r="G592" s="4">
        <v>46012</v>
      </c>
      <c r="H592" s="5">
        <f t="shared" si="13"/>
        <v>51</v>
      </c>
      <c r="I592" s="5">
        <f t="shared" si="14"/>
        <v>12</v>
      </c>
      <c r="J592" s="6">
        <f t="shared" si="15"/>
        <v>0.12268518518518519</v>
      </c>
      <c r="K592" s="5" t="str">
        <f t="shared" si="12"/>
        <v>(DS-IBBLR-Benson Town)</v>
      </c>
      <c r="L592" s="5" t="e">
        <f t="array" aca="1" ref="L592" ca="1">_xludf.XLOOKUP(E592,'[1]Migrated Societies Data'!C:C,'[1]Migrated Societies Data'!B:B)</f>
        <v>#NAME?</v>
      </c>
      <c r="M592" s="5" t="e">
        <f t="array" aca="1" ref="M592" ca="1">_xludf.XLOOKUP(E592,'[1]Migrated Societies Data'!C:C,'[1]Migrated Societies Data'!E:E)</f>
        <v>#NAME?</v>
      </c>
      <c r="N592" s="5" t="str">
        <f t="shared" si="16"/>
        <v>Yes</v>
      </c>
      <c r="O592" s="7">
        <f t="shared" si="17"/>
        <v>0.14351851851851852</v>
      </c>
    </row>
    <row r="593" spans="1:15" x14ac:dyDescent="0.25">
      <c r="A593" s="3" t="s">
        <v>486</v>
      </c>
      <c r="B593" s="3" t="s">
        <v>1196</v>
      </c>
      <c r="C593" s="3" t="s">
        <v>16</v>
      </c>
      <c r="D593" s="3" t="s">
        <v>17</v>
      </c>
      <c r="E593" s="3" t="s">
        <v>488</v>
      </c>
      <c r="F593" s="3" t="s">
        <v>1197</v>
      </c>
      <c r="G593" s="4">
        <v>46012</v>
      </c>
      <c r="H593" s="5">
        <f t="shared" si="13"/>
        <v>51</v>
      </c>
      <c r="I593" s="5">
        <f t="shared" si="14"/>
        <v>12</v>
      </c>
      <c r="J593" s="6">
        <f t="shared" si="15"/>
        <v>0.12358796296296297</v>
      </c>
      <c r="K593" s="5" t="str">
        <f t="shared" si="12"/>
        <v>(DS-IBBLR-Jala halli)</v>
      </c>
      <c r="L593" s="5" t="e">
        <f t="array" aca="1" ref="L593" ca="1">_xludf.XLOOKUP(E593,'[1]Migrated Societies Data'!C:C,'[1]Migrated Societies Data'!B:B)</f>
        <v>#NAME?</v>
      </c>
      <c r="M593" s="5" t="e">
        <f t="array" aca="1" ref="M593" ca="1">_xludf.XLOOKUP(E593,'[1]Migrated Societies Data'!C:C,'[1]Migrated Societies Data'!E:E)</f>
        <v>#NAME?</v>
      </c>
      <c r="N593" s="5" t="str">
        <f t="shared" si="16"/>
        <v>Yes</v>
      </c>
      <c r="O593" s="7">
        <f t="shared" si="17"/>
        <v>0.1444212962962963</v>
      </c>
    </row>
    <row r="594" spans="1:15" x14ac:dyDescent="0.25">
      <c r="A594" s="3" t="s">
        <v>446</v>
      </c>
      <c r="B594" s="3" t="s">
        <v>1198</v>
      </c>
      <c r="C594" s="3" t="s">
        <v>16</v>
      </c>
      <c r="D594" s="3" t="s">
        <v>82</v>
      </c>
      <c r="E594" s="3" t="s">
        <v>448</v>
      </c>
      <c r="F594" s="3" t="s">
        <v>1199</v>
      </c>
      <c r="G594" s="4">
        <v>46013</v>
      </c>
      <c r="H594" s="5">
        <f t="shared" si="13"/>
        <v>52</v>
      </c>
      <c r="I594" s="5">
        <f t="shared" si="14"/>
        <v>12</v>
      </c>
      <c r="J594" s="6">
        <f t="shared" si="15"/>
        <v>2.3148148148148147E-3</v>
      </c>
      <c r="K594" s="5" t="str">
        <f t="shared" si="12"/>
        <v>(DS-IBBLR-Jigani)</v>
      </c>
      <c r="L594" s="5" t="e">
        <f t="array" aca="1" ref="L594" ca="1">_xludf.XLOOKUP(E594,'[1]Migrated Societies Data'!C:C,'[1]Migrated Societies Data'!B:B)</f>
        <v>#NAME?</v>
      </c>
      <c r="M594" s="5" t="e">
        <f t="array" aca="1" ref="M594" ca="1">_xludf.XLOOKUP(E594,'[1]Migrated Societies Data'!C:C,'[1]Migrated Societies Data'!E:E)</f>
        <v>#NAME?</v>
      </c>
      <c r="N594" s="5" t="str">
        <f t="shared" si="16"/>
        <v>Yes</v>
      </c>
      <c r="O594" s="7">
        <f t="shared" si="17"/>
        <v>2.3148148148148147E-2</v>
      </c>
    </row>
    <row r="595" spans="1:15" x14ac:dyDescent="0.25">
      <c r="A595" s="3" t="s">
        <v>331</v>
      </c>
      <c r="B595" s="3" t="s">
        <v>1200</v>
      </c>
      <c r="C595" s="3" t="s">
        <v>16</v>
      </c>
      <c r="D595" s="3" t="s">
        <v>82</v>
      </c>
      <c r="E595" s="3" t="s">
        <v>333</v>
      </c>
      <c r="F595" s="3" t="s">
        <v>1201</v>
      </c>
      <c r="G595" s="4">
        <v>46013</v>
      </c>
      <c r="H595" s="5">
        <f t="shared" si="13"/>
        <v>52</v>
      </c>
      <c r="I595" s="5">
        <f t="shared" si="14"/>
        <v>12</v>
      </c>
      <c r="J595" s="6">
        <f t="shared" si="15"/>
        <v>0.97069444444444442</v>
      </c>
      <c r="K595" s="5" t="str">
        <f t="shared" si="12"/>
        <v>(DS-IBBLR-Attibele)</v>
      </c>
      <c r="L595" s="5" t="e">
        <f t="array" aca="1" ref="L595" ca="1">_xludf.XLOOKUP(E595,'[1]Migrated Societies Data'!C:C,'[1]Migrated Societies Data'!B:B)</f>
        <v>#NAME?</v>
      </c>
      <c r="M595" s="5" t="e">
        <f t="array" aca="1" ref="M595" ca="1">_xludf.XLOOKUP(E595,'[1]Migrated Societies Data'!C:C,'[1]Migrated Societies Data'!E:E)</f>
        <v>#NAME?</v>
      </c>
      <c r="N595" s="5" t="str">
        <f t="shared" si="16"/>
        <v>Yes</v>
      </c>
      <c r="O595" s="7">
        <f t="shared" si="17"/>
        <v>0.99152777777777779</v>
      </c>
    </row>
    <row r="596" spans="1:15" x14ac:dyDescent="0.25">
      <c r="A596" s="3" t="s">
        <v>442</v>
      </c>
      <c r="B596" s="3" t="s">
        <v>1202</v>
      </c>
      <c r="C596" s="3" t="s">
        <v>16</v>
      </c>
      <c r="D596" s="3" t="s">
        <v>82</v>
      </c>
      <c r="E596" s="3" t="s">
        <v>444</v>
      </c>
      <c r="F596" s="3" t="s">
        <v>1203</v>
      </c>
      <c r="G596" s="4">
        <v>46013</v>
      </c>
      <c r="H596" s="5">
        <f t="shared" si="13"/>
        <v>52</v>
      </c>
      <c r="I596" s="5">
        <f t="shared" si="14"/>
        <v>12</v>
      </c>
      <c r="J596" s="6">
        <f t="shared" si="15"/>
        <v>0.9428009259259259</v>
      </c>
      <c r="K596" s="5" t="str">
        <f t="shared" si="12"/>
        <v>(DS-IBBLR-Chinappalay)</v>
      </c>
      <c r="L596" s="5" t="e">
        <f t="array" aca="1" ref="L596" ca="1">_xludf.XLOOKUP(E596,'[1]Migrated Societies Data'!C:C,'[1]Migrated Societies Data'!B:B)</f>
        <v>#NAME?</v>
      </c>
      <c r="M596" s="5" t="e">
        <f t="array" aca="1" ref="M596" ca="1">_xludf.XLOOKUP(E596,'[1]Migrated Societies Data'!C:C,'[1]Migrated Societies Data'!E:E)</f>
        <v>#NAME?</v>
      </c>
      <c r="N596" s="5" t="str">
        <f t="shared" si="16"/>
        <v>No</v>
      </c>
      <c r="O596" s="7">
        <f t="shared" si="17"/>
        <v>0.96363425925925927</v>
      </c>
    </row>
    <row r="597" spans="1:15" x14ac:dyDescent="0.25">
      <c r="A597" s="3" t="s">
        <v>80</v>
      </c>
      <c r="B597" s="3" t="s">
        <v>1204</v>
      </c>
      <c r="C597" s="3" t="s">
        <v>16</v>
      </c>
      <c r="D597" s="3" t="s">
        <v>82</v>
      </c>
      <c r="E597" s="3" t="s">
        <v>83</v>
      </c>
      <c r="F597" s="3" t="s">
        <v>1205</v>
      </c>
      <c r="G597" s="4">
        <v>46013</v>
      </c>
      <c r="H597" s="5">
        <f t="shared" si="13"/>
        <v>52</v>
      </c>
      <c r="I597" s="5">
        <f t="shared" si="14"/>
        <v>12</v>
      </c>
      <c r="J597" s="6">
        <f t="shared" si="15"/>
        <v>0.98445601851851849</v>
      </c>
      <c r="K597" s="5" t="str">
        <f t="shared" si="12"/>
        <v>(DS-IBBLR-Nagondanahalli )</v>
      </c>
      <c r="L597" s="5" t="e">
        <f t="array" aca="1" ref="L597" ca="1">_xludf.XLOOKUP(E597,'[1]Migrated Societies Data'!C:C,'[1]Migrated Societies Data'!B:B)</f>
        <v>#NAME?</v>
      </c>
      <c r="M597" s="5" t="e">
        <f t="array" aca="1" ref="M597" ca="1">_xludf.XLOOKUP(E597,'[1]Migrated Societies Data'!C:C,'[1]Migrated Societies Data'!E:E)</f>
        <v>#NAME?</v>
      </c>
      <c r="N597" s="5" t="str">
        <f t="shared" si="16"/>
        <v>Yes</v>
      </c>
      <c r="O597" s="7">
        <f t="shared" si="17"/>
        <v>5.2893518518517535E-3</v>
      </c>
    </row>
    <row r="598" spans="1:15" x14ac:dyDescent="0.25">
      <c r="A598" s="3" t="s">
        <v>456</v>
      </c>
      <c r="B598" s="3" t="s">
        <v>1206</v>
      </c>
      <c r="C598" s="3" t="s">
        <v>33</v>
      </c>
      <c r="D598" s="3" t="s">
        <v>82</v>
      </c>
      <c r="E598" s="3" t="s">
        <v>458</v>
      </c>
      <c r="F598" s="3" t="s">
        <v>1207</v>
      </c>
      <c r="G598" s="4">
        <v>46013</v>
      </c>
      <c r="H598" s="5">
        <f t="shared" si="13"/>
        <v>52</v>
      </c>
      <c r="I598" s="5">
        <f t="shared" si="14"/>
        <v>12</v>
      </c>
      <c r="J598" s="6">
        <f t="shared" si="15"/>
        <v>2.8310185185185185E-2</v>
      </c>
      <c r="K598" s="5" t="str">
        <f t="shared" si="12"/>
        <v>(DS-IBBLR-Jakkasandra)</v>
      </c>
      <c r="L598" s="5" t="e">
        <f t="array" aca="1" ref="L598" ca="1">_xludf.XLOOKUP(E598,'[1]Migrated Societies Data'!C:C,'[1]Migrated Societies Data'!B:B)</f>
        <v>#NAME?</v>
      </c>
      <c r="M598" s="5" t="e">
        <f t="array" aca="1" ref="M598" ca="1">_xludf.XLOOKUP(E598,'[1]Migrated Societies Data'!C:C,'[1]Migrated Societies Data'!E:E)</f>
        <v>#NAME?</v>
      </c>
      <c r="N598" s="5" t="str">
        <f t="shared" si="16"/>
        <v>Yes</v>
      </c>
      <c r="O598" s="7">
        <f t="shared" si="17"/>
        <v>4.9143518518518517E-2</v>
      </c>
    </row>
    <row r="599" spans="1:15" x14ac:dyDescent="0.25">
      <c r="A599" s="3" t="s">
        <v>460</v>
      </c>
      <c r="B599" s="3" t="s">
        <v>1208</v>
      </c>
      <c r="C599" s="3" t="s">
        <v>16</v>
      </c>
      <c r="D599" s="3" t="s">
        <v>82</v>
      </c>
      <c r="E599" s="3" t="s">
        <v>462</v>
      </c>
      <c r="F599" s="3" t="s">
        <v>1209</v>
      </c>
      <c r="G599" s="4">
        <v>46013</v>
      </c>
      <c r="H599" s="5">
        <f t="shared" si="13"/>
        <v>52</v>
      </c>
      <c r="I599" s="5">
        <f t="shared" si="14"/>
        <v>12</v>
      </c>
      <c r="J599" s="6">
        <f t="shared" si="15"/>
        <v>0.99922453703703706</v>
      </c>
      <c r="K599" s="5" t="str">
        <f t="shared" si="12"/>
        <v>(DS-IBBLR-HAL )</v>
      </c>
      <c r="L599" s="5" t="e">
        <f t="array" aca="1" ref="L599" ca="1">_xludf.XLOOKUP(E599,'[1]Migrated Societies Data'!C:C,'[1]Migrated Societies Data'!B:B)</f>
        <v>#NAME?</v>
      </c>
      <c r="M599" s="5" t="e">
        <f t="array" aca="1" ref="M599" ca="1">_xludf.XLOOKUP(E599,'[1]Migrated Societies Data'!C:C,'[1]Migrated Societies Data'!E:E)</f>
        <v>#NAME?</v>
      </c>
      <c r="N599" s="5" t="str">
        <f t="shared" si="16"/>
        <v>Yes</v>
      </c>
      <c r="O599" s="7">
        <f t="shared" si="17"/>
        <v>2.0057870370370434E-2</v>
      </c>
    </row>
    <row r="600" spans="1:15" x14ac:dyDescent="0.25">
      <c r="A600" s="3" t="s">
        <v>478</v>
      </c>
      <c r="B600" s="3" t="s">
        <v>1210</v>
      </c>
      <c r="C600" s="3" t="s">
        <v>36</v>
      </c>
      <c r="D600" s="3" t="s">
        <v>17</v>
      </c>
      <c r="E600" s="3" t="s">
        <v>480</v>
      </c>
      <c r="F600" s="3" t="s">
        <v>1211</v>
      </c>
      <c r="G600" s="4">
        <v>46013</v>
      </c>
      <c r="H600" s="5">
        <f t="shared" si="13"/>
        <v>52</v>
      </c>
      <c r="I600" s="5">
        <f t="shared" si="14"/>
        <v>12</v>
      </c>
      <c r="J600" s="6">
        <f t="shared" si="15"/>
        <v>1.8599537037037036E-2</v>
      </c>
      <c r="K600" s="5" t="str">
        <f t="shared" si="12"/>
        <v>(DS-IBBLR-Bellahalli)</v>
      </c>
      <c r="L600" s="5" t="e">
        <f t="array" aca="1" ref="L600" ca="1">_xludf.XLOOKUP(E600,'[1]Migrated Societies Data'!C:C,'[1]Migrated Societies Data'!B:B)</f>
        <v>#NAME?</v>
      </c>
      <c r="M600" s="5" t="e">
        <f t="array" aca="1" ref="M600" ca="1">_xludf.XLOOKUP(E600,'[1]Migrated Societies Data'!C:C,'[1]Migrated Societies Data'!E:E)</f>
        <v>#NAME?</v>
      </c>
      <c r="N600" s="5" t="str">
        <f t="shared" si="16"/>
        <v>Yes</v>
      </c>
      <c r="O600" s="7">
        <f t="shared" si="17"/>
        <v>3.9432870370370368E-2</v>
      </c>
    </row>
    <row r="601" spans="1:15" x14ac:dyDescent="0.25">
      <c r="A601" s="3" t="s">
        <v>468</v>
      </c>
      <c r="B601" s="3" t="s">
        <v>1212</v>
      </c>
      <c r="C601" s="3" t="s">
        <v>16</v>
      </c>
      <c r="D601" s="3" t="s">
        <v>17</v>
      </c>
      <c r="E601" s="3" t="s">
        <v>470</v>
      </c>
      <c r="F601" s="3" t="s">
        <v>1213</v>
      </c>
      <c r="G601" s="4">
        <v>46013</v>
      </c>
      <c r="H601" s="5">
        <f t="shared" si="13"/>
        <v>52</v>
      </c>
      <c r="I601" s="5">
        <f t="shared" si="14"/>
        <v>12</v>
      </c>
      <c r="J601" s="6">
        <f t="shared" si="15"/>
        <v>2.9212962962962961E-2</v>
      </c>
      <c r="K601" s="5" t="str">
        <f t="shared" si="12"/>
        <v>(DS-BNBLR-HRBR)</v>
      </c>
      <c r="L601" s="5" t="e">
        <f t="array" aca="1" ref="L601" ca="1">_xludf.XLOOKUP(E601,'[1]Migrated Societies Data'!C:C,'[1]Migrated Societies Data'!B:B)</f>
        <v>#NAME?</v>
      </c>
      <c r="M601" s="5" t="e">
        <f t="array" aca="1" ref="M601" ca="1">_xludf.XLOOKUP(E601,'[1]Migrated Societies Data'!C:C,'[1]Migrated Societies Data'!E:E)</f>
        <v>#NAME?</v>
      </c>
      <c r="N601" s="5" t="str">
        <f t="shared" si="16"/>
        <v>Yes</v>
      </c>
      <c r="O601" s="7">
        <f t="shared" si="17"/>
        <v>5.0046296296296297E-2</v>
      </c>
    </row>
    <row r="602" spans="1:15" x14ac:dyDescent="0.25">
      <c r="A602" s="3" t="s">
        <v>342</v>
      </c>
      <c r="B602" s="3" t="s">
        <v>1214</v>
      </c>
      <c r="C602" s="3" t="s">
        <v>36</v>
      </c>
      <c r="D602" s="3" t="s">
        <v>17</v>
      </c>
      <c r="E602" s="3" t="s">
        <v>344</v>
      </c>
      <c r="F602" s="3" t="s">
        <v>1215</v>
      </c>
      <c r="G602" s="4">
        <v>46013</v>
      </c>
      <c r="H602" s="5">
        <f t="shared" si="13"/>
        <v>52</v>
      </c>
      <c r="I602" s="5">
        <f t="shared" si="14"/>
        <v>12</v>
      </c>
      <c r="J602" s="6">
        <f t="shared" si="15"/>
        <v>1.8807870370370371E-2</v>
      </c>
      <c r="K602" s="5" t="str">
        <f t="shared" si="12"/>
        <v>(DS-IBBLR-Chikkasandr)</v>
      </c>
      <c r="L602" s="5" t="e">
        <f t="array" aca="1" ref="L602" ca="1">_xludf.XLOOKUP(E602,'[1]Migrated Societies Data'!C:C,'[1]Migrated Societies Data'!B:B)</f>
        <v>#NAME?</v>
      </c>
      <c r="M602" s="5" t="e">
        <f t="array" aca="1" ref="M602" ca="1">_xludf.XLOOKUP(E602,'[1]Migrated Societies Data'!C:C,'[1]Migrated Societies Data'!E:E)</f>
        <v>#NAME?</v>
      </c>
      <c r="N602" s="5" t="str">
        <f t="shared" si="16"/>
        <v>Yes</v>
      </c>
      <c r="O602" s="7">
        <f t="shared" si="17"/>
        <v>3.9641203703703706E-2</v>
      </c>
    </row>
    <row r="603" spans="1:15" x14ac:dyDescent="0.25">
      <c r="A603" s="3" t="s">
        <v>14</v>
      </c>
      <c r="B603" s="3" t="s">
        <v>1216</v>
      </c>
      <c r="C603" s="3" t="s">
        <v>16</v>
      </c>
      <c r="D603" s="3" t="s">
        <v>17</v>
      </c>
      <c r="E603" s="3" t="s">
        <v>18</v>
      </c>
      <c r="F603" s="3" t="s">
        <v>1217</v>
      </c>
      <c r="G603" s="4">
        <v>46013</v>
      </c>
      <c r="H603" s="5">
        <f t="shared" si="13"/>
        <v>52</v>
      </c>
      <c r="I603" s="5">
        <f t="shared" si="14"/>
        <v>12</v>
      </c>
      <c r="J603" s="6">
        <f t="shared" si="15"/>
        <v>6.4699074074074077E-3</v>
      </c>
      <c r="K603" s="5" t="str">
        <f t="shared" si="12"/>
        <v>(DS-IBBLR-Peenya PH-3)</v>
      </c>
      <c r="L603" s="5" t="e">
        <f t="array" aca="1" ref="L603" ca="1">_xludf.XLOOKUP(E603,'[1]Migrated Societies Data'!C:C,'[1]Migrated Societies Data'!B:B)</f>
        <v>#NAME?</v>
      </c>
      <c r="M603" s="5" t="e">
        <f t="array" aca="1" ref="M603" ca="1">_xludf.XLOOKUP(E603,'[1]Migrated Societies Data'!C:C,'[1]Migrated Societies Data'!E:E)</f>
        <v>#NAME?</v>
      </c>
      <c r="N603" s="5" t="str">
        <f t="shared" si="16"/>
        <v>Yes</v>
      </c>
      <c r="O603" s="7">
        <f t="shared" si="17"/>
        <v>2.7303240740740739E-2</v>
      </c>
    </row>
    <row r="604" spans="1:15" x14ac:dyDescent="0.25">
      <c r="A604" s="3" t="s">
        <v>472</v>
      </c>
      <c r="B604" s="3" t="s">
        <v>1218</v>
      </c>
      <c r="C604" s="3" t="s">
        <v>33</v>
      </c>
      <c r="D604" s="3" t="s">
        <v>17</v>
      </c>
      <c r="E604" s="3" t="s">
        <v>474</v>
      </c>
      <c r="F604" s="3" t="s">
        <v>1219</v>
      </c>
      <c r="G604" s="4">
        <v>46013</v>
      </c>
      <c r="H604" s="5">
        <f t="shared" si="13"/>
        <v>52</v>
      </c>
      <c r="I604" s="5">
        <f t="shared" si="14"/>
        <v>12</v>
      </c>
      <c r="J604" s="6">
        <f t="shared" si="15"/>
        <v>4.4444444444444446E-2</v>
      </c>
      <c r="K604" s="5" t="str">
        <f t="shared" si="12"/>
        <v>(DS-IBBLR-Lingarajapu)</v>
      </c>
      <c r="L604" s="5" t="e">
        <f t="array" aca="1" ref="L604" ca="1">_xludf.XLOOKUP(E604,'[1]Migrated Societies Data'!C:C,'[1]Migrated Societies Data'!B:B)</f>
        <v>#NAME?</v>
      </c>
      <c r="M604" s="5" t="e">
        <f t="array" aca="1" ref="M604" ca="1">_xludf.XLOOKUP(E604,'[1]Migrated Societies Data'!C:C,'[1]Migrated Societies Data'!E:E)</f>
        <v>#NAME?</v>
      </c>
      <c r="N604" s="5" t="str">
        <f t="shared" si="16"/>
        <v>Yes</v>
      </c>
      <c r="O604" s="7">
        <f t="shared" si="17"/>
        <v>6.5277777777777782E-2</v>
      </c>
    </row>
    <row r="605" spans="1:15" x14ac:dyDescent="0.25">
      <c r="A605" s="3" t="s">
        <v>490</v>
      </c>
      <c r="B605" s="3" t="s">
        <v>1220</v>
      </c>
      <c r="C605" s="3" t="s">
        <v>33</v>
      </c>
      <c r="D605" s="3" t="s">
        <v>17</v>
      </c>
      <c r="E605" s="3" t="s">
        <v>492</v>
      </c>
      <c r="F605" s="3" t="s">
        <v>1221</v>
      </c>
      <c r="G605" s="4">
        <v>46013</v>
      </c>
      <c r="H605" s="5">
        <f t="shared" si="13"/>
        <v>52</v>
      </c>
      <c r="I605" s="5">
        <f t="shared" si="14"/>
        <v>12</v>
      </c>
      <c r="J605" s="6">
        <f t="shared" si="15"/>
        <v>8.520833333333333E-2</v>
      </c>
      <c r="K605" s="5" t="str">
        <f t="shared" si="12"/>
        <v>(DS-IBBLR-Devanahalli)</v>
      </c>
      <c r="L605" s="5" t="e">
        <f t="array" aca="1" ref="L605" ca="1">_xludf.XLOOKUP(E605,'[1]Migrated Societies Data'!C:C,'[1]Migrated Societies Data'!B:B)</f>
        <v>#NAME?</v>
      </c>
      <c r="M605" s="5" t="e">
        <f t="array" aca="1" ref="M605" ca="1">_xludf.XLOOKUP(E605,'[1]Migrated Societies Data'!C:C,'[1]Migrated Societies Data'!E:E)</f>
        <v>#NAME?</v>
      </c>
      <c r="N605" s="5" t="str">
        <f t="shared" si="16"/>
        <v>Yes</v>
      </c>
      <c r="O605" s="7">
        <f t="shared" si="17"/>
        <v>0.10604166666666666</v>
      </c>
    </row>
    <row r="606" spans="1:15" x14ac:dyDescent="0.25">
      <c r="A606" s="3" t="s">
        <v>486</v>
      </c>
      <c r="B606" s="3" t="s">
        <v>1222</v>
      </c>
      <c r="C606" s="3" t="s">
        <v>16</v>
      </c>
      <c r="D606" s="3" t="s">
        <v>17</v>
      </c>
      <c r="E606" s="3" t="s">
        <v>488</v>
      </c>
      <c r="F606" s="3" t="s">
        <v>1223</v>
      </c>
      <c r="G606" s="4">
        <v>46013</v>
      </c>
      <c r="H606" s="5">
        <f t="shared" si="13"/>
        <v>52</v>
      </c>
      <c r="I606" s="5">
        <f t="shared" si="14"/>
        <v>12</v>
      </c>
      <c r="J606" s="6">
        <f t="shared" si="15"/>
        <v>8.188657407407407E-2</v>
      </c>
      <c r="K606" s="5" t="str">
        <f t="shared" si="12"/>
        <v>(DS-IBBLR-Jala halli)</v>
      </c>
      <c r="L606" s="5" t="e">
        <f t="array" aca="1" ref="L606" ca="1">_xludf.XLOOKUP(E606,'[1]Migrated Societies Data'!C:C,'[1]Migrated Societies Data'!B:B)</f>
        <v>#NAME?</v>
      </c>
      <c r="M606" s="5" t="e">
        <f t="array" aca="1" ref="M606" ca="1">_xludf.XLOOKUP(E606,'[1]Migrated Societies Data'!C:C,'[1]Migrated Societies Data'!E:E)</f>
        <v>#NAME?</v>
      </c>
      <c r="N606" s="5" t="str">
        <f t="shared" si="16"/>
        <v>Yes</v>
      </c>
      <c r="O606" s="7">
        <f t="shared" si="17"/>
        <v>0.1027199074074074</v>
      </c>
    </row>
    <row r="607" spans="1:15" x14ac:dyDescent="0.25">
      <c r="A607" s="3" t="s">
        <v>482</v>
      </c>
      <c r="B607" s="3" t="s">
        <v>1224</v>
      </c>
      <c r="C607" s="3" t="s">
        <v>33</v>
      </c>
      <c r="D607" s="3" t="s">
        <v>17</v>
      </c>
      <c r="E607" s="3" t="s">
        <v>484</v>
      </c>
      <c r="F607" s="3" t="s">
        <v>1225</v>
      </c>
      <c r="G607" s="4">
        <v>46013</v>
      </c>
      <c r="H607" s="5">
        <f t="shared" si="13"/>
        <v>52</v>
      </c>
      <c r="I607" s="5">
        <f t="shared" si="14"/>
        <v>12</v>
      </c>
      <c r="J607" s="6">
        <f t="shared" si="15"/>
        <v>8.1736111111111107E-2</v>
      </c>
      <c r="K607" s="5" t="str">
        <f t="shared" si="12"/>
        <v>(DS-IBBLR-Benson Town)</v>
      </c>
      <c r="L607" s="5" t="e">
        <f t="array" aca="1" ref="L607" ca="1">_xludf.XLOOKUP(E607,'[1]Migrated Societies Data'!C:C,'[1]Migrated Societies Data'!B:B)</f>
        <v>#NAME?</v>
      </c>
      <c r="M607" s="5" t="e">
        <f t="array" aca="1" ref="M607" ca="1">_xludf.XLOOKUP(E607,'[1]Migrated Societies Data'!C:C,'[1]Migrated Societies Data'!E:E)</f>
        <v>#NAME?</v>
      </c>
      <c r="N607" s="5" t="str">
        <f t="shared" si="16"/>
        <v>Yes</v>
      </c>
      <c r="O607" s="7">
        <f t="shared" si="17"/>
        <v>0.10256944444444444</v>
      </c>
    </row>
    <row r="608" spans="1:15" x14ac:dyDescent="0.25">
      <c r="A608" s="3"/>
      <c r="B608" s="3"/>
      <c r="C608" s="3"/>
      <c r="D608" s="3"/>
      <c r="E608" s="3"/>
      <c r="F608" s="3"/>
      <c r="G608" s="4"/>
      <c r="H608" s="5"/>
      <c r="I608" s="5"/>
      <c r="J608" s="6"/>
      <c r="K608" s="5"/>
      <c r="L608" s="5"/>
      <c r="M608" s="5"/>
      <c r="N608" s="5"/>
      <c r="O608" s="5"/>
    </row>
    <row r="609" spans="1:15" x14ac:dyDescent="0.25">
      <c r="A609" s="3"/>
      <c r="B609" s="3"/>
      <c r="C609" s="3"/>
      <c r="D609" s="3"/>
      <c r="E609" s="3"/>
      <c r="F609" s="3"/>
      <c r="G609" s="4"/>
      <c r="H609" s="5"/>
      <c r="I609" s="5"/>
      <c r="J609" s="6"/>
      <c r="K609" s="5"/>
      <c r="L609" s="5"/>
      <c r="M609" s="5"/>
      <c r="N609" s="5"/>
      <c r="O609" s="5"/>
    </row>
    <row r="610" spans="1:15" x14ac:dyDescent="0.25">
      <c r="A610" s="3"/>
      <c r="B610" s="3"/>
      <c r="C610" s="3"/>
      <c r="D610" s="3"/>
      <c r="E610" s="3"/>
      <c r="F610" s="3"/>
      <c r="G610" s="4"/>
      <c r="H610" s="5"/>
      <c r="I610" s="5"/>
      <c r="J610" s="6"/>
      <c r="K610" s="5"/>
      <c r="L610" s="5"/>
      <c r="M610" s="5"/>
      <c r="N610" s="5"/>
      <c r="O610" s="5"/>
    </row>
    <row r="611" spans="1:15" x14ac:dyDescent="0.25">
      <c r="A611" s="3"/>
      <c r="B611" s="3"/>
      <c r="C611" s="3"/>
      <c r="D611" s="3"/>
      <c r="E611" s="3"/>
      <c r="F611" s="3"/>
      <c r="G611" s="4"/>
      <c r="H611" s="5"/>
      <c r="I611" s="5"/>
      <c r="J611" s="6"/>
      <c r="K611" s="5"/>
      <c r="L611" s="5"/>
      <c r="M611" s="5"/>
      <c r="N611" s="5"/>
      <c r="O611" s="5"/>
    </row>
    <row r="612" spans="1:15" x14ac:dyDescent="0.25">
      <c r="A612" s="3"/>
      <c r="B612" s="3"/>
      <c r="C612" s="3"/>
      <c r="D612" s="3"/>
      <c r="E612" s="3"/>
      <c r="F612" s="3"/>
      <c r="G612" s="4"/>
      <c r="H612" s="5"/>
      <c r="I612" s="5"/>
      <c r="J612" s="6"/>
      <c r="K612" s="5"/>
      <c r="L612" s="5"/>
      <c r="M612" s="5"/>
      <c r="N612" s="5"/>
      <c r="O612" s="5"/>
    </row>
    <row r="613" spans="1:15" x14ac:dyDescent="0.25">
      <c r="A613" s="3"/>
      <c r="B613" s="3"/>
      <c r="C613" s="3"/>
      <c r="D613" s="3"/>
      <c r="E613" s="3"/>
      <c r="F613" s="3"/>
      <c r="G613" s="4"/>
      <c r="H613" s="5"/>
      <c r="I613" s="5"/>
      <c r="J613" s="6"/>
      <c r="K613" s="5"/>
      <c r="L613" s="5"/>
      <c r="M613" s="5"/>
      <c r="N613" s="5"/>
      <c r="O613" s="5"/>
    </row>
    <row r="614" spans="1:15" x14ac:dyDescent="0.25">
      <c r="A614" s="3"/>
      <c r="B614" s="3"/>
      <c r="C614" s="3"/>
      <c r="D614" s="3"/>
      <c r="E614" s="3"/>
      <c r="F614" s="3"/>
      <c r="G614" s="4"/>
      <c r="H614" s="5"/>
      <c r="I614" s="5"/>
      <c r="J614" s="6"/>
      <c r="K614" s="5"/>
      <c r="L614" s="5"/>
      <c r="M614" s="5"/>
      <c r="N614" s="5"/>
      <c r="O614" s="5"/>
    </row>
    <row r="615" spans="1:15" x14ac:dyDescent="0.25">
      <c r="A615" s="3"/>
      <c r="B615" s="3"/>
      <c r="C615" s="3"/>
      <c r="D615" s="3"/>
      <c r="E615" s="3"/>
      <c r="F615" s="3"/>
      <c r="G615" s="4"/>
      <c r="H615" s="5"/>
      <c r="I615" s="5"/>
      <c r="J615" s="6"/>
      <c r="K615" s="5"/>
      <c r="L615" s="5"/>
      <c r="M615" s="5"/>
      <c r="N615" s="5"/>
      <c r="O615" s="5"/>
    </row>
    <row r="616" spans="1:15" x14ac:dyDescent="0.25">
      <c r="A616" s="3"/>
      <c r="B616" s="3"/>
      <c r="C616" s="3"/>
      <c r="D616" s="3"/>
      <c r="E616" s="3"/>
      <c r="F616" s="3"/>
      <c r="G616" s="4"/>
      <c r="H616" s="5"/>
      <c r="I616" s="5"/>
      <c r="J616" s="6"/>
      <c r="K616" s="5"/>
      <c r="L616" s="5"/>
      <c r="M616" s="5"/>
      <c r="N616" s="5"/>
      <c r="O616" s="5"/>
    </row>
    <row r="617" spans="1:15" x14ac:dyDescent="0.25">
      <c r="A617" s="3"/>
      <c r="B617" s="3"/>
      <c r="C617" s="3"/>
      <c r="D617" s="3"/>
      <c r="E617" s="3"/>
      <c r="F617" s="3"/>
      <c r="G617" s="4"/>
      <c r="H617" s="5"/>
      <c r="I617" s="5"/>
      <c r="J617" s="6"/>
      <c r="K617" s="5"/>
      <c r="L617" s="5"/>
      <c r="M617" s="5"/>
      <c r="N617" s="5"/>
      <c r="O617" s="5"/>
    </row>
    <row r="618" spans="1:15" x14ac:dyDescent="0.25">
      <c r="A618" s="3"/>
      <c r="B618" s="3"/>
      <c r="C618" s="3"/>
      <c r="D618" s="3"/>
      <c r="E618" s="3"/>
      <c r="F618" s="3"/>
      <c r="G618" s="4"/>
      <c r="H618" s="5"/>
      <c r="I618" s="5"/>
      <c r="J618" s="6"/>
      <c r="K618" s="5"/>
      <c r="L618" s="5"/>
      <c r="M618" s="5"/>
      <c r="N618" s="5"/>
      <c r="O618" s="5"/>
    </row>
    <row r="619" spans="1:15" x14ac:dyDescent="0.25">
      <c r="A619" s="3"/>
      <c r="B619" s="3"/>
      <c r="C619" s="3"/>
      <c r="D619" s="3"/>
      <c r="E619" s="3"/>
      <c r="F619" s="3"/>
      <c r="G619" s="4"/>
      <c r="H619" s="5"/>
      <c r="I619" s="5"/>
      <c r="J619" s="6"/>
      <c r="K619" s="5"/>
      <c r="L619" s="5"/>
      <c r="M619" s="5"/>
      <c r="N619" s="5"/>
      <c r="O619" s="5"/>
    </row>
    <row r="620" spans="1:15" x14ac:dyDescent="0.25">
      <c r="A620" s="3"/>
      <c r="B620" s="3"/>
      <c r="C620" s="3"/>
      <c r="D620" s="3"/>
      <c r="E620" s="3"/>
      <c r="F620" s="3"/>
      <c r="G620" s="4"/>
      <c r="H620" s="5"/>
      <c r="I620" s="5"/>
      <c r="J620" s="6"/>
      <c r="K620" s="5"/>
      <c r="L620" s="5"/>
      <c r="M620" s="5"/>
      <c r="N620" s="5"/>
      <c r="O620" s="5"/>
    </row>
    <row r="621" spans="1:15" x14ac:dyDescent="0.25">
      <c r="A621" s="3"/>
      <c r="B621" s="3"/>
      <c r="C621" s="3"/>
      <c r="D621" s="3"/>
      <c r="E621" s="3"/>
      <c r="F621" s="3"/>
      <c r="G621" s="4"/>
      <c r="H621" s="5"/>
      <c r="I621" s="5"/>
      <c r="J621" s="6"/>
      <c r="K621" s="5"/>
      <c r="L621" s="5"/>
      <c r="M621" s="5"/>
      <c r="N621" s="5"/>
      <c r="O621" s="5"/>
    </row>
    <row r="622" spans="1:15" x14ac:dyDescent="0.25">
      <c r="A622" s="3"/>
      <c r="B622" s="3"/>
      <c r="C622" s="3"/>
      <c r="D622" s="3"/>
      <c r="E622" s="3"/>
      <c r="F622" s="3"/>
      <c r="G622" s="4"/>
      <c r="H622" s="5"/>
      <c r="I622" s="5"/>
      <c r="J622" s="6"/>
      <c r="K622" s="5"/>
      <c r="L622" s="5"/>
      <c r="M622" s="5"/>
      <c r="N622" s="5"/>
      <c r="O622" s="5"/>
    </row>
    <row r="623" spans="1:15" x14ac:dyDescent="0.25">
      <c r="A623" s="3"/>
      <c r="B623" s="3"/>
      <c r="C623" s="3"/>
      <c r="D623" s="3"/>
      <c r="E623" s="3"/>
      <c r="F623" s="3"/>
      <c r="G623" s="4"/>
      <c r="H623" s="5"/>
      <c r="I623" s="5"/>
      <c r="J623" s="6"/>
      <c r="K623" s="5"/>
      <c r="L623" s="5"/>
      <c r="M623" s="5"/>
      <c r="N623" s="5"/>
      <c r="O623" s="5"/>
    </row>
    <row r="624" spans="1:15" x14ac:dyDescent="0.25">
      <c r="A624" s="3"/>
      <c r="B624" s="3"/>
      <c r="C624" s="3"/>
      <c r="D624" s="3"/>
      <c r="E624" s="3"/>
      <c r="F624" s="3"/>
      <c r="G624" s="4"/>
      <c r="H624" s="5"/>
      <c r="I624" s="5"/>
      <c r="J624" s="6"/>
      <c r="K624" s="5"/>
      <c r="L624" s="5"/>
      <c r="M624" s="5"/>
      <c r="N624" s="5"/>
      <c r="O624" s="5"/>
    </row>
    <row r="625" spans="1:15" x14ac:dyDescent="0.25">
      <c r="A625" s="3"/>
      <c r="B625" s="3"/>
      <c r="C625" s="3"/>
      <c r="D625" s="3"/>
      <c r="E625" s="3"/>
      <c r="F625" s="3"/>
      <c r="G625" s="4"/>
      <c r="H625" s="5"/>
      <c r="I625" s="5"/>
      <c r="J625" s="6"/>
      <c r="K625" s="5"/>
      <c r="L625" s="5"/>
      <c r="M625" s="5"/>
      <c r="N625" s="5"/>
      <c r="O625" s="5"/>
    </row>
    <row r="626" spans="1:15" x14ac:dyDescent="0.25">
      <c r="A626" s="3"/>
      <c r="B626" s="3"/>
      <c r="C626" s="3"/>
      <c r="D626" s="3"/>
      <c r="E626" s="3"/>
      <c r="F626" s="3"/>
      <c r="G626" s="4"/>
      <c r="H626" s="5"/>
      <c r="I626" s="5"/>
      <c r="J626" s="6"/>
      <c r="K626" s="5"/>
      <c r="L626" s="5"/>
      <c r="M626" s="5"/>
      <c r="N626" s="5"/>
      <c r="O626" s="5"/>
    </row>
    <row r="627" spans="1:15" x14ac:dyDescent="0.25">
      <c r="A627" s="3"/>
      <c r="B627" s="3"/>
      <c r="C627" s="3"/>
      <c r="D627" s="3"/>
      <c r="E627" s="3"/>
      <c r="F627" s="3"/>
      <c r="G627" s="4"/>
      <c r="H627" s="5"/>
      <c r="I627" s="5"/>
      <c r="J627" s="6"/>
      <c r="K627" s="5"/>
      <c r="L627" s="5"/>
      <c r="M627" s="5"/>
      <c r="N627" s="5"/>
      <c r="O627" s="5"/>
    </row>
    <row r="628" spans="1:15" x14ac:dyDescent="0.25">
      <c r="A628" s="3"/>
      <c r="B628" s="3"/>
      <c r="C628" s="3"/>
      <c r="D628" s="3"/>
      <c r="E628" s="3"/>
      <c r="F628" s="3"/>
      <c r="G628" s="4"/>
      <c r="H628" s="5"/>
      <c r="I628" s="5"/>
      <c r="J628" s="6"/>
      <c r="K628" s="5"/>
      <c r="L628" s="5"/>
      <c r="M628" s="5"/>
      <c r="N628" s="5"/>
      <c r="O628" s="5"/>
    </row>
    <row r="629" spans="1:15" x14ac:dyDescent="0.25">
      <c r="A629" s="3"/>
      <c r="B629" s="3"/>
      <c r="C629" s="3"/>
      <c r="D629" s="3"/>
      <c r="E629" s="3"/>
      <c r="F629" s="3"/>
      <c r="G629" s="4"/>
      <c r="H629" s="5"/>
      <c r="I629" s="5"/>
      <c r="J629" s="6"/>
      <c r="K629" s="5"/>
      <c r="L629" s="5"/>
      <c r="M629" s="5"/>
      <c r="N629" s="5"/>
      <c r="O629" s="5"/>
    </row>
    <row r="630" spans="1:15" x14ac:dyDescent="0.25">
      <c r="A630" s="3"/>
      <c r="B630" s="3"/>
      <c r="C630" s="3"/>
      <c r="D630" s="3"/>
      <c r="E630" s="3"/>
      <c r="F630" s="3"/>
      <c r="G630" s="4"/>
      <c r="H630" s="5"/>
      <c r="I630" s="5"/>
      <c r="J630" s="6"/>
      <c r="K630" s="5"/>
      <c r="L630" s="5"/>
      <c r="M630" s="5"/>
      <c r="N630" s="5"/>
      <c r="O630" s="5"/>
    </row>
    <row r="631" spans="1:15" x14ac:dyDescent="0.25">
      <c r="A631" s="3"/>
      <c r="B631" s="3"/>
      <c r="C631" s="3"/>
      <c r="D631" s="3"/>
      <c r="E631" s="3"/>
      <c r="F631" s="3"/>
      <c r="G631" s="4"/>
      <c r="H631" s="5"/>
      <c r="I631" s="5"/>
      <c r="J631" s="6"/>
      <c r="K631" s="5"/>
      <c r="L631" s="5"/>
      <c r="M631" s="5"/>
      <c r="N631" s="5"/>
      <c r="O631" s="5"/>
    </row>
    <row r="632" spans="1:15" x14ac:dyDescent="0.25">
      <c r="A632" s="3"/>
      <c r="B632" s="3"/>
      <c r="C632" s="3"/>
      <c r="D632" s="3"/>
      <c r="E632" s="3"/>
      <c r="F632" s="3"/>
      <c r="G632" s="4"/>
      <c r="H632" s="5"/>
      <c r="I632" s="5"/>
      <c r="J632" s="6"/>
      <c r="K632" s="5"/>
      <c r="L632" s="5"/>
      <c r="M632" s="5"/>
      <c r="N632" s="5"/>
      <c r="O632" s="5"/>
    </row>
    <row r="633" spans="1:15" x14ac:dyDescent="0.25">
      <c r="A633" s="3"/>
      <c r="B633" s="3"/>
      <c r="C633" s="3"/>
      <c r="D633" s="3"/>
      <c r="E633" s="3"/>
      <c r="F633" s="3"/>
      <c r="G633" s="4"/>
      <c r="H633" s="5"/>
      <c r="I633" s="5"/>
      <c r="J633" s="6"/>
      <c r="K633" s="5"/>
      <c r="L633" s="5"/>
      <c r="M633" s="5"/>
      <c r="N633" s="5"/>
      <c r="O633" s="5"/>
    </row>
    <row r="634" spans="1:15" x14ac:dyDescent="0.25">
      <c r="A634" s="3"/>
      <c r="B634" s="3"/>
      <c r="C634" s="3"/>
      <c r="D634" s="3"/>
      <c r="E634" s="3"/>
      <c r="F634" s="3"/>
      <c r="G634" s="4"/>
      <c r="H634" s="5"/>
      <c r="I634" s="5"/>
      <c r="J634" s="6"/>
      <c r="K634" s="5"/>
      <c r="L634" s="5"/>
      <c r="M634" s="5"/>
      <c r="N634" s="5"/>
      <c r="O634" s="5"/>
    </row>
    <row r="635" spans="1:15" x14ac:dyDescent="0.25">
      <c r="A635" s="3"/>
      <c r="B635" s="3"/>
      <c r="C635" s="3"/>
      <c r="D635" s="3"/>
      <c r="E635" s="3"/>
      <c r="F635" s="3"/>
      <c r="G635" s="4"/>
      <c r="H635" s="5"/>
      <c r="I635" s="5"/>
      <c r="J635" s="6"/>
      <c r="K635" s="5"/>
      <c r="L635" s="5"/>
      <c r="M635" s="5"/>
      <c r="N635" s="5"/>
      <c r="O635" s="5"/>
    </row>
    <row r="636" spans="1:15" x14ac:dyDescent="0.25">
      <c r="A636" s="3"/>
      <c r="B636" s="3"/>
      <c r="C636" s="3"/>
      <c r="D636" s="3"/>
      <c r="E636" s="3"/>
      <c r="F636" s="3"/>
      <c r="G636" s="4"/>
      <c r="H636" s="5"/>
      <c r="I636" s="5"/>
      <c r="J636" s="6"/>
      <c r="K636" s="5"/>
      <c r="L636" s="5"/>
      <c r="M636" s="5"/>
      <c r="N636" s="5"/>
      <c r="O636" s="5"/>
    </row>
    <row r="637" spans="1:15" x14ac:dyDescent="0.25">
      <c r="A637" s="3"/>
      <c r="B637" s="3"/>
      <c r="C637" s="3"/>
      <c r="D637" s="3"/>
      <c r="E637" s="3"/>
      <c r="F637" s="3"/>
      <c r="G637" s="4"/>
      <c r="H637" s="5"/>
      <c r="I637" s="5"/>
      <c r="J637" s="6"/>
      <c r="K637" s="5"/>
      <c r="L637" s="5"/>
      <c r="M637" s="5"/>
      <c r="N637" s="5"/>
      <c r="O637" s="5"/>
    </row>
    <row r="638" spans="1:15" x14ac:dyDescent="0.25">
      <c r="A638" s="3"/>
      <c r="B638" s="3"/>
      <c r="C638" s="3"/>
      <c r="D638" s="3"/>
      <c r="E638" s="3"/>
      <c r="F638" s="3"/>
      <c r="G638" s="4"/>
      <c r="H638" s="5"/>
      <c r="I638" s="5"/>
      <c r="J638" s="6"/>
      <c r="K638" s="5"/>
      <c r="L638" s="5"/>
      <c r="M638" s="5"/>
      <c r="N638" s="5"/>
      <c r="O638" s="5"/>
    </row>
    <row r="639" spans="1:15" x14ac:dyDescent="0.25">
      <c r="A639" s="3"/>
      <c r="B639" s="3"/>
      <c r="C639" s="3"/>
      <c r="D639" s="3"/>
      <c r="E639" s="3"/>
      <c r="F639" s="3"/>
      <c r="G639" s="4"/>
      <c r="H639" s="5"/>
      <c r="I639" s="5"/>
      <c r="J639" s="6"/>
      <c r="K639" s="5"/>
      <c r="L639" s="5"/>
      <c r="M639" s="5"/>
      <c r="N639" s="5"/>
      <c r="O639" s="5"/>
    </row>
    <row r="640" spans="1:15" x14ac:dyDescent="0.25">
      <c r="A640" s="3"/>
      <c r="B640" s="3"/>
      <c r="C640" s="3"/>
      <c r="D640" s="3"/>
      <c r="E640" s="3"/>
      <c r="F640" s="3"/>
      <c r="G640" s="4"/>
      <c r="H640" s="5"/>
      <c r="I640" s="5"/>
      <c r="J640" s="6"/>
      <c r="K640" s="5"/>
      <c r="L640" s="5"/>
      <c r="M640" s="5"/>
      <c r="N640" s="5"/>
      <c r="O640" s="5"/>
    </row>
    <row r="641" spans="1:15" x14ac:dyDescent="0.25">
      <c r="A641" s="3"/>
      <c r="B641" s="3"/>
      <c r="C641" s="3"/>
      <c r="D641" s="3"/>
      <c r="E641" s="3"/>
      <c r="F641" s="3"/>
      <c r="G641" s="4"/>
      <c r="H641" s="5"/>
      <c r="I641" s="5"/>
      <c r="J641" s="6"/>
      <c r="K641" s="5"/>
      <c r="L641" s="5"/>
      <c r="M641" s="5"/>
      <c r="N641" s="5"/>
      <c r="O641" s="5"/>
    </row>
    <row r="642" spans="1:15" x14ac:dyDescent="0.25">
      <c r="A642" s="3"/>
      <c r="B642" s="3"/>
      <c r="C642" s="3"/>
      <c r="D642" s="3"/>
      <c r="E642" s="3"/>
      <c r="F642" s="3"/>
      <c r="G642" s="4"/>
      <c r="H642" s="5"/>
      <c r="I642" s="5"/>
      <c r="J642" s="6"/>
      <c r="K642" s="5"/>
      <c r="L642" s="5"/>
      <c r="M642" s="5"/>
      <c r="N642" s="5"/>
      <c r="O642" s="5"/>
    </row>
    <row r="643" spans="1:15" x14ac:dyDescent="0.25">
      <c r="A643" s="3"/>
      <c r="B643" s="3"/>
      <c r="C643" s="3"/>
      <c r="D643" s="3"/>
      <c r="E643" s="3"/>
      <c r="F643" s="3"/>
      <c r="G643" s="4"/>
      <c r="H643" s="5"/>
      <c r="I643" s="5"/>
      <c r="J643" s="6"/>
      <c r="K643" s="5"/>
      <c r="L643" s="5"/>
      <c r="M643" s="5"/>
      <c r="N643" s="5"/>
      <c r="O643" s="5"/>
    </row>
    <row r="644" spans="1:15" x14ac:dyDescent="0.25">
      <c r="A644" s="3"/>
      <c r="B644" s="3"/>
      <c r="C644" s="3"/>
      <c r="D644" s="3"/>
      <c r="E644" s="3"/>
      <c r="F644" s="3"/>
      <c r="G644" s="4"/>
      <c r="H644" s="5"/>
      <c r="I644" s="5"/>
      <c r="J644" s="6"/>
      <c r="K644" s="5"/>
      <c r="L644" s="5"/>
      <c r="M644" s="5"/>
      <c r="N644" s="5"/>
      <c r="O644" s="5"/>
    </row>
    <row r="645" spans="1:15" x14ac:dyDescent="0.25">
      <c r="A645" s="3"/>
      <c r="B645" s="3"/>
      <c r="C645" s="3"/>
      <c r="D645" s="3"/>
      <c r="E645" s="3"/>
      <c r="F645" s="3"/>
      <c r="G645" s="4"/>
      <c r="H645" s="5"/>
      <c r="I645" s="5"/>
      <c r="J645" s="6"/>
      <c r="K645" s="5"/>
      <c r="L645" s="5"/>
      <c r="M645" s="5"/>
      <c r="N645" s="5"/>
      <c r="O645" s="5"/>
    </row>
    <row r="646" spans="1:15" x14ac:dyDescent="0.25">
      <c r="A646" s="3"/>
      <c r="B646" s="3"/>
      <c r="C646" s="3"/>
      <c r="D646" s="3"/>
      <c r="E646" s="3"/>
      <c r="F646" s="3"/>
      <c r="G646" s="4"/>
      <c r="H646" s="5"/>
      <c r="I646" s="5"/>
      <c r="J646" s="6"/>
      <c r="K646" s="5"/>
      <c r="L646" s="5"/>
      <c r="M646" s="5"/>
      <c r="N646" s="5"/>
      <c r="O646" s="5"/>
    </row>
    <row r="647" spans="1:15" x14ac:dyDescent="0.25">
      <c r="A647" s="3"/>
      <c r="B647" s="3"/>
      <c r="C647" s="3"/>
      <c r="D647" s="3"/>
      <c r="E647" s="3"/>
      <c r="F647" s="3"/>
      <c r="G647" s="4"/>
      <c r="H647" s="5"/>
      <c r="I647" s="5"/>
      <c r="J647" s="6"/>
      <c r="K647" s="5"/>
      <c r="L647" s="5"/>
      <c r="M647" s="5"/>
      <c r="N647" s="5"/>
      <c r="O647" s="5"/>
    </row>
    <row r="648" spans="1:15" x14ac:dyDescent="0.25">
      <c r="A648" s="3"/>
      <c r="B648" s="3"/>
      <c r="C648" s="3"/>
      <c r="D648" s="3"/>
      <c r="E648" s="3"/>
      <c r="F648" s="3"/>
      <c r="G648" s="4"/>
      <c r="H648" s="5"/>
      <c r="I648" s="5"/>
      <c r="J648" s="6"/>
      <c r="K648" s="5"/>
      <c r="L648" s="5"/>
      <c r="M648" s="5"/>
      <c r="N648" s="5"/>
      <c r="O648" s="5"/>
    </row>
    <row r="649" spans="1:15" x14ac:dyDescent="0.25">
      <c r="A649" s="3"/>
      <c r="B649" s="3"/>
      <c r="C649" s="3"/>
      <c r="D649" s="3"/>
      <c r="E649" s="3"/>
      <c r="F649" s="3"/>
      <c r="G649" s="4"/>
      <c r="H649" s="5"/>
      <c r="I649" s="5"/>
      <c r="J649" s="6"/>
      <c r="K649" s="5"/>
      <c r="L649" s="5"/>
      <c r="M649" s="5"/>
      <c r="N649" s="5"/>
      <c r="O649" s="5"/>
    </row>
    <row r="650" spans="1:15" x14ac:dyDescent="0.25">
      <c r="A650" s="3"/>
      <c r="B650" s="3"/>
      <c r="C650" s="3"/>
      <c r="D650" s="3"/>
      <c r="E650" s="3"/>
      <c r="F650" s="3"/>
      <c r="G650" s="4"/>
      <c r="H650" s="5"/>
      <c r="I650" s="5"/>
      <c r="J650" s="6"/>
      <c r="K650" s="5"/>
      <c r="L650" s="5"/>
      <c r="M650" s="5"/>
      <c r="N650" s="5"/>
      <c r="O650" s="5"/>
    </row>
    <row r="651" spans="1:15" x14ac:dyDescent="0.25">
      <c r="A651" s="3"/>
      <c r="B651" s="3"/>
      <c r="C651" s="3"/>
      <c r="D651" s="3"/>
      <c r="E651" s="3"/>
      <c r="F651" s="3"/>
      <c r="G651" s="4"/>
      <c r="H651" s="5"/>
      <c r="I651" s="5"/>
      <c r="J651" s="6"/>
      <c r="K651" s="5"/>
      <c r="L651" s="5"/>
      <c r="M651" s="5"/>
      <c r="N651" s="5"/>
      <c r="O651" s="5"/>
    </row>
    <row r="652" spans="1:15" x14ac:dyDescent="0.25">
      <c r="A652" s="3"/>
      <c r="B652" s="3"/>
      <c r="C652" s="3"/>
      <c r="D652" s="3"/>
      <c r="E652" s="3"/>
      <c r="F652" s="3"/>
      <c r="G652" s="4"/>
      <c r="H652" s="5"/>
      <c r="I652" s="5"/>
      <c r="J652" s="6"/>
      <c r="K652" s="5"/>
      <c r="L652" s="5"/>
      <c r="M652" s="5"/>
      <c r="N652" s="5"/>
      <c r="O652" s="5"/>
    </row>
    <row r="653" spans="1:15" x14ac:dyDescent="0.25">
      <c r="A653" s="3"/>
      <c r="B653" s="3"/>
      <c r="C653" s="3"/>
      <c r="D653" s="3"/>
      <c r="E653" s="3"/>
      <c r="F653" s="3"/>
      <c r="G653" s="4"/>
      <c r="H653" s="5"/>
      <c r="I653" s="5"/>
      <c r="J653" s="6"/>
      <c r="K653" s="5"/>
      <c r="L653" s="5"/>
      <c r="M653" s="5"/>
      <c r="N653" s="5"/>
      <c r="O653" s="5"/>
    </row>
    <row r="654" spans="1:15" x14ac:dyDescent="0.25">
      <c r="A654" s="3"/>
      <c r="B654" s="3"/>
      <c r="C654" s="3"/>
      <c r="D654" s="3"/>
      <c r="E654" s="3"/>
      <c r="F654" s="3"/>
      <c r="G654" s="4"/>
      <c r="H654" s="5"/>
      <c r="I654" s="5"/>
      <c r="J654" s="6"/>
      <c r="K654" s="5"/>
      <c r="L654" s="5"/>
      <c r="M654" s="5"/>
      <c r="N654" s="5"/>
      <c r="O654" s="5"/>
    </row>
    <row r="655" spans="1:15" x14ac:dyDescent="0.25">
      <c r="A655" s="3"/>
      <c r="B655" s="3"/>
      <c r="C655" s="3"/>
      <c r="D655" s="3"/>
      <c r="E655" s="3"/>
      <c r="F655" s="3"/>
      <c r="G655" s="4"/>
      <c r="H655" s="5"/>
      <c r="I655" s="5"/>
      <c r="J655" s="6"/>
      <c r="K655" s="5"/>
      <c r="L655" s="5"/>
      <c r="M655" s="5"/>
      <c r="N655" s="5"/>
      <c r="O655" s="5"/>
    </row>
    <row r="656" spans="1:15" x14ac:dyDescent="0.25">
      <c r="A656" s="3"/>
      <c r="B656" s="3"/>
      <c r="C656" s="3"/>
      <c r="D656" s="3"/>
      <c r="E656" s="3"/>
      <c r="F656" s="3"/>
      <c r="G656" s="4"/>
      <c r="H656" s="5"/>
      <c r="I656" s="5"/>
      <c r="J656" s="6"/>
      <c r="K656" s="5"/>
      <c r="L656" s="5"/>
      <c r="M656" s="5"/>
      <c r="N656" s="5"/>
      <c r="O656" s="5"/>
    </row>
    <row r="657" spans="1:15" x14ac:dyDescent="0.25">
      <c r="A657" s="3"/>
      <c r="B657" s="3"/>
      <c r="C657" s="3"/>
      <c r="D657" s="3"/>
      <c r="E657" s="3"/>
      <c r="F657" s="3"/>
      <c r="G657" s="4"/>
      <c r="H657" s="5"/>
      <c r="I657" s="5"/>
      <c r="J657" s="6"/>
      <c r="K657" s="5"/>
      <c r="L657" s="5"/>
      <c r="M657" s="5"/>
      <c r="N657" s="5"/>
      <c r="O657" s="5"/>
    </row>
    <row r="658" spans="1:15" x14ac:dyDescent="0.25">
      <c r="A658" s="3"/>
      <c r="B658" s="3"/>
      <c r="C658" s="3"/>
      <c r="D658" s="3"/>
      <c r="E658" s="3"/>
      <c r="F658" s="3"/>
      <c r="G658" s="4"/>
      <c r="H658" s="5"/>
      <c r="I658" s="5"/>
      <c r="J658" s="6"/>
      <c r="K658" s="5"/>
      <c r="L658" s="5"/>
      <c r="M658" s="5"/>
      <c r="N658" s="5"/>
      <c r="O658" s="5"/>
    </row>
    <row r="659" spans="1:15" x14ac:dyDescent="0.25">
      <c r="A659" s="3"/>
      <c r="B659" s="3"/>
      <c r="C659" s="3"/>
      <c r="D659" s="3"/>
      <c r="E659" s="3"/>
      <c r="F659" s="3"/>
      <c r="G659" s="4"/>
      <c r="H659" s="5"/>
      <c r="I659" s="5"/>
      <c r="J659" s="6"/>
      <c r="K659" s="5"/>
      <c r="L659" s="5"/>
      <c r="M659" s="5"/>
      <c r="N659" s="5"/>
      <c r="O659" s="5"/>
    </row>
    <row r="660" spans="1:15" x14ac:dyDescent="0.25">
      <c r="A660" s="3"/>
      <c r="B660" s="3"/>
      <c r="C660" s="3"/>
      <c r="D660" s="3"/>
      <c r="E660" s="3"/>
      <c r="F660" s="3"/>
      <c r="G660" s="4"/>
      <c r="H660" s="5"/>
      <c r="I660" s="5"/>
      <c r="J660" s="6"/>
      <c r="K660" s="5"/>
      <c r="L660" s="5"/>
      <c r="M660" s="5"/>
      <c r="N660" s="5"/>
      <c r="O660" s="5"/>
    </row>
    <row r="661" spans="1:15" x14ac:dyDescent="0.25">
      <c r="A661" s="3"/>
      <c r="B661" s="3"/>
      <c r="C661" s="3"/>
      <c r="D661" s="3"/>
      <c r="E661" s="3"/>
      <c r="F661" s="3"/>
      <c r="G661" s="4"/>
      <c r="H661" s="5"/>
      <c r="I661" s="5"/>
      <c r="J661" s="6"/>
      <c r="K661" s="5"/>
      <c r="L661" s="5"/>
      <c r="M661" s="5"/>
      <c r="N661" s="5"/>
      <c r="O661" s="5"/>
    </row>
    <row r="662" spans="1:15" x14ac:dyDescent="0.25">
      <c r="A662" s="3"/>
      <c r="B662" s="3"/>
      <c r="C662" s="3"/>
      <c r="D662" s="3"/>
      <c r="E662" s="3"/>
      <c r="F662" s="3"/>
      <c r="G662" s="4"/>
      <c r="H662" s="5"/>
      <c r="I662" s="5"/>
      <c r="J662" s="6"/>
      <c r="K662" s="5"/>
      <c r="L662" s="5"/>
      <c r="M662" s="5"/>
      <c r="N662" s="5"/>
      <c r="O662" s="5"/>
    </row>
    <row r="663" spans="1:15" x14ac:dyDescent="0.25">
      <c r="A663" s="3"/>
      <c r="B663" s="3"/>
      <c r="C663" s="3"/>
      <c r="D663" s="3"/>
      <c r="E663" s="3"/>
      <c r="F663" s="3"/>
      <c r="G663" s="4"/>
      <c r="H663" s="5"/>
      <c r="I663" s="5"/>
      <c r="J663" s="6"/>
      <c r="K663" s="5"/>
      <c r="L663" s="5"/>
      <c r="M663" s="5"/>
      <c r="N663" s="5"/>
      <c r="O663" s="5"/>
    </row>
    <row r="664" spans="1:15" x14ac:dyDescent="0.25">
      <c r="A664" s="3"/>
      <c r="B664" s="3"/>
      <c r="C664" s="3"/>
      <c r="D664" s="3"/>
      <c r="E664" s="3"/>
      <c r="F664" s="3"/>
      <c r="G664" s="4"/>
      <c r="H664" s="5"/>
      <c r="I664" s="5"/>
      <c r="J664" s="6"/>
      <c r="K664" s="5"/>
      <c r="L664" s="5"/>
      <c r="M664" s="5"/>
      <c r="N664" s="5"/>
      <c r="O664" s="5"/>
    </row>
    <row r="665" spans="1:15" x14ac:dyDescent="0.25">
      <c r="A665" s="3"/>
      <c r="B665" s="3"/>
      <c r="C665" s="3"/>
      <c r="D665" s="3"/>
      <c r="E665" s="3"/>
      <c r="F665" s="3"/>
      <c r="G665" s="4"/>
      <c r="H665" s="5"/>
      <c r="I665" s="5"/>
      <c r="J665" s="6"/>
      <c r="K665" s="5"/>
      <c r="L665" s="5"/>
      <c r="M665" s="5"/>
      <c r="N665" s="5"/>
      <c r="O665" s="5"/>
    </row>
    <row r="666" spans="1:15" x14ac:dyDescent="0.25">
      <c r="A666" s="3"/>
      <c r="B666" s="3"/>
      <c r="C666" s="3"/>
      <c r="D666" s="3"/>
      <c r="E666" s="3"/>
      <c r="F666" s="3"/>
      <c r="G666" s="4"/>
      <c r="H666" s="5"/>
      <c r="I666" s="5"/>
      <c r="J666" s="6"/>
      <c r="K666" s="5"/>
      <c r="L666" s="5"/>
      <c r="M666" s="5"/>
      <c r="N666" s="5"/>
      <c r="O666" s="5"/>
    </row>
    <row r="667" spans="1:15" x14ac:dyDescent="0.25">
      <c r="A667" s="3"/>
      <c r="B667" s="3"/>
      <c r="C667" s="3"/>
      <c r="D667" s="3"/>
      <c r="E667" s="3"/>
      <c r="F667" s="3"/>
      <c r="G667" s="4"/>
      <c r="H667" s="5"/>
      <c r="I667" s="5"/>
      <c r="J667" s="6"/>
      <c r="K667" s="5"/>
      <c r="L667" s="5"/>
      <c r="M667" s="5"/>
      <c r="N667" s="5"/>
      <c r="O667" s="5"/>
    </row>
    <row r="668" spans="1:15" x14ac:dyDescent="0.25">
      <c r="A668" s="3"/>
      <c r="B668" s="3"/>
      <c r="C668" s="3"/>
      <c r="D668" s="3"/>
      <c r="E668" s="3"/>
      <c r="F668" s="3"/>
      <c r="G668" s="4"/>
      <c r="H668" s="5"/>
      <c r="I668" s="5"/>
      <c r="J668" s="6"/>
      <c r="K668" s="5"/>
      <c r="L668" s="5"/>
      <c r="M668" s="5"/>
      <c r="N668" s="5"/>
      <c r="O668" s="5"/>
    </row>
    <row r="669" spans="1:15" x14ac:dyDescent="0.25">
      <c r="A669" s="3"/>
      <c r="B669" s="3"/>
      <c r="C669" s="3"/>
      <c r="D669" s="3"/>
      <c r="E669" s="3"/>
      <c r="F669" s="3"/>
      <c r="G669" s="4"/>
      <c r="H669" s="5"/>
      <c r="I669" s="5"/>
      <c r="J669" s="6"/>
      <c r="K669" s="5"/>
      <c r="L669" s="5"/>
      <c r="M669" s="5"/>
      <c r="N669" s="5"/>
      <c r="O669" s="5"/>
    </row>
    <row r="670" spans="1:15" x14ac:dyDescent="0.25">
      <c r="A670" s="3"/>
      <c r="B670" s="3"/>
      <c r="C670" s="3"/>
      <c r="D670" s="3"/>
      <c r="E670" s="3"/>
      <c r="F670" s="3"/>
      <c r="G670" s="4"/>
      <c r="H670" s="5"/>
      <c r="I670" s="5"/>
      <c r="J670" s="6"/>
      <c r="K670" s="5"/>
      <c r="L670" s="5"/>
      <c r="M670" s="5"/>
      <c r="N670" s="5"/>
      <c r="O670" s="5"/>
    </row>
    <row r="671" spans="1:15" x14ac:dyDescent="0.25">
      <c r="A671" s="3"/>
      <c r="B671" s="3"/>
      <c r="C671" s="3"/>
      <c r="D671" s="3"/>
      <c r="E671" s="3"/>
      <c r="F671" s="3"/>
      <c r="G671" s="4"/>
      <c r="H671" s="5"/>
      <c r="I671" s="5"/>
      <c r="J671" s="6"/>
      <c r="K671" s="5"/>
      <c r="L671" s="5"/>
      <c r="M671" s="5"/>
      <c r="N671" s="5"/>
      <c r="O671" s="5"/>
    </row>
    <row r="672" spans="1:15" x14ac:dyDescent="0.25">
      <c r="A672" s="3"/>
      <c r="B672" s="3"/>
      <c r="C672" s="3"/>
      <c r="D672" s="3"/>
      <c r="E672" s="3"/>
      <c r="F672" s="3"/>
      <c r="G672" s="4"/>
      <c r="H672" s="5"/>
      <c r="I672" s="5"/>
      <c r="J672" s="6"/>
      <c r="K672" s="5"/>
      <c r="L672" s="5"/>
      <c r="M672" s="5"/>
      <c r="N672" s="5"/>
      <c r="O672" s="5"/>
    </row>
    <row r="673" spans="1:15" x14ac:dyDescent="0.25">
      <c r="A673" s="3"/>
      <c r="B673" s="3"/>
      <c r="C673" s="3"/>
      <c r="D673" s="3"/>
      <c r="E673" s="3"/>
      <c r="F673" s="3"/>
      <c r="G673" s="4"/>
      <c r="H673" s="5"/>
      <c r="I673" s="5"/>
      <c r="J673" s="6"/>
      <c r="K673" s="5"/>
      <c r="L673" s="5"/>
      <c r="M673" s="5"/>
      <c r="N673" s="5"/>
      <c r="O673" s="5"/>
    </row>
    <row r="674" spans="1:15" x14ac:dyDescent="0.25">
      <c r="A674" s="3"/>
      <c r="B674" s="3"/>
      <c r="C674" s="3"/>
      <c r="D674" s="3"/>
      <c r="E674" s="3"/>
      <c r="F674" s="3"/>
      <c r="G674" s="4"/>
      <c r="H674" s="5"/>
      <c r="I674" s="5"/>
      <c r="J674" s="6"/>
      <c r="K674" s="5"/>
      <c r="L674" s="5"/>
      <c r="M674" s="5"/>
      <c r="N674" s="5"/>
      <c r="O674" s="5"/>
    </row>
    <row r="675" spans="1:15" x14ac:dyDescent="0.25">
      <c r="A675" s="3"/>
      <c r="B675" s="3"/>
      <c r="C675" s="3"/>
      <c r="D675" s="3"/>
      <c r="E675" s="3"/>
      <c r="F675" s="3"/>
      <c r="G675" s="4"/>
      <c r="H675" s="5"/>
      <c r="I675" s="5"/>
      <c r="J675" s="6"/>
      <c r="K675" s="5"/>
      <c r="L675" s="5"/>
      <c r="M675" s="5"/>
      <c r="N675" s="5"/>
      <c r="O675" s="5"/>
    </row>
    <row r="676" spans="1:15" x14ac:dyDescent="0.25">
      <c r="A676" s="3"/>
      <c r="B676" s="3"/>
      <c r="C676" s="3"/>
      <c r="D676" s="3"/>
      <c r="E676" s="3"/>
      <c r="F676" s="3"/>
      <c r="G676" s="4"/>
      <c r="H676" s="5"/>
      <c r="I676" s="5"/>
      <c r="J676" s="6"/>
      <c r="K676" s="5"/>
      <c r="L676" s="5"/>
      <c r="M676" s="5"/>
      <c r="N676" s="5"/>
      <c r="O676" s="5"/>
    </row>
    <row r="677" spans="1:15" x14ac:dyDescent="0.25">
      <c r="A677" s="3"/>
      <c r="B677" s="3"/>
      <c r="C677" s="3"/>
      <c r="D677" s="3"/>
      <c r="E677" s="3"/>
      <c r="F677" s="3"/>
      <c r="G677" s="4"/>
      <c r="H677" s="5"/>
      <c r="I677" s="5"/>
      <c r="J677" s="6"/>
      <c r="K677" s="5"/>
      <c r="L677" s="5"/>
      <c r="M677" s="5"/>
      <c r="N677" s="5"/>
      <c r="O677" s="5"/>
    </row>
    <row r="678" spans="1:15" x14ac:dyDescent="0.25">
      <c r="A678" s="3"/>
      <c r="B678" s="3"/>
      <c r="C678" s="3"/>
      <c r="D678" s="3"/>
      <c r="E678" s="3"/>
      <c r="F678" s="3"/>
      <c r="G678" s="4"/>
      <c r="H678" s="5"/>
      <c r="I678" s="5"/>
      <c r="J678" s="6"/>
      <c r="K678" s="5"/>
      <c r="L678" s="5"/>
      <c r="M678" s="5"/>
      <c r="N678" s="5"/>
      <c r="O678" s="5"/>
    </row>
    <row r="679" spans="1:15" x14ac:dyDescent="0.25">
      <c r="A679" s="3"/>
      <c r="B679" s="3"/>
      <c r="C679" s="3"/>
      <c r="D679" s="3"/>
      <c r="E679" s="3"/>
      <c r="F679" s="3"/>
      <c r="G679" s="4"/>
      <c r="H679" s="5"/>
      <c r="I679" s="5"/>
      <c r="J679" s="6"/>
      <c r="K679" s="5"/>
      <c r="L679" s="5"/>
      <c r="M679" s="5"/>
      <c r="N679" s="5"/>
      <c r="O679" s="5"/>
    </row>
    <row r="680" spans="1:15" x14ac:dyDescent="0.25">
      <c r="A680" s="3"/>
      <c r="B680" s="3"/>
      <c r="C680" s="3"/>
      <c r="D680" s="3"/>
      <c r="E680" s="3"/>
      <c r="F680" s="3"/>
      <c r="G680" s="4"/>
      <c r="H680" s="5"/>
      <c r="I680" s="5"/>
      <c r="J680" s="6"/>
      <c r="K680" s="5"/>
      <c r="L680" s="5"/>
      <c r="M680" s="5"/>
      <c r="N680" s="5"/>
      <c r="O680" s="5"/>
    </row>
    <row r="681" spans="1:15" x14ac:dyDescent="0.25">
      <c r="A681" s="3"/>
      <c r="B681" s="3"/>
      <c r="C681" s="3"/>
      <c r="D681" s="3"/>
      <c r="E681" s="3"/>
      <c r="F681" s="3"/>
      <c r="G681" s="4"/>
      <c r="H681" s="5"/>
      <c r="I681" s="5"/>
      <c r="J681" s="6"/>
      <c r="K681" s="5"/>
      <c r="L681" s="5"/>
      <c r="M681" s="5"/>
      <c r="N681" s="5"/>
      <c r="O681" s="5"/>
    </row>
    <row r="682" spans="1:15" x14ac:dyDescent="0.25">
      <c r="A682" s="3"/>
      <c r="B682" s="3"/>
      <c r="C682" s="3"/>
      <c r="D682" s="3"/>
      <c r="E682" s="3"/>
      <c r="F682" s="3"/>
      <c r="G682" s="4"/>
      <c r="H682" s="5"/>
      <c r="I682" s="5"/>
      <c r="J682" s="6"/>
      <c r="K682" s="5"/>
      <c r="L682" s="5"/>
      <c r="M682" s="5"/>
      <c r="N682" s="5"/>
      <c r="O682" s="5"/>
    </row>
    <row r="683" spans="1:15" x14ac:dyDescent="0.25">
      <c r="A683" s="3"/>
      <c r="B683" s="3"/>
      <c r="C683" s="3"/>
      <c r="D683" s="3"/>
      <c r="E683" s="3"/>
      <c r="F683" s="3"/>
      <c r="G683" s="4"/>
      <c r="H683" s="5"/>
      <c r="I683" s="5"/>
      <c r="J683" s="6"/>
      <c r="K683" s="5"/>
      <c r="L683" s="5"/>
      <c r="M683" s="5"/>
      <c r="N683" s="5"/>
      <c r="O683" s="5"/>
    </row>
    <row r="684" spans="1:15" x14ac:dyDescent="0.25">
      <c r="A684" s="3"/>
      <c r="B684" s="3"/>
      <c r="C684" s="3"/>
      <c r="D684" s="3"/>
      <c r="E684" s="3"/>
      <c r="F684" s="3"/>
      <c r="G684" s="4"/>
      <c r="H684" s="5"/>
      <c r="I684" s="5"/>
      <c r="J684" s="6"/>
      <c r="K684" s="5"/>
      <c r="L684" s="5"/>
      <c r="M684" s="5"/>
      <c r="N684" s="5"/>
      <c r="O684" s="5"/>
    </row>
    <row r="685" spans="1:15" x14ac:dyDescent="0.25">
      <c r="A685" s="3"/>
      <c r="B685" s="3"/>
      <c r="C685" s="3"/>
      <c r="D685" s="3"/>
      <c r="E685" s="3"/>
      <c r="F685" s="3"/>
      <c r="G685" s="4"/>
      <c r="H685" s="5"/>
      <c r="I685" s="5"/>
      <c r="J685" s="6"/>
      <c r="K685" s="5"/>
      <c r="L685" s="5"/>
      <c r="M685" s="5"/>
      <c r="N685" s="5"/>
      <c r="O685" s="5"/>
    </row>
    <row r="686" spans="1:15" x14ac:dyDescent="0.25">
      <c r="A686" s="3"/>
      <c r="B686" s="3"/>
      <c r="C686" s="3"/>
      <c r="D686" s="3"/>
      <c r="E686" s="3"/>
      <c r="F686" s="3"/>
      <c r="G686" s="4"/>
      <c r="H686" s="5"/>
      <c r="I686" s="5"/>
      <c r="J686" s="6"/>
      <c r="K686" s="5"/>
      <c r="L686" s="5"/>
      <c r="M686" s="5"/>
      <c r="N686" s="5"/>
      <c r="O686" s="5"/>
    </row>
    <row r="687" spans="1:15" x14ac:dyDescent="0.25">
      <c r="A687" s="3"/>
      <c r="B687" s="3"/>
      <c r="C687" s="3"/>
      <c r="D687" s="3"/>
      <c r="E687" s="3"/>
      <c r="F687" s="3"/>
      <c r="G687" s="4"/>
      <c r="H687" s="5"/>
      <c r="I687" s="5"/>
      <c r="J687" s="6"/>
      <c r="K687" s="5"/>
      <c r="L687" s="5"/>
      <c r="M687" s="5"/>
      <c r="N687" s="5"/>
      <c r="O687" s="5"/>
    </row>
    <row r="688" spans="1:15" x14ac:dyDescent="0.25">
      <c r="A688" s="3"/>
      <c r="B688" s="3"/>
      <c r="C688" s="3"/>
      <c r="D688" s="3"/>
      <c r="E688" s="3"/>
      <c r="F688" s="3"/>
      <c r="G688" s="4"/>
      <c r="H688" s="5"/>
      <c r="I688" s="5"/>
      <c r="J688" s="6"/>
      <c r="K688" s="5"/>
      <c r="L688" s="5"/>
      <c r="M688" s="5"/>
      <c r="N688" s="5"/>
      <c r="O688" s="5"/>
    </row>
    <row r="689" spans="1:15" x14ac:dyDescent="0.25">
      <c r="A689" s="3"/>
      <c r="B689" s="3"/>
      <c r="C689" s="3"/>
      <c r="D689" s="3"/>
      <c r="E689" s="3"/>
      <c r="F689" s="3"/>
      <c r="G689" s="4"/>
      <c r="H689" s="5"/>
      <c r="I689" s="5"/>
      <c r="J689" s="6"/>
      <c r="K689" s="5"/>
      <c r="L689" s="5"/>
      <c r="M689" s="5"/>
      <c r="N689" s="5"/>
      <c r="O689" s="5"/>
    </row>
    <row r="690" spans="1:15" x14ac:dyDescent="0.25">
      <c r="A690" s="3"/>
      <c r="B690" s="3"/>
      <c r="C690" s="3"/>
      <c r="D690" s="3"/>
      <c r="E690" s="3"/>
      <c r="F690" s="3"/>
      <c r="G690" s="4"/>
      <c r="H690" s="5"/>
      <c r="I690" s="5"/>
      <c r="J690" s="6"/>
      <c r="K690" s="5"/>
      <c r="L690" s="5"/>
      <c r="M690" s="5"/>
      <c r="N690" s="5"/>
      <c r="O690" s="5"/>
    </row>
    <row r="691" spans="1:15" x14ac:dyDescent="0.25">
      <c r="A691" s="3"/>
      <c r="B691" s="3"/>
      <c r="C691" s="3"/>
      <c r="D691" s="3"/>
      <c r="E691" s="3"/>
      <c r="F691" s="3"/>
      <c r="G691" s="4"/>
      <c r="H691" s="5"/>
      <c r="I691" s="5"/>
      <c r="J691" s="6"/>
      <c r="K691" s="5"/>
      <c r="L691" s="5"/>
      <c r="M691" s="5"/>
      <c r="N691" s="5"/>
      <c r="O691" s="5"/>
    </row>
    <row r="692" spans="1:15" x14ac:dyDescent="0.25">
      <c r="A692" s="3"/>
      <c r="B692" s="3"/>
      <c r="C692" s="3"/>
      <c r="D692" s="3"/>
      <c r="E692" s="3"/>
      <c r="F692" s="3"/>
      <c r="G692" s="4"/>
      <c r="H692" s="5"/>
      <c r="I692" s="5"/>
      <c r="J692" s="6"/>
      <c r="K692" s="5"/>
      <c r="L692" s="5"/>
      <c r="M692" s="5"/>
      <c r="N692" s="5"/>
      <c r="O692" s="5"/>
    </row>
    <row r="693" spans="1:15" x14ac:dyDescent="0.25">
      <c r="A693" s="3"/>
      <c r="B693" s="3"/>
      <c r="C693" s="3"/>
      <c r="D693" s="3"/>
      <c r="E693" s="3"/>
      <c r="F693" s="3"/>
      <c r="G693" s="4"/>
      <c r="H693" s="5"/>
      <c r="I693" s="5"/>
      <c r="J693" s="6"/>
      <c r="K693" s="5"/>
      <c r="L693" s="5"/>
      <c r="M693" s="5"/>
      <c r="N693" s="5"/>
      <c r="O693" s="5"/>
    </row>
    <row r="694" spans="1:15" x14ac:dyDescent="0.25">
      <c r="A694" s="3"/>
      <c r="B694" s="3"/>
      <c r="C694" s="3"/>
      <c r="D694" s="3"/>
      <c r="E694" s="3"/>
      <c r="F694" s="3"/>
      <c r="G694" s="4"/>
      <c r="H694" s="5"/>
      <c r="I694" s="5"/>
      <c r="J694" s="6"/>
      <c r="K694" s="5"/>
      <c r="L694" s="5"/>
      <c r="M694" s="5"/>
      <c r="N694" s="5"/>
      <c r="O694" s="5"/>
    </row>
    <row r="695" spans="1:15" x14ac:dyDescent="0.25">
      <c r="A695" s="3"/>
      <c r="B695" s="3"/>
      <c r="C695" s="3"/>
      <c r="D695" s="3"/>
      <c r="E695" s="3"/>
      <c r="F695" s="3"/>
      <c r="G695" s="4"/>
      <c r="H695" s="5"/>
      <c r="I695" s="5"/>
      <c r="J695" s="6"/>
      <c r="K695" s="5"/>
      <c r="L695" s="5"/>
      <c r="M695" s="5"/>
      <c r="N695" s="5"/>
      <c r="O695" s="5"/>
    </row>
    <row r="696" spans="1:15" x14ac:dyDescent="0.25">
      <c r="A696" s="3"/>
      <c r="B696" s="3"/>
      <c r="C696" s="3"/>
      <c r="D696" s="3"/>
      <c r="E696" s="3"/>
      <c r="F696" s="3"/>
      <c r="G696" s="4"/>
      <c r="H696" s="5"/>
      <c r="I696" s="5"/>
      <c r="J696" s="6"/>
      <c r="K696" s="5"/>
      <c r="L696" s="5"/>
      <c r="M696" s="5"/>
      <c r="N696" s="5"/>
      <c r="O696" s="5"/>
    </row>
    <row r="697" spans="1:15" x14ac:dyDescent="0.25">
      <c r="A697" s="3"/>
      <c r="B697" s="3"/>
      <c r="C697" s="3"/>
      <c r="D697" s="3"/>
      <c r="E697" s="3"/>
      <c r="F697" s="3"/>
      <c r="G697" s="4"/>
      <c r="H697" s="5"/>
      <c r="I697" s="5"/>
      <c r="J697" s="6"/>
      <c r="K697" s="5"/>
      <c r="L697" s="5"/>
      <c r="M697" s="5"/>
      <c r="N697" s="5"/>
      <c r="O697" s="5"/>
    </row>
    <row r="698" spans="1:15" x14ac:dyDescent="0.25">
      <c r="A698" s="3"/>
      <c r="B698" s="3"/>
      <c r="C698" s="3"/>
      <c r="D698" s="3"/>
      <c r="E698" s="3"/>
      <c r="F698" s="3"/>
      <c r="G698" s="4"/>
      <c r="H698" s="5"/>
      <c r="I698" s="5"/>
      <c r="J698" s="6"/>
      <c r="K698" s="5"/>
      <c r="L698" s="5"/>
      <c r="M698" s="5"/>
      <c r="N698" s="5"/>
      <c r="O698" s="5"/>
    </row>
    <row r="699" spans="1:15" x14ac:dyDescent="0.25">
      <c r="A699" s="3"/>
      <c r="B699" s="3"/>
      <c r="C699" s="3"/>
      <c r="D699" s="3"/>
      <c r="E699" s="3"/>
      <c r="F699" s="3"/>
      <c r="G699" s="4"/>
      <c r="H699" s="5"/>
      <c r="I699" s="5"/>
      <c r="J699" s="6"/>
      <c r="K699" s="5"/>
      <c r="L699" s="5"/>
      <c r="M699" s="5"/>
      <c r="N699" s="5"/>
      <c r="O699" s="5"/>
    </row>
    <row r="700" spans="1:15" x14ac:dyDescent="0.25">
      <c r="A700" s="3"/>
      <c r="B700" s="3"/>
      <c r="C700" s="3"/>
      <c r="D700" s="3"/>
      <c r="E700" s="3"/>
      <c r="F700" s="3"/>
      <c r="G700" s="4"/>
      <c r="H700" s="5"/>
      <c r="I700" s="5"/>
      <c r="J700" s="6"/>
      <c r="K700" s="5"/>
      <c r="L700" s="5"/>
      <c r="M700" s="5"/>
      <c r="N700" s="5"/>
      <c r="O700" s="5"/>
    </row>
    <row r="701" spans="1:15" x14ac:dyDescent="0.25">
      <c r="A701" s="3"/>
      <c r="B701" s="3"/>
      <c r="C701" s="3"/>
      <c r="D701" s="3"/>
      <c r="E701" s="3"/>
      <c r="F701" s="3"/>
      <c r="G701" s="4"/>
      <c r="H701" s="5"/>
      <c r="I701" s="5"/>
      <c r="J701" s="6"/>
      <c r="K701" s="5"/>
      <c r="L701" s="5"/>
      <c r="M701" s="5"/>
      <c r="N701" s="5"/>
      <c r="O701" s="5"/>
    </row>
    <row r="702" spans="1:15" x14ac:dyDescent="0.25">
      <c r="A702" s="3"/>
      <c r="B702" s="3"/>
      <c r="C702" s="3"/>
      <c r="D702" s="3"/>
      <c r="E702" s="3"/>
      <c r="F702" s="3"/>
      <c r="G702" s="4"/>
      <c r="H702" s="5"/>
      <c r="I702" s="5"/>
      <c r="J702" s="6"/>
      <c r="K702" s="5"/>
      <c r="L702" s="5"/>
      <c r="M702" s="5"/>
      <c r="N702" s="5"/>
      <c r="O702" s="5"/>
    </row>
    <row r="703" spans="1:15" x14ac:dyDescent="0.25">
      <c r="A703" s="3"/>
      <c r="B703" s="3"/>
      <c r="C703" s="3"/>
      <c r="D703" s="3"/>
      <c r="E703" s="3"/>
      <c r="F703" s="3"/>
      <c r="G703" s="4"/>
      <c r="H703" s="5"/>
      <c r="I703" s="5"/>
      <c r="J703" s="6"/>
      <c r="K703" s="5"/>
      <c r="L703" s="5"/>
      <c r="M703" s="5"/>
      <c r="N703" s="5"/>
      <c r="O703" s="5"/>
    </row>
    <row r="704" spans="1:15" x14ac:dyDescent="0.25">
      <c r="A704" s="3"/>
      <c r="B704" s="3"/>
      <c r="C704" s="3"/>
      <c r="D704" s="3"/>
      <c r="E704" s="3"/>
      <c r="F704" s="3"/>
      <c r="G704" s="4"/>
      <c r="H704" s="5"/>
      <c r="I704" s="5"/>
      <c r="J704" s="6"/>
      <c r="K704" s="5"/>
      <c r="L704" s="5"/>
      <c r="M704" s="5"/>
      <c r="N704" s="5"/>
      <c r="O704" s="5"/>
    </row>
    <row r="705" spans="1:15" x14ac:dyDescent="0.25">
      <c r="A705" s="3"/>
      <c r="B705" s="3"/>
      <c r="C705" s="3"/>
      <c r="D705" s="3"/>
      <c r="E705" s="3"/>
      <c r="F705" s="3"/>
      <c r="G705" s="4"/>
      <c r="H705" s="5"/>
      <c r="I705" s="5"/>
      <c r="J705" s="6"/>
      <c r="K705" s="5"/>
      <c r="L705" s="5"/>
      <c r="M705" s="5"/>
      <c r="N705" s="5"/>
      <c r="O705" s="5"/>
    </row>
    <row r="706" spans="1:15" x14ac:dyDescent="0.25">
      <c r="A706" s="3"/>
      <c r="B706" s="3"/>
      <c r="C706" s="3"/>
      <c r="D706" s="3"/>
      <c r="E706" s="3"/>
      <c r="F706" s="3"/>
      <c r="G706" s="4"/>
      <c r="H706" s="5"/>
      <c r="I706" s="5"/>
      <c r="J706" s="6"/>
      <c r="K706" s="5"/>
      <c r="L706" s="5"/>
      <c r="M706" s="5"/>
      <c r="N706" s="5"/>
      <c r="O706" s="5"/>
    </row>
    <row r="707" spans="1:15" x14ac:dyDescent="0.25">
      <c r="A707" s="3"/>
      <c r="B707" s="3"/>
      <c r="C707" s="3"/>
      <c r="D707" s="3"/>
      <c r="E707" s="3"/>
      <c r="F707" s="3"/>
      <c r="G707" s="4"/>
      <c r="H707" s="5"/>
      <c r="I707" s="5"/>
      <c r="J707" s="6"/>
      <c r="K707" s="5"/>
      <c r="L707" s="5"/>
      <c r="M707" s="5"/>
      <c r="N707" s="5"/>
      <c r="O707" s="5"/>
    </row>
    <row r="708" spans="1:15" x14ac:dyDescent="0.25">
      <c r="A708" s="3"/>
      <c r="B708" s="3"/>
      <c r="C708" s="3"/>
      <c r="D708" s="3"/>
      <c r="E708" s="3"/>
      <c r="F708" s="3"/>
      <c r="G708" s="4"/>
      <c r="H708" s="5"/>
      <c r="I708" s="5"/>
      <c r="J708" s="6"/>
      <c r="K708" s="5"/>
      <c r="L708" s="5"/>
      <c r="M708" s="5"/>
      <c r="N708" s="5"/>
      <c r="O708" s="5"/>
    </row>
    <row r="709" spans="1:15" x14ac:dyDescent="0.25">
      <c r="A709" s="3"/>
      <c r="B709" s="3"/>
      <c r="C709" s="3"/>
      <c r="D709" s="3"/>
      <c r="E709" s="3"/>
      <c r="F709" s="3"/>
      <c r="G709" s="4"/>
      <c r="H709" s="5"/>
      <c r="I709" s="5"/>
      <c r="J709" s="6"/>
      <c r="K709" s="5"/>
      <c r="L709" s="5"/>
      <c r="M709" s="5"/>
      <c r="N709" s="5"/>
      <c r="O709" s="5"/>
    </row>
    <row r="710" spans="1:15" x14ac:dyDescent="0.25">
      <c r="A710" s="3"/>
      <c r="B710" s="3"/>
      <c r="C710" s="3"/>
      <c r="D710" s="3"/>
      <c r="E710" s="3"/>
      <c r="F710" s="3"/>
      <c r="G710" s="4"/>
      <c r="H710" s="5"/>
      <c r="I710" s="5"/>
      <c r="J710" s="6"/>
      <c r="K710" s="5"/>
      <c r="L710" s="5"/>
      <c r="M710" s="5"/>
      <c r="N710" s="5"/>
      <c r="O710" s="5"/>
    </row>
    <row r="711" spans="1:15" x14ac:dyDescent="0.25">
      <c r="A711" s="3"/>
      <c r="B711" s="3"/>
      <c r="C711" s="3"/>
      <c r="D711" s="3"/>
      <c r="E711" s="3"/>
      <c r="F711" s="3"/>
      <c r="G711" s="4"/>
      <c r="H711" s="5"/>
      <c r="I711" s="5"/>
      <c r="J711" s="6"/>
      <c r="K711" s="5"/>
      <c r="L711" s="5"/>
      <c r="M711" s="5"/>
      <c r="N711" s="5"/>
      <c r="O711" s="5"/>
    </row>
    <row r="712" spans="1:15" x14ac:dyDescent="0.25">
      <c r="A712" s="3"/>
      <c r="B712" s="3"/>
      <c r="C712" s="3"/>
      <c r="D712" s="3"/>
      <c r="E712" s="3"/>
      <c r="F712" s="3"/>
      <c r="G712" s="4"/>
      <c r="H712" s="5"/>
      <c r="I712" s="5"/>
      <c r="J712" s="6"/>
      <c r="K712" s="5"/>
      <c r="L712" s="5"/>
      <c r="M712" s="5"/>
      <c r="N712" s="5"/>
      <c r="O712" s="5"/>
    </row>
    <row r="713" spans="1:15" x14ac:dyDescent="0.25">
      <c r="A713" s="3"/>
      <c r="B713" s="3"/>
      <c r="C713" s="3"/>
      <c r="D713" s="3"/>
      <c r="E713" s="3"/>
      <c r="F713" s="3"/>
      <c r="G713" s="4"/>
      <c r="H713" s="5"/>
      <c r="I713" s="5"/>
      <c r="J713" s="6"/>
      <c r="K713" s="5"/>
      <c r="L713" s="5"/>
      <c r="M713" s="5"/>
      <c r="N713" s="5"/>
      <c r="O713" s="5"/>
    </row>
    <row r="714" spans="1:15" x14ac:dyDescent="0.25">
      <c r="A714" s="3"/>
      <c r="B714" s="3"/>
      <c r="C714" s="3"/>
      <c r="D714" s="3"/>
      <c r="E714" s="3"/>
      <c r="F714" s="3"/>
      <c r="G714" s="4"/>
      <c r="H714" s="5"/>
      <c r="I714" s="5"/>
      <c r="J714" s="6"/>
      <c r="K714" s="5"/>
      <c r="L714" s="5"/>
      <c r="M714" s="5"/>
      <c r="N714" s="5"/>
      <c r="O714" s="5"/>
    </row>
    <row r="715" spans="1:15" x14ac:dyDescent="0.25">
      <c r="A715" s="3"/>
      <c r="B715" s="3"/>
      <c r="C715" s="3"/>
      <c r="D715" s="3"/>
      <c r="E715" s="3"/>
      <c r="F715" s="3"/>
      <c r="G715" s="4"/>
      <c r="H715" s="5"/>
      <c r="I715" s="5"/>
      <c r="J715" s="6"/>
      <c r="K715" s="5"/>
      <c r="L715" s="5"/>
      <c r="M715" s="5"/>
      <c r="N715" s="5"/>
      <c r="O715" s="5"/>
    </row>
    <row r="716" spans="1:15" x14ac:dyDescent="0.25">
      <c r="A716" s="3"/>
      <c r="B716" s="3"/>
      <c r="C716" s="3"/>
      <c r="D716" s="3"/>
      <c r="E716" s="3"/>
      <c r="F716" s="3"/>
      <c r="G716" s="4"/>
      <c r="H716" s="5"/>
      <c r="I716" s="5"/>
      <c r="J716" s="6"/>
      <c r="K716" s="5"/>
      <c r="L716" s="5"/>
      <c r="M716" s="5"/>
      <c r="N716" s="5"/>
      <c r="O716" s="5"/>
    </row>
    <row r="717" spans="1:15" x14ac:dyDescent="0.25">
      <c r="A717" s="3"/>
      <c r="B717" s="3"/>
      <c r="C717" s="3"/>
      <c r="D717" s="3"/>
      <c r="E717" s="3"/>
      <c r="F717" s="3"/>
      <c r="G717" s="4"/>
      <c r="H717" s="5"/>
      <c r="I717" s="5"/>
      <c r="J717" s="6"/>
      <c r="K717" s="5"/>
      <c r="L717" s="5"/>
      <c r="M717" s="5"/>
      <c r="N717" s="5"/>
      <c r="O717" s="5"/>
    </row>
    <row r="718" spans="1:15" x14ac:dyDescent="0.25">
      <c r="A718" s="3"/>
      <c r="B718" s="3"/>
      <c r="C718" s="3"/>
      <c r="D718" s="3"/>
      <c r="E718" s="3"/>
      <c r="F718" s="3"/>
      <c r="G718" s="4"/>
      <c r="H718" s="5"/>
      <c r="I718" s="5"/>
      <c r="J718" s="6"/>
      <c r="K718" s="5"/>
      <c r="L718" s="5"/>
      <c r="M718" s="5"/>
      <c r="N718" s="5"/>
      <c r="O718" s="5"/>
    </row>
    <row r="719" spans="1:15" x14ac:dyDescent="0.25">
      <c r="A719" s="3"/>
      <c r="B719" s="3"/>
      <c r="C719" s="3"/>
      <c r="D719" s="3"/>
      <c r="E719" s="3"/>
      <c r="F719" s="3"/>
      <c r="G719" s="4"/>
      <c r="H719" s="5"/>
      <c r="I719" s="5"/>
      <c r="J719" s="6"/>
      <c r="K719" s="5"/>
      <c r="L719" s="5"/>
      <c r="M719" s="5"/>
      <c r="N719" s="5"/>
      <c r="O719" s="5"/>
    </row>
    <row r="720" spans="1:15" x14ac:dyDescent="0.25">
      <c r="A720" s="3"/>
      <c r="B720" s="3"/>
      <c r="C720" s="3"/>
      <c r="D720" s="3"/>
      <c r="E720" s="3"/>
      <c r="F720" s="3"/>
      <c r="G720" s="4"/>
      <c r="H720" s="5"/>
      <c r="I720" s="5"/>
      <c r="J720" s="6"/>
      <c r="K720" s="5"/>
      <c r="L720" s="5"/>
      <c r="M720" s="5"/>
      <c r="N720" s="5"/>
      <c r="O720" s="5"/>
    </row>
    <row r="721" spans="1:15" x14ac:dyDescent="0.25">
      <c r="A721" s="3"/>
      <c r="B721" s="3"/>
      <c r="C721" s="3"/>
      <c r="D721" s="3"/>
      <c r="E721" s="3"/>
      <c r="F721" s="3"/>
      <c r="G721" s="4"/>
      <c r="H721" s="5"/>
      <c r="I721" s="5"/>
      <c r="J721" s="6"/>
      <c r="K721" s="5"/>
      <c r="L721" s="5"/>
      <c r="M721" s="5"/>
      <c r="N721" s="5"/>
      <c r="O721" s="5"/>
    </row>
    <row r="722" spans="1:15" x14ac:dyDescent="0.25">
      <c r="A722" s="3"/>
      <c r="B722" s="3"/>
      <c r="C722" s="3"/>
      <c r="D722" s="3"/>
      <c r="E722" s="3"/>
      <c r="F722" s="3"/>
      <c r="G722" s="4"/>
      <c r="H722" s="5"/>
      <c r="I722" s="5"/>
      <c r="J722" s="6"/>
      <c r="K722" s="5"/>
      <c r="L722" s="5"/>
      <c r="M722" s="5"/>
      <c r="N722" s="5"/>
      <c r="O722" s="5"/>
    </row>
    <row r="723" spans="1:15" x14ac:dyDescent="0.25">
      <c r="A723" s="3"/>
      <c r="B723" s="3"/>
      <c r="C723" s="3"/>
      <c r="D723" s="3"/>
      <c r="E723" s="3"/>
      <c r="F723" s="3"/>
      <c r="G723" s="4"/>
      <c r="H723" s="5"/>
      <c r="I723" s="5"/>
      <c r="J723" s="6"/>
      <c r="K723" s="5"/>
      <c r="L723" s="5"/>
      <c r="M723" s="5"/>
      <c r="N723" s="5"/>
      <c r="O723" s="5"/>
    </row>
    <row r="724" spans="1:15" x14ac:dyDescent="0.25">
      <c r="A724" s="3"/>
      <c r="B724" s="3"/>
      <c r="C724" s="3"/>
      <c r="D724" s="3"/>
      <c r="E724" s="3"/>
      <c r="F724" s="3"/>
      <c r="G724" s="4"/>
      <c r="H724" s="5"/>
      <c r="I724" s="5"/>
      <c r="J724" s="6"/>
      <c r="K724" s="5"/>
      <c r="L724" s="5"/>
      <c r="M724" s="5"/>
      <c r="N724" s="5"/>
      <c r="O724" s="5"/>
    </row>
    <row r="725" spans="1:15" x14ac:dyDescent="0.25">
      <c r="A725" s="3"/>
      <c r="B725" s="3"/>
      <c r="C725" s="3"/>
      <c r="D725" s="3"/>
      <c r="E725" s="3"/>
      <c r="F725" s="3"/>
      <c r="G725" s="4"/>
      <c r="H725" s="5"/>
      <c r="I725" s="5"/>
      <c r="J725" s="6"/>
      <c r="K725" s="5"/>
      <c r="L725" s="5"/>
      <c r="M725" s="5"/>
      <c r="N725" s="5"/>
      <c r="O725" s="5"/>
    </row>
    <row r="726" spans="1:15" x14ac:dyDescent="0.25">
      <c r="A726" s="3"/>
      <c r="B726" s="3"/>
      <c r="C726" s="3"/>
      <c r="D726" s="3"/>
      <c r="E726" s="3"/>
      <c r="F726" s="3"/>
      <c r="G726" s="4"/>
      <c r="H726" s="5"/>
      <c r="I726" s="5"/>
      <c r="J726" s="6"/>
      <c r="K726" s="5"/>
      <c r="L726" s="5"/>
      <c r="M726" s="5"/>
      <c r="N726" s="5"/>
      <c r="O726" s="5"/>
    </row>
    <row r="727" spans="1:15" x14ac:dyDescent="0.25">
      <c r="A727" s="3"/>
      <c r="B727" s="3"/>
      <c r="C727" s="3"/>
      <c r="D727" s="3"/>
      <c r="E727" s="3"/>
      <c r="F727" s="3"/>
      <c r="G727" s="4"/>
      <c r="H727" s="5"/>
      <c r="I727" s="5"/>
      <c r="J727" s="6"/>
      <c r="K727" s="5"/>
      <c r="L727" s="5"/>
      <c r="M727" s="5"/>
      <c r="N727" s="5"/>
      <c r="O727" s="5"/>
    </row>
    <row r="728" spans="1:15" x14ac:dyDescent="0.25">
      <c r="A728" s="3"/>
      <c r="B728" s="3"/>
      <c r="C728" s="3"/>
      <c r="D728" s="3"/>
      <c r="E728" s="3"/>
      <c r="F728" s="3"/>
      <c r="G728" s="4"/>
      <c r="H728" s="5"/>
      <c r="I728" s="5"/>
      <c r="J728" s="6"/>
      <c r="K728" s="5"/>
      <c r="L728" s="5"/>
      <c r="M728" s="5"/>
      <c r="N728" s="5"/>
      <c r="O728" s="5"/>
    </row>
    <row r="729" spans="1:15" x14ac:dyDescent="0.25">
      <c r="A729" s="3"/>
      <c r="B729" s="3"/>
      <c r="C729" s="3"/>
      <c r="D729" s="3"/>
      <c r="E729" s="3"/>
      <c r="F729" s="3"/>
      <c r="G729" s="4"/>
      <c r="H729" s="5"/>
      <c r="I729" s="5"/>
      <c r="J729" s="6"/>
      <c r="K729" s="5"/>
      <c r="L729" s="5"/>
      <c r="M729" s="5"/>
      <c r="N729" s="5"/>
      <c r="O729" s="5"/>
    </row>
    <row r="730" spans="1:15" x14ac:dyDescent="0.25">
      <c r="A730" s="3"/>
      <c r="B730" s="3"/>
      <c r="C730" s="3"/>
      <c r="D730" s="3"/>
      <c r="E730" s="3"/>
      <c r="F730" s="3"/>
      <c r="G730" s="4"/>
      <c r="H730" s="5"/>
      <c r="I730" s="5"/>
      <c r="J730" s="6"/>
      <c r="K730" s="5"/>
      <c r="L730" s="5"/>
      <c r="M730" s="5"/>
      <c r="N730" s="5"/>
      <c r="O730" s="5"/>
    </row>
    <row r="731" spans="1:15" x14ac:dyDescent="0.25">
      <c r="A731" s="3"/>
      <c r="B731" s="3"/>
      <c r="C731" s="3"/>
      <c r="D731" s="3"/>
      <c r="E731" s="3"/>
      <c r="F731" s="3"/>
      <c r="G731" s="4"/>
      <c r="H731" s="5"/>
      <c r="I731" s="5"/>
      <c r="J731" s="6"/>
      <c r="K731" s="5"/>
      <c r="L731" s="5"/>
      <c r="M731" s="5"/>
      <c r="N731" s="5"/>
      <c r="O731" s="5"/>
    </row>
    <row r="732" spans="1:15" x14ac:dyDescent="0.25">
      <c r="A732" s="3"/>
      <c r="B732" s="3"/>
      <c r="C732" s="3"/>
      <c r="D732" s="3"/>
      <c r="E732" s="3"/>
      <c r="F732" s="3"/>
      <c r="G732" s="4"/>
      <c r="H732" s="5"/>
      <c r="I732" s="5"/>
      <c r="J732" s="6"/>
      <c r="K732" s="5"/>
      <c r="L732" s="5"/>
      <c r="M732" s="5"/>
      <c r="N732" s="5"/>
      <c r="O732" s="5"/>
    </row>
    <row r="733" spans="1:15" x14ac:dyDescent="0.25">
      <c r="A733" s="3"/>
      <c r="B733" s="3"/>
      <c r="C733" s="3"/>
      <c r="D733" s="3"/>
      <c r="E733" s="3"/>
      <c r="F733" s="3"/>
      <c r="G733" s="4"/>
      <c r="H733" s="5"/>
      <c r="I733" s="5"/>
      <c r="J733" s="6"/>
      <c r="K733" s="5"/>
      <c r="L733" s="5"/>
      <c r="M733" s="5"/>
      <c r="N733" s="5"/>
      <c r="O733" s="5"/>
    </row>
    <row r="734" spans="1:15" x14ac:dyDescent="0.25">
      <c r="A734" s="3"/>
      <c r="B734" s="3"/>
      <c r="C734" s="3"/>
      <c r="D734" s="3"/>
      <c r="E734" s="3"/>
      <c r="F734" s="3"/>
      <c r="G734" s="4"/>
      <c r="H734" s="5"/>
      <c r="I734" s="5"/>
      <c r="J734" s="6"/>
      <c r="K734" s="5"/>
      <c r="L734" s="5"/>
      <c r="M734" s="5"/>
      <c r="N734" s="5"/>
      <c r="O734" s="5"/>
    </row>
    <row r="735" spans="1:15" x14ac:dyDescent="0.25">
      <c r="A735" s="3"/>
      <c r="B735" s="3"/>
      <c r="C735" s="3"/>
      <c r="D735" s="3"/>
      <c r="E735" s="3"/>
      <c r="F735" s="3"/>
      <c r="G735" s="4"/>
      <c r="H735" s="5"/>
      <c r="I735" s="5"/>
      <c r="J735" s="6"/>
      <c r="K735" s="5"/>
      <c r="L735" s="5"/>
      <c r="M735" s="5"/>
      <c r="N735" s="5"/>
      <c r="O735" s="5"/>
    </row>
    <row r="736" spans="1:15" x14ac:dyDescent="0.25">
      <c r="A736" s="3"/>
      <c r="B736" s="3"/>
      <c r="C736" s="3"/>
      <c r="D736" s="3"/>
      <c r="E736" s="3"/>
      <c r="F736" s="3"/>
      <c r="G736" s="4"/>
      <c r="H736" s="5"/>
      <c r="I736" s="5"/>
      <c r="J736" s="6"/>
      <c r="K736" s="5"/>
      <c r="L736" s="5"/>
      <c r="M736" s="5"/>
      <c r="N736" s="5"/>
      <c r="O736" s="5"/>
    </row>
    <row r="737" spans="1:15" x14ac:dyDescent="0.25">
      <c r="A737" s="3"/>
      <c r="B737" s="3"/>
      <c r="C737" s="3"/>
      <c r="D737" s="3"/>
      <c r="E737" s="3"/>
      <c r="F737" s="3"/>
      <c r="G737" s="4"/>
      <c r="H737" s="5"/>
      <c r="I737" s="5"/>
      <c r="J737" s="6"/>
      <c r="K737" s="5"/>
      <c r="L737" s="5"/>
      <c r="M737" s="5"/>
      <c r="N737" s="5"/>
      <c r="O737" s="5"/>
    </row>
    <row r="738" spans="1:15" x14ac:dyDescent="0.25">
      <c r="A738" s="3"/>
      <c r="B738" s="3"/>
      <c r="C738" s="3"/>
      <c r="D738" s="3"/>
      <c r="E738" s="3"/>
      <c r="F738" s="3"/>
      <c r="G738" s="4"/>
      <c r="H738" s="5"/>
      <c r="I738" s="5"/>
      <c r="J738" s="6"/>
      <c r="K738" s="5"/>
      <c r="L738" s="5"/>
      <c r="M738" s="5"/>
      <c r="N738" s="5"/>
      <c r="O738" s="5"/>
    </row>
    <row r="739" spans="1:15" x14ac:dyDescent="0.25">
      <c r="A739" s="3"/>
      <c r="B739" s="3"/>
      <c r="C739" s="3"/>
      <c r="D739" s="3"/>
      <c r="E739" s="3"/>
      <c r="F739" s="3"/>
      <c r="G739" s="4"/>
      <c r="H739" s="5"/>
      <c r="I739" s="5"/>
      <c r="J739" s="6"/>
      <c r="K739" s="5"/>
      <c r="L739" s="5"/>
      <c r="M739" s="5"/>
      <c r="N739" s="5"/>
      <c r="O739" s="5"/>
    </row>
    <row r="740" spans="1:15" x14ac:dyDescent="0.25">
      <c r="A740" s="3"/>
      <c r="B740" s="3"/>
      <c r="C740" s="3"/>
      <c r="D740" s="3"/>
      <c r="E740" s="3"/>
      <c r="F740" s="3"/>
      <c r="G740" s="4"/>
      <c r="H740" s="5"/>
      <c r="I740" s="5"/>
      <c r="J740" s="6"/>
      <c r="K740" s="5"/>
      <c r="L740" s="5"/>
      <c r="M740" s="5"/>
      <c r="N740" s="5"/>
      <c r="O740" s="5"/>
    </row>
    <row r="741" spans="1:15" x14ac:dyDescent="0.25">
      <c r="A741" s="3"/>
      <c r="B741" s="3"/>
      <c r="C741" s="3"/>
      <c r="D741" s="3"/>
      <c r="E741" s="3"/>
      <c r="F741" s="3"/>
      <c r="G741" s="4"/>
      <c r="H741" s="5"/>
      <c r="I741" s="5"/>
      <c r="J741" s="6"/>
      <c r="K741" s="5"/>
      <c r="L741" s="5"/>
      <c r="M741" s="5"/>
      <c r="N741" s="5"/>
      <c r="O741" s="5"/>
    </row>
    <row r="742" spans="1:15" x14ac:dyDescent="0.25">
      <c r="A742" s="3"/>
      <c r="B742" s="3"/>
      <c r="C742" s="3"/>
      <c r="D742" s="3"/>
      <c r="E742" s="3"/>
      <c r="F742" s="3"/>
      <c r="G742" s="4"/>
      <c r="H742" s="5"/>
      <c r="I742" s="5"/>
      <c r="J742" s="6"/>
      <c r="K742" s="5"/>
      <c r="L742" s="5"/>
      <c r="M742" s="5"/>
      <c r="N742" s="5"/>
      <c r="O742" s="5"/>
    </row>
    <row r="743" spans="1:15" x14ac:dyDescent="0.25">
      <c r="A743" s="3"/>
      <c r="B743" s="3"/>
      <c r="C743" s="3"/>
      <c r="D743" s="3"/>
      <c r="E743" s="3"/>
      <c r="F743" s="3"/>
      <c r="G743" s="4"/>
      <c r="H743" s="5"/>
      <c r="I743" s="5"/>
      <c r="J743" s="6"/>
      <c r="K743" s="5"/>
      <c r="L743" s="5"/>
      <c r="M743" s="5"/>
      <c r="N743" s="5"/>
      <c r="O743" s="5"/>
    </row>
    <row r="744" spans="1:15" x14ac:dyDescent="0.25">
      <c r="A744" s="3"/>
      <c r="B744" s="3"/>
      <c r="C744" s="3"/>
      <c r="D744" s="3"/>
      <c r="E744" s="3"/>
      <c r="F744" s="3"/>
      <c r="G744" s="4"/>
      <c r="H744" s="5"/>
      <c r="I744" s="5"/>
      <c r="J744" s="6"/>
      <c r="K744" s="5"/>
      <c r="L744" s="5"/>
      <c r="M744" s="5"/>
      <c r="N744" s="5"/>
      <c r="O744" s="5"/>
    </row>
    <row r="745" spans="1:15" x14ac:dyDescent="0.25">
      <c r="A745" s="3"/>
      <c r="B745" s="3"/>
      <c r="C745" s="3"/>
      <c r="D745" s="3"/>
      <c r="E745" s="3"/>
      <c r="F745" s="3"/>
      <c r="G745" s="4"/>
      <c r="H745" s="5"/>
      <c r="I745" s="5"/>
      <c r="J745" s="6"/>
      <c r="K745" s="5"/>
      <c r="L745" s="5"/>
      <c r="M745" s="5"/>
      <c r="N745" s="5"/>
      <c r="O745" s="5"/>
    </row>
    <row r="746" spans="1:15" x14ac:dyDescent="0.25">
      <c r="A746" s="3"/>
      <c r="B746" s="3"/>
      <c r="C746" s="3"/>
      <c r="D746" s="3"/>
      <c r="E746" s="3"/>
      <c r="F746" s="3"/>
      <c r="G746" s="4"/>
      <c r="H746" s="5"/>
      <c r="I746" s="5"/>
      <c r="J746" s="6"/>
      <c r="K746" s="5"/>
      <c r="L746" s="5"/>
      <c r="M746" s="5"/>
      <c r="N746" s="5"/>
      <c r="O746" s="5"/>
    </row>
    <row r="747" spans="1:15" x14ac:dyDescent="0.25">
      <c r="A747" s="3"/>
      <c r="B747" s="3"/>
      <c r="C747" s="3"/>
      <c r="D747" s="3"/>
      <c r="E747" s="3"/>
      <c r="F747" s="3"/>
      <c r="G747" s="4"/>
      <c r="H747" s="5"/>
      <c r="I747" s="5"/>
      <c r="J747" s="6"/>
      <c r="K747" s="5"/>
      <c r="L747" s="5"/>
      <c r="M747" s="5"/>
      <c r="N747" s="5"/>
      <c r="O747" s="5"/>
    </row>
    <row r="748" spans="1:15" x14ac:dyDescent="0.25">
      <c r="A748" s="3"/>
      <c r="B748" s="3"/>
      <c r="C748" s="3"/>
      <c r="D748" s="3"/>
      <c r="E748" s="3"/>
      <c r="F748" s="3"/>
      <c r="G748" s="4"/>
      <c r="H748" s="5"/>
      <c r="I748" s="5"/>
      <c r="J748" s="6"/>
      <c r="K748" s="5"/>
      <c r="L748" s="5"/>
      <c r="M748" s="5"/>
      <c r="N748" s="5"/>
      <c r="O748" s="5"/>
    </row>
    <row r="749" spans="1:15" x14ac:dyDescent="0.25">
      <c r="A749" s="3"/>
      <c r="B749" s="3"/>
      <c r="C749" s="3"/>
      <c r="D749" s="3"/>
      <c r="E749" s="3"/>
      <c r="F749" s="3"/>
      <c r="G749" s="4"/>
      <c r="H749" s="5"/>
      <c r="I749" s="5"/>
      <c r="J749" s="6"/>
      <c r="K749" s="5"/>
      <c r="L749" s="5"/>
      <c r="M749" s="5"/>
      <c r="N749" s="5"/>
      <c r="O749" s="5"/>
    </row>
    <row r="750" spans="1:15" x14ac:dyDescent="0.25">
      <c r="A750" s="3"/>
      <c r="B750" s="3"/>
      <c r="C750" s="3"/>
      <c r="D750" s="3"/>
      <c r="E750" s="3"/>
      <c r="F750" s="3"/>
      <c r="G750" s="4"/>
      <c r="H750" s="5"/>
      <c r="I750" s="5"/>
      <c r="J750" s="6"/>
      <c r="K750" s="5"/>
      <c r="L750" s="5"/>
      <c r="M750" s="5"/>
      <c r="N750" s="5"/>
      <c r="O750" s="5"/>
    </row>
    <row r="751" spans="1:15" x14ac:dyDescent="0.25">
      <c r="A751" s="3"/>
      <c r="B751" s="3"/>
      <c r="C751" s="3"/>
      <c r="D751" s="3"/>
      <c r="E751" s="3"/>
      <c r="F751" s="3"/>
      <c r="G751" s="4"/>
      <c r="H751" s="5"/>
      <c r="I751" s="5"/>
      <c r="J751" s="6"/>
      <c r="K751" s="5"/>
      <c r="L751" s="5"/>
      <c r="M751" s="5"/>
      <c r="N751" s="5"/>
      <c r="O751" s="5"/>
    </row>
    <row r="752" spans="1:15" x14ac:dyDescent="0.25">
      <c r="A752" s="3"/>
      <c r="B752" s="3"/>
      <c r="C752" s="3"/>
      <c r="D752" s="3"/>
      <c r="E752" s="3"/>
      <c r="F752" s="3"/>
      <c r="G752" s="4"/>
      <c r="H752" s="5"/>
      <c r="I752" s="5"/>
      <c r="J752" s="6"/>
      <c r="K752" s="5"/>
      <c r="L752" s="5"/>
      <c r="M752" s="5"/>
      <c r="N752" s="5"/>
      <c r="O752" s="5"/>
    </row>
    <row r="753" spans="1:15" x14ac:dyDescent="0.25">
      <c r="A753" s="3"/>
      <c r="B753" s="3"/>
      <c r="C753" s="3"/>
      <c r="D753" s="3"/>
      <c r="E753" s="3"/>
      <c r="F753" s="3"/>
      <c r="G753" s="4"/>
      <c r="H753" s="5"/>
      <c r="I753" s="5"/>
      <c r="J753" s="6"/>
      <c r="K753" s="5"/>
      <c r="L753" s="5"/>
      <c r="M753" s="5"/>
      <c r="N753" s="5"/>
      <c r="O753" s="5"/>
    </row>
    <row r="754" spans="1:15" x14ac:dyDescent="0.25">
      <c r="A754" s="3"/>
      <c r="B754" s="3"/>
      <c r="C754" s="3"/>
      <c r="D754" s="3"/>
      <c r="E754" s="3"/>
      <c r="F754" s="3"/>
      <c r="G754" s="4"/>
      <c r="H754" s="5"/>
      <c r="I754" s="5"/>
      <c r="J754" s="6"/>
      <c r="K754" s="5"/>
      <c r="L754" s="5"/>
      <c r="M754" s="5"/>
      <c r="N754" s="5"/>
      <c r="O754" s="5"/>
    </row>
    <row r="755" spans="1:15" x14ac:dyDescent="0.25">
      <c r="A755" s="3"/>
      <c r="B755" s="3"/>
      <c r="C755" s="3"/>
      <c r="D755" s="3"/>
      <c r="E755" s="3"/>
      <c r="F755" s="3"/>
      <c r="G755" s="4"/>
      <c r="H755" s="5"/>
      <c r="I755" s="5"/>
      <c r="J755" s="6"/>
      <c r="K755" s="5"/>
      <c r="L755" s="5"/>
      <c r="M755" s="5"/>
      <c r="N755" s="5"/>
      <c r="O755" s="5"/>
    </row>
    <row r="756" spans="1:15" x14ac:dyDescent="0.25">
      <c r="A756" s="3"/>
      <c r="B756" s="3"/>
      <c r="C756" s="3"/>
      <c r="D756" s="3"/>
      <c r="E756" s="3"/>
      <c r="F756" s="3"/>
      <c r="G756" s="4"/>
      <c r="H756" s="5"/>
      <c r="I756" s="5"/>
      <c r="J756" s="6"/>
      <c r="K756" s="5"/>
      <c r="L756" s="5"/>
      <c r="M756" s="5"/>
      <c r="N756" s="5"/>
      <c r="O756" s="5"/>
    </row>
    <row r="757" spans="1:15" x14ac:dyDescent="0.25">
      <c r="A757" s="3"/>
      <c r="B757" s="3"/>
      <c r="C757" s="3"/>
      <c r="D757" s="3"/>
      <c r="E757" s="3"/>
      <c r="F757" s="3"/>
      <c r="G757" s="4"/>
      <c r="H757" s="5"/>
      <c r="I757" s="5"/>
      <c r="J757" s="6"/>
      <c r="K757" s="5"/>
      <c r="L757" s="5"/>
      <c r="M757" s="5"/>
      <c r="N757" s="5"/>
      <c r="O757" s="5"/>
    </row>
    <row r="758" spans="1:15" x14ac:dyDescent="0.25">
      <c r="A758" s="3"/>
      <c r="B758" s="3"/>
      <c r="C758" s="3"/>
      <c r="D758" s="3"/>
      <c r="E758" s="3"/>
      <c r="F758" s="3"/>
      <c r="G758" s="4"/>
      <c r="H758" s="5"/>
      <c r="I758" s="5"/>
      <c r="J758" s="6"/>
      <c r="K758" s="5"/>
      <c r="L758" s="5"/>
      <c r="M758" s="5"/>
      <c r="N758" s="5"/>
      <c r="O758" s="5"/>
    </row>
    <row r="759" spans="1:15" x14ac:dyDescent="0.25">
      <c r="A759" s="3"/>
      <c r="B759" s="3"/>
      <c r="C759" s="3"/>
      <c r="D759" s="3"/>
      <c r="E759" s="3"/>
      <c r="F759" s="3"/>
      <c r="G759" s="4"/>
      <c r="H759" s="5"/>
      <c r="I759" s="5"/>
      <c r="J759" s="6"/>
      <c r="K759" s="5"/>
      <c r="L759" s="5"/>
      <c r="M759" s="5"/>
      <c r="N759" s="5"/>
      <c r="O759" s="5"/>
    </row>
    <row r="760" spans="1:15" x14ac:dyDescent="0.25">
      <c r="A760" s="3"/>
      <c r="B760" s="3"/>
      <c r="C760" s="3"/>
      <c r="D760" s="3"/>
      <c r="E760" s="3"/>
      <c r="F760" s="3"/>
      <c r="G760" s="4"/>
      <c r="H760" s="5"/>
      <c r="I760" s="5"/>
      <c r="J760" s="6"/>
      <c r="K760" s="5"/>
      <c r="L760" s="5"/>
      <c r="M760" s="5"/>
      <c r="N760" s="5"/>
      <c r="O760" s="5"/>
    </row>
    <row r="761" spans="1:15" x14ac:dyDescent="0.25">
      <c r="A761" s="3"/>
      <c r="B761" s="3"/>
      <c r="C761" s="3"/>
      <c r="D761" s="3"/>
      <c r="E761" s="3"/>
      <c r="F761" s="3"/>
      <c r="G761" s="4"/>
      <c r="H761" s="5"/>
      <c r="I761" s="5"/>
      <c r="J761" s="6"/>
      <c r="K761" s="5"/>
      <c r="L761" s="5"/>
      <c r="M761" s="5"/>
      <c r="N761" s="5"/>
      <c r="O761" s="5"/>
    </row>
    <row r="762" spans="1:15" x14ac:dyDescent="0.25">
      <c r="A762" s="3"/>
      <c r="B762" s="3"/>
      <c r="C762" s="3"/>
      <c r="D762" s="3"/>
      <c r="E762" s="3"/>
      <c r="F762" s="3"/>
      <c r="G762" s="4"/>
      <c r="H762" s="5"/>
      <c r="I762" s="5"/>
      <c r="J762" s="6"/>
      <c r="K762" s="5"/>
      <c r="L762" s="5"/>
      <c r="M762" s="5"/>
      <c r="N762" s="5"/>
      <c r="O762" s="5"/>
    </row>
    <row r="763" spans="1:15" x14ac:dyDescent="0.25">
      <c r="A763" s="3"/>
      <c r="B763" s="3"/>
      <c r="C763" s="3"/>
      <c r="D763" s="3"/>
      <c r="E763" s="3"/>
      <c r="F763" s="3"/>
      <c r="G763" s="4"/>
      <c r="H763" s="5"/>
      <c r="I763" s="5"/>
      <c r="J763" s="6"/>
      <c r="K763" s="5"/>
      <c r="L763" s="5"/>
      <c r="M763" s="5"/>
      <c r="N763" s="5"/>
      <c r="O763" s="5"/>
    </row>
    <row r="764" spans="1:15" x14ac:dyDescent="0.25">
      <c r="A764" s="3"/>
      <c r="B764" s="3"/>
      <c r="C764" s="3"/>
      <c r="D764" s="3"/>
      <c r="E764" s="3"/>
      <c r="F764" s="3"/>
      <c r="G764" s="4"/>
      <c r="H764" s="5"/>
      <c r="I764" s="5"/>
      <c r="J764" s="6"/>
      <c r="K764" s="5"/>
      <c r="L764" s="5"/>
      <c r="M764" s="5"/>
      <c r="N764" s="5"/>
      <c r="O764" s="5"/>
    </row>
    <row r="765" spans="1:15" x14ac:dyDescent="0.25">
      <c r="A765" s="3"/>
      <c r="B765" s="3"/>
      <c r="C765" s="3"/>
      <c r="D765" s="3"/>
      <c r="E765" s="3"/>
      <c r="F765" s="3"/>
      <c r="G765" s="4"/>
      <c r="H765" s="5"/>
      <c r="I765" s="5"/>
      <c r="J765" s="6"/>
      <c r="K765" s="5"/>
      <c r="L765" s="5"/>
      <c r="M765" s="5"/>
      <c r="N765" s="5"/>
      <c r="O765" s="5"/>
    </row>
    <row r="766" spans="1:15" x14ac:dyDescent="0.25">
      <c r="A766" s="3"/>
      <c r="B766" s="3"/>
      <c r="C766" s="3"/>
      <c r="D766" s="3"/>
      <c r="E766" s="3"/>
      <c r="F766" s="3"/>
      <c r="G766" s="4"/>
      <c r="H766" s="5"/>
      <c r="I766" s="5"/>
      <c r="J766" s="6"/>
      <c r="K766" s="5"/>
      <c r="L766" s="5"/>
      <c r="M766" s="5"/>
      <c r="N766" s="5"/>
      <c r="O766" s="5"/>
    </row>
    <row r="767" spans="1:15" x14ac:dyDescent="0.25">
      <c r="A767" s="3"/>
      <c r="B767" s="3"/>
      <c r="C767" s="3"/>
      <c r="D767" s="3"/>
      <c r="E767" s="3"/>
      <c r="F767" s="3"/>
      <c r="G767" s="4"/>
      <c r="H767" s="5"/>
      <c r="I767" s="5"/>
      <c r="J767" s="6"/>
      <c r="K767" s="5"/>
      <c r="L767" s="5"/>
      <c r="M767" s="5"/>
      <c r="N767" s="5"/>
      <c r="O767" s="5"/>
    </row>
    <row r="768" spans="1:15" x14ac:dyDescent="0.25">
      <c r="A768" s="3"/>
      <c r="B768" s="3"/>
      <c r="C768" s="3"/>
      <c r="D768" s="3"/>
      <c r="E768" s="3"/>
      <c r="F768" s="3"/>
      <c r="G768" s="4"/>
      <c r="H768" s="5"/>
      <c r="I768" s="5"/>
      <c r="J768" s="6"/>
      <c r="K768" s="5"/>
      <c r="L768" s="5"/>
      <c r="M768" s="5"/>
      <c r="N768" s="5"/>
      <c r="O768" s="5"/>
    </row>
    <row r="769" spans="1:15" x14ac:dyDescent="0.25">
      <c r="A769" s="3"/>
      <c r="B769" s="3"/>
      <c r="C769" s="3"/>
      <c r="D769" s="3"/>
      <c r="E769" s="3"/>
      <c r="F769" s="3"/>
      <c r="G769" s="4"/>
      <c r="H769" s="5"/>
      <c r="I769" s="5"/>
      <c r="J769" s="6"/>
      <c r="K769" s="5"/>
      <c r="L769" s="5"/>
      <c r="M769" s="5"/>
      <c r="N769" s="5"/>
      <c r="O769" s="5"/>
    </row>
    <row r="770" spans="1:15" x14ac:dyDescent="0.25">
      <c r="A770" s="3"/>
      <c r="B770" s="3"/>
      <c r="C770" s="3"/>
      <c r="D770" s="3"/>
      <c r="E770" s="3"/>
      <c r="F770" s="3"/>
      <c r="G770" s="4"/>
      <c r="H770" s="5"/>
      <c r="I770" s="5"/>
      <c r="J770" s="6"/>
      <c r="K770" s="5"/>
      <c r="L770" s="5"/>
      <c r="M770" s="5"/>
      <c r="N770" s="5"/>
      <c r="O770" s="5"/>
    </row>
    <row r="771" spans="1:15" x14ac:dyDescent="0.25">
      <c r="A771" s="3"/>
      <c r="B771" s="3"/>
      <c r="C771" s="3"/>
      <c r="D771" s="3"/>
      <c r="E771" s="3"/>
      <c r="F771" s="3"/>
      <c r="G771" s="4"/>
      <c r="H771" s="5"/>
      <c r="I771" s="5"/>
      <c r="J771" s="6"/>
      <c r="K771" s="5"/>
      <c r="L771" s="5"/>
      <c r="M771" s="5"/>
      <c r="N771" s="5"/>
      <c r="O771" s="5"/>
    </row>
    <row r="772" spans="1:15" x14ac:dyDescent="0.25">
      <c r="A772" s="3"/>
      <c r="B772" s="3"/>
      <c r="C772" s="3"/>
      <c r="D772" s="3"/>
      <c r="E772" s="3"/>
      <c r="F772" s="3"/>
      <c r="G772" s="4"/>
      <c r="H772" s="5"/>
      <c r="I772" s="5"/>
      <c r="J772" s="6"/>
      <c r="K772" s="5"/>
      <c r="L772" s="5"/>
      <c r="M772" s="5"/>
      <c r="N772" s="5"/>
      <c r="O772" s="5"/>
    </row>
    <row r="773" spans="1:15" x14ac:dyDescent="0.25">
      <c r="A773" s="3"/>
      <c r="B773" s="3"/>
      <c r="C773" s="3"/>
      <c r="D773" s="3"/>
      <c r="E773" s="3"/>
      <c r="F773" s="3"/>
      <c r="G773" s="4"/>
      <c r="H773" s="5"/>
      <c r="I773" s="5"/>
      <c r="J773" s="6"/>
      <c r="K773" s="5"/>
      <c r="L773" s="5"/>
      <c r="M773" s="5"/>
      <c r="N773" s="5"/>
      <c r="O773" s="5"/>
    </row>
    <row r="774" spans="1:15" x14ac:dyDescent="0.25">
      <c r="A774" s="3"/>
      <c r="B774" s="3"/>
      <c r="C774" s="3"/>
      <c r="D774" s="3"/>
      <c r="E774" s="3"/>
      <c r="F774" s="3"/>
      <c r="G774" s="4"/>
      <c r="H774" s="5"/>
      <c r="I774" s="5"/>
      <c r="J774" s="6"/>
      <c r="K774" s="5"/>
      <c r="L774" s="5"/>
      <c r="M774" s="5"/>
      <c r="N774" s="5"/>
      <c r="O774" s="5"/>
    </row>
    <row r="775" spans="1:15" x14ac:dyDescent="0.25">
      <c r="A775" s="3"/>
      <c r="B775" s="3"/>
      <c r="C775" s="3"/>
      <c r="D775" s="3"/>
      <c r="E775" s="3"/>
      <c r="F775" s="3"/>
      <c r="G775" s="4"/>
      <c r="H775" s="5"/>
      <c r="I775" s="5"/>
      <c r="J775" s="6"/>
      <c r="K775" s="5"/>
      <c r="L775" s="5"/>
      <c r="M775" s="5"/>
      <c r="N775" s="5"/>
      <c r="O775" s="5"/>
    </row>
    <row r="776" spans="1:15" x14ac:dyDescent="0.25">
      <c r="A776" s="3"/>
      <c r="B776" s="3"/>
      <c r="C776" s="3"/>
      <c r="D776" s="3"/>
      <c r="E776" s="3"/>
      <c r="F776" s="3"/>
      <c r="G776" s="4"/>
      <c r="H776" s="5"/>
      <c r="I776" s="5"/>
      <c r="J776" s="6"/>
      <c r="K776" s="5"/>
      <c r="L776" s="5"/>
      <c r="M776" s="5"/>
      <c r="N776" s="5"/>
      <c r="O776" s="5"/>
    </row>
    <row r="777" spans="1:15" x14ac:dyDescent="0.25">
      <c r="A777" s="3"/>
      <c r="B777" s="3"/>
      <c r="C777" s="3"/>
      <c r="D777" s="3"/>
      <c r="E777" s="3"/>
      <c r="F777" s="3"/>
      <c r="G777" s="4"/>
      <c r="H777" s="5"/>
      <c r="I777" s="5"/>
      <c r="J777" s="6"/>
      <c r="K777" s="5"/>
      <c r="L777" s="5"/>
      <c r="M777" s="5"/>
      <c r="N777" s="5"/>
      <c r="O777" s="5"/>
    </row>
    <row r="778" spans="1:15" x14ac:dyDescent="0.25">
      <c r="A778" s="3"/>
      <c r="B778" s="3"/>
      <c r="C778" s="3"/>
      <c r="D778" s="3"/>
      <c r="E778" s="3"/>
      <c r="F778" s="3"/>
      <c r="G778" s="4"/>
      <c r="H778" s="5"/>
      <c r="I778" s="5"/>
      <c r="J778" s="6"/>
      <c r="K778" s="5"/>
      <c r="L778" s="5"/>
      <c r="M778" s="5"/>
      <c r="N778" s="5"/>
      <c r="O778" s="5"/>
    </row>
    <row r="779" spans="1:15" x14ac:dyDescent="0.25">
      <c r="A779" s="3"/>
      <c r="B779" s="3"/>
      <c r="C779" s="3"/>
      <c r="D779" s="3"/>
      <c r="E779" s="3"/>
      <c r="F779" s="3"/>
      <c r="G779" s="4"/>
      <c r="H779" s="5"/>
      <c r="I779" s="5"/>
      <c r="J779" s="6"/>
      <c r="K779" s="5"/>
      <c r="L779" s="5"/>
      <c r="M779" s="5"/>
      <c r="N779" s="5"/>
      <c r="O779" s="5"/>
    </row>
    <row r="780" spans="1:15" x14ac:dyDescent="0.25">
      <c r="A780" s="3"/>
      <c r="B780" s="3"/>
      <c r="C780" s="3"/>
      <c r="D780" s="3"/>
      <c r="E780" s="3"/>
      <c r="F780" s="3"/>
      <c r="G780" s="4"/>
      <c r="H780" s="5"/>
      <c r="I780" s="5"/>
      <c r="J780" s="6"/>
      <c r="K780" s="5"/>
      <c r="L780" s="5"/>
      <c r="M780" s="5"/>
      <c r="N780" s="5"/>
      <c r="O780" s="5"/>
    </row>
    <row r="781" spans="1:15" x14ac:dyDescent="0.25">
      <c r="A781" s="3"/>
      <c r="B781" s="3"/>
      <c r="C781" s="3"/>
      <c r="D781" s="3"/>
      <c r="E781" s="3"/>
      <c r="F781" s="3"/>
      <c r="G781" s="4"/>
      <c r="H781" s="5"/>
      <c r="I781" s="5"/>
      <c r="J781" s="6"/>
      <c r="K781" s="5"/>
      <c r="L781" s="5"/>
      <c r="M781" s="5"/>
      <c r="N781" s="5"/>
      <c r="O781" s="5"/>
    </row>
    <row r="782" spans="1:15" x14ac:dyDescent="0.25">
      <c r="A782" s="3"/>
      <c r="B782" s="3"/>
      <c r="C782" s="3"/>
      <c r="D782" s="3"/>
      <c r="E782" s="3"/>
      <c r="F782" s="3"/>
      <c r="G782" s="4"/>
      <c r="H782" s="5"/>
      <c r="I782" s="5"/>
      <c r="J782" s="6"/>
      <c r="K782" s="5"/>
      <c r="L782" s="5"/>
      <c r="M782" s="5"/>
      <c r="N782" s="5"/>
      <c r="O782" s="5"/>
    </row>
    <row r="783" spans="1:15" x14ac:dyDescent="0.25">
      <c r="A783" s="3"/>
      <c r="B783" s="3"/>
      <c r="C783" s="3"/>
      <c r="D783" s="3"/>
      <c r="E783" s="3"/>
      <c r="F783" s="3"/>
      <c r="G783" s="4"/>
      <c r="H783" s="5"/>
      <c r="I783" s="5"/>
      <c r="J783" s="6"/>
      <c r="K783" s="5"/>
      <c r="L783" s="5"/>
      <c r="M783" s="5"/>
      <c r="N783" s="5"/>
      <c r="O783" s="5"/>
    </row>
    <row r="784" spans="1:15" x14ac:dyDescent="0.25">
      <c r="A784" s="3"/>
      <c r="B784" s="3"/>
      <c r="C784" s="3"/>
      <c r="D784" s="3"/>
      <c r="E784" s="3"/>
      <c r="F784" s="3"/>
      <c r="G784" s="4"/>
      <c r="H784" s="5"/>
      <c r="I784" s="5"/>
      <c r="J784" s="6"/>
      <c r="K784" s="5"/>
      <c r="L784" s="5"/>
      <c r="M784" s="5"/>
      <c r="N784" s="5"/>
      <c r="O784" s="5"/>
    </row>
    <row r="785" spans="1:15" x14ac:dyDescent="0.25">
      <c r="A785" s="3"/>
      <c r="B785" s="3"/>
      <c r="C785" s="3"/>
      <c r="D785" s="3"/>
      <c r="E785" s="3"/>
      <c r="F785" s="3"/>
      <c r="G785" s="4"/>
      <c r="H785" s="5"/>
      <c r="I785" s="5"/>
      <c r="J785" s="6"/>
      <c r="K785" s="5"/>
      <c r="L785" s="5"/>
      <c r="M785" s="5"/>
      <c r="N785" s="5"/>
      <c r="O785" s="5"/>
    </row>
    <row r="786" spans="1:15" x14ac:dyDescent="0.25">
      <c r="A786" s="3"/>
      <c r="B786" s="3"/>
      <c r="C786" s="3"/>
      <c r="D786" s="3"/>
      <c r="E786" s="3"/>
      <c r="F786" s="3"/>
      <c r="G786" s="4"/>
      <c r="H786" s="5"/>
      <c r="I786" s="5"/>
      <c r="J786" s="6"/>
      <c r="K786" s="5"/>
      <c r="L786" s="5"/>
      <c r="M786" s="5"/>
      <c r="N786" s="5"/>
      <c r="O786" s="5"/>
    </row>
    <row r="787" spans="1:15" x14ac:dyDescent="0.25">
      <c r="A787" s="3"/>
      <c r="B787" s="3"/>
      <c r="C787" s="3"/>
      <c r="D787" s="3"/>
      <c r="E787" s="3"/>
      <c r="F787" s="3"/>
      <c r="G787" s="4"/>
      <c r="H787" s="5"/>
      <c r="I787" s="5"/>
      <c r="J787" s="6"/>
      <c r="K787" s="5"/>
      <c r="L787" s="5"/>
      <c r="M787" s="5"/>
      <c r="N787" s="5"/>
      <c r="O787" s="5"/>
    </row>
    <row r="788" spans="1:15" x14ac:dyDescent="0.25">
      <c r="A788" s="3"/>
      <c r="B788" s="3"/>
      <c r="C788" s="3"/>
      <c r="D788" s="3"/>
      <c r="E788" s="3"/>
      <c r="F788" s="3"/>
      <c r="G788" s="4"/>
      <c r="H788" s="5"/>
      <c r="I788" s="5"/>
      <c r="J788" s="6"/>
      <c r="K788" s="5"/>
      <c r="L788" s="5"/>
      <c r="M788" s="5"/>
      <c r="N788" s="5"/>
      <c r="O788" s="5"/>
    </row>
    <row r="789" spans="1:15" x14ac:dyDescent="0.25">
      <c r="A789" s="3"/>
      <c r="B789" s="3"/>
      <c r="C789" s="3"/>
      <c r="D789" s="3"/>
      <c r="E789" s="3"/>
      <c r="F789" s="3"/>
      <c r="G789" s="4"/>
      <c r="H789" s="5"/>
      <c r="I789" s="5"/>
      <c r="J789" s="6"/>
      <c r="K789" s="5"/>
      <c r="L789" s="5"/>
      <c r="M789" s="5"/>
      <c r="N789" s="5"/>
      <c r="O789" s="5"/>
    </row>
    <row r="790" spans="1:15" x14ac:dyDescent="0.25">
      <c r="A790" s="3"/>
      <c r="B790" s="3"/>
      <c r="C790" s="3"/>
      <c r="D790" s="3"/>
      <c r="E790" s="3"/>
      <c r="F790" s="3"/>
      <c r="G790" s="4"/>
      <c r="H790" s="5"/>
      <c r="I790" s="5"/>
      <c r="J790" s="6"/>
      <c r="K790" s="5"/>
      <c r="L790" s="5"/>
      <c r="M790" s="5"/>
      <c r="N790" s="5"/>
      <c r="O790" s="5"/>
    </row>
    <row r="791" spans="1:15" x14ac:dyDescent="0.25">
      <c r="A791" s="3"/>
      <c r="B791" s="3"/>
      <c r="C791" s="3"/>
      <c r="D791" s="3"/>
      <c r="E791" s="3"/>
      <c r="F791" s="3"/>
      <c r="G791" s="4"/>
      <c r="H791" s="5"/>
      <c r="I791" s="5"/>
      <c r="J791" s="6"/>
      <c r="K791" s="5"/>
      <c r="L791" s="5"/>
      <c r="M791" s="5"/>
      <c r="N791" s="5"/>
      <c r="O791" s="5"/>
    </row>
    <row r="792" spans="1:15" x14ac:dyDescent="0.25">
      <c r="A792" s="3"/>
      <c r="B792" s="3"/>
      <c r="C792" s="3"/>
      <c r="D792" s="3"/>
      <c r="E792" s="3"/>
      <c r="F792" s="3"/>
      <c r="G792" s="4"/>
      <c r="H792" s="5"/>
      <c r="I792" s="5"/>
      <c r="J792" s="6"/>
      <c r="K792" s="5"/>
      <c r="L792" s="5"/>
      <c r="M792" s="5"/>
      <c r="N792" s="5"/>
      <c r="O792" s="5"/>
    </row>
    <row r="793" spans="1:15" x14ac:dyDescent="0.25">
      <c r="A793" s="3"/>
      <c r="B793" s="3"/>
      <c r="C793" s="3"/>
      <c r="D793" s="3"/>
      <c r="E793" s="3"/>
      <c r="F793" s="3"/>
      <c r="G793" s="4"/>
      <c r="H793" s="5"/>
      <c r="I793" s="5"/>
      <c r="J793" s="6"/>
      <c r="K793" s="5"/>
      <c r="L793" s="5"/>
      <c r="M793" s="5"/>
      <c r="N793" s="5"/>
      <c r="O79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syed.muazzam@bigbasket.com</dc:creator>
  <cp:lastModifiedBy>syed.muazzam@bigbasket.com</cp:lastModifiedBy>
  <dcterms:created xsi:type="dcterms:W3CDTF">2025-12-23T06:30:29Z</dcterms:created>
  <dcterms:modified xsi:type="dcterms:W3CDTF">2025-12-23T06:30:58Z</dcterms:modified>
</cp:coreProperties>
</file>