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b2-ud-rca-report" sheetId="1" r:id="rId4"/>
  </sheets>
  <externalReferences>
    <externalReference r:id="rId5"/>
  </externalReferences>
  <definedNames>
    <definedName name="City_Name">'[1]Migrated Societies Data'!$B$2:$B$999</definedName>
  </definedNames>
  <calcPr/>
  <extLst>
    <ext uri="GoogleSheetsCustomDataVersion2">
      <go:sheetsCustomData xmlns:go="http://customooxmlschemas.google.com/" r:id="rId6" roundtripDataChecksum="BEbMIb2NaOtCfGCpo9lLO4NeRqIbKHB/tErEkqlq86k="/>
    </ext>
  </extLst>
</workbook>
</file>

<file path=xl/sharedStrings.xml><?xml version="1.0" encoding="utf-8"?>
<sst xmlns="http://schemas.openxmlformats.org/spreadsheetml/2006/main" count="493" uniqueCount="95">
  <si>
    <t>Date</t>
  </si>
  <si>
    <t>Month</t>
  </si>
  <si>
    <t>Type</t>
  </si>
  <si>
    <t>Milk/NM</t>
  </si>
  <si>
    <t>City Name</t>
  </si>
  <si>
    <t>city_name</t>
  </si>
  <si>
    <t>sa_name</t>
  </si>
  <si>
    <t>pick_location_name</t>
  </si>
  <si>
    <t>dc_id</t>
  </si>
  <si>
    <t>order_id</t>
  </si>
  <si>
    <t>slot</t>
  </si>
  <si>
    <t>fulfillment_info</t>
  </si>
  <si>
    <t>created_on</t>
  </si>
  <si>
    <t>status</t>
  </si>
  <si>
    <t>product_description_id</t>
  </si>
  <si>
    <t>mod_type</t>
  </si>
  <si>
    <t>sku_name</t>
  </si>
  <si>
    <t>tlc</t>
  </si>
  <si>
    <t>old_quantity</t>
  </si>
  <si>
    <t>new_quantity</t>
  </si>
  <si>
    <t>ud_qty</t>
  </si>
  <si>
    <t>is_infinite</t>
  </si>
  <si>
    <t>order_type</t>
  </si>
  <si>
    <t>when_to_consolidate</t>
  </si>
  <si>
    <t>consolidation_type</t>
  </si>
  <si>
    <t>consolidation_status</t>
  </si>
  <si>
    <t>consolidation_status_code</t>
  </si>
  <si>
    <t>consolidated_order_id</t>
  </si>
  <si>
    <t>cons_order_status</t>
  </si>
  <si>
    <t>cons_original_quantity</t>
  </si>
  <si>
    <t>cons_actual_quantity</t>
  </si>
  <si>
    <t>dc_er_qoh</t>
  </si>
  <si>
    <t>dc_is_infinite</t>
  </si>
  <si>
    <t>ud_category</t>
  </si>
  <si>
    <t>wms_qoh</t>
  </si>
  <si>
    <t>order_item_id</t>
  </si>
  <si>
    <t>ud_rca</t>
  </si>
  <si>
    <t>Bangalore</t>
  </si>
  <si>
    <t>BBD-BLR-Jigani-T1</t>
  </si>
  <si>
    <t>DS-IBBLR-Jigani</t>
  </si>
  <si>
    <t>2025-12-22 04:30AM to 07:00AM</t>
  </si>
  <si>
    <t>normal</t>
  </si>
  <si>
    <t>complete</t>
  </si>
  <si>
    <t>not-delivered</t>
  </si>
  <si>
    <t>fresho! Chilli - Green, Organically Grown 100 g</t>
  </si>
  <si>
    <t>Fruits &amp; Vegetables</t>
  </si>
  <si>
    <t>Assorted</t>
  </si>
  <si>
    <t>others</t>
  </si>
  <si>
    <t>Others</t>
  </si>
  <si>
    <t>BBD-BLR-Nagondanahalli-T1</t>
  </si>
  <si>
    <t>DS-IBBLR-Nagondanaha</t>
  </si>
  <si>
    <t>Nandini Curd 500 g</t>
  </si>
  <si>
    <t>Bakery, Cakes &amp; Dairy</t>
  </si>
  <si>
    <t>fresho! Premium Tender Coconut 1 pc</t>
  </si>
  <si>
    <t>BBD-BLR-Chinappalay-T1</t>
  </si>
  <si>
    <t>DS-IBBLR-Chinappalay</t>
  </si>
  <si>
    <t>Nandini GoodLife Spiced Buttermilk 200 ml</t>
  </si>
  <si>
    <t>Bauli Moonfils Croissant - Choco Creme, Veg 45 g</t>
  </si>
  <si>
    <t>BBD-BLR-HAL-T1</t>
  </si>
  <si>
    <t>DS-IBBLR-HAL</t>
  </si>
  <si>
    <t>Britannia Bourbon Creme Biscuit With Chocolate 20 g</t>
  </si>
  <si>
    <t>Snacks &amp; Branded Foods</t>
  </si>
  <si>
    <t>BBD-BLR-Lingarajapu-T1</t>
  </si>
  <si>
    <t>DS-IBBLR-Lingarajapu</t>
  </si>
  <si>
    <t>Heritage Toned Milk 500 ml</t>
  </si>
  <si>
    <t>fresho! Signature Pineapple Juice - Cold Pressed 250 ml</t>
  </si>
  <si>
    <t>Beverages</t>
  </si>
  <si>
    <t>fresho! Signature Apple Juice - Cold Pressed 250 ml</t>
  </si>
  <si>
    <t>fresho! Organic A2 Desi Cow milk 500 ml</t>
  </si>
  <si>
    <t>Godrej Jersey Homogenised Fresh Toned Milk 500 ml</t>
  </si>
  <si>
    <t>BBD-BLR-Jalahalli-T1</t>
  </si>
  <si>
    <t>DS-IBBLR-Jala halli</t>
  </si>
  <si>
    <t>Tasties Moong Dal 30 g</t>
  </si>
  <si>
    <t>Akshayakalpa Organic Probiotic Buttermilk - Plain, Low-Calorie 200 ml</t>
  </si>
  <si>
    <t>BBD-BLR-Jakkasandra-T1</t>
  </si>
  <si>
    <t>DS-IBBLR-Jakkasandra</t>
  </si>
  <si>
    <t>Nandini A2 Pasteurised Cow Milk 500 ml</t>
  </si>
  <si>
    <t>fresho! Gondhoraj Lemon 2 pcs, approx 200 g</t>
  </si>
  <si>
    <t>Bingo! Masala Tadka Tedhe Medhe 75 g</t>
  </si>
  <si>
    <t>Melukhha Christmas Tree Decor Snowstar - 4 cm, White 6 pcs</t>
  </si>
  <si>
    <t>Cleaning &amp; Household</t>
  </si>
  <si>
    <t>fresho! Organic Certified Organic Toned Milk 500 ml</t>
  </si>
  <si>
    <t>BBD-BLR-BellahalliRoad-T1</t>
  </si>
  <si>
    <t>DS-IBBLR-Bellahalli</t>
  </si>
  <si>
    <t>Britannia Brown Bread 400 g</t>
  </si>
  <si>
    <t>fresho! Banana - Robusta, Small 500 g</t>
  </si>
  <si>
    <t>BBD-BLR-Devanahalli-T1</t>
  </si>
  <si>
    <t>DS-IBBLR-Devanahalli</t>
  </si>
  <si>
    <t>Akshayakalpa Organic A2 Probiotic Butter Milk Spiced 200 ml</t>
  </si>
  <si>
    <t>BBD-BLR-BensonTown-T1</t>
  </si>
  <si>
    <t>DS-IBBLR-Benson Town</t>
  </si>
  <si>
    <t>fresho! Roses Flower - Cut 250 g</t>
  </si>
  <si>
    <t>BBD-BLR-PeenyaPhase3-T1</t>
  </si>
  <si>
    <t>DS-IBBLR-Peenya PH-3</t>
  </si>
  <si>
    <t>Haldiram's Aloo Bhujia 42 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</si>
</sst>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\-mm\-yyyy\ hh:mm"/>
  </numFmts>
  <fonts count="4">
    <font>
      <sz val="10.0"/>
      <color theme="1"/>
      <name val="Aptos Narrow"/>
      <scheme val="minor"/>
    </font>
    <font>
      <b/>
      <sz val="11.0"/>
      <color rgb="FF000000"/>
      <name val="Arial"/>
    </font>
    <font>
      <b/>
      <sz val="11.0"/>
      <color rgb="FF000000"/>
      <name val="&quot;Aptos Narrow&quot;"/>
    </font>
    <font>
      <sz val="11.0"/>
      <color rgb="FF000000"/>
      <name val="&quot;Aptos Narrow&quot;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2" numFmtId="1" xfId="0" applyFont="1" applyNumberFormat="1"/>
    <xf borderId="0" fillId="2" fontId="2" numFmtId="0" xfId="0" applyFont="1"/>
    <xf borderId="0" fillId="2" fontId="1" numFmtId="0" xfId="0" applyFont="1"/>
    <xf borderId="0" fillId="0" fontId="3" numFmtId="0" xfId="0" applyFont="1"/>
    <xf borderId="0" fillId="0" fontId="3" numFmtId="1" xfId="0" applyAlignment="1" applyFont="1" applyNumberFormat="1">
      <alignment horizontal="right"/>
    </xf>
    <xf borderId="0" fillId="0" fontId="3" numFmtId="164" xfId="0" applyAlignment="1" applyFont="1" applyNumberFormat="1">
      <alignment horizontal="right"/>
    </xf>
    <xf borderId="0" fillId="0" fontId="3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Syed%20Muazzam/Downloads/Subscription_Pilot_Metrics_Tracker%20(1)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ashboard"/>
      <sheetName val="OTD + FR + CX Complaints"/>
      <sheetName val="Testing"/>
      <sheetName val="Seshu Sir Data"/>
      <sheetName val="Day wise type 2"/>
      <sheetName val="Day wise Format"/>
      <sheetName val="Fill Rate Impacted SKU Details"/>
      <sheetName val="Lookup Data"/>
      <sheetName val="Quicksight Prerequisite"/>
      <sheetName val="S&amp;M Dashboard"/>
      <sheetName val="Migrated Societies Data"/>
      <sheetName val="FO Data"/>
      <sheetName val="Reports"/>
      <sheetName val="order_sku_sales_bb2_report"/>
      <sheetName val="order_Report_SA_ID_BB2.0"/>
      <sheetName val="subscription_order_detail_daily"/>
      <sheetName val="bb2-ud-rca-report"/>
      <sheetName val="order_modification_reports_sa_b"/>
      <sheetName val="credit-used-report-bb20-source-"/>
      <sheetName val="expressOrderReport"/>
      <sheetName val="Complaints"/>
      <sheetName val="Tour Summary Report"/>
      <sheetName val="B2B_ORDER_pICK"/>
      <sheetName val="interfc_2.0_fillrate"/>
      <sheetName val="OTA"/>
      <sheetName val="Orders Summary"/>
      <sheetName val="Summary"/>
      <sheetName val="Sales + Marketing"/>
      <sheetName val="iot-rate-card-iot_orderwise_rep"/>
      <sheetName val="UD-SKU"/>
      <sheetName val="Aug Societies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4" width="14.43"/>
    <col customWidth="1" min="5" max="5" width="22.57"/>
    <col customWidth="1" min="6" max="6" width="14.43"/>
    <col customWidth="1" min="7" max="7" width="28.57"/>
    <col customWidth="1" min="8" max="8" width="24.71"/>
    <col customWidth="1" min="9" max="9" width="11.86"/>
    <col customWidth="1" min="10" max="10" width="16.57"/>
    <col customWidth="1" min="11" max="11" width="32.14"/>
    <col customWidth="1" min="13" max="13" width="17.71"/>
    <col customWidth="1" min="15" max="15" width="27.29"/>
    <col customWidth="1" min="16" max="16" width="16.0"/>
    <col customWidth="1" min="17" max="17" width="84.14"/>
    <col customWidth="1" min="18" max="18" width="24.86"/>
    <col customWidth="1" min="21" max="21" width="15.86"/>
    <col customWidth="1" min="36" max="36" width="17.8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18</v>
      </c>
      <c r="T1" s="4" t="s">
        <v>19</v>
      </c>
      <c r="U1" s="5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</row>
    <row r="2" ht="15.75" customHeight="1">
      <c r="A2" s="6" t="str">
        <f t="shared" ref="A2:A39" si="1">TEXT(LEFT(K2,10),"DD-MMM-YYYY")</f>
        <v>22-Dec-2025</v>
      </c>
      <c r="B2" s="6" t="str">
        <f t="shared" ref="B2:B39" si="2">TEXT(LEFT(K2,10),"MMMM")</f>
        <v>December</v>
      </c>
      <c r="C2" s="6" t="str">
        <f>ARRAY_CONSTRAIN(ARRAYFORMULA(_xludf.XLOOKUP(J651,[1]order_Report_SA_ID_BB2.0!Q:Q,[1]order_Report_SA_ID_BB2.0!H:H)), 1, 1)</f>
        <v>#ERROR!</v>
      </c>
      <c r="D2" s="6" t="str">
        <f>ARRAY_CONSTRAIN(ARRAYFORMULA(_xludf.XLOOKUP(O651,[1]order_sku_sales_bb2_report!J:J,[1]order_sku_sales_bb2_report!D:D)), 1, 1)</f>
        <v>#ERROR!</v>
      </c>
      <c r="E2" s="6" t="str">
        <f>ARRAY_CONSTRAIN(ARRAYFORMULA(_xludf.XLOOKUP(J651,[1]order_Report_SA_ID_BB2.0!Q:Q,[1]order_Report_SA_ID_BB2.0!D:D)), 1, 1)</f>
        <v>#ERROR!</v>
      </c>
      <c r="F2" s="6" t="s">
        <v>37</v>
      </c>
      <c r="G2" s="6" t="s">
        <v>38</v>
      </c>
      <c r="H2" s="6" t="s">
        <v>39</v>
      </c>
      <c r="I2" s="6"/>
      <c r="J2" s="7">
        <v>1.859031426E9</v>
      </c>
      <c r="K2" s="6" t="s">
        <v>40</v>
      </c>
      <c r="L2" s="6" t="s">
        <v>41</v>
      </c>
      <c r="M2" s="8">
        <v>46012.83819444444</v>
      </c>
      <c r="N2" s="6" t="s">
        <v>42</v>
      </c>
      <c r="O2" s="9">
        <v>5.0000511E7</v>
      </c>
      <c r="P2" s="6" t="s">
        <v>43</v>
      </c>
      <c r="Q2" s="6" t="s">
        <v>44</v>
      </c>
      <c r="R2" s="6" t="s">
        <v>45</v>
      </c>
      <c r="S2" s="9">
        <v>1.0</v>
      </c>
      <c r="T2" s="9">
        <v>0.0</v>
      </c>
      <c r="U2" s="9">
        <v>1.0</v>
      </c>
      <c r="V2" s="6"/>
      <c r="W2" s="6" t="s">
        <v>46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 t="s">
        <v>47</v>
      </c>
      <c r="AI2" s="6"/>
      <c r="AJ2" s="9">
        <v>2.945608191E9</v>
      </c>
      <c r="AK2" s="6" t="s">
        <v>48</v>
      </c>
    </row>
    <row r="3" ht="15.75" customHeight="1">
      <c r="A3" s="6" t="str">
        <f t="shared" si="1"/>
        <v>22-Dec-2025</v>
      </c>
      <c r="B3" s="6" t="str">
        <f t="shared" si="2"/>
        <v>December</v>
      </c>
      <c r="C3" s="6" t="str">
        <f>ARRAY_CONSTRAIN(ARRAYFORMULA(_xludf.XLOOKUP(J652,[1]order_Report_SA_ID_BB2.0!Q:Q,[1]order_Report_SA_ID_BB2.0!H:H)), 1, 1)</f>
        <v>#ERROR!</v>
      </c>
      <c r="D3" s="6" t="str">
        <f>ARRAY_CONSTRAIN(ARRAYFORMULA(_xludf.XLOOKUP(O652,[1]order_sku_sales_bb2_report!J:J,[1]order_sku_sales_bb2_report!D:D)), 1, 1)</f>
        <v>#ERROR!</v>
      </c>
      <c r="E3" s="6" t="str">
        <f>ARRAY_CONSTRAIN(ARRAYFORMULA(_xludf.XLOOKUP(J652,[1]order_Report_SA_ID_BB2.0!Q:Q,[1]order_Report_SA_ID_BB2.0!D:D)), 1, 1)</f>
        <v>#ERROR!</v>
      </c>
      <c r="F3" s="6" t="s">
        <v>37</v>
      </c>
      <c r="G3" s="6" t="s">
        <v>49</v>
      </c>
      <c r="H3" s="6" t="s">
        <v>50</v>
      </c>
      <c r="I3" s="6"/>
      <c r="J3" s="7">
        <v>1.859164815E9</v>
      </c>
      <c r="K3" s="6" t="s">
        <v>40</v>
      </c>
      <c r="L3" s="6" t="s">
        <v>41</v>
      </c>
      <c r="M3" s="8">
        <v>46013.0</v>
      </c>
      <c r="N3" s="6" t="s">
        <v>42</v>
      </c>
      <c r="O3" s="9">
        <v>4.014983E7</v>
      </c>
      <c r="P3" s="6" t="s">
        <v>43</v>
      </c>
      <c r="Q3" s="6" t="s">
        <v>51</v>
      </c>
      <c r="R3" s="6" t="s">
        <v>52</v>
      </c>
      <c r="S3" s="9">
        <v>1.0</v>
      </c>
      <c r="T3" s="9">
        <v>0.0</v>
      </c>
      <c r="U3" s="9">
        <v>1.0</v>
      </c>
      <c r="V3" s="6"/>
      <c r="W3" s="6" t="s">
        <v>46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 t="s">
        <v>47</v>
      </c>
      <c r="AI3" s="6"/>
      <c r="AJ3" s="9">
        <v>2.9462713E9</v>
      </c>
      <c r="AK3" s="6" t="s">
        <v>48</v>
      </c>
    </row>
    <row r="4" ht="15.75" customHeight="1">
      <c r="A4" s="6" t="str">
        <f t="shared" si="1"/>
        <v>22-Dec-2025</v>
      </c>
      <c r="B4" s="6" t="str">
        <f t="shared" si="2"/>
        <v>December</v>
      </c>
      <c r="C4" s="6" t="str">
        <f>ARRAY_CONSTRAIN(ARRAYFORMULA(_xludf.XLOOKUP(J653,[1]order_Report_SA_ID_BB2.0!Q:Q,[1]order_Report_SA_ID_BB2.0!H:H)), 1, 1)</f>
        <v>#ERROR!</v>
      </c>
      <c r="D4" s="6" t="str">
        <f>ARRAY_CONSTRAIN(ARRAYFORMULA(_xludf.XLOOKUP(O653,[1]order_sku_sales_bb2_report!J:J,[1]order_sku_sales_bb2_report!D:D)), 1, 1)</f>
        <v>#ERROR!</v>
      </c>
      <c r="E4" s="6" t="str">
        <f>ARRAY_CONSTRAIN(ARRAYFORMULA(_xludf.XLOOKUP(J653,[1]order_Report_SA_ID_BB2.0!Q:Q,[1]order_Report_SA_ID_BB2.0!D:D)), 1, 1)</f>
        <v>#ERROR!</v>
      </c>
      <c r="F4" s="6" t="s">
        <v>37</v>
      </c>
      <c r="G4" s="6" t="s">
        <v>38</v>
      </c>
      <c r="H4" s="6" t="s">
        <v>39</v>
      </c>
      <c r="I4" s="6"/>
      <c r="J4" s="7">
        <v>1.859164862E9</v>
      </c>
      <c r="K4" s="6" t="s">
        <v>40</v>
      </c>
      <c r="L4" s="6" t="s">
        <v>41</v>
      </c>
      <c r="M4" s="8">
        <v>46013.0</v>
      </c>
      <c r="N4" s="6" t="s">
        <v>42</v>
      </c>
      <c r="O4" s="9">
        <v>4.0272798E7</v>
      </c>
      <c r="P4" s="6" t="s">
        <v>43</v>
      </c>
      <c r="Q4" s="6" t="s">
        <v>53</v>
      </c>
      <c r="R4" s="6" t="s">
        <v>45</v>
      </c>
      <c r="S4" s="9">
        <v>1.0</v>
      </c>
      <c r="T4" s="9">
        <v>0.0</v>
      </c>
      <c r="U4" s="9">
        <v>1.0</v>
      </c>
      <c r="V4" s="6"/>
      <c r="W4" s="6" t="s">
        <v>46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 t="s">
        <v>47</v>
      </c>
      <c r="AI4" s="6"/>
      <c r="AJ4" s="9">
        <v>2.946272074E9</v>
      </c>
      <c r="AK4" s="6" t="s">
        <v>48</v>
      </c>
    </row>
    <row r="5" ht="15.75" customHeight="1">
      <c r="A5" s="6" t="str">
        <f t="shared" si="1"/>
        <v>22-Dec-2025</v>
      </c>
      <c r="B5" s="6" t="str">
        <f t="shared" si="2"/>
        <v>December</v>
      </c>
      <c r="C5" s="6" t="str">
        <f>ARRAY_CONSTRAIN(ARRAYFORMULA(_xludf.XLOOKUP(J654,[1]order_Report_SA_ID_BB2.0!Q:Q,[1]order_Report_SA_ID_BB2.0!H:H)), 1, 1)</f>
        <v>#ERROR!</v>
      </c>
      <c r="D5" s="6" t="str">
        <f>ARRAY_CONSTRAIN(ARRAYFORMULA(_xludf.XLOOKUP(O654,[1]order_sku_sales_bb2_report!J:J,[1]order_sku_sales_bb2_report!D:D)), 1, 1)</f>
        <v>#ERROR!</v>
      </c>
      <c r="E5" s="6" t="str">
        <f>ARRAY_CONSTRAIN(ARRAYFORMULA(_xludf.XLOOKUP(J654,[1]order_Report_SA_ID_BB2.0!Q:Q,[1]order_Report_SA_ID_BB2.0!D:D)), 1, 1)</f>
        <v>#ERROR!</v>
      </c>
      <c r="F5" s="6" t="s">
        <v>37</v>
      </c>
      <c r="G5" s="6" t="s">
        <v>49</v>
      </c>
      <c r="H5" s="6" t="s">
        <v>50</v>
      </c>
      <c r="I5" s="6"/>
      <c r="J5" s="7">
        <v>1.85916491E9</v>
      </c>
      <c r="K5" s="6" t="s">
        <v>40</v>
      </c>
      <c r="L5" s="6" t="s">
        <v>41</v>
      </c>
      <c r="M5" s="8">
        <v>46013.0</v>
      </c>
      <c r="N5" s="6" t="s">
        <v>42</v>
      </c>
      <c r="O5" s="9">
        <v>4.014983E7</v>
      </c>
      <c r="P5" s="6" t="s">
        <v>43</v>
      </c>
      <c r="Q5" s="6" t="s">
        <v>51</v>
      </c>
      <c r="R5" s="6" t="s">
        <v>52</v>
      </c>
      <c r="S5" s="9">
        <v>1.0</v>
      </c>
      <c r="T5" s="9">
        <v>0.0</v>
      </c>
      <c r="U5" s="9">
        <v>1.0</v>
      </c>
      <c r="V5" s="6"/>
      <c r="W5" s="6" t="s">
        <v>46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 t="s">
        <v>47</v>
      </c>
      <c r="AI5" s="6"/>
      <c r="AJ5" s="9">
        <v>2.946273128E9</v>
      </c>
      <c r="AK5" s="6" t="s">
        <v>48</v>
      </c>
    </row>
    <row r="6" ht="15.75" customHeight="1">
      <c r="A6" s="6" t="str">
        <f t="shared" si="1"/>
        <v>22-Dec-2025</v>
      </c>
      <c r="B6" s="6" t="str">
        <f t="shared" si="2"/>
        <v>December</v>
      </c>
      <c r="C6" s="6" t="str">
        <f>ARRAY_CONSTRAIN(ARRAYFORMULA(_xludf.XLOOKUP(J655,[1]order_Report_SA_ID_BB2.0!Q:Q,[1]order_Report_SA_ID_BB2.0!H:H)), 1, 1)</f>
        <v>#ERROR!</v>
      </c>
      <c r="D6" s="6" t="str">
        <f>ARRAY_CONSTRAIN(ARRAYFORMULA(_xludf.XLOOKUP(O655,[1]order_sku_sales_bb2_report!J:J,[1]order_sku_sales_bb2_report!D:D)), 1, 1)</f>
        <v>#ERROR!</v>
      </c>
      <c r="E6" s="6" t="str">
        <f>ARRAY_CONSTRAIN(ARRAYFORMULA(_xludf.XLOOKUP(J655,[1]order_Report_SA_ID_BB2.0!Q:Q,[1]order_Report_SA_ID_BB2.0!D:D)), 1, 1)</f>
        <v>#ERROR!</v>
      </c>
      <c r="F6" s="6" t="s">
        <v>37</v>
      </c>
      <c r="G6" s="6" t="s">
        <v>49</v>
      </c>
      <c r="H6" s="6" t="s">
        <v>50</v>
      </c>
      <c r="I6" s="6"/>
      <c r="J6" s="7">
        <v>1.859164933E9</v>
      </c>
      <c r="K6" s="6" t="s">
        <v>40</v>
      </c>
      <c r="L6" s="6" t="s">
        <v>41</v>
      </c>
      <c r="M6" s="8">
        <v>46013.0</v>
      </c>
      <c r="N6" s="6" t="s">
        <v>42</v>
      </c>
      <c r="O6" s="9">
        <v>4.014983E7</v>
      </c>
      <c r="P6" s="6" t="s">
        <v>43</v>
      </c>
      <c r="Q6" s="6" t="s">
        <v>51</v>
      </c>
      <c r="R6" s="6" t="s">
        <v>52</v>
      </c>
      <c r="S6" s="9">
        <v>1.0</v>
      </c>
      <c r="T6" s="9">
        <v>0.0</v>
      </c>
      <c r="U6" s="9">
        <v>1.0</v>
      </c>
      <c r="V6" s="6"/>
      <c r="W6" s="6" t="s">
        <v>46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 t="s">
        <v>47</v>
      </c>
      <c r="AI6" s="6"/>
      <c r="AJ6" s="9">
        <v>2.946273493E9</v>
      </c>
      <c r="AK6" s="6" t="s">
        <v>48</v>
      </c>
    </row>
    <row r="7" ht="15.75" customHeight="1">
      <c r="A7" s="6" t="str">
        <f t="shared" si="1"/>
        <v>22-Dec-2025</v>
      </c>
      <c r="B7" s="6" t="str">
        <f t="shared" si="2"/>
        <v>December</v>
      </c>
      <c r="C7" s="6" t="str">
        <f>ARRAY_CONSTRAIN(ARRAYFORMULA(_xludf.XLOOKUP(J656,[1]order_Report_SA_ID_BB2.0!Q:Q,[1]order_Report_SA_ID_BB2.0!H:H)), 1, 1)</f>
        <v>#ERROR!</v>
      </c>
      <c r="D7" s="6" t="str">
        <f>ARRAY_CONSTRAIN(ARRAYFORMULA(_xludf.XLOOKUP(O656,[1]order_sku_sales_bb2_report!J:J,[1]order_sku_sales_bb2_report!D:D)), 1, 1)</f>
        <v>#ERROR!</v>
      </c>
      <c r="E7" s="6" t="str">
        <f>ARRAY_CONSTRAIN(ARRAYFORMULA(_xludf.XLOOKUP(J656,[1]order_Report_SA_ID_BB2.0!Q:Q,[1]order_Report_SA_ID_BB2.0!D:D)), 1, 1)</f>
        <v>#ERROR!</v>
      </c>
      <c r="F7" s="6" t="s">
        <v>37</v>
      </c>
      <c r="G7" s="6" t="s">
        <v>49</v>
      </c>
      <c r="H7" s="6" t="s">
        <v>50</v>
      </c>
      <c r="I7" s="6"/>
      <c r="J7" s="7">
        <v>1.859164963E9</v>
      </c>
      <c r="K7" s="6" t="s">
        <v>40</v>
      </c>
      <c r="L7" s="6" t="s">
        <v>41</v>
      </c>
      <c r="M7" s="8">
        <v>46013.0</v>
      </c>
      <c r="N7" s="6" t="s">
        <v>42</v>
      </c>
      <c r="O7" s="9">
        <v>4.014983E7</v>
      </c>
      <c r="P7" s="6" t="s">
        <v>43</v>
      </c>
      <c r="Q7" s="6" t="s">
        <v>51</v>
      </c>
      <c r="R7" s="6" t="s">
        <v>52</v>
      </c>
      <c r="S7" s="9">
        <v>1.0</v>
      </c>
      <c r="T7" s="9">
        <v>0.0</v>
      </c>
      <c r="U7" s="9">
        <v>1.0</v>
      </c>
      <c r="V7" s="6"/>
      <c r="W7" s="6" t="s">
        <v>46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 t="s">
        <v>47</v>
      </c>
      <c r="AI7" s="6"/>
      <c r="AJ7" s="9">
        <v>2.946274015E9</v>
      </c>
      <c r="AK7" s="6" t="s">
        <v>48</v>
      </c>
    </row>
    <row r="8" ht="15.75" customHeight="1">
      <c r="A8" s="6" t="str">
        <f t="shared" si="1"/>
        <v>22-Dec-2025</v>
      </c>
      <c r="B8" s="6" t="str">
        <f t="shared" si="2"/>
        <v>December</v>
      </c>
      <c r="C8" s="6" t="str">
        <f>ARRAY_CONSTRAIN(ARRAYFORMULA(_xludf.XLOOKUP(J657,[1]order_Report_SA_ID_BB2.0!Q:Q,[1]order_Report_SA_ID_BB2.0!H:H)), 1, 1)</f>
        <v>#ERROR!</v>
      </c>
      <c r="D8" s="6" t="str">
        <f>ARRAY_CONSTRAIN(ARRAYFORMULA(_xludf.XLOOKUP(O657,[1]order_sku_sales_bb2_report!J:J,[1]order_sku_sales_bb2_report!D:D)), 1, 1)</f>
        <v>#ERROR!</v>
      </c>
      <c r="E8" s="6" t="str">
        <f>ARRAY_CONSTRAIN(ARRAYFORMULA(_xludf.XLOOKUP(J657,[1]order_Report_SA_ID_BB2.0!Q:Q,[1]order_Report_SA_ID_BB2.0!D:D)), 1, 1)</f>
        <v>#ERROR!</v>
      </c>
      <c r="F8" s="6" t="s">
        <v>37</v>
      </c>
      <c r="G8" s="6" t="s">
        <v>49</v>
      </c>
      <c r="H8" s="6" t="s">
        <v>50</v>
      </c>
      <c r="I8" s="6"/>
      <c r="J8" s="7">
        <v>1.859165022E9</v>
      </c>
      <c r="K8" s="6" t="s">
        <v>40</v>
      </c>
      <c r="L8" s="6" t="s">
        <v>41</v>
      </c>
      <c r="M8" s="8">
        <v>46013.00069444445</v>
      </c>
      <c r="N8" s="6" t="s">
        <v>42</v>
      </c>
      <c r="O8" s="9">
        <v>4.014983E7</v>
      </c>
      <c r="P8" s="6" t="s">
        <v>43</v>
      </c>
      <c r="Q8" s="6" t="s">
        <v>51</v>
      </c>
      <c r="R8" s="6" t="s">
        <v>52</v>
      </c>
      <c r="S8" s="9">
        <v>1.0</v>
      </c>
      <c r="T8" s="9">
        <v>0.0</v>
      </c>
      <c r="U8" s="9">
        <v>1.0</v>
      </c>
      <c r="V8" s="6"/>
      <c r="W8" s="6" t="s">
        <v>46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 t="s">
        <v>47</v>
      </c>
      <c r="AI8" s="6"/>
      <c r="AJ8" s="9">
        <v>2.946275035E9</v>
      </c>
      <c r="AK8" s="6" t="s">
        <v>48</v>
      </c>
    </row>
    <row r="9" ht="15.75" customHeight="1">
      <c r="A9" s="6" t="str">
        <f t="shared" si="1"/>
        <v>22-Dec-2025</v>
      </c>
      <c r="B9" s="6" t="str">
        <f t="shared" si="2"/>
        <v>December</v>
      </c>
      <c r="C9" s="6" t="str">
        <f>ARRAY_CONSTRAIN(ARRAYFORMULA(_xludf.XLOOKUP(J658,[1]order_Report_SA_ID_BB2.0!Q:Q,[1]order_Report_SA_ID_BB2.0!H:H)), 1, 1)</f>
        <v>#ERROR!</v>
      </c>
      <c r="D9" s="6" t="str">
        <f>ARRAY_CONSTRAIN(ARRAYFORMULA(_xludf.XLOOKUP(O658,[1]order_sku_sales_bb2_report!J:J,[1]order_sku_sales_bb2_report!D:D)), 1, 1)</f>
        <v>#ERROR!</v>
      </c>
      <c r="E9" s="6" t="str">
        <f>ARRAY_CONSTRAIN(ARRAYFORMULA(_xludf.XLOOKUP(J658,[1]order_Report_SA_ID_BB2.0!Q:Q,[1]order_Report_SA_ID_BB2.0!D:D)), 1, 1)</f>
        <v>#ERROR!</v>
      </c>
      <c r="F9" s="6" t="s">
        <v>37</v>
      </c>
      <c r="G9" s="6" t="s">
        <v>54</v>
      </c>
      <c r="H9" s="6" t="s">
        <v>55</v>
      </c>
      <c r="I9" s="6"/>
      <c r="J9" s="7">
        <v>1.859165037E9</v>
      </c>
      <c r="K9" s="6" t="s">
        <v>40</v>
      </c>
      <c r="L9" s="6" t="s">
        <v>41</v>
      </c>
      <c r="M9" s="8">
        <v>46013.00069444445</v>
      </c>
      <c r="N9" s="6" t="s">
        <v>42</v>
      </c>
      <c r="O9" s="9">
        <v>258324.0</v>
      </c>
      <c r="P9" s="6" t="s">
        <v>43</v>
      </c>
      <c r="Q9" s="6" t="s">
        <v>56</v>
      </c>
      <c r="R9" s="6" t="s">
        <v>52</v>
      </c>
      <c r="S9" s="9">
        <v>2.0</v>
      </c>
      <c r="T9" s="9">
        <v>0.0</v>
      </c>
      <c r="U9" s="9">
        <v>2.0</v>
      </c>
      <c r="V9" s="6"/>
      <c r="W9" s="6" t="s">
        <v>46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 t="s">
        <v>47</v>
      </c>
      <c r="AI9" s="6"/>
      <c r="AJ9" s="9">
        <v>2.94627538E9</v>
      </c>
      <c r="AK9" s="6" t="s">
        <v>48</v>
      </c>
    </row>
    <row r="10" ht="15.75" customHeight="1">
      <c r="A10" s="6" t="str">
        <f t="shared" si="1"/>
        <v>22-Dec-2025</v>
      </c>
      <c r="B10" s="6" t="str">
        <f t="shared" si="2"/>
        <v>December</v>
      </c>
      <c r="C10" s="6" t="str">
        <f>ARRAY_CONSTRAIN(ARRAYFORMULA(_xludf.XLOOKUP(J659,[1]order_Report_SA_ID_BB2.0!Q:Q,[1]order_Report_SA_ID_BB2.0!H:H)), 1, 1)</f>
        <v>#ERROR!</v>
      </c>
      <c r="D10" s="6" t="str">
        <f>ARRAY_CONSTRAIN(ARRAYFORMULA(_xludf.XLOOKUP(O659,[1]order_sku_sales_bb2_report!J:J,[1]order_sku_sales_bb2_report!D:D)), 1, 1)</f>
        <v>#ERROR!</v>
      </c>
      <c r="E10" s="6" t="str">
        <f>ARRAY_CONSTRAIN(ARRAYFORMULA(_xludf.XLOOKUP(J659,[1]order_Report_SA_ID_BB2.0!Q:Q,[1]order_Report_SA_ID_BB2.0!D:D)), 1, 1)</f>
        <v>#ERROR!</v>
      </c>
      <c r="F10" s="6" t="s">
        <v>37</v>
      </c>
      <c r="G10" s="6" t="s">
        <v>49</v>
      </c>
      <c r="H10" s="6" t="s">
        <v>50</v>
      </c>
      <c r="I10" s="6"/>
      <c r="J10" s="7">
        <v>1.859165056E9</v>
      </c>
      <c r="K10" s="6" t="s">
        <v>40</v>
      </c>
      <c r="L10" s="6" t="s">
        <v>41</v>
      </c>
      <c r="M10" s="8">
        <v>46013.00069444445</v>
      </c>
      <c r="N10" s="6" t="s">
        <v>42</v>
      </c>
      <c r="O10" s="9">
        <v>4.012463E7</v>
      </c>
      <c r="P10" s="6" t="s">
        <v>43</v>
      </c>
      <c r="Q10" s="6" t="s">
        <v>57</v>
      </c>
      <c r="R10" s="6" t="s">
        <v>52</v>
      </c>
      <c r="S10" s="9">
        <v>1.0</v>
      </c>
      <c r="T10" s="9">
        <v>0.0</v>
      </c>
      <c r="U10" s="9">
        <v>1.0</v>
      </c>
      <c r="V10" s="6"/>
      <c r="W10" s="6" t="s">
        <v>46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 t="s">
        <v>47</v>
      </c>
      <c r="AI10" s="6"/>
      <c r="AJ10" s="9">
        <v>2.946275873E9</v>
      </c>
      <c r="AK10" s="6" t="s">
        <v>48</v>
      </c>
    </row>
    <row r="11" ht="15.75" customHeight="1">
      <c r="A11" s="6" t="str">
        <f t="shared" si="1"/>
        <v>22-Dec-2025</v>
      </c>
      <c r="B11" s="6" t="str">
        <f t="shared" si="2"/>
        <v>December</v>
      </c>
      <c r="C11" s="6" t="str">
        <f>ARRAY_CONSTRAIN(ARRAYFORMULA(_xludf.XLOOKUP(J660,[1]order_Report_SA_ID_BB2.0!Q:Q,[1]order_Report_SA_ID_BB2.0!H:H)), 1, 1)</f>
        <v>#ERROR!</v>
      </c>
      <c r="D11" s="6" t="str">
        <f>ARRAY_CONSTRAIN(ARRAYFORMULA(_xludf.XLOOKUP(O660,[1]order_sku_sales_bb2_report!J:J,[1]order_sku_sales_bb2_report!D:D)), 1, 1)</f>
        <v>#ERROR!</v>
      </c>
      <c r="E11" s="6" t="str">
        <f>ARRAY_CONSTRAIN(ARRAYFORMULA(_xludf.XLOOKUP(J660,[1]order_Report_SA_ID_BB2.0!Q:Q,[1]order_Report_SA_ID_BB2.0!D:D)), 1, 1)</f>
        <v>#ERROR!</v>
      </c>
      <c r="F11" s="6" t="s">
        <v>37</v>
      </c>
      <c r="G11" s="6" t="s">
        <v>49</v>
      </c>
      <c r="H11" s="6" t="s">
        <v>50</v>
      </c>
      <c r="I11" s="6"/>
      <c r="J11" s="7">
        <v>1.859165214E9</v>
      </c>
      <c r="K11" s="6" t="s">
        <v>40</v>
      </c>
      <c r="L11" s="6" t="s">
        <v>41</v>
      </c>
      <c r="M11" s="8">
        <v>46013.00069444445</v>
      </c>
      <c r="N11" s="6" t="s">
        <v>42</v>
      </c>
      <c r="O11" s="9">
        <v>4.014983E7</v>
      </c>
      <c r="P11" s="6" t="s">
        <v>43</v>
      </c>
      <c r="Q11" s="6" t="s">
        <v>51</v>
      </c>
      <c r="R11" s="6" t="s">
        <v>52</v>
      </c>
      <c r="S11" s="9">
        <v>1.0</v>
      </c>
      <c r="T11" s="9">
        <v>0.0</v>
      </c>
      <c r="U11" s="9">
        <v>1.0</v>
      </c>
      <c r="V11" s="6"/>
      <c r="W11" s="6" t="s">
        <v>46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 t="s">
        <v>47</v>
      </c>
      <c r="AI11" s="6"/>
      <c r="AJ11" s="9">
        <v>2.946278862E9</v>
      </c>
      <c r="AK11" s="6" t="s">
        <v>48</v>
      </c>
    </row>
    <row r="12" ht="15.75" customHeight="1">
      <c r="A12" s="6" t="str">
        <f t="shared" si="1"/>
        <v>22-Dec-2025</v>
      </c>
      <c r="B12" s="6" t="str">
        <f t="shared" si="2"/>
        <v>December</v>
      </c>
      <c r="C12" s="6" t="str">
        <f>ARRAY_CONSTRAIN(ARRAYFORMULA(_xludf.XLOOKUP(J661,[1]order_Report_SA_ID_BB2.0!Q:Q,[1]order_Report_SA_ID_BB2.0!H:H)), 1, 1)</f>
        <v>#ERROR!</v>
      </c>
      <c r="D12" s="6" t="str">
        <f>ARRAY_CONSTRAIN(ARRAYFORMULA(_xludf.XLOOKUP(O661,[1]order_sku_sales_bb2_report!J:J,[1]order_sku_sales_bb2_report!D:D)), 1, 1)</f>
        <v>#ERROR!</v>
      </c>
      <c r="E12" s="6" t="str">
        <f>ARRAY_CONSTRAIN(ARRAYFORMULA(_xludf.XLOOKUP(J661,[1]order_Report_SA_ID_BB2.0!Q:Q,[1]order_Report_SA_ID_BB2.0!D:D)), 1, 1)</f>
        <v>#ERROR!</v>
      </c>
      <c r="F12" s="6" t="s">
        <v>37</v>
      </c>
      <c r="G12" s="6" t="s">
        <v>49</v>
      </c>
      <c r="H12" s="6" t="s">
        <v>50</v>
      </c>
      <c r="I12" s="6"/>
      <c r="J12" s="7">
        <v>1.859165237E9</v>
      </c>
      <c r="K12" s="6" t="s">
        <v>40</v>
      </c>
      <c r="L12" s="6" t="s">
        <v>41</v>
      </c>
      <c r="M12" s="8">
        <v>46013.00069444445</v>
      </c>
      <c r="N12" s="6" t="s">
        <v>42</v>
      </c>
      <c r="O12" s="9">
        <v>4.014983E7</v>
      </c>
      <c r="P12" s="6" t="s">
        <v>43</v>
      </c>
      <c r="Q12" s="6" t="s">
        <v>51</v>
      </c>
      <c r="R12" s="6" t="s">
        <v>52</v>
      </c>
      <c r="S12" s="9">
        <v>1.0</v>
      </c>
      <c r="T12" s="9">
        <v>0.0</v>
      </c>
      <c r="U12" s="9">
        <v>1.0</v>
      </c>
      <c r="V12" s="6"/>
      <c r="W12" s="6" t="s">
        <v>46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 t="s">
        <v>47</v>
      </c>
      <c r="AI12" s="6"/>
      <c r="AJ12" s="9">
        <v>2.946279279E9</v>
      </c>
      <c r="AK12" s="6" t="s">
        <v>48</v>
      </c>
    </row>
    <row r="13" ht="15.75" customHeight="1">
      <c r="A13" s="6" t="str">
        <f t="shared" si="1"/>
        <v>22-Dec-2025</v>
      </c>
      <c r="B13" s="6" t="str">
        <f t="shared" si="2"/>
        <v>December</v>
      </c>
      <c r="C13" s="6" t="str">
        <f>ARRAY_CONSTRAIN(ARRAYFORMULA(_xludf.XLOOKUP(J662,[1]order_Report_SA_ID_BB2.0!Q:Q,[1]order_Report_SA_ID_BB2.0!H:H)), 1, 1)</f>
        <v>#ERROR!</v>
      </c>
      <c r="D13" s="6" t="str">
        <f>ARRAY_CONSTRAIN(ARRAYFORMULA(_xludf.XLOOKUP(O662,[1]order_sku_sales_bb2_report!J:J,[1]order_sku_sales_bb2_report!D:D)), 1, 1)</f>
        <v>#ERROR!</v>
      </c>
      <c r="E13" s="6" t="str">
        <f>ARRAY_CONSTRAIN(ARRAYFORMULA(_xludf.XLOOKUP(J662,[1]order_Report_SA_ID_BB2.0!Q:Q,[1]order_Report_SA_ID_BB2.0!D:D)), 1, 1)</f>
        <v>#ERROR!</v>
      </c>
      <c r="F13" s="6" t="s">
        <v>37</v>
      </c>
      <c r="G13" s="6" t="s">
        <v>58</v>
      </c>
      <c r="H13" s="6" t="s">
        <v>59</v>
      </c>
      <c r="I13" s="6"/>
      <c r="J13" s="7">
        <v>1.85916541E9</v>
      </c>
      <c r="K13" s="6" t="s">
        <v>40</v>
      </c>
      <c r="L13" s="6" t="s">
        <v>41</v>
      </c>
      <c r="M13" s="8">
        <v>46013.00069444445</v>
      </c>
      <c r="N13" s="6" t="s">
        <v>42</v>
      </c>
      <c r="O13" s="9">
        <v>4.0001602E7</v>
      </c>
      <c r="P13" s="6" t="s">
        <v>43</v>
      </c>
      <c r="Q13" s="6" t="s">
        <v>60</v>
      </c>
      <c r="R13" s="6" t="s">
        <v>61</v>
      </c>
      <c r="S13" s="9">
        <v>1.0</v>
      </c>
      <c r="T13" s="9">
        <v>0.0</v>
      </c>
      <c r="U13" s="9">
        <v>1.0</v>
      </c>
      <c r="V13" s="6"/>
      <c r="W13" s="6" t="s">
        <v>46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 t="s">
        <v>47</v>
      </c>
      <c r="AI13" s="6"/>
      <c r="AJ13" s="9">
        <v>2.946282631E9</v>
      </c>
      <c r="AK13" s="6" t="s">
        <v>48</v>
      </c>
    </row>
    <row r="14" ht="15.75" customHeight="1">
      <c r="A14" s="6" t="str">
        <f t="shared" si="1"/>
        <v>22-Dec-2025</v>
      </c>
      <c r="B14" s="6" t="str">
        <f t="shared" si="2"/>
        <v>December</v>
      </c>
      <c r="C14" s="6" t="str">
        <f>ARRAY_CONSTRAIN(ARRAYFORMULA(_xludf.XLOOKUP(J663,[1]order_Report_SA_ID_BB2.0!Q:Q,[1]order_Report_SA_ID_BB2.0!H:H)), 1, 1)</f>
        <v>#ERROR!</v>
      </c>
      <c r="D14" s="6" t="str">
        <f>ARRAY_CONSTRAIN(ARRAYFORMULA(_xludf.XLOOKUP(O663,[1]order_sku_sales_bb2_report!J:J,[1]order_sku_sales_bb2_report!D:D)), 1, 1)</f>
        <v>#ERROR!</v>
      </c>
      <c r="E14" s="6" t="str">
        <f>ARRAY_CONSTRAIN(ARRAYFORMULA(_xludf.XLOOKUP(J663,[1]order_Report_SA_ID_BB2.0!Q:Q,[1]order_Report_SA_ID_BB2.0!D:D)), 1, 1)</f>
        <v>#ERROR!</v>
      </c>
      <c r="F14" s="6" t="s">
        <v>37</v>
      </c>
      <c r="G14" s="6" t="s">
        <v>49</v>
      </c>
      <c r="H14" s="6" t="s">
        <v>50</v>
      </c>
      <c r="I14" s="6"/>
      <c r="J14" s="7">
        <v>1.859165476E9</v>
      </c>
      <c r="K14" s="6" t="s">
        <v>40</v>
      </c>
      <c r="L14" s="6" t="s">
        <v>41</v>
      </c>
      <c r="M14" s="8">
        <v>46013.00069444445</v>
      </c>
      <c r="N14" s="6" t="s">
        <v>42</v>
      </c>
      <c r="O14" s="9">
        <v>4.014983E7</v>
      </c>
      <c r="P14" s="6" t="s">
        <v>43</v>
      </c>
      <c r="Q14" s="6" t="s">
        <v>51</v>
      </c>
      <c r="R14" s="6" t="s">
        <v>52</v>
      </c>
      <c r="S14" s="9">
        <v>1.0</v>
      </c>
      <c r="T14" s="9">
        <v>0.0</v>
      </c>
      <c r="U14" s="9">
        <v>1.0</v>
      </c>
      <c r="V14" s="6"/>
      <c r="W14" s="6" t="s">
        <v>46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 t="s">
        <v>47</v>
      </c>
      <c r="AI14" s="6"/>
      <c r="AJ14" s="9">
        <v>2.946283529E9</v>
      </c>
      <c r="AK14" s="6" t="s">
        <v>48</v>
      </c>
    </row>
    <row r="15" ht="15.75" customHeight="1">
      <c r="A15" s="6" t="str">
        <f t="shared" si="1"/>
        <v>22-Dec-2025</v>
      </c>
      <c r="B15" s="6" t="str">
        <f t="shared" si="2"/>
        <v>December</v>
      </c>
      <c r="C15" s="6" t="str">
        <f>ARRAY_CONSTRAIN(ARRAYFORMULA(_xludf.XLOOKUP(J664,[1]order_Report_SA_ID_BB2.0!Q:Q,[1]order_Report_SA_ID_BB2.0!H:H)), 1, 1)</f>
        <v>#ERROR!</v>
      </c>
      <c r="D15" s="6" t="str">
        <f>ARRAY_CONSTRAIN(ARRAYFORMULA(_xludf.XLOOKUP(O664,[1]order_sku_sales_bb2_report!J:J,[1]order_sku_sales_bb2_report!D:D)), 1, 1)</f>
        <v>#ERROR!</v>
      </c>
      <c r="E15" s="6" t="str">
        <f>ARRAY_CONSTRAIN(ARRAYFORMULA(_xludf.XLOOKUP(J664,[1]order_Report_SA_ID_BB2.0!Q:Q,[1]order_Report_SA_ID_BB2.0!D:D)), 1, 1)</f>
        <v>#ERROR!</v>
      </c>
      <c r="F15" s="6" t="s">
        <v>37</v>
      </c>
      <c r="G15" s="6" t="s">
        <v>62</v>
      </c>
      <c r="H15" s="6" t="s">
        <v>63</v>
      </c>
      <c r="I15" s="6"/>
      <c r="J15" s="7">
        <v>1.859165511E9</v>
      </c>
      <c r="K15" s="6" t="s">
        <v>40</v>
      </c>
      <c r="L15" s="6" t="s">
        <v>41</v>
      </c>
      <c r="M15" s="8">
        <v>46013.00069444445</v>
      </c>
      <c r="N15" s="6" t="s">
        <v>42</v>
      </c>
      <c r="O15" s="9">
        <v>4.0149828E7</v>
      </c>
      <c r="P15" s="6" t="s">
        <v>43</v>
      </c>
      <c r="Q15" s="6" t="s">
        <v>64</v>
      </c>
      <c r="R15" s="6" t="s">
        <v>52</v>
      </c>
      <c r="S15" s="9">
        <v>3.0</v>
      </c>
      <c r="T15" s="9">
        <v>0.0</v>
      </c>
      <c r="U15" s="9">
        <v>3.0</v>
      </c>
      <c r="V15" s="6"/>
      <c r="W15" s="6" t="s">
        <v>46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 t="s">
        <v>47</v>
      </c>
      <c r="AI15" s="6"/>
      <c r="AJ15" s="9">
        <v>2.946283972E9</v>
      </c>
      <c r="AK15" s="6" t="s">
        <v>48</v>
      </c>
    </row>
    <row r="16" ht="15.75" customHeight="1">
      <c r="A16" s="6" t="str">
        <f t="shared" si="1"/>
        <v>22-Dec-2025</v>
      </c>
      <c r="B16" s="6" t="str">
        <f t="shared" si="2"/>
        <v>December</v>
      </c>
      <c r="C16" s="6" t="str">
        <f>ARRAY_CONSTRAIN(ARRAYFORMULA(_xludf.XLOOKUP(J665,[1]order_Report_SA_ID_BB2.0!Q:Q,[1]order_Report_SA_ID_BB2.0!H:H)), 1, 1)</f>
        <v>#ERROR!</v>
      </c>
      <c r="D16" s="6" t="str">
        <f>ARRAY_CONSTRAIN(ARRAYFORMULA(_xludf.XLOOKUP(O665,[1]order_sku_sales_bb2_report!J:J,[1]order_sku_sales_bb2_report!D:D)), 1, 1)</f>
        <v>#ERROR!</v>
      </c>
      <c r="E16" s="6" t="str">
        <f>ARRAY_CONSTRAIN(ARRAYFORMULA(_xludf.XLOOKUP(J665,[1]order_Report_SA_ID_BB2.0!Q:Q,[1]order_Report_SA_ID_BB2.0!D:D)), 1, 1)</f>
        <v>#ERROR!</v>
      </c>
      <c r="F16" s="6" t="s">
        <v>37</v>
      </c>
      <c r="G16" s="6" t="s">
        <v>58</v>
      </c>
      <c r="H16" s="6" t="s">
        <v>59</v>
      </c>
      <c r="I16" s="6"/>
      <c r="J16" s="7">
        <v>1.859165514E9</v>
      </c>
      <c r="K16" s="6" t="s">
        <v>40</v>
      </c>
      <c r="L16" s="6" t="s">
        <v>41</v>
      </c>
      <c r="M16" s="8">
        <v>46013.00069444445</v>
      </c>
      <c r="N16" s="6" t="s">
        <v>42</v>
      </c>
      <c r="O16" s="9">
        <v>4.0238784E7</v>
      </c>
      <c r="P16" s="6" t="s">
        <v>43</v>
      </c>
      <c r="Q16" s="6" t="s">
        <v>65</v>
      </c>
      <c r="R16" s="6" t="s">
        <v>66</v>
      </c>
      <c r="S16" s="9">
        <v>1.0</v>
      </c>
      <c r="T16" s="9">
        <v>0.0</v>
      </c>
      <c r="U16" s="9">
        <v>1.0</v>
      </c>
      <c r="V16" s="6"/>
      <c r="W16" s="6" t="s">
        <v>46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 t="s">
        <v>47</v>
      </c>
      <c r="AI16" s="6"/>
      <c r="AJ16" s="9">
        <v>2.946284047E9</v>
      </c>
      <c r="AK16" s="6" t="s">
        <v>48</v>
      </c>
    </row>
    <row r="17" ht="15.75" customHeight="1">
      <c r="A17" s="6" t="str">
        <f t="shared" si="1"/>
        <v>22-Dec-2025</v>
      </c>
      <c r="B17" s="6" t="str">
        <f t="shared" si="2"/>
        <v>December</v>
      </c>
      <c r="C17" s="6" t="str">
        <f>ARRAY_CONSTRAIN(ARRAYFORMULA(_xludf.XLOOKUP(J666,[1]order_Report_SA_ID_BB2.0!Q:Q,[1]order_Report_SA_ID_BB2.0!H:H)), 1, 1)</f>
        <v>#ERROR!</v>
      </c>
      <c r="D17" s="6" t="str">
        <f>ARRAY_CONSTRAIN(ARRAYFORMULA(_xludf.XLOOKUP(O666,[1]order_sku_sales_bb2_report!J:J,[1]order_sku_sales_bb2_report!D:D)), 1, 1)</f>
        <v>#ERROR!</v>
      </c>
      <c r="E17" s="6" t="str">
        <f>ARRAY_CONSTRAIN(ARRAYFORMULA(_xludf.XLOOKUP(J666,[1]order_Report_SA_ID_BB2.0!Q:Q,[1]order_Report_SA_ID_BB2.0!D:D)), 1, 1)</f>
        <v>#ERROR!</v>
      </c>
      <c r="F17" s="6" t="s">
        <v>37</v>
      </c>
      <c r="G17" s="6" t="s">
        <v>58</v>
      </c>
      <c r="H17" s="6" t="s">
        <v>59</v>
      </c>
      <c r="I17" s="6"/>
      <c r="J17" s="7">
        <v>1.859165514E9</v>
      </c>
      <c r="K17" s="6" t="s">
        <v>40</v>
      </c>
      <c r="L17" s="6" t="s">
        <v>41</v>
      </c>
      <c r="M17" s="8">
        <v>46013.00069444445</v>
      </c>
      <c r="N17" s="6" t="s">
        <v>42</v>
      </c>
      <c r="O17" s="9">
        <v>4.023878E7</v>
      </c>
      <c r="P17" s="6" t="s">
        <v>43</v>
      </c>
      <c r="Q17" s="6" t="s">
        <v>67</v>
      </c>
      <c r="R17" s="6" t="s">
        <v>66</v>
      </c>
      <c r="S17" s="9">
        <v>1.0</v>
      </c>
      <c r="T17" s="9">
        <v>0.0</v>
      </c>
      <c r="U17" s="9">
        <v>1.0</v>
      </c>
      <c r="V17" s="6"/>
      <c r="W17" s="6" t="s">
        <v>46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 t="s">
        <v>47</v>
      </c>
      <c r="AI17" s="6"/>
      <c r="AJ17" s="9">
        <v>2.946284048E9</v>
      </c>
      <c r="AK17" s="6" t="s">
        <v>48</v>
      </c>
    </row>
    <row r="18" ht="15.75" customHeight="1">
      <c r="A18" s="6" t="str">
        <f t="shared" si="1"/>
        <v>22-Dec-2025</v>
      </c>
      <c r="B18" s="6" t="str">
        <f t="shared" si="2"/>
        <v>December</v>
      </c>
      <c r="C18" s="6" t="str">
        <f>ARRAY_CONSTRAIN(ARRAYFORMULA(_xludf.XLOOKUP(J667,[1]order_Report_SA_ID_BB2.0!Q:Q,[1]order_Report_SA_ID_BB2.0!H:H)), 1, 1)</f>
        <v>#ERROR!</v>
      </c>
      <c r="D18" s="6" t="str">
        <f>ARRAY_CONSTRAIN(ARRAYFORMULA(_xludf.XLOOKUP(O667,[1]order_sku_sales_bb2_report!J:J,[1]order_sku_sales_bb2_report!D:D)), 1, 1)</f>
        <v>#ERROR!</v>
      </c>
      <c r="E18" s="6" t="str">
        <f>ARRAY_CONSTRAIN(ARRAYFORMULA(_xludf.XLOOKUP(J667,[1]order_Report_SA_ID_BB2.0!Q:Q,[1]order_Report_SA_ID_BB2.0!D:D)), 1, 1)</f>
        <v>#ERROR!</v>
      </c>
      <c r="F18" s="6" t="s">
        <v>37</v>
      </c>
      <c r="G18" s="6" t="s">
        <v>62</v>
      </c>
      <c r="H18" s="6" t="s">
        <v>63</v>
      </c>
      <c r="I18" s="6"/>
      <c r="J18" s="7">
        <v>1.859165522E9</v>
      </c>
      <c r="K18" s="6" t="s">
        <v>40</v>
      </c>
      <c r="L18" s="6" t="s">
        <v>41</v>
      </c>
      <c r="M18" s="8">
        <v>46013.00069444445</v>
      </c>
      <c r="N18" s="6" t="s">
        <v>42</v>
      </c>
      <c r="O18" s="9">
        <v>4.0222179E7</v>
      </c>
      <c r="P18" s="6" t="s">
        <v>43</v>
      </c>
      <c r="Q18" s="6" t="s">
        <v>68</v>
      </c>
      <c r="R18" s="6" t="s">
        <v>52</v>
      </c>
      <c r="S18" s="9">
        <v>4.0</v>
      </c>
      <c r="T18" s="9">
        <v>0.0</v>
      </c>
      <c r="U18" s="9">
        <v>4.0</v>
      </c>
      <c r="V18" s="6"/>
      <c r="W18" s="6" t="s">
        <v>46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s">
        <v>47</v>
      </c>
      <c r="AI18" s="6"/>
      <c r="AJ18" s="9">
        <v>2.94628417E9</v>
      </c>
      <c r="AK18" s="6" t="s">
        <v>48</v>
      </c>
    </row>
    <row r="19" ht="15.75" customHeight="1">
      <c r="A19" s="6" t="str">
        <f t="shared" si="1"/>
        <v>22-Dec-2025</v>
      </c>
      <c r="B19" s="6" t="str">
        <f t="shared" si="2"/>
        <v>December</v>
      </c>
      <c r="C19" s="6" t="str">
        <f>ARRAY_CONSTRAIN(ARRAYFORMULA(_xludf.XLOOKUP(J668,[1]order_Report_SA_ID_BB2.0!Q:Q,[1]order_Report_SA_ID_BB2.0!H:H)), 1, 1)</f>
        <v>#ERROR!</v>
      </c>
      <c r="D19" s="6" t="str">
        <f>ARRAY_CONSTRAIN(ARRAYFORMULA(_xludf.XLOOKUP(O668,[1]order_sku_sales_bb2_report!J:J,[1]order_sku_sales_bb2_report!D:D)), 1, 1)</f>
        <v>#ERROR!</v>
      </c>
      <c r="E19" s="6" t="str">
        <f>ARRAY_CONSTRAIN(ARRAYFORMULA(_xludf.XLOOKUP(J668,[1]order_Report_SA_ID_BB2.0!Q:Q,[1]order_Report_SA_ID_BB2.0!D:D)), 1, 1)</f>
        <v>#ERROR!</v>
      </c>
      <c r="F19" s="6" t="s">
        <v>37</v>
      </c>
      <c r="G19" s="6" t="s">
        <v>58</v>
      </c>
      <c r="H19" s="6" t="s">
        <v>59</v>
      </c>
      <c r="I19" s="6"/>
      <c r="J19" s="7">
        <v>1.859165596E9</v>
      </c>
      <c r="K19" s="6" t="s">
        <v>40</v>
      </c>
      <c r="L19" s="6" t="s">
        <v>41</v>
      </c>
      <c r="M19" s="8">
        <v>46013.00069444445</v>
      </c>
      <c r="N19" s="6" t="s">
        <v>42</v>
      </c>
      <c r="O19" s="9">
        <v>4.0185392E7</v>
      </c>
      <c r="P19" s="6" t="s">
        <v>43</v>
      </c>
      <c r="Q19" s="6" t="s">
        <v>69</v>
      </c>
      <c r="R19" s="6" t="s">
        <v>52</v>
      </c>
      <c r="S19" s="9">
        <v>3.0</v>
      </c>
      <c r="T19" s="9">
        <v>0.0</v>
      </c>
      <c r="U19" s="9">
        <v>3.0</v>
      </c>
      <c r="V19" s="6"/>
      <c r="W19" s="6" t="s">
        <v>46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 t="s">
        <v>47</v>
      </c>
      <c r="AI19" s="6"/>
      <c r="AJ19" s="9">
        <v>2.946285544E9</v>
      </c>
      <c r="AK19" s="6" t="s">
        <v>48</v>
      </c>
    </row>
    <row r="20" ht="15.75" customHeight="1">
      <c r="A20" s="6" t="str">
        <f t="shared" si="1"/>
        <v>22-Dec-2025</v>
      </c>
      <c r="B20" s="6" t="str">
        <f t="shared" si="2"/>
        <v>December</v>
      </c>
      <c r="C20" s="6" t="str">
        <f>ARRAY_CONSTRAIN(ARRAYFORMULA(_xludf.XLOOKUP(J669,[1]order_Report_SA_ID_BB2.0!Q:Q,[1]order_Report_SA_ID_BB2.0!H:H)), 1, 1)</f>
        <v>#ERROR!</v>
      </c>
      <c r="D20" s="6" t="str">
        <f>ARRAY_CONSTRAIN(ARRAYFORMULA(_xludf.XLOOKUP(O669,[1]order_sku_sales_bb2_report!J:J,[1]order_sku_sales_bb2_report!D:D)), 1, 1)</f>
        <v>#ERROR!</v>
      </c>
      <c r="E20" s="6" t="str">
        <f>ARRAY_CONSTRAIN(ARRAYFORMULA(_xludf.XLOOKUP(J669,[1]order_Report_SA_ID_BB2.0!Q:Q,[1]order_Report_SA_ID_BB2.0!D:D)), 1, 1)</f>
        <v>#ERROR!</v>
      </c>
      <c r="F20" s="6" t="s">
        <v>37</v>
      </c>
      <c r="G20" s="6" t="s">
        <v>70</v>
      </c>
      <c r="H20" s="6" t="s">
        <v>71</v>
      </c>
      <c r="I20" s="6"/>
      <c r="J20" s="7">
        <v>1.859165625E9</v>
      </c>
      <c r="K20" s="6" t="s">
        <v>40</v>
      </c>
      <c r="L20" s="6" t="s">
        <v>41</v>
      </c>
      <c r="M20" s="8">
        <v>46013.00069444445</v>
      </c>
      <c r="N20" s="6" t="s">
        <v>42</v>
      </c>
      <c r="O20" s="9">
        <v>4.0115858E7</v>
      </c>
      <c r="P20" s="6" t="s">
        <v>43</v>
      </c>
      <c r="Q20" s="6" t="s">
        <v>72</v>
      </c>
      <c r="R20" s="6" t="s">
        <v>61</v>
      </c>
      <c r="S20" s="9">
        <v>1.0</v>
      </c>
      <c r="T20" s="9">
        <v>0.0</v>
      </c>
      <c r="U20" s="9">
        <v>1.0</v>
      </c>
      <c r="V20" s="6"/>
      <c r="W20" s="6" t="s">
        <v>46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 t="s">
        <v>47</v>
      </c>
      <c r="AI20" s="6"/>
      <c r="AJ20" s="9">
        <v>2.946285913E9</v>
      </c>
      <c r="AK20" s="6" t="s">
        <v>48</v>
      </c>
    </row>
    <row r="21" ht="15.75" customHeight="1">
      <c r="A21" s="6" t="str">
        <f t="shared" si="1"/>
        <v>22-Dec-2025</v>
      </c>
      <c r="B21" s="6" t="str">
        <f t="shared" si="2"/>
        <v>December</v>
      </c>
      <c r="C21" s="6" t="str">
        <f>ARRAY_CONSTRAIN(ARRAYFORMULA(_xludf.XLOOKUP(J670,[1]order_Report_SA_ID_BB2.0!Q:Q,[1]order_Report_SA_ID_BB2.0!H:H)), 1, 1)</f>
        <v>#ERROR!</v>
      </c>
      <c r="D21" s="6" t="str">
        <f>ARRAY_CONSTRAIN(ARRAYFORMULA(_xludf.XLOOKUP(O670,[1]order_sku_sales_bb2_report!J:J,[1]order_sku_sales_bb2_report!D:D)), 1, 1)</f>
        <v>#ERROR!</v>
      </c>
      <c r="E21" s="6" t="str">
        <f>ARRAY_CONSTRAIN(ARRAYFORMULA(_xludf.XLOOKUP(J670,[1]order_Report_SA_ID_BB2.0!Q:Q,[1]order_Report_SA_ID_BB2.0!D:D)), 1, 1)</f>
        <v>#ERROR!</v>
      </c>
      <c r="F21" s="6" t="s">
        <v>37</v>
      </c>
      <c r="G21" s="6" t="s">
        <v>70</v>
      </c>
      <c r="H21" s="6" t="s">
        <v>71</v>
      </c>
      <c r="I21" s="6"/>
      <c r="J21" s="7">
        <v>1.859165697E9</v>
      </c>
      <c r="K21" s="6" t="s">
        <v>40</v>
      </c>
      <c r="L21" s="6" t="s">
        <v>41</v>
      </c>
      <c r="M21" s="8">
        <v>46013.001388888886</v>
      </c>
      <c r="N21" s="6" t="s">
        <v>42</v>
      </c>
      <c r="O21" s="9">
        <v>4.0240136E7</v>
      </c>
      <c r="P21" s="6" t="s">
        <v>43</v>
      </c>
      <c r="Q21" s="6" t="s">
        <v>73</v>
      </c>
      <c r="R21" s="6" t="s">
        <v>52</v>
      </c>
      <c r="S21" s="9">
        <v>1.0</v>
      </c>
      <c r="T21" s="9">
        <v>0.0</v>
      </c>
      <c r="U21" s="9">
        <v>1.0</v>
      </c>
      <c r="V21" s="6"/>
      <c r="W21" s="6" t="s">
        <v>46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 t="s">
        <v>47</v>
      </c>
      <c r="AI21" s="6"/>
      <c r="AJ21" s="9">
        <v>2.946286933E9</v>
      </c>
      <c r="AK21" s="6" t="s">
        <v>48</v>
      </c>
    </row>
    <row r="22" ht="15.75" customHeight="1">
      <c r="A22" s="6" t="str">
        <f t="shared" si="1"/>
        <v>22-Dec-2025</v>
      </c>
      <c r="B22" s="6" t="str">
        <f t="shared" si="2"/>
        <v>December</v>
      </c>
      <c r="C22" s="6" t="str">
        <f>ARRAY_CONSTRAIN(ARRAYFORMULA(_xludf.XLOOKUP(J671,[1]order_Report_SA_ID_BB2.0!Q:Q,[1]order_Report_SA_ID_BB2.0!H:H)), 1, 1)</f>
        <v>#ERROR!</v>
      </c>
      <c r="D22" s="6" t="str">
        <f>ARRAY_CONSTRAIN(ARRAYFORMULA(_xludf.XLOOKUP(O671,[1]order_sku_sales_bb2_report!J:J,[1]order_sku_sales_bb2_report!D:D)), 1, 1)</f>
        <v>#ERROR!</v>
      </c>
      <c r="E22" s="6" t="str">
        <f>ARRAY_CONSTRAIN(ARRAYFORMULA(_xludf.XLOOKUP(J671,[1]order_Report_SA_ID_BB2.0!Q:Q,[1]order_Report_SA_ID_BB2.0!D:D)), 1, 1)</f>
        <v>#ERROR!</v>
      </c>
      <c r="F22" s="6" t="s">
        <v>37</v>
      </c>
      <c r="G22" s="6" t="s">
        <v>49</v>
      </c>
      <c r="H22" s="6" t="s">
        <v>50</v>
      </c>
      <c r="I22" s="6"/>
      <c r="J22" s="7">
        <v>1.8591657E9</v>
      </c>
      <c r="K22" s="6" t="s">
        <v>40</v>
      </c>
      <c r="L22" s="6" t="s">
        <v>41</v>
      </c>
      <c r="M22" s="8">
        <v>46013.001388888886</v>
      </c>
      <c r="N22" s="6" t="s">
        <v>42</v>
      </c>
      <c r="O22" s="9">
        <v>4.014983E7</v>
      </c>
      <c r="P22" s="6" t="s">
        <v>43</v>
      </c>
      <c r="Q22" s="6" t="s">
        <v>51</v>
      </c>
      <c r="R22" s="6" t="s">
        <v>52</v>
      </c>
      <c r="S22" s="9">
        <v>1.0</v>
      </c>
      <c r="T22" s="9">
        <v>0.0</v>
      </c>
      <c r="U22" s="9">
        <v>1.0</v>
      </c>
      <c r="V22" s="6"/>
      <c r="W22" s="6" t="s">
        <v>46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 t="s">
        <v>47</v>
      </c>
      <c r="AI22" s="6"/>
      <c r="AJ22" s="9">
        <v>2.946286941E9</v>
      </c>
      <c r="AK22" s="6" t="s">
        <v>48</v>
      </c>
    </row>
    <row r="23" ht="15.75" customHeight="1">
      <c r="A23" s="6" t="str">
        <f t="shared" si="1"/>
        <v>22-Dec-2025</v>
      </c>
      <c r="B23" s="6" t="str">
        <f t="shared" si="2"/>
        <v>December</v>
      </c>
      <c r="C23" s="6" t="str">
        <f>ARRAY_CONSTRAIN(ARRAYFORMULA(_xludf.XLOOKUP(J672,[1]order_Report_SA_ID_BB2.0!Q:Q,[1]order_Report_SA_ID_BB2.0!H:H)), 1, 1)</f>
        <v>#ERROR!</v>
      </c>
      <c r="D23" s="6" t="str">
        <f>ARRAY_CONSTRAIN(ARRAYFORMULA(_xludf.XLOOKUP(O672,[1]order_sku_sales_bb2_report!J:J,[1]order_sku_sales_bb2_report!D:D)), 1, 1)</f>
        <v>#ERROR!</v>
      </c>
      <c r="E23" s="6" t="str">
        <f>ARRAY_CONSTRAIN(ARRAYFORMULA(_xludf.XLOOKUP(J672,[1]order_Report_SA_ID_BB2.0!Q:Q,[1]order_Report_SA_ID_BB2.0!D:D)), 1, 1)</f>
        <v>#ERROR!</v>
      </c>
      <c r="F23" s="6" t="s">
        <v>37</v>
      </c>
      <c r="G23" s="6" t="s">
        <v>74</v>
      </c>
      <c r="H23" s="6" t="s">
        <v>75</v>
      </c>
      <c r="I23" s="6"/>
      <c r="J23" s="7">
        <v>1.859165875E9</v>
      </c>
      <c r="K23" s="6" t="s">
        <v>40</v>
      </c>
      <c r="L23" s="6" t="s">
        <v>41</v>
      </c>
      <c r="M23" s="8">
        <v>46013.001388888886</v>
      </c>
      <c r="N23" s="6" t="s">
        <v>42</v>
      </c>
      <c r="O23" s="9">
        <v>4.0198739E7</v>
      </c>
      <c r="P23" s="6" t="s">
        <v>43</v>
      </c>
      <c r="Q23" s="6" t="s">
        <v>76</v>
      </c>
      <c r="R23" s="6" t="s">
        <v>52</v>
      </c>
      <c r="S23" s="9">
        <v>2.0</v>
      </c>
      <c r="T23" s="9">
        <v>0.0</v>
      </c>
      <c r="U23" s="9">
        <v>2.0</v>
      </c>
      <c r="V23" s="6"/>
      <c r="W23" s="6" t="s">
        <v>46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 t="s">
        <v>47</v>
      </c>
      <c r="AI23" s="6"/>
      <c r="AJ23" s="9">
        <v>2.94629033E9</v>
      </c>
      <c r="AK23" s="6" t="s">
        <v>48</v>
      </c>
    </row>
    <row r="24" ht="15.75" customHeight="1">
      <c r="A24" s="6" t="str">
        <f t="shared" si="1"/>
        <v>22-Dec-2025</v>
      </c>
      <c r="B24" s="6" t="str">
        <f t="shared" si="2"/>
        <v>December</v>
      </c>
      <c r="C24" s="6" t="str">
        <f>ARRAY_CONSTRAIN(ARRAYFORMULA(_xludf.XLOOKUP(J673,[1]order_Report_SA_ID_BB2.0!Q:Q,[1]order_Report_SA_ID_BB2.0!H:H)), 1, 1)</f>
        <v>#ERROR!</v>
      </c>
      <c r="D24" s="6" t="str">
        <f>ARRAY_CONSTRAIN(ARRAYFORMULA(_xludf.XLOOKUP(O673,[1]order_sku_sales_bb2_report!J:J,[1]order_sku_sales_bb2_report!D:D)), 1, 1)</f>
        <v>#ERROR!</v>
      </c>
      <c r="E24" s="6" t="str">
        <f>ARRAY_CONSTRAIN(ARRAYFORMULA(_xludf.XLOOKUP(J673,[1]order_Report_SA_ID_BB2.0!Q:Q,[1]order_Report_SA_ID_BB2.0!D:D)), 1, 1)</f>
        <v>#ERROR!</v>
      </c>
      <c r="F24" s="6" t="s">
        <v>37</v>
      </c>
      <c r="G24" s="6" t="s">
        <v>49</v>
      </c>
      <c r="H24" s="6" t="s">
        <v>50</v>
      </c>
      <c r="I24" s="6"/>
      <c r="J24" s="7">
        <v>1.859165929E9</v>
      </c>
      <c r="K24" s="6" t="s">
        <v>40</v>
      </c>
      <c r="L24" s="6" t="s">
        <v>41</v>
      </c>
      <c r="M24" s="8">
        <v>46013.001388888886</v>
      </c>
      <c r="N24" s="6" t="s">
        <v>42</v>
      </c>
      <c r="O24" s="9">
        <v>4.014983E7</v>
      </c>
      <c r="P24" s="6" t="s">
        <v>43</v>
      </c>
      <c r="Q24" s="6" t="s">
        <v>51</v>
      </c>
      <c r="R24" s="6" t="s">
        <v>52</v>
      </c>
      <c r="S24" s="9">
        <v>1.0</v>
      </c>
      <c r="T24" s="9">
        <v>0.0</v>
      </c>
      <c r="U24" s="9">
        <v>1.0</v>
      </c>
      <c r="V24" s="6"/>
      <c r="W24" s="6" t="s">
        <v>46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 t="s">
        <v>47</v>
      </c>
      <c r="AI24" s="6"/>
      <c r="AJ24" s="9">
        <v>2.946291015E9</v>
      </c>
      <c r="AK24" s="6" t="s">
        <v>48</v>
      </c>
    </row>
    <row r="25" ht="15.75" customHeight="1">
      <c r="A25" s="6" t="str">
        <f t="shared" si="1"/>
        <v>22-Dec-2025</v>
      </c>
      <c r="B25" s="6" t="str">
        <f t="shared" si="2"/>
        <v>December</v>
      </c>
      <c r="C25" s="6" t="str">
        <f>ARRAY_CONSTRAIN(ARRAYFORMULA(_xludf.XLOOKUP(J674,[1]order_Report_SA_ID_BB2.0!Q:Q,[1]order_Report_SA_ID_BB2.0!H:H)), 1, 1)</f>
        <v>#ERROR!</v>
      </c>
      <c r="D25" s="6" t="str">
        <f>ARRAY_CONSTRAIN(ARRAYFORMULA(_xludf.XLOOKUP(O674,[1]order_sku_sales_bb2_report!J:J,[1]order_sku_sales_bb2_report!D:D)), 1, 1)</f>
        <v>#ERROR!</v>
      </c>
      <c r="E25" s="6" t="str">
        <f>ARRAY_CONSTRAIN(ARRAYFORMULA(_xludf.XLOOKUP(J674,[1]order_Report_SA_ID_BB2.0!Q:Q,[1]order_Report_SA_ID_BB2.0!D:D)), 1, 1)</f>
        <v>#ERROR!</v>
      </c>
      <c r="F25" s="6" t="s">
        <v>37</v>
      </c>
      <c r="G25" s="6" t="s">
        <v>62</v>
      </c>
      <c r="H25" s="6" t="s">
        <v>63</v>
      </c>
      <c r="I25" s="6"/>
      <c r="J25" s="7">
        <v>1.859165986E9</v>
      </c>
      <c r="K25" s="6" t="s">
        <v>40</v>
      </c>
      <c r="L25" s="6" t="s">
        <v>41</v>
      </c>
      <c r="M25" s="8">
        <v>46013.001388888886</v>
      </c>
      <c r="N25" s="6" t="s">
        <v>42</v>
      </c>
      <c r="O25" s="9">
        <v>4.0219224E7</v>
      </c>
      <c r="P25" s="6" t="s">
        <v>43</v>
      </c>
      <c r="Q25" s="6" t="s">
        <v>77</v>
      </c>
      <c r="R25" s="6" t="s">
        <v>45</v>
      </c>
      <c r="S25" s="9">
        <v>1.0</v>
      </c>
      <c r="T25" s="9">
        <v>0.0</v>
      </c>
      <c r="U25" s="9">
        <v>1.0</v>
      </c>
      <c r="V25" s="6"/>
      <c r="W25" s="6" t="s">
        <v>46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 t="s">
        <v>47</v>
      </c>
      <c r="AI25" s="6"/>
      <c r="AJ25" s="9">
        <v>2.946291597E9</v>
      </c>
      <c r="AK25" s="6" t="s">
        <v>48</v>
      </c>
    </row>
    <row r="26" ht="15.75" customHeight="1">
      <c r="A26" s="6" t="str">
        <f t="shared" si="1"/>
        <v>22-Dec-2025</v>
      </c>
      <c r="B26" s="6" t="str">
        <f t="shared" si="2"/>
        <v>December</v>
      </c>
      <c r="C26" s="6" t="str">
        <f>ARRAY_CONSTRAIN(ARRAYFORMULA(_xludf.XLOOKUP(J675,[1]order_Report_SA_ID_BB2.0!Q:Q,[1]order_Report_SA_ID_BB2.0!H:H)), 1, 1)</f>
        <v>#ERROR!</v>
      </c>
      <c r="D26" s="6" t="str">
        <f>ARRAY_CONSTRAIN(ARRAYFORMULA(_xludf.XLOOKUP(O675,[1]order_sku_sales_bb2_report!J:J,[1]order_sku_sales_bb2_report!D:D)), 1, 1)</f>
        <v>#ERROR!</v>
      </c>
      <c r="E26" s="6" t="str">
        <f>ARRAY_CONSTRAIN(ARRAYFORMULA(_xludf.XLOOKUP(J675,[1]order_Report_SA_ID_BB2.0!Q:Q,[1]order_Report_SA_ID_BB2.0!D:D)), 1, 1)</f>
        <v>#ERROR!</v>
      </c>
      <c r="F26" s="6" t="s">
        <v>37</v>
      </c>
      <c r="G26" s="6" t="s">
        <v>49</v>
      </c>
      <c r="H26" s="6" t="s">
        <v>50</v>
      </c>
      <c r="I26" s="6"/>
      <c r="J26" s="7">
        <v>1.859166109E9</v>
      </c>
      <c r="K26" s="6" t="s">
        <v>40</v>
      </c>
      <c r="L26" s="6" t="s">
        <v>41</v>
      </c>
      <c r="M26" s="8">
        <v>46013.001388888886</v>
      </c>
      <c r="N26" s="6" t="s">
        <v>42</v>
      </c>
      <c r="O26" s="9">
        <v>4.014983E7</v>
      </c>
      <c r="P26" s="6" t="s">
        <v>43</v>
      </c>
      <c r="Q26" s="6" t="s">
        <v>51</v>
      </c>
      <c r="R26" s="6" t="s">
        <v>52</v>
      </c>
      <c r="S26" s="9">
        <v>1.0</v>
      </c>
      <c r="T26" s="9">
        <v>0.0</v>
      </c>
      <c r="U26" s="9">
        <v>1.0</v>
      </c>
      <c r="V26" s="6"/>
      <c r="W26" s="6" t="s">
        <v>46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 t="s">
        <v>47</v>
      </c>
      <c r="AI26" s="6"/>
      <c r="AJ26" s="9">
        <v>2.946292768E9</v>
      </c>
      <c r="AK26" s="6" t="s">
        <v>48</v>
      </c>
    </row>
    <row r="27" ht="15.75" customHeight="1">
      <c r="A27" s="6" t="str">
        <f t="shared" si="1"/>
        <v>22-Dec-2025</v>
      </c>
      <c r="B27" s="6" t="str">
        <f t="shared" si="2"/>
        <v>December</v>
      </c>
      <c r="C27" s="6" t="str">
        <f>ARRAY_CONSTRAIN(ARRAYFORMULA(_xludf.XLOOKUP(J676,[1]order_Report_SA_ID_BB2.0!Q:Q,[1]order_Report_SA_ID_BB2.0!H:H)), 1, 1)</f>
        <v>#ERROR!</v>
      </c>
      <c r="D27" s="6" t="str">
        <f>ARRAY_CONSTRAIN(ARRAYFORMULA(_xludf.XLOOKUP(O676,[1]order_sku_sales_bb2_report!J:J,[1]order_sku_sales_bb2_report!D:D)), 1, 1)</f>
        <v>#ERROR!</v>
      </c>
      <c r="E27" s="6" t="str">
        <f>ARRAY_CONSTRAIN(ARRAYFORMULA(_xludf.XLOOKUP(J676,[1]order_Report_SA_ID_BB2.0!Q:Q,[1]order_Report_SA_ID_BB2.0!D:D)), 1, 1)</f>
        <v>#ERROR!</v>
      </c>
      <c r="F27" s="6" t="s">
        <v>37</v>
      </c>
      <c r="G27" s="6" t="s">
        <v>49</v>
      </c>
      <c r="H27" s="6" t="s">
        <v>50</v>
      </c>
      <c r="I27" s="6"/>
      <c r="J27" s="7">
        <v>1.859166225E9</v>
      </c>
      <c r="K27" s="6" t="s">
        <v>40</v>
      </c>
      <c r="L27" s="6" t="s">
        <v>41</v>
      </c>
      <c r="M27" s="8">
        <v>46013.00208333333</v>
      </c>
      <c r="N27" s="6" t="s">
        <v>42</v>
      </c>
      <c r="O27" s="9">
        <v>4.0226709E7</v>
      </c>
      <c r="P27" s="6" t="s">
        <v>43</v>
      </c>
      <c r="Q27" s="6" t="s">
        <v>78</v>
      </c>
      <c r="R27" s="6" t="s">
        <v>61</v>
      </c>
      <c r="S27" s="9">
        <v>1.0</v>
      </c>
      <c r="T27" s="9">
        <v>0.0</v>
      </c>
      <c r="U27" s="9">
        <v>1.0</v>
      </c>
      <c r="V27" s="6"/>
      <c r="W27" s="6" t="s">
        <v>46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 t="s">
        <v>47</v>
      </c>
      <c r="AI27" s="6"/>
      <c r="AJ27" s="9">
        <v>2.946293121E9</v>
      </c>
      <c r="AK27" s="6" t="s">
        <v>48</v>
      </c>
    </row>
    <row r="28" ht="15.75" customHeight="1">
      <c r="A28" s="6" t="str">
        <f t="shared" si="1"/>
        <v>22-Dec-2025</v>
      </c>
      <c r="B28" s="6" t="str">
        <f t="shared" si="2"/>
        <v>December</v>
      </c>
      <c r="C28" s="6" t="str">
        <f>ARRAY_CONSTRAIN(ARRAYFORMULA(_xludf.XLOOKUP(J677,[1]order_Report_SA_ID_BB2.0!Q:Q,[1]order_Report_SA_ID_BB2.0!H:H)), 1, 1)</f>
        <v>#ERROR!</v>
      </c>
      <c r="D28" s="6" t="str">
        <f>ARRAY_CONSTRAIN(ARRAYFORMULA(_xludf.XLOOKUP(O677,[1]order_sku_sales_bb2_report!J:J,[1]order_sku_sales_bb2_report!D:D)), 1, 1)</f>
        <v>#ERROR!</v>
      </c>
      <c r="E28" s="6" t="str">
        <f>ARRAY_CONSTRAIN(ARRAYFORMULA(_xludf.XLOOKUP(J677,[1]order_Report_SA_ID_BB2.0!Q:Q,[1]order_Report_SA_ID_BB2.0!D:D)), 1, 1)</f>
        <v>#ERROR!</v>
      </c>
      <c r="F28" s="6" t="s">
        <v>37</v>
      </c>
      <c r="G28" s="6" t="s">
        <v>38</v>
      </c>
      <c r="H28" s="6" t="s">
        <v>39</v>
      </c>
      <c r="I28" s="6"/>
      <c r="J28" s="7">
        <v>1.859166311E9</v>
      </c>
      <c r="K28" s="6" t="s">
        <v>40</v>
      </c>
      <c r="L28" s="6" t="s">
        <v>41</v>
      </c>
      <c r="M28" s="8">
        <v>46013.00208333333</v>
      </c>
      <c r="N28" s="6" t="s">
        <v>42</v>
      </c>
      <c r="O28" s="9">
        <v>4.0358214E7</v>
      </c>
      <c r="P28" s="6" t="s">
        <v>43</v>
      </c>
      <c r="Q28" s="6" t="s">
        <v>79</v>
      </c>
      <c r="R28" s="6" t="s">
        <v>80</v>
      </c>
      <c r="S28" s="9">
        <v>1.0</v>
      </c>
      <c r="T28" s="9">
        <v>0.0</v>
      </c>
      <c r="U28" s="9">
        <v>1.0</v>
      </c>
      <c r="V28" s="6"/>
      <c r="W28" s="6" t="s">
        <v>46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 t="s">
        <v>47</v>
      </c>
      <c r="AI28" s="6"/>
      <c r="AJ28" s="9">
        <v>2.946293705E9</v>
      </c>
      <c r="AK28" s="6" t="s">
        <v>48</v>
      </c>
    </row>
    <row r="29" ht="15.75" customHeight="1">
      <c r="A29" s="6" t="str">
        <f t="shared" si="1"/>
        <v>22-Dec-2025</v>
      </c>
      <c r="B29" s="6" t="str">
        <f t="shared" si="2"/>
        <v>December</v>
      </c>
      <c r="C29" s="6" t="str">
        <f>ARRAY_CONSTRAIN(ARRAYFORMULA(_xludf.XLOOKUP(J678,[1]order_Report_SA_ID_BB2.0!Q:Q,[1]order_Report_SA_ID_BB2.0!H:H)), 1, 1)</f>
        <v>#ERROR!</v>
      </c>
      <c r="D29" s="6" t="str">
        <f>ARRAY_CONSTRAIN(ARRAYFORMULA(_xludf.XLOOKUP(O678,[1]order_sku_sales_bb2_report!J:J,[1]order_sku_sales_bb2_report!D:D)), 1, 1)</f>
        <v>#ERROR!</v>
      </c>
      <c r="E29" s="6" t="str">
        <f>ARRAY_CONSTRAIN(ARRAYFORMULA(_xludf.XLOOKUP(J678,[1]order_Report_SA_ID_BB2.0!Q:Q,[1]order_Report_SA_ID_BB2.0!D:D)), 1, 1)</f>
        <v>#ERROR!</v>
      </c>
      <c r="F29" s="6" t="s">
        <v>37</v>
      </c>
      <c r="G29" s="6" t="s">
        <v>49</v>
      </c>
      <c r="H29" s="6" t="s">
        <v>50</v>
      </c>
      <c r="I29" s="6"/>
      <c r="J29" s="7">
        <v>1.859166319E9</v>
      </c>
      <c r="K29" s="6" t="s">
        <v>40</v>
      </c>
      <c r="L29" s="6" t="s">
        <v>41</v>
      </c>
      <c r="M29" s="8">
        <v>46013.00208333333</v>
      </c>
      <c r="N29" s="6" t="s">
        <v>42</v>
      </c>
      <c r="O29" s="9">
        <v>4.014983E7</v>
      </c>
      <c r="P29" s="6" t="s">
        <v>43</v>
      </c>
      <c r="Q29" s="6" t="s">
        <v>51</v>
      </c>
      <c r="R29" s="6" t="s">
        <v>52</v>
      </c>
      <c r="S29" s="9">
        <v>1.0</v>
      </c>
      <c r="T29" s="9">
        <v>0.0</v>
      </c>
      <c r="U29" s="9">
        <v>1.0</v>
      </c>
      <c r="V29" s="6"/>
      <c r="W29" s="6" t="s">
        <v>46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 t="s">
        <v>47</v>
      </c>
      <c r="AI29" s="6"/>
      <c r="AJ29" s="9">
        <v>2.946293724E9</v>
      </c>
      <c r="AK29" s="6" t="s">
        <v>48</v>
      </c>
    </row>
    <row r="30" ht="15.75" customHeight="1">
      <c r="A30" s="6" t="str">
        <f t="shared" si="1"/>
        <v>22-Dec-2025</v>
      </c>
      <c r="B30" s="6" t="str">
        <f t="shared" si="2"/>
        <v>December</v>
      </c>
      <c r="C30" s="6" t="str">
        <f>ARRAY_CONSTRAIN(ARRAYFORMULA(_xludf.XLOOKUP(J679,[1]order_Report_SA_ID_BB2.0!Q:Q,[1]order_Report_SA_ID_BB2.0!H:H)), 1, 1)</f>
        <v>#ERROR!</v>
      </c>
      <c r="D30" s="6" t="str">
        <f>ARRAY_CONSTRAIN(ARRAYFORMULA(_xludf.XLOOKUP(O679,[1]order_sku_sales_bb2_report!J:J,[1]order_sku_sales_bb2_report!D:D)), 1, 1)</f>
        <v>#ERROR!</v>
      </c>
      <c r="E30" s="6" t="str">
        <f>ARRAY_CONSTRAIN(ARRAYFORMULA(_xludf.XLOOKUP(J679,[1]order_Report_SA_ID_BB2.0!Q:Q,[1]order_Report_SA_ID_BB2.0!D:D)), 1, 1)</f>
        <v>#ERROR!</v>
      </c>
      <c r="F30" s="6" t="s">
        <v>37</v>
      </c>
      <c r="G30" s="6" t="s">
        <v>70</v>
      </c>
      <c r="H30" s="6" t="s">
        <v>71</v>
      </c>
      <c r="I30" s="6"/>
      <c r="J30" s="7">
        <v>1.859166375E9</v>
      </c>
      <c r="K30" s="6" t="s">
        <v>40</v>
      </c>
      <c r="L30" s="6" t="s">
        <v>41</v>
      </c>
      <c r="M30" s="8">
        <v>46013.00208333333</v>
      </c>
      <c r="N30" s="6" t="s">
        <v>42</v>
      </c>
      <c r="O30" s="9">
        <v>4.0180962E7</v>
      </c>
      <c r="P30" s="6" t="s">
        <v>43</v>
      </c>
      <c r="Q30" s="6" t="s">
        <v>81</v>
      </c>
      <c r="R30" s="6" t="s">
        <v>52</v>
      </c>
      <c r="S30" s="9">
        <v>1.0</v>
      </c>
      <c r="T30" s="9">
        <v>0.0</v>
      </c>
      <c r="U30" s="9">
        <v>1.0</v>
      </c>
      <c r="V30" s="6"/>
      <c r="W30" s="6" t="s">
        <v>46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 t="s">
        <v>47</v>
      </c>
      <c r="AI30" s="6"/>
      <c r="AJ30" s="9">
        <v>2.946294186E9</v>
      </c>
      <c r="AK30" s="6" t="s">
        <v>48</v>
      </c>
    </row>
    <row r="31" ht="15.75" customHeight="1">
      <c r="A31" s="6" t="str">
        <f t="shared" si="1"/>
        <v>22-Dec-2025</v>
      </c>
      <c r="B31" s="6" t="str">
        <f t="shared" si="2"/>
        <v>December</v>
      </c>
      <c r="C31" s="6" t="str">
        <f>ARRAY_CONSTRAIN(ARRAYFORMULA(_xludf.XLOOKUP(J680,[1]order_Report_SA_ID_BB2.0!Q:Q,[1]order_Report_SA_ID_BB2.0!H:H)), 1, 1)</f>
        <v>#ERROR!</v>
      </c>
      <c r="D31" s="6" t="str">
        <f>ARRAY_CONSTRAIN(ARRAYFORMULA(_xludf.XLOOKUP(O680,[1]order_sku_sales_bb2_report!J:J,[1]order_sku_sales_bb2_report!D:D)), 1, 1)</f>
        <v>#ERROR!</v>
      </c>
      <c r="E31" s="6" t="str">
        <f>ARRAY_CONSTRAIN(ARRAYFORMULA(_xludf.XLOOKUP(J680,[1]order_Report_SA_ID_BB2.0!Q:Q,[1]order_Report_SA_ID_BB2.0!D:D)), 1, 1)</f>
        <v>#ERROR!</v>
      </c>
      <c r="F31" s="6" t="s">
        <v>37</v>
      </c>
      <c r="G31" s="6" t="s">
        <v>49</v>
      </c>
      <c r="H31" s="6" t="s">
        <v>50</v>
      </c>
      <c r="I31" s="6"/>
      <c r="J31" s="7">
        <v>1.859166408E9</v>
      </c>
      <c r="K31" s="6" t="s">
        <v>40</v>
      </c>
      <c r="L31" s="6" t="s">
        <v>41</v>
      </c>
      <c r="M31" s="8">
        <v>46013.00208333333</v>
      </c>
      <c r="N31" s="6" t="s">
        <v>42</v>
      </c>
      <c r="O31" s="9">
        <v>4.014983E7</v>
      </c>
      <c r="P31" s="6" t="s">
        <v>43</v>
      </c>
      <c r="Q31" s="6" t="s">
        <v>51</v>
      </c>
      <c r="R31" s="6" t="s">
        <v>52</v>
      </c>
      <c r="S31" s="9">
        <v>1.0</v>
      </c>
      <c r="T31" s="9">
        <v>0.0</v>
      </c>
      <c r="U31" s="9">
        <v>1.0</v>
      </c>
      <c r="V31" s="6"/>
      <c r="W31" s="6" t="s">
        <v>46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 t="s">
        <v>47</v>
      </c>
      <c r="AI31" s="6"/>
      <c r="AJ31" s="9">
        <v>2.94629443E9</v>
      </c>
      <c r="AK31" s="6" t="s">
        <v>48</v>
      </c>
    </row>
    <row r="32" ht="15.75" customHeight="1">
      <c r="A32" s="6" t="str">
        <f t="shared" si="1"/>
        <v>22-Dec-2025</v>
      </c>
      <c r="B32" s="6" t="str">
        <f t="shared" si="2"/>
        <v>December</v>
      </c>
      <c r="C32" s="6" t="str">
        <f>ARRAY_CONSTRAIN(ARRAYFORMULA(_xludf.XLOOKUP(J681,[1]order_Report_SA_ID_BB2.0!Q:Q,[1]order_Report_SA_ID_BB2.0!H:H)), 1, 1)</f>
        <v>#ERROR!</v>
      </c>
      <c r="D32" s="6" t="str">
        <f>ARRAY_CONSTRAIN(ARRAYFORMULA(_xludf.XLOOKUP(O681,[1]order_sku_sales_bb2_report!J:J,[1]order_sku_sales_bb2_report!D:D)), 1, 1)</f>
        <v>#ERROR!</v>
      </c>
      <c r="E32" s="6" t="str">
        <f>ARRAY_CONSTRAIN(ARRAYFORMULA(_xludf.XLOOKUP(J681,[1]order_Report_SA_ID_BB2.0!Q:Q,[1]order_Report_SA_ID_BB2.0!D:D)), 1, 1)</f>
        <v>#ERROR!</v>
      </c>
      <c r="F32" s="6" t="s">
        <v>37</v>
      </c>
      <c r="G32" s="6" t="s">
        <v>82</v>
      </c>
      <c r="H32" s="6" t="s">
        <v>83</v>
      </c>
      <c r="I32" s="6"/>
      <c r="J32" s="7">
        <v>1.859166457E9</v>
      </c>
      <c r="K32" s="6" t="s">
        <v>40</v>
      </c>
      <c r="L32" s="6" t="s">
        <v>41</v>
      </c>
      <c r="M32" s="8">
        <v>46013.00208333333</v>
      </c>
      <c r="N32" s="6" t="s">
        <v>42</v>
      </c>
      <c r="O32" s="9">
        <v>4.0092241E7</v>
      </c>
      <c r="P32" s="6" t="s">
        <v>43</v>
      </c>
      <c r="Q32" s="6" t="s">
        <v>84</v>
      </c>
      <c r="R32" s="6" t="s">
        <v>52</v>
      </c>
      <c r="S32" s="9">
        <v>1.0</v>
      </c>
      <c r="T32" s="9">
        <v>0.0</v>
      </c>
      <c r="U32" s="9">
        <v>1.0</v>
      </c>
      <c r="V32" s="6"/>
      <c r="W32" s="6" t="s">
        <v>46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 t="s">
        <v>47</v>
      </c>
      <c r="AI32" s="6"/>
      <c r="AJ32" s="9">
        <v>2.946294962E9</v>
      </c>
      <c r="AK32" s="6" t="s">
        <v>48</v>
      </c>
    </row>
    <row r="33" ht="15.75" customHeight="1">
      <c r="A33" s="6" t="str">
        <f t="shared" si="1"/>
        <v>22-Dec-2025</v>
      </c>
      <c r="B33" s="6" t="str">
        <f t="shared" si="2"/>
        <v>December</v>
      </c>
      <c r="C33" s="6" t="str">
        <f>ARRAY_CONSTRAIN(ARRAYFORMULA(_xludf.XLOOKUP(J682,[1]order_Report_SA_ID_BB2.0!Q:Q,[1]order_Report_SA_ID_BB2.0!H:H)), 1, 1)</f>
        <v>#ERROR!</v>
      </c>
      <c r="D33" s="6" t="str">
        <f>ARRAY_CONSTRAIN(ARRAYFORMULA(_xludf.XLOOKUP(O682,[1]order_sku_sales_bb2_report!J:J,[1]order_sku_sales_bb2_report!D:D)), 1, 1)</f>
        <v>#ERROR!</v>
      </c>
      <c r="E33" s="6" t="str">
        <f>ARRAY_CONSTRAIN(ARRAYFORMULA(_xludf.XLOOKUP(J682,[1]order_Report_SA_ID_BB2.0!Q:Q,[1]order_Report_SA_ID_BB2.0!D:D)), 1, 1)</f>
        <v>#ERROR!</v>
      </c>
      <c r="F33" s="6" t="s">
        <v>37</v>
      </c>
      <c r="G33" s="6" t="s">
        <v>70</v>
      </c>
      <c r="H33" s="6" t="s">
        <v>71</v>
      </c>
      <c r="I33" s="6"/>
      <c r="J33" s="7">
        <v>1.859166593E9</v>
      </c>
      <c r="K33" s="6" t="s">
        <v>40</v>
      </c>
      <c r="L33" s="6" t="s">
        <v>41</v>
      </c>
      <c r="M33" s="8">
        <v>46013.00208333333</v>
      </c>
      <c r="N33" s="6" t="s">
        <v>42</v>
      </c>
      <c r="O33" s="9">
        <v>4.0179391E7</v>
      </c>
      <c r="P33" s="6" t="s">
        <v>43</v>
      </c>
      <c r="Q33" s="6" t="s">
        <v>85</v>
      </c>
      <c r="R33" s="6" t="s">
        <v>45</v>
      </c>
      <c r="S33" s="9">
        <v>1.0</v>
      </c>
      <c r="T33" s="9">
        <v>0.0</v>
      </c>
      <c r="U33" s="9">
        <v>1.0</v>
      </c>
      <c r="V33" s="6"/>
      <c r="W33" s="6" t="s">
        <v>46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 t="s">
        <v>47</v>
      </c>
      <c r="AI33" s="6"/>
      <c r="AJ33" s="9">
        <v>2.94629555E9</v>
      </c>
      <c r="AK33" s="6" t="s">
        <v>48</v>
      </c>
    </row>
    <row r="34" ht="15.75" customHeight="1">
      <c r="A34" s="6" t="str">
        <f t="shared" si="1"/>
        <v>22-Dec-2025</v>
      </c>
      <c r="B34" s="6" t="str">
        <f t="shared" si="2"/>
        <v>December</v>
      </c>
      <c r="C34" s="6" t="str">
        <f>ARRAY_CONSTRAIN(ARRAYFORMULA(_xludf.XLOOKUP(J683,[1]order_Report_SA_ID_BB2.0!Q:Q,[1]order_Report_SA_ID_BB2.0!H:H)), 1, 1)</f>
        <v>#ERROR!</v>
      </c>
      <c r="D34" s="6" t="str">
        <f>ARRAY_CONSTRAIN(ARRAYFORMULA(_xludf.XLOOKUP(O683,[1]order_sku_sales_bb2_report!J:J,[1]order_sku_sales_bb2_report!D:D)), 1, 1)</f>
        <v>#ERROR!</v>
      </c>
      <c r="E34" s="6" t="str">
        <f>ARRAY_CONSTRAIN(ARRAYFORMULA(_xludf.XLOOKUP(J683,[1]order_Report_SA_ID_BB2.0!Q:Q,[1]order_Report_SA_ID_BB2.0!D:D)), 1, 1)</f>
        <v>#ERROR!</v>
      </c>
      <c r="F34" s="6" t="s">
        <v>37</v>
      </c>
      <c r="G34" s="6" t="s">
        <v>86</v>
      </c>
      <c r="H34" s="6" t="s">
        <v>87</v>
      </c>
      <c r="I34" s="6"/>
      <c r="J34" s="7">
        <v>1.859166721E9</v>
      </c>
      <c r="K34" s="6" t="s">
        <v>40</v>
      </c>
      <c r="L34" s="6" t="s">
        <v>41</v>
      </c>
      <c r="M34" s="8">
        <v>46013.00277777778</v>
      </c>
      <c r="N34" s="6" t="s">
        <v>42</v>
      </c>
      <c r="O34" s="9">
        <v>4.0194547E7</v>
      </c>
      <c r="P34" s="6" t="s">
        <v>43</v>
      </c>
      <c r="Q34" s="6" t="s">
        <v>88</v>
      </c>
      <c r="R34" s="6" t="s">
        <v>52</v>
      </c>
      <c r="S34" s="9">
        <v>1.0</v>
      </c>
      <c r="T34" s="9">
        <v>0.0</v>
      </c>
      <c r="U34" s="9">
        <v>1.0</v>
      </c>
      <c r="V34" s="6"/>
      <c r="W34" s="6" t="s">
        <v>46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 t="s">
        <v>47</v>
      </c>
      <c r="AI34" s="6"/>
      <c r="AJ34" s="9">
        <v>2.946297085E9</v>
      </c>
      <c r="AK34" s="6" t="s">
        <v>48</v>
      </c>
    </row>
    <row r="35" ht="15.75" customHeight="1">
      <c r="A35" s="6" t="str">
        <f t="shared" si="1"/>
        <v>22-Dec-2025</v>
      </c>
      <c r="B35" s="6" t="str">
        <f t="shared" si="2"/>
        <v>December</v>
      </c>
      <c r="C35" s="6" t="str">
        <f>ARRAY_CONSTRAIN(ARRAYFORMULA(_xludf.XLOOKUP(J684,[1]order_Report_SA_ID_BB2.0!Q:Q,[1]order_Report_SA_ID_BB2.0!H:H)), 1, 1)</f>
        <v>#ERROR!</v>
      </c>
      <c r="D35" s="6" t="str">
        <f>ARRAY_CONSTRAIN(ARRAYFORMULA(_xludf.XLOOKUP(O684,[1]order_sku_sales_bb2_report!J:J,[1]order_sku_sales_bb2_report!D:D)), 1, 1)</f>
        <v>#ERROR!</v>
      </c>
      <c r="E35" s="6" t="str">
        <f>ARRAY_CONSTRAIN(ARRAYFORMULA(_xludf.XLOOKUP(J684,[1]order_Report_SA_ID_BB2.0!Q:Q,[1]order_Report_SA_ID_BB2.0!D:D)), 1, 1)</f>
        <v>#ERROR!</v>
      </c>
      <c r="F35" s="6" t="s">
        <v>37</v>
      </c>
      <c r="G35" s="6" t="s">
        <v>86</v>
      </c>
      <c r="H35" s="6" t="s">
        <v>87</v>
      </c>
      <c r="I35" s="6"/>
      <c r="J35" s="7">
        <v>1.85916675E9</v>
      </c>
      <c r="K35" s="6" t="s">
        <v>40</v>
      </c>
      <c r="L35" s="6" t="s">
        <v>41</v>
      </c>
      <c r="M35" s="8">
        <v>46013.00277777778</v>
      </c>
      <c r="N35" s="6" t="s">
        <v>42</v>
      </c>
      <c r="O35" s="9">
        <v>4.0198739E7</v>
      </c>
      <c r="P35" s="6" t="s">
        <v>43</v>
      </c>
      <c r="Q35" s="6" t="s">
        <v>76</v>
      </c>
      <c r="R35" s="6" t="s">
        <v>52</v>
      </c>
      <c r="S35" s="9">
        <v>1.0</v>
      </c>
      <c r="T35" s="9">
        <v>0.0</v>
      </c>
      <c r="U35" s="9">
        <v>1.0</v>
      </c>
      <c r="V35" s="6"/>
      <c r="W35" s="6" t="s">
        <v>46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 t="s">
        <v>47</v>
      </c>
      <c r="AI35" s="6"/>
      <c r="AJ35" s="9">
        <v>2.946297342E9</v>
      </c>
      <c r="AK35" s="6" t="s">
        <v>48</v>
      </c>
    </row>
    <row r="36" ht="15.75" customHeight="1">
      <c r="A36" s="6" t="str">
        <f t="shared" si="1"/>
        <v>22-Dec-2025</v>
      </c>
      <c r="B36" s="6" t="str">
        <f t="shared" si="2"/>
        <v>December</v>
      </c>
      <c r="C36" s="6" t="str">
        <f>ARRAY_CONSTRAIN(ARRAYFORMULA(_xludf.XLOOKUP(J685,[1]order_Report_SA_ID_BB2.0!Q:Q,[1]order_Report_SA_ID_BB2.0!H:H)), 1, 1)</f>
        <v>#ERROR!</v>
      </c>
      <c r="D36" s="6" t="str">
        <f>ARRAY_CONSTRAIN(ARRAYFORMULA(_xludf.XLOOKUP(O685,[1]order_sku_sales_bb2_report!J:J,[1]order_sku_sales_bb2_report!D:D)), 1, 1)</f>
        <v>#ERROR!</v>
      </c>
      <c r="E36" s="6" t="str">
        <f>ARRAY_CONSTRAIN(ARRAYFORMULA(_xludf.XLOOKUP(J685,[1]order_Report_SA_ID_BB2.0!Q:Q,[1]order_Report_SA_ID_BB2.0!D:D)), 1, 1)</f>
        <v>#ERROR!</v>
      </c>
      <c r="F36" s="6" t="s">
        <v>37</v>
      </c>
      <c r="G36" s="6" t="s">
        <v>89</v>
      </c>
      <c r="H36" s="6" t="s">
        <v>90</v>
      </c>
      <c r="I36" s="6"/>
      <c r="J36" s="7">
        <v>1.859166918E9</v>
      </c>
      <c r="K36" s="6" t="s">
        <v>40</v>
      </c>
      <c r="L36" s="6" t="s">
        <v>41</v>
      </c>
      <c r="M36" s="8">
        <v>46013.00277777778</v>
      </c>
      <c r="N36" s="6" t="s">
        <v>42</v>
      </c>
      <c r="O36" s="9">
        <v>4.0054182E7</v>
      </c>
      <c r="P36" s="6" t="s">
        <v>43</v>
      </c>
      <c r="Q36" s="6" t="s">
        <v>91</v>
      </c>
      <c r="R36" s="6" t="s">
        <v>45</v>
      </c>
      <c r="S36" s="9">
        <v>1.0</v>
      </c>
      <c r="T36" s="9">
        <v>0.0</v>
      </c>
      <c r="U36" s="9">
        <v>1.0</v>
      </c>
      <c r="V36" s="6"/>
      <c r="W36" s="6" t="s">
        <v>46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 t="s">
        <v>47</v>
      </c>
      <c r="AI36" s="6"/>
      <c r="AJ36" s="9">
        <v>2.946299235E9</v>
      </c>
      <c r="AK36" s="6" t="s">
        <v>48</v>
      </c>
    </row>
    <row r="37" ht="15.75" customHeight="1">
      <c r="A37" s="6" t="str">
        <f t="shared" si="1"/>
        <v>22-Dec-2025</v>
      </c>
      <c r="B37" s="6" t="str">
        <f t="shared" si="2"/>
        <v>December</v>
      </c>
      <c r="C37" s="6" t="str">
        <f>ARRAY_CONSTRAIN(ARRAYFORMULA(_xludf.XLOOKUP(J686,[1]order_Report_SA_ID_BB2.0!Q:Q,[1]order_Report_SA_ID_BB2.0!H:H)), 1, 1)</f>
        <v>#ERROR!</v>
      </c>
      <c r="D37" s="6" t="str">
        <f>ARRAY_CONSTRAIN(ARRAYFORMULA(_xludf.XLOOKUP(O686,[1]order_sku_sales_bb2_report!J:J,[1]order_sku_sales_bb2_report!D:D)), 1, 1)</f>
        <v>#ERROR!</v>
      </c>
      <c r="E37" s="6" t="str">
        <f>ARRAY_CONSTRAIN(ARRAYFORMULA(_xludf.XLOOKUP(J686,[1]order_Report_SA_ID_BB2.0!Q:Q,[1]order_Report_SA_ID_BB2.0!D:D)), 1, 1)</f>
        <v>#ERROR!</v>
      </c>
      <c r="F37" s="6" t="s">
        <v>37</v>
      </c>
      <c r="G37" s="6" t="s">
        <v>49</v>
      </c>
      <c r="H37" s="6" t="s">
        <v>50</v>
      </c>
      <c r="I37" s="6"/>
      <c r="J37" s="7">
        <v>1.859167093E9</v>
      </c>
      <c r="K37" s="6" t="s">
        <v>40</v>
      </c>
      <c r="L37" s="6" t="s">
        <v>41</v>
      </c>
      <c r="M37" s="8">
        <v>46013.00277777778</v>
      </c>
      <c r="N37" s="6" t="s">
        <v>42</v>
      </c>
      <c r="O37" s="9">
        <v>4.014983E7</v>
      </c>
      <c r="P37" s="6" t="s">
        <v>43</v>
      </c>
      <c r="Q37" s="6" t="s">
        <v>51</v>
      </c>
      <c r="R37" s="6" t="s">
        <v>52</v>
      </c>
      <c r="S37" s="9">
        <v>1.0</v>
      </c>
      <c r="T37" s="9">
        <v>0.0</v>
      </c>
      <c r="U37" s="9">
        <v>1.0</v>
      </c>
      <c r="V37" s="6"/>
      <c r="W37" s="6" t="s">
        <v>46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 t="s">
        <v>47</v>
      </c>
      <c r="AI37" s="6"/>
      <c r="AJ37" s="9">
        <v>2.946301331E9</v>
      </c>
      <c r="AK37" s="6" t="s">
        <v>48</v>
      </c>
    </row>
    <row r="38" ht="15.75" customHeight="1">
      <c r="A38" s="6" t="str">
        <f t="shared" si="1"/>
        <v>22-Dec-2025</v>
      </c>
      <c r="B38" s="6" t="str">
        <f t="shared" si="2"/>
        <v>December</v>
      </c>
      <c r="C38" s="6" t="str">
        <f>ARRAY_CONSTRAIN(ARRAYFORMULA(_xludf.XLOOKUP(J687,[1]order_Report_SA_ID_BB2.0!Q:Q,[1]order_Report_SA_ID_BB2.0!H:H)), 1, 1)</f>
        <v>#ERROR!</v>
      </c>
      <c r="D38" s="6" t="str">
        <f>ARRAY_CONSTRAIN(ARRAYFORMULA(_xludf.XLOOKUP(O687,[1]order_sku_sales_bb2_report!J:J,[1]order_sku_sales_bb2_report!D:D)), 1, 1)</f>
        <v>#ERROR!</v>
      </c>
      <c r="E38" s="6" t="str">
        <f>ARRAY_CONSTRAIN(ARRAYFORMULA(_xludf.XLOOKUP(J687,[1]order_Report_SA_ID_BB2.0!Q:Q,[1]order_Report_SA_ID_BB2.0!D:D)), 1, 1)</f>
        <v>#ERROR!</v>
      </c>
      <c r="F38" s="6" t="s">
        <v>37</v>
      </c>
      <c r="G38" s="6" t="s">
        <v>92</v>
      </c>
      <c r="H38" s="6" t="s">
        <v>93</v>
      </c>
      <c r="I38" s="6">
        <v>3227.0</v>
      </c>
      <c r="J38" s="7">
        <v>1.859167126E9</v>
      </c>
      <c r="K38" s="6" t="s">
        <v>40</v>
      </c>
      <c r="L38" s="6" t="s">
        <v>41</v>
      </c>
      <c r="M38" s="8">
        <v>46013.00277777778</v>
      </c>
      <c r="N38" s="6" t="s">
        <v>42</v>
      </c>
      <c r="O38" s="9">
        <v>2.0002407E7</v>
      </c>
      <c r="P38" s="6" t="s">
        <v>43</v>
      </c>
      <c r="Q38" s="6" t="s">
        <v>94</v>
      </c>
      <c r="R38" s="6" t="s">
        <v>61</v>
      </c>
      <c r="S38" s="9">
        <v>1.0</v>
      </c>
      <c r="T38" s="9">
        <v>0.0</v>
      </c>
      <c r="U38" s="9">
        <v>1.0</v>
      </c>
      <c r="V38" s="6"/>
      <c r="W38" s="6" t="s">
        <v>46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 t="s">
        <v>47</v>
      </c>
      <c r="AI38" s="6"/>
      <c r="AJ38" s="9">
        <v>2.946301569E9</v>
      </c>
      <c r="AK38" s="6" t="s">
        <v>48</v>
      </c>
    </row>
    <row r="39" ht="15.75" customHeight="1">
      <c r="A39" s="6" t="str">
        <f t="shared" si="1"/>
        <v>22-Dec-2025</v>
      </c>
      <c r="B39" s="6" t="str">
        <f t="shared" si="2"/>
        <v>December</v>
      </c>
      <c r="C39" s="6" t="str">
        <f>ARRAY_CONSTRAIN(ARRAYFORMULA(_xludf.XLOOKUP(J688,[1]order_Report_SA_ID_BB2.0!Q:Q,[1]order_Report_SA_ID_BB2.0!H:H)), 1, 1)</f>
        <v>#ERROR!</v>
      </c>
      <c r="D39" s="6" t="str">
        <f>ARRAY_CONSTRAIN(ARRAYFORMULA(_xludf.XLOOKUP(O688,[1]order_sku_sales_bb2_report!J:J,[1]order_sku_sales_bb2_report!D:D)), 1, 1)</f>
        <v>#ERROR!</v>
      </c>
      <c r="E39" s="6" t="str">
        <f>ARRAY_CONSTRAIN(ARRAYFORMULA(_xludf.XLOOKUP(J688,[1]order_Report_SA_ID_BB2.0!Q:Q,[1]order_Report_SA_ID_BB2.0!D:D)), 1, 1)</f>
        <v>#ERROR!</v>
      </c>
      <c r="F39" s="6" t="s">
        <v>37</v>
      </c>
      <c r="G39" s="6" t="s">
        <v>49</v>
      </c>
      <c r="H39" s="6" t="s">
        <v>50</v>
      </c>
      <c r="I39" s="6"/>
      <c r="J39" s="7">
        <v>1.859167581E9</v>
      </c>
      <c r="K39" s="6" t="s">
        <v>40</v>
      </c>
      <c r="L39" s="6" t="s">
        <v>41</v>
      </c>
      <c r="M39" s="8">
        <v>46013.00347222222</v>
      </c>
      <c r="N39" s="6" t="s">
        <v>42</v>
      </c>
      <c r="O39" s="9">
        <v>4.014983E7</v>
      </c>
      <c r="P39" s="6" t="s">
        <v>43</v>
      </c>
      <c r="Q39" s="6" t="s">
        <v>51</v>
      </c>
      <c r="R39" s="6" t="s">
        <v>52</v>
      </c>
      <c r="S39" s="9">
        <v>2.0</v>
      </c>
      <c r="T39" s="9">
        <v>0.0</v>
      </c>
      <c r="U39" s="9">
        <v>2.0</v>
      </c>
      <c r="V39" s="6"/>
      <c r="W39" s="6" t="s">
        <v>46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 t="s">
        <v>47</v>
      </c>
      <c r="AI39" s="6"/>
      <c r="AJ39" s="9">
        <v>2.946306958E9</v>
      </c>
      <c r="AK39" s="6" t="s">
        <v>48</v>
      </c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7"/>
      <c r="K40" s="6"/>
      <c r="L40" s="6"/>
      <c r="M40" s="8"/>
      <c r="N40" s="6"/>
      <c r="O40" s="9"/>
      <c r="P40" s="6"/>
      <c r="Q40" s="6"/>
      <c r="R40" s="6"/>
      <c r="S40" s="9"/>
      <c r="T40" s="9"/>
      <c r="U40" s="9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9"/>
      <c r="AK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7"/>
      <c r="K41" s="6"/>
      <c r="L41" s="6"/>
      <c r="M41" s="8"/>
      <c r="N41" s="6"/>
      <c r="O41" s="9"/>
      <c r="P41" s="6"/>
      <c r="Q41" s="6"/>
      <c r="R41" s="6"/>
      <c r="S41" s="9"/>
      <c r="T41" s="9"/>
      <c r="U41" s="9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9"/>
      <c r="AK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7"/>
      <c r="K42" s="6"/>
      <c r="L42" s="6"/>
      <c r="M42" s="8"/>
      <c r="N42" s="6"/>
      <c r="O42" s="9"/>
      <c r="P42" s="6"/>
      <c r="Q42" s="6"/>
      <c r="R42" s="6"/>
      <c r="S42" s="9"/>
      <c r="T42" s="9"/>
      <c r="U42" s="9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9"/>
      <c r="AK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7"/>
      <c r="K43" s="6"/>
      <c r="L43" s="6"/>
      <c r="M43" s="8"/>
      <c r="N43" s="6"/>
      <c r="O43" s="9"/>
      <c r="P43" s="6"/>
      <c r="Q43" s="6"/>
      <c r="R43" s="6"/>
      <c r="S43" s="9"/>
      <c r="T43" s="9"/>
      <c r="U43" s="9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9"/>
      <c r="AK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7"/>
      <c r="K44" s="6"/>
      <c r="L44" s="6"/>
      <c r="M44" s="8"/>
      <c r="N44" s="6"/>
      <c r="O44" s="9"/>
      <c r="P44" s="6"/>
      <c r="Q44" s="6"/>
      <c r="R44" s="6"/>
      <c r="S44" s="9"/>
      <c r="T44" s="9"/>
      <c r="U44" s="9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9"/>
      <c r="AK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7"/>
      <c r="K45" s="6"/>
      <c r="L45" s="6"/>
      <c r="M45" s="8"/>
      <c r="N45" s="6"/>
      <c r="O45" s="9"/>
      <c r="P45" s="6"/>
      <c r="Q45" s="6"/>
      <c r="R45" s="6"/>
      <c r="S45" s="9"/>
      <c r="T45" s="9"/>
      <c r="U45" s="9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9"/>
      <c r="AK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7"/>
      <c r="K46" s="6"/>
      <c r="L46" s="6"/>
      <c r="M46" s="8"/>
      <c r="N46" s="6"/>
      <c r="O46" s="9"/>
      <c r="P46" s="6"/>
      <c r="Q46" s="6"/>
      <c r="R46" s="6"/>
      <c r="S46" s="9"/>
      <c r="T46" s="9"/>
      <c r="U46" s="9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9"/>
      <c r="AK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7"/>
      <c r="K47" s="6"/>
      <c r="L47" s="6"/>
      <c r="M47" s="8"/>
      <c r="N47" s="6"/>
      <c r="O47" s="9"/>
      <c r="P47" s="6"/>
      <c r="Q47" s="6"/>
      <c r="R47" s="6"/>
      <c r="S47" s="9"/>
      <c r="T47" s="9"/>
      <c r="U47" s="9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9"/>
      <c r="AK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7"/>
      <c r="K48" s="6"/>
      <c r="L48" s="6"/>
      <c r="M48" s="8"/>
      <c r="N48" s="6"/>
      <c r="O48" s="9"/>
      <c r="P48" s="6"/>
      <c r="Q48" s="6"/>
      <c r="R48" s="6"/>
      <c r="S48" s="9"/>
      <c r="T48" s="9"/>
      <c r="U48" s="9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9"/>
      <c r="AK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7"/>
      <c r="K49" s="6"/>
      <c r="L49" s="6"/>
      <c r="M49" s="8"/>
      <c r="N49" s="6"/>
      <c r="O49" s="9"/>
      <c r="P49" s="6"/>
      <c r="Q49" s="6"/>
      <c r="R49" s="6"/>
      <c r="S49" s="9"/>
      <c r="T49" s="9"/>
      <c r="U49" s="9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9"/>
      <c r="AK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7"/>
      <c r="K50" s="6"/>
      <c r="L50" s="6"/>
      <c r="M50" s="8"/>
      <c r="N50" s="6"/>
      <c r="O50" s="9"/>
      <c r="P50" s="6"/>
      <c r="Q50" s="6"/>
      <c r="R50" s="6"/>
      <c r="S50" s="9"/>
      <c r="T50" s="9"/>
      <c r="U50" s="9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9"/>
      <c r="AK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7"/>
      <c r="K51" s="6"/>
      <c r="L51" s="6"/>
      <c r="M51" s="8"/>
      <c r="N51" s="6"/>
      <c r="O51" s="9"/>
      <c r="P51" s="6"/>
      <c r="Q51" s="6"/>
      <c r="R51" s="6"/>
      <c r="S51" s="9"/>
      <c r="T51" s="9"/>
      <c r="U51" s="9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9"/>
      <c r="AK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7"/>
      <c r="K52" s="6"/>
      <c r="L52" s="6"/>
      <c r="M52" s="8"/>
      <c r="N52" s="6"/>
      <c r="O52" s="9"/>
      <c r="P52" s="6"/>
      <c r="Q52" s="6"/>
      <c r="R52" s="6"/>
      <c r="S52" s="9"/>
      <c r="T52" s="9"/>
      <c r="U52" s="9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9"/>
      <c r="AK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7"/>
      <c r="K53" s="6"/>
      <c r="L53" s="6"/>
      <c r="M53" s="8"/>
      <c r="N53" s="6"/>
      <c r="O53" s="9"/>
      <c r="P53" s="6"/>
      <c r="Q53" s="6"/>
      <c r="R53" s="6"/>
      <c r="S53" s="9"/>
      <c r="T53" s="9"/>
      <c r="U53" s="9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9"/>
      <c r="AK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7"/>
      <c r="K54" s="6"/>
      <c r="L54" s="6"/>
      <c r="M54" s="8"/>
      <c r="N54" s="6"/>
      <c r="O54" s="9"/>
      <c r="P54" s="6"/>
      <c r="Q54" s="6"/>
      <c r="R54" s="6"/>
      <c r="S54" s="9"/>
      <c r="T54" s="9"/>
      <c r="U54" s="9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9"/>
      <c r="AK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7"/>
      <c r="K55" s="6"/>
      <c r="L55" s="6"/>
      <c r="M55" s="8"/>
      <c r="N55" s="6"/>
      <c r="O55" s="9"/>
      <c r="P55" s="6"/>
      <c r="Q55" s="6"/>
      <c r="R55" s="6"/>
      <c r="S55" s="9"/>
      <c r="T55" s="9"/>
      <c r="U55" s="9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9"/>
      <c r="AK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7"/>
      <c r="K56" s="6"/>
      <c r="L56" s="6"/>
      <c r="M56" s="8"/>
      <c r="N56" s="6"/>
      <c r="O56" s="9"/>
      <c r="P56" s="6"/>
      <c r="Q56" s="6"/>
      <c r="R56" s="6"/>
      <c r="S56" s="9"/>
      <c r="T56" s="9"/>
      <c r="U56" s="9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9"/>
      <c r="AK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7"/>
      <c r="K57" s="6"/>
      <c r="L57" s="6"/>
      <c r="M57" s="8"/>
      <c r="N57" s="6"/>
      <c r="O57" s="9"/>
      <c r="P57" s="6"/>
      <c r="Q57" s="6"/>
      <c r="R57" s="6"/>
      <c r="S57" s="9"/>
      <c r="T57" s="9"/>
      <c r="U57" s="9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9"/>
      <c r="AK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7"/>
      <c r="K58" s="6"/>
      <c r="L58" s="6"/>
      <c r="M58" s="8"/>
      <c r="N58" s="6"/>
      <c r="O58" s="9"/>
      <c r="P58" s="6"/>
      <c r="Q58" s="6"/>
      <c r="R58" s="6"/>
      <c r="S58" s="9"/>
      <c r="T58" s="9"/>
      <c r="U58" s="9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9"/>
      <c r="AK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7"/>
      <c r="K59" s="6"/>
      <c r="L59" s="6"/>
      <c r="M59" s="8"/>
      <c r="N59" s="6"/>
      <c r="O59" s="9"/>
      <c r="P59" s="6"/>
      <c r="Q59" s="6"/>
      <c r="R59" s="6"/>
      <c r="S59" s="9"/>
      <c r="T59" s="9"/>
      <c r="U59" s="9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9"/>
      <c r="AK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7"/>
      <c r="K60" s="6"/>
      <c r="L60" s="6"/>
      <c r="M60" s="8"/>
      <c r="N60" s="6"/>
      <c r="O60" s="9"/>
      <c r="P60" s="6"/>
      <c r="Q60" s="6"/>
      <c r="R60" s="6"/>
      <c r="S60" s="9"/>
      <c r="T60" s="9"/>
      <c r="U60" s="9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9"/>
      <c r="AK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7"/>
      <c r="K61" s="6"/>
      <c r="L61" s="6"/>
      <c r="M61" s="8"/>
      <c r="N61" s="6"/>
      <c r="O61" s="9"/>
      <c r="P61" s="6"/>
      <c r="Q61" s="6"/>
      <c r="R61" s="6"/>
      <c r="S61" s="9"/>
      <c r="T61" s="9"/>
      <c r="U61" s="9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9"/>
      <c r="AK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7"/>
      <c r="K62" s="6"/>
      <c r="L62" s="6"/>
      <c r="M62" s="8"/>
      <c r="N62" s="6"/>
      <c r="O62" s="9"/>
      <c r="P62" s="6"/>
      <c r="Q62" s="6"/>
      <c r="R62" s="6"/>
      <c r="S62" s="9"/>
      <c r="T62" s="9"/>
      <c r="U62" s="9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9"/>
      <c r="AK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7"/>
      <c r="K63" s="6"/>
      <c r="L63" s="6"/>
      <c r="M63" s="8"/>
      <c r="N63" s="6"/>
      <c r="O63" s="9"/>
      <c r="P63" s="6"/>
      <c r="Q63" s="6"/>
      <c r="R63" s="6"/>
      <c r="S63" s="9"/>
      <c r="T63" s="9"/>
      <c r="U63" s="9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9"/>
      <c r="AK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7"/>
      <c r="K64" s="6"/>
      <c r="L64" s="6"/>
      <c r="M64" s="8"/>
      <c r="N64" s="6"/>
      <c r="O64" s="9"/>
      <c r="P64" s="6"/>
      <c r="Q64" s="6"/>
      <c r="R64" s="6"/>
      <c r="S64" s="9"/>
      <c r="T64" s="9"/>
      <c r="U64" s="9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9"/>
      <c r="AK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7"/>
      <c r="K65" s="6"/>
      <c r="L65" s="6"/>
      <c r="M65" s="8"/>
      <c r="N65" s="6"/>
      <c r="O65" s="9"/>
      <c r="P65" s="6"/>
      <c r="Q65" s="6"/>
      <c r="R65" s="6"/>
      <c r="S65" s="9"/>
      <c r="T65" s="9"/>
      <c r="U65" s="9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9"/>
      <c r="AK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7"/>
      <c r="K66" s="6"/>
      <c r="L66" s="6"/>
      <c r="M66" s="8"/>
      <c r="N66" s="6"/>
      <c r="O66" s="9"/>
      <c r="P66" s="6"/>
      <c r="Q66" s="6"/>
      <c r="R66" s="6"/>
      <c r="S66" s="9"/>
      <c r="T66" s="9"/>
      <c r="U66" s="9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9"/>
      <c r="AK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7"/>
      <c r="K67" s="6"/>
      <c r="L67" s="6"/>
      <c r="M67" s="8"/>
      <c r="N67" s="6"/>
      <c r="O67" s="9"/>
      <c r="P67" s="6"/>
      <c r="Q67" s="6"/>
      <c r="R67" s="6"/>
      <c r="S67" s="9"/>
      <c r="T67" s="9"/>
      <c r="U67" s="9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9"/>
      <c r="AK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7"/>
      <c r="K68" s="6"/>
      <c r="L68" s="6"/>
      <c r="M68" s="8"/>
      <c r="N68" s="6"/>
      <c r="O68" s="9"/>
      <c r="P68" s="6"/>
      <c r="Q68" s="6"/>
      <c r="R68" s="6"/>
      <c r="S68" s="9"/>
      <c r="T68" s="9"/>
      <c r="U68" s="9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9"/>
      <c r="AK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7"/>
      <c r="K69" s="6"/>
      <c r="L69" s="6"/>
      <c r="M69" s="8"/>
      <c r="N69" s="6"/>
      <c r="O69" s="9"/>
      <c r="P69" s="6"/>
      <c r="Q69" s="6"/>
      <c r="R69" s="6"/>
      <c r="S69" s="9"/>
      <c r="T69" s="9"/>
      <c r="U69" s="9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9"/>
      <c r="AK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7"/>
      <c r="K70" s="6"/>
      <c r="L70" s="6"/>
      <c r="M70" s="8"/>
      <c r="N70" s="6"/>
      <c r="O70" s="9"/>
      <c r="P70" s="6"/>
      <c r="Q70" s="6"/>
      <c r="R70" s="6"/>
      <c r="S70" s="9"/>
      <c r="T70" s="9"/>
      <c r="U70" s="9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9"/>
      <c r="AK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7"/>
      <c r="K71" s="6"/>
      <c r="L71" s="6"/>
      <c r="M71" s="8"/>
      <c r="N71" s="6"/>
      <c r="O71" s="9"/>
      <c r="P71" s="6"/>
      <c r="Q71" s="6"/>
      <c r="R71" s="6"/>
      <c r="S71" s="9"/>
      <c r="T71" s="9"/>
      <c r="U71" s="9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9"/>
      <c r="AK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7"/>
      <c r="K72" s="6"/>
      <c r="L72" s="6"/>
      <c r="M72" s="8"/>
      <c r="N72" s="6"/>
      <c r="O72" s="9"/>
      <c r="P72" s="6"/>
      <c r="Q72" s="6"/>
      <c r="R72" s="6"/>
      <c r="S72" s="9"/>
      <c r="T72" s="9"/>
      <c r="U72" s="9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9"/>
      <c r="AK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7"/>
      <c r="K73" s="6"/>
      <c r="L73" s="6"/>
      <c r="M73" s="8"/>
      <c r="N73" s="6"/>
      <c r="O73" s="9"/>
      <c r="P73" s="6"/>
      <c r="Q73" s="6"/>
      <c r="R73" s="6"/>
      <c r="S73" s="9"/>
      <c r="T73" s="9"/>
      <c r="U73" s="9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9"/>
      <c r="AK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7"/>
      <c r="K74" s="6"/>
      <c r="L74" s="6"/>
      <c r="M74" s="8"/>
      <c r="N74" s="6"/>
      <c r="O74" s="9"/>
      <c r="P74" s="6"/>
      <c r="Q74" s="6"/>
      <c r="R74" s="6"/>
      <c r="S74" s="9"/>
      <c r="T74" s="9"/>
      <c r="U74" s="9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9"/>
      <c r="AK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7"/>
      <c r="K75" s="6"/>
      <c r="L75" s="6"/>
      <c r="M75" s="8"/>
      <c r="N75" s="6"/>
      <c r="O75" s="9"/>
      <c r="P75" s="6"/>
      <c r="Q75" s="6"/>
      <c r="R75" s="6"/>
      <c r="S75" s="9"/>
      <c r="T75" s="9"/>
      <c r="U75" s="9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9"/>
      <c r="AK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7"/>
      <c r="K76" s="6"/>
      <c r="L76" s="6"/>
      <c r="M76" s="8"/>
      <c r="N76" s="6"/>
      <c r="O76" s="9"/>
      <c r="P76" s="6"/>
      <c r="Q76" s="6"/>
      <c r="R76" s="6"/>
      <c r="S76" s="9"/>
      <c r="T76" s="9"/>
      <c r="U76" s="9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9"/>
      <c r="AK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7"/>
      <c r="K77" s="6"/>
      <c r="L77" s="6"/>
      <c r="M77" s="8"/>
      <c r="N77" s="6"/>
      <c r="O77" s="9"/>
      <c r="P77" s="6"/>
      <c r="Q77" s="6"/>
      <c r="R77" s="6"/>
      <c r="S77" s="9"/>
      <c r="T77" s="9"/>
      <c r="U77" s="9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9"/>
      <c r="AK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7"/>
      <c r="K78" s="6"/>
      <c r="L78" s="6"/>
      <c r="M78" s="8"/>
      <c r="N78" s="6"/>
      <c r="O78" s="9"/>
      <c r="P78" s="6"/>
      <c r="Q78" s="6"/>
      <c r="R78" s="6"/>
      <c r="S78" s="9"/>
      <c r="T78" s="9"/>
      <c r="U78" s="9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9"/>
      <c r="AK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7"/>
      <c r="K79" s="6"/>
      <c r="L79" s="6"/>
      <c r="M79" s="8"/>
      <c r="N79" s="6"/>
      <c r="O79" s="9"/>
      <c r="P79" s="6"/>
      <c r="Q79" s="6"/>
      <c r="R79" s="6"/>
      <c r="S79" s="9"/>
      <c r="T79" s="9"/>
      <c r="U79" s="9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9"/>
      <c r="AK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7"/>
      <c r="K80" s="6"/>
      <c r="L80" s="6"/>
      <c r="M80" s="8"/>
      <c r="N80" s="6"/>
      <c r="O80" s="9"/>
      <c r="P80" s="6"/>
      <c r="Q80" s="6"/>
      <c r="R80" s="6"/>
      <c r="S80" s="9"/>
      <c r="T80" s="9"/>
      <c r="U80" s="9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9"/>
      <c r="AK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7"/>
      <c r="K81" s="6"/>
      <c r="L81" s="6"/>
      <c r="M81" s="8"/>
      <c r="N81" s="6"/>
      <c r="O81" s="9"/>
      <c r="P81" s="6"/>
      <c r="Q81" s="6"/>
      <c r="R81" s="6"/>
      <c r="S81" s="9"/>
      <c r="T81" s="9"/>
      <c r="U81" s="9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9"/>
      <c r="AK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7"/>
      <c r="K82" s="6"/>
      <c r="L82" s="6"/>
      <c r="M82" s="8"/>
      <c r="N82" s="6"/>
      <c r="O82" s="9"/>
      <c r="P82" s="6"/>
      <c r="Q82" s="6"/>
      <c r="R82" s="6"/>
      <c r="S82" s="9"/>
      <c r="T82" s="9"/>
      <c r="U82" s="9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9"/>
      <c r="AK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7"/>
      <c r="K83" s="6"/>
      <c r="L83" s="6"/>
      <c r="M83" s="8"/>
      <c r="N83" s="6"/>
      <c r="O83" s="9"/>
      <c r="P83" s="6"/>
      <c r="Q83" s="6"/>
      <c r="R83" s="6"/>
      <c r="S83" s="9"/>
      <c r="T83" s="9"/>
      <c r="U83" s="9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9"/>
      <c r="AK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7"/>
      <c r="K84" s="6"/>
      <c r="L84" s="6"/>
      <c r="M84" s="8"/>
      <c r="N84" s="6"/>
      <c r="O84" s="9"/>
      <c r="P84" s="6"/>
      <c r="Q84" s="6"/>
      <c r="R84" s="6"/>
      <c r="S84" s="9"/>
      <c r="T84" s="9"/>
      <c r="U84" s="9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9"/>
      <c r="AK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7"/>
      <c r="K85" s="6"/>
      <c r="L85" s="6"/>
      <c r="M85" s="8"/>
      <c r="N85" s="6"/>
      <c r="O85" s="9"/>
      <c r="P85" s="6"/>
      <c r="Q85" s="6"/>
      <c r="R85" s="6"/>
      <c r="S85" s="9"/>
      <c r="T85" s="9"/>
      <c r="U85" s="9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9"/>
      <c r="AK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7"/>
      <c r="K86" s="6"/>
      <c r="L86" s="6"/>
      <c r="M86" s="8"/>
      <c r="N86" s="6"/>
      <c r="O86" s="9"/>
      <c r="P86" s="6"/>
      <c r="Q86" s="6"/>
      <c r="R86" s="6"/>
      <c r="S86" s="9"/>
      <c r="T86" s="9"/>
      <c r="U86" s="9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9"/>
      <c r="AK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7"/>
      <c r="K87" s="6"/>
      <c r="L87" s="6"/>
      <c r="M87" s="8"/>
      <c r="N87" s="6"/>
      <c r="O87" s="9"/>
      <c r="P87" s="6"/>
      <c r="Q87" s="6"/>
      <c r="R87" s="6"/>
      <c r="S87" s="9"/>
      <c r="T87" s="9"/>
      <c r="U87" s="9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9"/>
      <c r="AK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7"/>
      <c r="K88" s="6"/>
      <c r="L88" s="6"/>
      <c r="M88" s="8"/>
      <c r="N88" s="6"/>
      <c r="O88" s="9"/>
      <c r="P88" s="6"/>
      <c r="Q88" s="6"/>
      <c r="R88" s="6"/>
      <c r="S88" s="9"/>
      <c r="T88" s="9"/>
      <c r="U88" s="9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9"/>
      <c r="AK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7"/>
      <c r="K89" s="6"/>
      <c r="L89" s="6"/>
      <c r="M89" s="8"/>
      <c r="N89" s="6"/>
      <c r="O89" s="9"/>
      <c r="P89" s="6"/>
      <c r="Q89" s="6"/>
      <c r="R89" s="6"/>
      <c r="S89" s="9"/>
      <c r="T89" s="9"/>
      <c r="U89" s="9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9"/>
      <c r="AK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7"/>
      <c r="K90" s="6"/>
      <c r="L90" s="6"/>
      <c r="M90" s="8"/>
      <c r="N90" s="6"/>
      <c r="O90" s="9"/>
      <c r="P90" s="6"/>
      <c r="Q90" s="6"/>
      <c r="R90" s="6"/>
      <c r="S90" s="9"/>
      <c r="T90" s="9"/>
      <c r="U90" s="9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9"/>
      <c r="AK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7"/>
      <c r="K91" s="6"/>
      <c r="L91" s="6"/>
      <c r="M91" s="8"/>
      <c r="N91" s="6"/>
      <c r="O91" s="9"/>
      <c r="P91" s="6"/>
      <c r="Q91" s="6"/>
      <c r="R91" s="6"/>
      <c r="S91" s="9"/>
      <c r="T91" s="9"/>
      <c r="U91" s="9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9"/>
      <c r="AK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7"/>
      <c r="K92" s="6"/>
      <c r="L92" s="6"/>
      <c r="M92" s="8"/>
      <c r="N92" s="6"/>
      <c r="O92" s="9"/>
      <c r="P92" s="6"/>
      <c r="Q92" s="6"/>
      <c r="R92" s="6"/>
      <c r="S92" s="9"/>
      <c r="T92" s="9"/>
      <c r="U92" s="9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9"/>
      <c r="AK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7"/>
      <c r="K93" s="6"/>
      <c r="L93" s="6"/>
      <c r="M93" s="8"/>
      <c r="N93" s="6"/>
      <c r="O93" s="9"/>
      <c r="P93" s="6"/>
      <c r="Q93" s="6"/>
      <c r="R93" s="6"/>
      <c r="S93" s="9"/>
      <c r="T93" s="9"/>
      <c r="U93" s="9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9"/>
      <c r="AK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7"/>
      <c r="K94" s="6"/>
      <c r="L94" s="6"/>
      <c r="M94" s="8"/>
      <c r="N94" s="6"/>
      <c r="O94" s="9"/>
      <c r="P94" s="6"/>
      <c r="Q94" s="6"/>
      <c r="R94" s="6"/>
      <c r="S94" s="9"/>
      <c r="T94" s="9"/>
      <c r="U94" s="9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9"/>
      <c r="AK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7"/>
      <c r="K95" s="6"/>
      <c r="L95" s="6"/>
      <c r="M95" s="8"/>
      <c r="N95" s="6"/>
      <c r="O95" s="9"/>
      <c r="P95" s="6"/>
      <c r="Q95" s="6"/>
      <c r="R95" s="6"/>
      <c r="S95" s="9"/>
      <c r="T95" s="9"/>
      <c r="U95" s="9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9"/>
      <c r="AK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7"/>
      <c r="K96" s="6"/>
      <c r="L96" s="6"/>
      <c r="M96" s="8"/>
      <c r="N96" s="6"/>
      <c r="O96" s="9"/>
      <c r="P96" s="6"/>
      <c r="Q96" s="6"/>
      <c r="R96" s="6"/>
      <c r="S96" s="9"/>
      <c r="T96" s="9"/>
      <c r="U96" s="9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9"/>
      <c r="AK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7"/>
      <c r="K97" s="6"/>
      <c r="L97" s="6"/>
      <c r="M97" s="8"/>
      <c r="N97" s="6"/>
      <c r="O97" s="9"/>
      <c r="P97" s="6"/>
      <c r="Q97" s="6"/>
      <c r="R97" s="6"/>
      <c r="S97" s="9"/>
      <c r="T97" s="9"/>
      <c r="U97" s="9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9"/>
      <c r="AK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7"/>
      <c r="K98" s="6"/>
      <c r="L98" s="6"/>
      <c r="M98" s="8"/>
      <c r="N98" s="6"/>
      <c r="O98" s="9"/>
      <c r="P98" s="6"/>
      <c r="Q98" s="6"/>
      <c r="R98" s="6"/>
      <c r="S98" s="9"/>
      <c r="T98" s="9"/>
      <c r="U98" s="9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9"/>
      <c r="AK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7"/>
      <c r="K99" s="6"/>
      <c r="L99" s="6"/>
      <c r="M99" s="8"/>
      <c r="N99" s="6"/>
      <c r="O99" s="9"/>
      <c r="P99" s="6"/>
      <c r="Q99" s="6"/>
      <c r="R99" s="6"/>
      <c r="S99" s="9"/>
      <c r="T99" s="9"/>
      <c r="U99" s="9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9"/>
      <c r="AK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7"/>
      <c r="K100" s="6"/>
      <c r="L100" s="6"/>
      <c r="M100" s="8"/>
      <c r="N100" s="6"/>
      <c r="O100" s="9"/>
      <c r="P100" s="6"/>
      <c r="Q100" s="6"/>
      <c r="R100" s="6"/>
      <c r="S100" s="9"/>
      <c r="T100" s="9"/>
      <c r="U100" s="9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9"/>
      <c r="AK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7"/>
      <c r="K101" s="6"/>
      <c r="L101" s="6"/>
      <c r="M101" s="8"/>
      <c r="N101" s="6"/>
      <c r="O101" s="9"/>
      <c r="P101" s="6"/>
      <c r="Q101" s="6"/>
      <c r="R101" s="6"/>
      <c r="S101" s="9"/>
      <c r="T101" s="9"/>
      <c r="U101" s="9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9"/>
      <c r="AK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7"/>
      <c r="K102" s="6"/>
      <c r="L102" s="6"/>
      <c r="M102" s="8"/>
      <c r="N102" s="6"/>
      <c r="O102" s="9"/>
      <c r="P102" s="6"/>
      <c r="Q102" s="6"/>
      <c r="R102" s="6"/>
      <c r="S102" s="9"/>
      <c r="T102" s="9"/>
      <c r="U102" s="9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9"/>
      <c r="AK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7"/>
      <c r="K103" s="6"/>
      <c r="L103" s="6"/>
      <c r="M103" s="8"/>
      <c r="N103" s="6"/>
      <c r="O103" s="9"/>
      <c r="P103" s="6"/>
      <c r="Q103" s="6"/>
      <c r="R103" s="6"/>
      <c r="S103" s="9"/>
      <c r="T103" s="9"/>
      <c r="U103" s="9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9"/>
      <c r="AK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7"/>
      <c r="K104" s="6"/>
      <c r="L104" s="6"/>
      <c r="M104" s="8"/>
      <c r="N104" s="6"/>
      <c r="O104" s="9"/>
      <c r="P104" s="6"/>
      <c r="Q104" s="6"/>
      <c r="R104" s="6"/>
      <c r="S104" s="9"/>
      <c r="T104" s="9"/>
      <c r="U104" s="9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9"/>
      <c r="AK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7"/>
      <c r="K105" s="6"/>
      <c r="L105" s="6"/>
      <c r="M105" s="8"/>
      <c r="N105" s="6"/>
      <c r="O105" s="9"/>
      <c r="P105" s="6"/>
      <c r="Q105" s="6"/>
      <c r="R105" s="6"/>
      <c r="S105" s="9"/>
      <c r="T105" s="9"/>
      <c r="U105" s="9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9"/>
      <c r="AK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7"/>
      <c r="K106" s="6"/>
      <c r="L106" s="6"/>
      <c r="M106" s="8"/>
      <c r="N106" s="6"/>
      <c r="O106" s="9"/>
      <c r="P106" s="6"/>
      <c r="Q106" s="6"/>
      <c r="R106" s="6"/>
      <c r="S106" s="9"/>
      <c r="T106" s="9"/>
      <c r="U106" s="9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9"/>
      <c r="AK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7"/>
      <c r="K107" s="6"/>
      <c r="L107" s="6"/>
      <c r="M107" s="8"/>
      <c r="N107" s="6"/>
      <c r="O107" s="9"/>
      <c r="P107" s="6"/>
      <c r="Q107" s="6"/>
      <c r="R107" s="6"/>
      <c r="S107" s="9"/>
      <c r="T107" s="9"/>
      <c r="U107" s="9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9"/>
      <c r="AK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7"/>
      <c r="K108" s="6"/>
      <c r="L108" s="6"/>
      <c r="M108" s="8"/>
      <c r="N108" s="6"/>
      <c r="O108" s="9"/>
      <c r="P108" s="6"/>
      <c r="Q108" s="6"/>
      <c r="R108" s="6"/>
      <c r="S108" s="9"/>
      <c r="T108" s="9"/>
      <c r="U108" s="9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9"/>
      <c r="AK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7"/>
      <c r="K109" s="6"/>
      <c r="L109" s="6"/>
      <c r="M109" s="8"/>
      <c r="N109" s="6"/>
      <c r="O109" s="9"/>
      <c r="P109" s="6"/>
      <c r="Q109" s="6"/>
      <c r="R109" s="6"/>
      <c r="S109" s="9"/>
      <c r="T109" s="9"/>
      <c r="U109" s="9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9"/>
      <c r="AK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7"/>
      <c r="K110" s="6"/>
      <c r="L110" s="6"/>
      <c r="M110" s="8"/>
      <c r="N110" s="6"/>
      <c r="O110" s="9"/>
      <c r="P110" s="6"/>
      <c r="Q110" s="6"/>
      <c r="R110" s="6"/>
      <c r="S110" s="9"/>
      <c r="T110" s="9"/>
      <c r="U110" s="9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9"/>
      <c r="AK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7"/>
      <c r="K111" s="6"/>
      <c r="L111" s="6"/>
      <c r="M111" s="8"/>
      <c r="N111" s="6"/>
      <c r="O111" s="9"/>
      <c r="P111" s="6"/>
      <c r="Q111" s="6"/>
      <c r="R111" s="6"/>
      <c r="S111" s="9"/>
      <c r="T111" s="9"/>
      <c r="U111" s="9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9"/>
      <c r="AK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7"/>
      <c r="K112" s="6"/>
      <c r="L112" s="6"/>
      <c r="M112" s="8"/>
      <c r="N112" s="6"/>
      <c r="O112" s="9"/>
      <c r="P112" s="6"/>
      <c r="Q112" s="6"/>
      <c r="R112" s="6"/>
      <c r="S112" s="9"/>
      <c r="T112" s="9"/>
      <c r="U112" s="9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9"/>
      <c r="AK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7"/>
      <c r="K113" s="6"/>
      <c r="L113" s="6"/>
      <c r="M113" s="8"/>
      <c r="N113" s="6"/>
      <c r="O113" s="9"/>
      <c r="P113" s="6"/>
      <c r="Q113" s="6"/>
      <c r="R113" s="6"/>
      <c r="S113" s="9"/>
      <c r="T113" s="9"/>
      <c r="U113" s="9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9"/>
      <c r="AK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7"/>
      <c r="K114" s="6"/>
      <c r="L114" s="6"/>
      <c r="M114" s="8"/>
      <c r="N114" s="6"/>
      <c r="O114" s="9"/>
      <c r="P114" s="6"/>
      <c r="Q114" s="6"/>
      <c r="R114" s="6"/>
      <c r="S114" s="9"/>
      <c r="T114" s="9"/>
      <c r="U114" s="9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9"/>
      <c r="AK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7"/>
      <c r="K115" s="6"/>
      <c r="L115" s="6"/>
      <c r="M115" s="8"/>
      <c r="N115" s="6"/>
      <c r="O115" s="9"/>
      <c r="P115" s="6"/>
      <c r="Q115" s="6"/>
      <c r="R115" s="6"/>
      <c r="S115" s="9"/>
      <c r="T115" s="9"/>
      <c r="U115" s="9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9"/>
      <c r="AK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7"/>
      <c r="K116" s="6"/>
      <c r="L116" s="6"/>
      <c r="M116" s="8"/>
      <c r="N116" s="6"/>
      <c r="O116" s="9"/>
      <c r="P116" s="6"/>
      <c r="Q116" s="6"/>
      <c r="R116" s="6"/>
      <c r="S116" s="9"/>
      <c r="T116" s="9"/>
      <c r="U116" s="9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9"/>
      <c r="AK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7"/>
      <c r="K117" s="6"/>
      <c r="L117" s="6"/>
      <c r="M117" s="8"/>
      <c r="N117" s="6"/>
      <c r="O117" s="9"/>
      <c r="P117" s="6"/>
      <c r="Q117" s="6"/>
      <c r="R117" s="6"/>
      <c r="S117" s="9"/>
      <c r="T117" s="9"/>
      <c r="U117" s="9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9"/>
      <c r="AK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7"/>
      <c r="K118" s="6"/>
      <c r="L118" s="6"/>
      <c r="M118" s="8"/>
      <c r="N118" s="6"/>
      <c r="O118" s="9"/>
      <c r="P118" s="6"/>
      <c r="Q118" s="6"/>
      <c r="R118" s="6"/>
      <c r="S118" s="9"/>
      <c r="T118" s="9"/>
      <c r="U118" s="9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9"/>
      <c r="AK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7"/>
      <c r="K119" s="6"/>
      <c r="L119" s="6"/>
      <c r="M119" s="8"/>
      <c r="N119" s="6"/>
      <c r="O119" s="9"/>
      <c r="P119" s="6"/>
      <c r="Q119" s="6"/>
      <c r="R119" s="6"/>
      <c r="S119" s="9"/>
      <c r="T119" s="9"/>
      <c r="U119" s="9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9"/>
      <c r="AK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7"/>
      <c r="K120" s="6"/>
      <c r="L120" s="6"/>
      <c r="M120" s="8"/>
      <c r="N120" s="6"/>
      <c r="O120" s="9"/>
      <c r="P120" s="6"/>
      <c r="Q120" s="6"/>
      <c r="R120" s="6"/>
      <c r="S120" s="9"/>
      <c r="T120" s="9"/>
      <c r="U120" s="9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9"/>
      <c r="AK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7"/>
      <c r="K121" s="6"/>
      <c r="L121" s="6"/>
      <c r="M121" s="8"/>
      <c r="N121" s="6"/>
      <c r="O121" s="9"/>
      <c r="P121" s="6"/>
      <c r="Q121" s="6"/>
      <c r="R121" s="6"/>
      <c r="S121" s="9"/>
      <c r="T121" s="9"/>
      <c r="U121" s="9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9"/>
      <c r="AK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6"/>
      <c r="L122" s="6"/>
      <c r="M122" s="8"/>
      <c r="N122" s="6"/>
      <c r="O122" s="9"/>
      <c r="P122" s="6"/>
      <c r="Q122" s="6"/>
      <c r="R122" s="6"/>
      <c r="S122" s="9"/>
      <c r="T122" s="9"/>
      <c r="U122" s="9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9"/>
      <c r="AK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6"/>
      <c r="L123" s="6"/>
      <c r="M123" s="8"/>
      <c r="N123" s="6"/>
      <c r="O123" s="9"/>
      <c r="P123" s="6"/>
      <c r="Q123" s="6"/>
      <c r="R123" s="6"/>
      <c r="S123" s="9"/>
      <c r="T123" s="9"/>
      <c r="U123" s="9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9"/>
      <c r="AK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7"/>
      <c r="K124" s="6"/>
      <c r="L124" s="6"/>
      <c r="M124" s="8"/>
      <c r="N124" s="6"/>
      <c r="O124" s="9"/>
      <c r="P124" s="6"/>
      <c r="Q124" s="6"/>
      <c r="R124" s="6"/>
      <c r="S124" s="9"/>
      <c r="T124" s="9"/>
      <c r="U124" s="9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9"/>
      <c r="AK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7"/>
      <c r="K125" s="6"/>
      <c r="L125" s="6"/>
      <c r="M125" s="8"/>
      <c r="N125" s="6"/>
      <c r="O125" s="9"/>
      <c r="P125" s="6"/>
      <c r="Q125" s="6"/>
      <c r="R125" s="6"/>
      <c r="S125" s="9"/>
      <c r="T125" s="9"/>
      <c r="U125" s="9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9"/>
      <c r="AK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7"/>
      <c r="K126" s="6"/>
      <c r="L126" s="6"/>
      <c r="M126" s="8"/>
      <c r="N126" s="6"/>
      <c r="O126" s="9"/>
      <c r="P126" s="6"/>
      <c r="Q126" s="6"/>
      <c r="R126" s="6"/>
      <c r="S126" s="9"/>
      <c r="T126" s="9"/>
      <c r="U126" s="9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9"/>
      <c r="AK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7"/>
      <c r="K127" s="6"/>
      <c r="L127" s="6"/>
      <c r="M127" s="8"/>
      <c r="N127" s="6"/>
      <c r="O127" s="9"/>
      <c r="P127" s="6"/>
      <c r="Q127" s="6"/>
      <c r="R127" s="6"/>
      <c r="S127" s="9"/>
      <c r="T127" s="9"/>
      <c r="U127" s="9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9"/>
      <c r="AK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7"/>
      <c r="K128" s="6"/>
      <c r="L128" s="6"/>
      <c r="M128" s="8"/>
      <c r="N128" s="6"/>
      <c r="O128" s="9"/>
      <c r="P128" s="6"/>
      <c r="Q128" s="6"/>
      <c r="R128" s="6"/>
      <c r="S128" s="9"/>
      <c r="T128" s="9"/>
      <c r="U128" s="9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9"/>
      <c r="AK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7"/>
      <c r="K129" s="6"/>
      <c r="L129" s="6"/>
      <c r="M129" s="8"/>
      <c r="N129" s="6"/>
      <c r="O129" s="9"/>
      <c r="P129" s="6"/>
      <c r="Q129" s="6"/>
      <c r="R129" s="6"/>
      <c r="S129" s="9"/>
      <c r="T129" s="9"/>
      <c r="U129" s="9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9"/>
      <c r="AK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7"/>
      <c r="K130" s="6"/>
      <c r="L130" s="6"/>
      <c r="M130" s="8"/>
      <c r="N130" s="6"/>
      <c r="O130" s="9"/>
      <c r="P130" s="6"/>
      <c r="Q130" s="6"/>
      <c r="R130" s="6"/>
      <c r="S130" s="9"/>
      <c r="T130" s="9"/>
      <c r="U130" s="9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9"/>
      <c r="AK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7"/>
      <c r="K131" s="6"/>
      <c r="L131" s="6"/>
      <c r="M131" s="8"/>
      <c r="N131" s="6"/>
      <c r="O131" s="9"/>
      <c r="P131" s="6"/>
      <c r="Q131" s="6"/>
      <c r="R131" s="6"/>
      <c r="S131" s="9"/>
      <c r="T131" s="9"/>
      <c r="U131" s="9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9"/>
      <c r="AK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7"/>
      <c r="K132" s="6"/>
      <c r="L132" s="6"/>
      <c r="M132" s="8"/>
      <c r="N132" s="6"/>
      <c r="O132" s="9"/>
      <c r="P132" s="6"/>
      <c r="Q132" s="6"/>
      <c r="R132" s="6"/>
      <c r="S132" s="9"/>
      <c r="T132" s="9"/>
      <c r="U132" s="9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9"/>
      <c r="AK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7"/>
      <c r="K133" s="6"/>
      <c r="L133" s="6"/>
      <c r="M133" s="8"/>
      <c r="N133" s="6"/>
      <c r="O133" s="9"/>
      <c r="P133" s="6"/>
      <c r="Q133" s="6"/>
      <c r="R133" s="6"/>
      <c r="S133" s="9"/>
      <c r="T133" s="9"/>
      <c r="U133" s="9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9"/>
      <c r="AK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7"/>
      <c r="K134" s="6"/>
      <c r="L134" s="6"/>
      <c r="M134" s="8"/>
      <c r="N134" s="6"/>
      <c r="O134" s="9"/>
      <c r="P134" s="6"/>
      <c r="Q134" s="6"/>
      <c r="R134" s="6"/>
      <c r="S134" s="9"/>
      <c r="T134" s="9"/>
      <c r="U134" s="9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9"/>
      <c r="AK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7"/>
      <c r="K135" s="6"/>
      <c r="L135" s="6"/>
      <c r="M135" s="8"/>
      <c r="N135" s="6"/>
      <c r="O135" s="9"/>
      <c r="P135" s="6"/>
      <c r="Q135" s="6"/>
      <c r="R135" s="6"/>
      <c r="S135" s="9"/>
      <c r="T135" s="9"/>
      <c r="U135" s="9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9"/>
      <c r="AK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7"/>
      <c r="K136" s="6"/>
      <c r="L136" s="6"/>
      <c r="M136" s="8"/>
      <c r="N136" s="6"/>
      <c r="O136" s="9"/>
      <c r="P136" s="6"/>
      <c r="Q136" s="6"/>
      <c r="R136" s="6"/>
      <c r="S136" s="9"/>
      <c r="T136" s="9"/>
      <c r="U136" s="9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9"/>
      <c r="AK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6"/>
      <c r="L137" s="6"/>
      <c r="M137" s="8"/>
      <c r="N137" s="6"/>
      <c r="O137" s="9"/>
      <c r="P137" s="6"/>
      <c r="Q137" s="6"/>
      <c r="R137" s="6"/>
      <c r="S137" s="9"/>
      <c r="T137" s="9"/>
      <c r="U137" s="9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9"/>
      <c r="AK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6"/>
      <c r="L138" s="6"/>
      <c r="M138" s="8"/>
      <c r="N138" s="6"/>
      <c r="O138" s="9"/>
      <c r="P138" s="6"/>
      <c r="Q138" s="6"/>
      <c r="R138" s="6"/>
      <c r="S138" s="9"/>
      <c r="T138" s="9"/>
      <c r="U138" s="9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9"/>
      <c r="AK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7"/>
      <c r="K139" s="6"/>
      <c r="L139" s="6"/>
      <c r="M139" s="8"/>
      <c r="N139" s="6"/>
      <c r="O139" s="9"/>
      <c r="P139" s="6"/>
      <c r="Q139" s="6"/>
      <c r="R139" s="6"/>
      <c r="S139" s="9"/>
      <c r="T139" s="9"/>
      <c r="U139" s="9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9"/>
      <c r="AK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7"/>
      <c r="K140" s="6"/>
      <c r="L140" s="6"/>
      <c r="M140" s="8"/>
      <c r="N140" s="6"/>
      <c r="O140" s="9"/>
      <c r="P140" s="6"/>
      <c r="Q140" s="6"/>
      <c r="R140" s="6"/>
      <c r="S140" s="9"/>
      <c r="T140" s="9"/>
      <c r="U140" s="9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9"/>
      <c r="AK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7"/>
      <c r="K141" s="6"/>
      <c r="L141" s="6"/>
      <c r="M141" s="8"/>
      <c r="N141" s="6"/>
      <c r="O141" s="9"/>
      <c r="P141" s="6"/>
      <c r="Q141" s="6"/>
      <c r="R141" s="6"/>
      <c r="S141" s="9"/>
      <c r="T141" s="9"/>
      <c r="U141" s="9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9"/>
      <c r="AK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7"/>
      <c r="K142" s="6"/>
      <c r="L142" s="6"/>
      <c r="M142" s="8"/>
      <c r="N142" s="6"/>
      <c r="O142" s="9"/>
      <c r="P142" s="6"/>
      <c r="Q142" s="6"/>
      <c r="R142" s="6"/>
      <c r="S142" s="9"/>
      <c r="T142" s="9"/>
      <c r="U142" s="9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9"/>
      <c r="AK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7"/>
      <c r="K143" s="6"/>
      <c r="L143" s="6"/>
      <c r="M143" s="8"/>
      <c r="N143" s="6"/>
      <c r="O143" s="9"/>
      <c r="P143" s="6"/>
      <c r="Q143" s="6"/>
      <c r="R143" s="6"/>
      <c r="S143" s="9"/>
      <c r="T143" s="9"/>
      <c r="U143" s="9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9"/>
      <c r="AK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7"/>
      <c r="K144" s="6"/>
      <c r="L144" s="6"/>
      <c r="M144" s="8"/>
      <c r="N144" s="6"/>
      <c r="O144" s="9"/>
      <c r="P144" s="6"/>
      <c r="Q144" s="6"/>
      <c r="R144" s="6"/>
      <c r="S144" s="9"/>
      <c r="T144" s="9"/>
      <c r="U144" s="9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9"/>
      <c r="AK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7"/>
      <c r="K145" s="6"/>
      <c r="L145" s="6"/>
      <c r="M145" s="8"/>
      <c r="N145" s="6"/>
      <c r="O145" s="9"/>
      <c r="P145" s="6"/>
      <c r="Q145" s="6"/>
      <c r="R145" s="6"/>
      <c r="S145" s="9"/>
      <c r="T145" s="9"/>
      <c r="U145" s="9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9"/>
      <c r="AK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7"/>
      <c r="K146" s="6"/>
      <c r="L146" s="6"/>
      <c r="M146" s="8"/>
      <c r="N146" s="6"/>
      <c r="O146" s="9"/>
      <c r="P146" s="6"/>
      <c r="Q146" s="6"/>
      <c r="R146" s="6"/>
      <c r="S146" s="9"/>
      <c r="T146" s="9"/>
      <c r="U146" s="9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9"/>
      <c r="AK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7"/>
      <c r="K147" s="6"/>
      <c r="L147" s="6"/>
      <c r="M147" s="8"/>
      <c r="N147" s="6"/>
      <c r="O147" s="9"/>
      <c r="P147" s="6"/>
      <c r="Q147" s="6"/>
      <c r="R147" s="6"/>
      <c r="S147" s="9"/>
      <c r="T147" s="9"/>
      <c r="U147" s="9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9"/>
      <c r="AK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7"/>
      <c r="K148" s="6"/>
      <c r="L148" s="6"/>
      <c r="M148" s="8"/>
      <c r="N148" s="6"/>
      <c r="O148" s="9"/>
      <c r="P148" s="6"/>
      <c r="Q148" s="6"/>
      <c r="R148" s="6"/>
      <c r="S148" s="9"/>
      <c r="T148" s="9"/>
      <c r="U148" s="9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9"/>
      <c r="AK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7"/>
      <c r="K149" s="6"/>
      <c r="L149" s="6"/>
      <c r="M149" s="8"/>
      <c r="N149" s="6"/>
      <c r="O149" s="9"/>
      <c r="P149" s="6"/>
      <c r="Q149" s="6"/>
      <c r="R149" s="6"/>
      <c r="S149" s="9"/>
      <c r="T149" s="9"/>
      <c r="U149" s="9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9"/>
      <c r="AK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7"/>
      <c r="K150" s="6"/>
      <c r="L150" s="6"/>
      <c r="M150" s="8"/>
      <c r="N150" s="6"/>
      <c r="O150" s="9"/>
      <c r="P150" s="6"/>
      <c r="Q150" s="6"/>
      <c r="R150" s="6"/>
      <c r="S150" s="9"/>
      <c r="T150" s="9"/>
      <c r="U150" s="9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9"/>
      <c r="AK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7"/>
      <c r="K151" s="6"/>
      <c r="L151" s="6"/>
      <c r="M151" s="8"/>
      <c r="N151" s="6"/>
      <c r="O151" s="9"/>
      <c r="P151" s="6"/>
      <c r="Q151" s="6"/>
      <c r="R151" s="6"/>
      <c r="S151" s="9"/>
      <c r="T151" s="9"/>
      <c r="U151" s="9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9"/>
      <c r="AK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6"/>
      <c r="L152" s="6"/>
      <c r="M152" s="8"/>
      <c r="N152" s="6"/>
      <c r="O152" s="9"/>
      <c r="P152" s="6"/>
      <c r="Q152" s="6"/>
      <c r="R152" s="6"/>
      <c r="S152" s="9"/>
      <c r="T152" s="9"/>
      <c r="U152" s="9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9"/>
      <c r="AK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6"/>
      <c r="L153" s="6"/>
      <c r="M153" s="8"/>
      <c r="N153" s="6"/>
      <c r="O153" s="9"/>
      <c r="P153" s="6"/>
      <c r="Q153" s="6"/>
      <c r="R153" s="6"/>
      <c r="S153" s="9"/>
      <c r="T153" s="9"/>
      <c r="U153" s="9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9"/>
      <c r="AK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7"/>
      <c r="K154" s="6"/>
      <c r="L154" s="6"/>
      <c r="M154" s="8"/>
      <c r="N154" s="6"/>
      <c r="O154" s="9"/>
      <c r="P154" s="6"/>
      <c r="Q154" s="6"/>
      <c r="R154" s="6"/>
      <c r="S154" s="9"/>
      <c r="T154" s="9"/>
      <c r="U154" s="9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9"/>
      <c r="AK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7"/>
      <c r="K155" s="6"/>
      <c r="L155" s="6"/>
      <c r="M155" s="8"/>
      <c r="N155" s="6"/>
      <c r="O155" s="9"/>
      <c r="P155" s="6"/>
      <c r="Q155" s="6"/>
      <c r="R155" s="6"/>
      <c r="S155" s="9"/>
      <c r="T155" s="9"/>
      <c r="U155" s="9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9"/>
      <c r="AK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7"/>
      <c r="K156" s="6"/>
      <c r="L156" s="6"/>
      <c r="M156" s="8"/>
      <c r="N156" s="6"/>
      <c r="O156" s="9"/>
      <c r="P156" s="6"/>
      <c r="Q156" s="6"/>
      <c r="R156" s="6"/>
      <c r="S156" s="9"/>
      <c r="T156" s="9"/>
      <c r="U156" s="9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9"/>
      <c r="AK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7"/>
      <c r="K157" s="6"/>
      <c r="L157" s="6"/>
      <c r="M157" s="8"/>
      <c r="N157" s="6"/>
      <c r="O157" s="9"/>
      <c r="P157" s="6"/>
      <c r="Q157" s="6"/>
      <c r="R157" s="6"/>
      <c r="S157" s="9"/>
      <c r="T157" s="9"/>
      <c r="U157" s="9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9"/>
      <c r="AK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7"/>
      <c r="K158" s="6"/>
      <c r="L158" s="6"/>
      <c r="M158" s="8"/>
      <c r="N158" s="6"/>
      <c r="O158" s="9"/>
      <c r="P158" s="6"/>
      <c r="Q158" s="6"/>
      <c r="R158" s="6"/>
      <c r="S158" s="9"/>
      <c r="T158" s="9"/>
      <c r="U158" s="9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9"/>
      <c r="AK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7"/>
      <c r="K159" s="6"/>
      <c r="L159" s="6"/>
      <c r="M159" s="8"/>
      <c r="N159" s="6"/>
      <c r="O159" s="9"/>
      <c r="P159" s="6"/>
      <c r="Q159" s="6"/>
      <c r="R159" s="6"/>
      <c r="S159" s="9"/>
      <c r="T159" s="9"/>
      <c r="U159" s="9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9"/>
      <c r="AK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7"/>
      <c r="K160" s="6"/>
      <c r="L160" s="6"/>
      <c r="M160" s="8"/>
      <c r="N160" s="6"/>
      <c r="O160" s="9"/>
      <c r="P160" s="6"/>
      <c r="Q160" s="6"/>
      <c r="R160" s="6"/>
      <c r="S160" s="9"/>
      <c r="T160" s="9"/>
      <c r="U160" s="9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9"/>
      <c r="AK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7"/>
      <c r="K161" s="6"/>
      <c r="L161" s="6"/>
      <c r="M161" s="8"/>
      <c r="N161" s="6"/>
      <c r="O161" s="9"/>
      <c r="P161" s="6"/>
      <c r="Q161" s="6"/>
      <c r="R161" s="6"/>
      <c r="S161" s="9"/>
      <c r="T161" s="9"/>
      <c r="U161" s="9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9"/>
      <c r="AK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7"/>
      <c r="K162" s="6"/>
      <c r="L162" s="6"/>
      <c r="M162" s="8"/>
      <c r="N162" s="6"/>
      <c r="O162" s="9"/>
      <c r="P162" s="6"/>
      <c r="Q162" s="6"/>
      <c r="R162" s="6"/>
      <c r="S162" s="9"/>
      <c r="T162" s="9"/>
      <c r="U162" s="9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9"/>
      <c r="AK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7"/>
      <c r="K163" s="6"/>
      <c r="L163" s="6"/>
      <c r="M163" s="8"/>
      <c r="N163" s="6"/>
      <c r="O163" s="9"/>
      <c r="P163" s="6"/>
      <c r="Q163" s="6"/>
      <c r="R163" s="6"/>
      <c r="S163" s="9"/>
      <c r="T163" s="9"/>
      <c r="U163" s="9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9"/>
      <c r="AK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7"/>
      <c r="K164" s="6"/>
      <c r="L164" s="6"/>
      <c r="M164" s="8"/>
      <c r="N164" s="6"/>
      <c r="O164" s="9"/>
      <c r="P164" s="6"/>
      <c r="Q164" s="6"/>
      <c r="R164" s="6"/>
      <c r="S164" s="9"/>
      <c r="T164" s="9"/>
      <c r="U164" s="9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9"/>
      <c r="AK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7"/>
      <c r="K165" s="6"/>
      <c r="L165" s="6"/>
      <c r="M165" s="8"/>
      <c r="N165" s="6"/>
      <c r="O165" s="9"/>
      <c r="P165" s="6"/>
      <c r="Q165" s="6"/>
      <c r="R165" s="6"/>
      <c r="S165" s="9"/>
      <c r="T165" s="9"/>
      <c r="U165" s="9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9"/>
      <c r="AK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7"/>
      <c r="K166" s="6"/>
      <c r="L166" s="6"/>
      <c r="M166" s="8"/>
      <c r="N166" s="6"/>
      <c r="O166" s="9"/>
      <c r="P166" s="6"/>
      <c r="Q166" s="6"/>
      <c r="R166" s="6"/>
      <c r="S166" s="9"/>
      <c r="T166" s="9"/>
      <c r="U166" s="9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9"/>
      <c r="AK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6"/>
      <c r="L167" s="6"/>
      <c r="M167" s="8"/>
      <c r="N167" s="6"/>
      <c r="O167" s="9"/>
      <c r="P167" s="6"/>
      <c r="Q167" s="6"/>
      <c r="R167" s="6"/>
      <c r="S167" s="9"/>
      <c r="T167" s="9"/>
      <c r="U167" s="9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9"/>
      <c r="AK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6"/>
      <c r="L168" s="6"/>
      <c r="M168" s="8"/>
      <c r="N168" s="6"/>
      <c r="O168" s="9"/>
      <c r="P168" s="6"/>
      <c r="Q168" s="6"/>
      <c r="R168" s="6"/>
      <c r="S168" s="9"/>
      <c r="T168" s="9"/>
      <c r="U168" s="9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9"/>
      <c r="AK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7"/>
      <c r="K169" s="6"/>
      <c r="L169" s="6"/>
      <c r="M169" s="8"/>
      <c r="N169" s="6"/>
      <c r="O169" s="9"/>
      <c r="P169" s="6"/>
      <c r="Q169" s="6"/>
      <c r="R169" s="6"/>
      <c r="S169" s="9"/>
      <c r="T169" s="9"/>
      <c r="U169" s="9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9"/>
      <c r="AK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7"/>
      <c r="K170" s="6"/>
      <c r="L170" s="6"/>
      <c r="M170" s="8"/>
      <c r="N170" s="6"/>
      <c r="O170" s="9"/>
      <c r="P170" s="6"/>
      <c r="Q170" s="6"/>
      <c r="R170" s="6"/>
      <c r="S170" s="9"/>
      <c r="T170" s="9"/>
      <c r="U170" s="9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9"/>
      <c r="AK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7"/>
      <c r="K171" s="6"/>
      <c r="L171" s="6"/>
      <c r="M171" s="8"/>
      <c r="N171" s="6"/>
      <c r="O171" s="9"/>
      <c r="P171" s="6"/>
      <c r="Q171" s="6"/>
      <c r="R171" s="6"/>
      <c r="S171" s="9"/>
      <c r="T171" s="9"/>
      <c r="U171" s="9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9"/>
      <c r="AK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7"/>
      <c r="K172" s="6"/>
      <c r="L172" s="6"/>
      <c r="M172" s="8"/>
      <c r="N172" s="6"/>
      <c r="O172" s="9"/>
      <c r="P172" s="6"/>
      <c r="Q172" s="6"/>
      <c r="R172" s="6"/>
      <c r="S172" s="9"/>
      <c r="T172" s="9"/>
      <c r="U172" s="9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9"/>
      <c r="AK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7"/>
      <c r="K173" s="6"/>
      <c r="L173" s="6"/>
      <c r="M173" s="8"/>
      <c r="N173" s="6"/>
      <c r="O173" s="9"/>
      <c r="P173" s="6"/>
      <c r="Q173" s="6"/>
      <c r="R173" s="6"/>
      <c r="S173" s="9"/>
      <c r="T173" s="9"/>
      <c r="U173" s="9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9"/>
      <c r="AK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7"/>
      <c r="K174" s="6"/>
      <c r="L174" s="6"/>
      <c r="M174" s="8"/>
      <c r="N174" s="6"/>
      <c r="O174" s="9"/>
      <c r="P174" s="6"/>
      <c r="Q174" s="6"/>
      <c r="R174" s="6"/>
      <c r="S174" s="9"/>
      <c r="T174" s="9"/>
      <c r="U174" s="9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9"/>
      <c r="AK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7"/>
      <c r="K175" s="6"/>
      <c r="L175" s="6"/>
      <c r="M175" s="8"/>
      <c r="N175" s="6"/>
      <c r="O175" s="9"/>
      <c r="P175" s="6"/>
      <c r="Q175" s="6"/>
      <c r="R175" s="6"/>
      <c r="S175" s="9"/>
      <c r="T175" s="9"/>
      <c r="U175" s="9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9"/>
      <c r="AK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7"/>
      <c r="K176" s="6"/>
      <c r="L176" s="6"/>
      <c r="M176" s="8"/>
      <c r="N176" s="6"/>
      <c r="O176" s="9"/>
      <c r="P176" s="6"/>
      <c r="Q176" s="6"/>
      <c r="R176" s="6"/>
      <c r="S176" s="9"/>
      <c r="T176" s="9"/>
      <c r="U176" s="9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9"/>
      <c r="AK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7"/>
      <c r="K177" s="6"/>
      <c r="L177" s="6"/>
      <c r="M177" s="8"/>
      <c r="N177" s="6"/>
      <c r="O177" s="9"/>
      <c r="P177" s="6"/>
      <c r="Q177" s="6"/>
      <c r="R177" s="6"/>
      <c r="S177" s="9"/>
      <c r="T177" s="9"/>
      <c r="U177" s="9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9"/>
      <c r="AK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7"/>
      <c r="K178" s="6"/>
      <c r="L178" s="6"/>
      <c r="M178" s="8"/>
      <c r="N178" s="6"/>
      <c r="O178" s="9"/>
      <c r="P178" s="6"/>
      <c r="Q178" s="6"/>
      <c r="R178" s="6"/>
      <c r="S178" s="9"/>
      <c r="T178" s="9"/>
      <c r="U178" s="9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9"/>
      <c r="AK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7"/>
      <c r="K179" s="6"/>
      <c r="L179" s="6"/>
      <c r="M179" s="8"/>
      <c r="N179" s="6"/>
      <c r="O179" s="9"/>
      <c r="P179" s="6"/>
      <c r="Q179" s="6"/>
      <c r="R179" s="6"/>
      <c r="S179" s="9"/>
      <c r="T179" s="9"/>
      <c r="U179" s="9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9"/>
      <c r="AK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7"/>
      <c r="K180" s="6"/>
      <c r="L180" s="6"/>
      <c r="M180" s="8"/>
      <c r="N180" s="6"/>
      <c r="O180" s="9"/>
      <c r="P180" s="6"/>
      <c r="Q180" s="6"/>
      <c r="R180" s="6"/>
      <c r="S180" s="9"/>
      <c r="T180" s="9"/>
      <c r="U180" s="9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9"/>
      <c r="AK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7"/>
      <c r="K181" s="6"/>
      <c r="L181" s="6"/>
      <c r="M181" s="8"/>
      <c r="N181" s="6"/>
      <c r="O181" s="9"/>
      <c r="P181" s="6"/>
      <c r="Q181" s="6"/>
      <c r="R181" s="6"/>
      <c r="S181" s="9"/>
      <c r="T181" s="9"/>
      <c r="U181" s="9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9"/>
      <c r="AK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6"/>
      <c r="L182" s="6"/>
      <c r="M182" s="8"/>
      <c r="N182" s="6"/>
      <c r="O182" s="9"/>
      <c r="P182" s="6"/>
      <c r="Q182" s="6"/>
      <c r="R182" s="6"/>
      <c r="S182" s="9"/>
      <c r="T182" s="9"/>
      <c r="U182" s="9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9"/>
      <c r="AK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6"/>
      <c r="L183" s="6"/>
      <c r="M183" s="8"/>
      <c r="N183" s="6"/>
      <c r="O183" s="9"/>
      <c r="P183" s="6"/>
      <c r="Q183" s="6"/>
      <c r="R183" s="6"/>
      <c r="S183" s="9"/>
      <c r="T183" s="9"/>
      <c r="U183" s="9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9"/>
      <c r="AK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7"/>
      <c r="K184" s="6"/>
      <c r="L184" s="6"/>
      <c r="M184" s="8"/>
      <c r="N184" s="6"/>
      <c r="O184" s="9"/>
      <c r="P184" s="6"/>
      <c r="Q184" s="6"/>
      <c r="R184" s="6"/>
      <c r="S184" s="9"/>
      <c r="T184" s="9"/>
      <c r="U184" s="9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9"/>
      <c r="AK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7"/>
      <c r="K185" s="6"/>
      <c r="L185" s="6"/>
      <c r="M185" s="8"/>
      <c r="N185" s="6"/>
      <c r="O185" s="9"/>
      <c r="P185" s="6"/>
      <c r="Q185" s="6"/>
      <c r="R185" s="6"/>
      <c r="S185" s="9"/>
      <c r="T185" s="9"/>
      <c r="U185" s="9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9"/>
      <c r="AK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7"/>
      <c r="K186" s="6"/>
      <c r="L186" s="6"/>
      <c r="M186" s="8"/>
      <c r="N186" s="6"/>
      <c r="O186" s="9"/>
      <c r="P186" s="6"/>
      <c r="Q186" s="6"/>
      <c r="R186" s="6"/>
      <c r="S186" s="9"/>
      <c r="T186" s="9"/>
      <c r="U186" s="9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9"/>
      <c r="AK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7"/>
      <c r="K187" s="6"/>
      <c r="L187" s="6"/>
      <c r="M187" s="8"/>
      <c r="N187" s="6"/>
      <c r="O187" s="9"/>
      <c r="P187" s="6"/>
      <c r="Q187" s="6"/>
      <c r="R187" s="6"/>
      <c r="S187" s="9"/>
      <c r="T187" s="9"/>
      <c r="U187" s="9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9"/>
      <c r="AK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7"/>
      <c r="K188" s="6"/>
      <c r="L188" s="6"/>
      <c r="M188" s="8"/>
      <c r="N188" s="6"/>
      <c r="O188" s="9"/>
      <c r="P188" s="6"/>
      <c r="Q188" s="6"/>
      <c r="R188" s="6"/>
      <c r="S188" s="9"/>
      <c r="T188" s="9"/>
      <c r="U188" s="9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9"/>
      <c r="AK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7"/>
      <c r="K189" s="6"/>
      <c r="L189" s="6"/>
      <c r="M189" s="8"/>
      <c r="N189" s="6"/>
      <c r="O189" s="9"/>
      <c r="P189" s="6"/>
      <c r="Q189" s="6"/>
      <c r="R189" s="6"/>
      <c r="S189" s="9"/>
      <c r="T189" s="9"/>
      <c r="U189" s="9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9"/>
      <c r="AK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7"/>
      <c r="K190" s="6"/>
      <c r="L190" s="6"/>
      <c r="M190" s="8"/>
      <c r="N190" s="6"/>
      <c r="O190" s="9"/>
      <c r="P190" s="6"/>
      <c r="Q190" s="6"/>
      <c r="R190" s="6"/>
      <c r="S190" s="9"/>
      <c r="T190" s="9"/>
      <c r="U190" s="9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9"/>
      <c r="AK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7"/>
      <c r="K191" s="6"/>
      <c r="L191" s="6"/>
      <c r="M191" s="8"/>
      <c r="N191" s="6"/>
      <c r="O191" s="9"/>
      <c r="P191" s="6"/>
      <c r="Q191" s="6"/>
      <c r="R191" s="6"/>
      <c r="S191" s="9"/>
      <c r="T191" s="9"/>
      <c r="U191" s="9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9"/>
      <c r="AK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7"/>
      <c r="K192" s="6"/>
      <c r="L192" s="6"/>
      <c r="M192" s="8"/>
      <c r="N192" s="6"/>
      <c r="O192" s="9"/>
      <c r="P192" s="6"/>
      <c r="Q192" s="6"/>
      <c r="R192" s="6"/>
      <c r="S192" s="9"/>
      <c r="T192" s="9"/>
      <c r="U192" s="9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9"/>
      <c r="AK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7"/>
      <c r="K193" s="6"/>
      <c r="L193" s="6"/>
      <c r="M193" s="8"/>
      <c r="N193" s="6"/>
      <c r="O193" s="9"/>
      <c r="P193" s="6"/>
      <c r="Q193" s="6"/>
      <c r="R193" s="6"/>
      <c r="S193" s="9"/>
      <c r="T193" s="9"/>
      <c r="U193" s="9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9"/>
      <c r="AK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7"/>
      <c r="K194" s="6"/>
      <c r="L194" s="6"/>
      <c r="M194" s="8"/>
      <c r="N194" s="6"/>
      <c r="O194" s="9"/>
      <c r="P194" s="6"/>
      <c r="Q194" s="6"/>
      <c r="R194" s="6"/>
      <c r="S194" s="9"/>
      <c r="T194" s="9"/>
      <c r="U194" s="9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9"/>
      <c r="AK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7"/>
      <c r="K195" s="6"/>
      <c r="L195" s="6"/>
      <c r="M195" s="8"/>
      <c r="N195" s="6"/>
      <c r="O195" s="9"/>
      <c r="P195" s="6"/>
      <c r="Q195" s="6"/>
      <c r="R195" s="6"/>
      <c r="S195" s="9"/>
      <c r="T195" s="9"/>
      <c r="U195" s="9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9"/>
      <c r="AK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7"/>
      <c r="K196" s="6"/>
      <c r="L196" s="6"/>
      <c r="M196" s="8"/>
      <c r="N196" s="6"/>
      <c r="O196" s="9"/>
      <c r="P196" s="6"/>
      <c r="Q196" s="6"/>
      <c r="R196" s="6"/>
      <c r="S196" s="9"/>
      <c r="T196" s="9"/>
      <c r="U196" s="9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9"/>
      <c r="AK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6"/>
      <c r="L197" s="6"/>
      <c r="M197" s="8"/>
      <c r="N197" s="6"/>
      <c r="O197" s="9"/>
      <c r="P197" s="6"/>
      <c r="Q197" s="6"/>
      <c r="R197" s="6"/>
      <c r="S197" s="9"/>
      <c r="T197" s="9"/>
      <c r="U197" s="9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9"/>
      <c r="AK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6"/>
      <c r="L198" s="6"/>
      <c r="M198" s="8"/>
      <c r="N198" s="6"/>
      <c r="O198" s="9"/>
      <c r="P198" s="6"/>
      <c r="Q198" s="6"/>
      <c r="R198" s="6"/>
      <c r="S198" s="9"/>
      <c r="T198" s="9"/>
      <c r="U198" s="9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9"/>
      <c r="AK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7"/>
      <c r="K199" s="6"/>
      <c r="L199" s="6"/>
      <c r="M199" s="8"/>
      <c r="N199" s="6"/>
      <c r="O199" s="9"/>
      <c r="P199" s="6"/>
      <c r="Q199" s="6"/>
      <c r="R199" s="6"/>
      <c r="S199" s="9"/>
      <c r="T199" s="9"/>
      <c r="U199" s="9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9"/>
      <c r="AK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7"/>
      <c r="K200" s="6"/>
      <c r="L200" s="6"/>
      <c r="M200" s="8"/>
      <c r="N200" s="6"/>
      <c r="O200" s="9"/>
      <c r="P200" s="6"/>
      <c r="Q200" s="6"/>
      <c r="R200" s="6"/>
      <c r="S200" s="9"/>
      <c r="T200" s="9"/>
      <c r="U200" s="9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9"/>
      <c r="AK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7"/>
      <c r="K201" s="6"/>
      <c r="L201" s="6"/>
      <c r="M201" s="8"/>
      <c r="N201" s="6"/>
      <c r="O201" s="9"/>
      <c r="P201" s="6"/>
      <c r="Q201" s="6"/>
      <c r="R201" s="6"/>
      <c r="S201" s="9"/>
      <c r="T201" s="9"/>
      <c r="U201" s="9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9"/>
      <c r="AK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7"/>
      <c r="K202" s="6"/>
      <c r="L202" s="6"/>
      <c r="M202" s="8"/>
      <c r="N202" s="6"/>
      <c r="O202" s="9"/>
      <c r="P202" s="6"/>
      <c r="Q202" s="6"/>
      <c r="R202" s="6"/>
      <c r="S202" s="9"/>
      <c r="T202" s="9"/>
      <c r="U202" s="9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9"/>
      <c r="AK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7"/>
      <c r="K203" s="6"/>
      <c r="L203" s="6"/>
      <c r="M203" s="8"/>
      <c r="N203" s="6"/>
      <c r="O203" s="9"/>
      <c r="P203" s="6"/>
      <c r="Q203" s="6"/>
      <c r="R203" s="6"/>
      <c r="S203" s="9"/>
      <c r="T203" s="9"/>
      <c r="U203" s="9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9"/>
      <c r="AK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7"/>
      <c r="K204" s="6"/>
      <c r="L204" s="6"/>
      <c r="M204" s="8"/>
      <c r="N204" s="6"/>
      <c r="O204" s="9"/>
      <c r="P204" s="6"/>
      <c r="Q204" s="6"/>
      <c r="R204" s="6"/>
      <c r="S204" s="9"/>
      <c r="T204" s="9"/>
      <c r="U204" s="9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9"/>
      <c r="AK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7"/>
      <c r="K205" s="6"/>
      <c r="L205" s="6"/>
      <c r="M205" s="8"/>
      <c r="N205" s="6"/>
      <c r="O205" s="9"/>
      <c r="P205" s="6"/>
      <c r="Q205" s="6"/>
      <c r="R205" s="6"/>
      <c r="S205" s="9"/>
      <c r="T205" s="9"/>
      <c r="U205" s="9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9"/>
      <c r="AK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7"/>
      <c r="K206" s="6"/>
      <c r="L206" s="6"/>
      <c r="M206" s="8"/>
      <c r="N206" s="6"/>
      <c r="O206" s="9"/>
      <c r="P206" s="6"/>
      <c r="Q206" s="6"/>
      <c r="R206" s="6"/>
      <c r="S206" s="9"/>
      <c r="T206" s="9"/>
      <c r="U206" s="9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9"/>
      <c r="AK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7"/>
      <c r="K207" s="6"/>
      <c r="L207" s="6"/>
      <c r="M207" s="8"/>
      <c r="N207" s="6"/>
      <c r="O207" s="9"/>
      <c r="P207" s="6"/>
      <c r="Q207" s="6"/>
      <c r="R207" s="6"/>
      <c r="S207" s="9"/>
      <c r="T207" s="9"/>
      <c r="U207" s="9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9"/>
      <c r="AK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7"/>
      <c r="K208" s="6"/>
      <c r="L208" s="6"/>
      <c r="M208" s="8"/>
      <c r="N208" s="6"/>
      <c r="O208" s="9"/>
      <c r="P208" s="6"/>
      <c r="Q208" s="6"/>
      <c r="R208" s="6"/>
      <c r="S208" s="9"/>
      <c r="T208" s="9"/>
      <c r="U208" s="9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9"/>
      <c r="AK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7"/>
      <c r="K209" s="6"/>
      <c r="L209" s="6"/>
      <c r="M209" s="8"/>
      <c r="N209" s="6"/>
      <c r="O209" s="9"/>
      <c r="P209" s="6"/>
      <c r="Q209" s="6"/>
      <c r="R209" s="6"/>
      <c r="S209" s="9"/>
      <c r="T209" s="9"/>
      <c r="U209" s="9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9"/>
      <c r="AK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7"/>
      <c r="K210" s="6"/>
      <c r="L210" s="6"/>
      <c r="M210" s="8"/>
      <c r="N210" s="6"/>
      <c r="O210" s="9"/>
      <c r="P210" s="6"/>
      <c r="Q210" s="6"/>
      <c r="R210" s="6"/>
      <c r="S210" s="9"/>
      <c r="T210" s="9"/>
      <c r="U210" s="9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9"/>
      <c r="AK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7"/>
      <c r="K211" s="6"/>
      <c r="L211" s="6"/>
      <c r="M211" s="8"/>
      <c r="N211" s="6"/>
      <c r="O211" s="9"/>
      <c r="P211" s="6"/>
      <c r="Q211" s="6"/>
      <c r="R211" s="6"/>
      <c r="S211" s="9"/>
      <c r="T211" s="9"/>
      <c r="U211" s="9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9"/>
      <c r="AK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6"/>
      <c r="L212" s="6"/>
      <c r="M212" s="8"/>
      <c r="N212" s="6"/>
      <c r="O212" s="9"/>
      <c r="P212" s="6"/>
      <c r="Q212" s="6"/>
      <c r="R212" s="6"/>
      <c r="S212" s="9"/>
      <c r="T212" s="9"/>
      <c r="U212" s="9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9"/>
      <c r="AK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6"/>
      <c r="L213" s="6"/>
      <c r="M213" s="8"/>
      <c r="N213" s="6"/>
      <c r="O213" s="9"/>
      <c r="P213" s="6"/>
      <c r="Q213" s="6"/>
      <c r="R213" s="6"/>
      <c r="S213" s="9"/>
      <c r="T213" s="9"/>
      <c r="U213" s="9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9"/>
      <c r="AK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7"/>
      <c r="K214" s="6"/>
      <c r="L214" s="6"/>
      <c r="M214" s="8"/>
      <c r="N214" s="6"/>
      <c r="O214" s="9"/>
      <c r="P214" s="6"/>
      <c r="Q214" s="6"/>
      <c r="R214" s="6"/>
      <c r="S214" s="9"/>
      <c r="T214" s="9"/>
      <c r="U214" s="9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9"/>
      <c r="AK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7"/>
      <c r="K215" s="6"/>
      <c r="L215" s="6"/>
      <c r="M215" s="8"/>
      <c r="N215" s="6"/>
      <c r="O215" s="9"/>
      <c r="P215" s="6"/>
      <c r="Q215" s="6"/>
      <c r="R215" s="6"/>
      <c r="S215" s="9"/>
      <c r="T215" s="9"/>
      <c r="U215" s="9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9"/>
      <c r="AK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7"/>
      <c r="K216" s="6"/>
      <c r="L216" s="6"/>
      <c r="M216" s="8"/>
      <c r="N216" s="6"/>
      <c r="O216" s="9"/>
      <c r="P216" s="6"/>
      <c r="Q216" s="6"/>
      <c r="R216" s="6"/>
      <c r="S216" s="9"/>
      <c r="T216" s="9"/>
      <c r="U216" s="9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9"/>
      <c r="AK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7"/>
      <c r="K217" s="6"/>
      <c r="L217" s="6"/>
      <c r="M217" s="8"/>
      <c r="N217" s="6"/>
      <c r="O217" s="9"/>
      <c r="P217" s="6"/>
      <c r="Q217" s="6"/>
      <c r="R217" s="6"/>
      <c r="S217" s="9"/>
      <c r="T217" s="9"/>
      <c r="U217" s="9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9"/>
      <c r="AK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7"/>
      <c r="K218" s="6"/>
      <c r="L218" s="6"/>
      <c r="M218" s="8"/>
      <c r="N218" s="6"/>
      <c r="O218" s="9"/>
      <c r="P218" s="6"/>
      <c r="Q218" s="6"/>
      <c r="R218" s="6"/>
      <c r="S218" s="9"/>
      <c r="T218" s="9"/>
      <c r="U218" s="9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9"/>
      <c r="AK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7"/>
      <c r="K219" s="6"/>
      <c r="L219" s="6"/>
      <c r="M219" s="8"/>
      <c r="N219" s="6"/>
      <c r="O219" s="9"/>
      <c r="P219" s="6"/>
      <c r="Q219" s="6"/>
      <c r="R219" s="6"/>
      <c r="S219" s="9"/>
      <c r="T219" s="9"/>
      <c r="U219" s="9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9"/>
      <c r="AK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7"/>
      <c r="K220" s="6"/>
      <c r="L220" s="6"/>
      <c r="M220" s="8"/>
      <c r="N220" s="6"/>
      <c r="O220" s="9"/>
      <c r="P220" s="6"/>
      <c r="Q220" s="6"/>
      <c r="R220" s="6"/>
      <c r="S220" s="9"/>
      <c r="T220" s="9"/>
      <c r="U220" s="9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9"/>
      <c r="AK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7"/>
      <c r="K221" s="6"/>
      <c r="L221" s="6"/>
      <c r="M221" s="8"/>
      <c r="N221" s="6"/>
      <c r="O221" s="9"/>
      <c r="P221" s="6"/>
      <c r="Q221" s="6"/>
      <c r="R221" s="6"/>
      <c r="S221" s="9"/>
      <c r="T221" s="9"/>
      <c r="U221" s="9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9"/>
      <c r="AK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7"/>
      <c r="K222" s="6"/>
      <c r="L222" s="6"/>
      <c r="M222" s="8"/>
      <c r="N222" s="6"/>
      <c r="O222" s="9"/>
      <c r="P222" s="6"/>
      <c r="Q222" s="6"/>
      <c r="R222" s="6"/>
      <c r="S222" s="9"/>
      <c r="T222" s="9"/>
      <c r="U222" s="9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9"/>
      <c r="AK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7"/>
      <c r="K223" s="6"/>
      <c r="L223" s="6"/>
      <c r="M223" s="8"/>
      <c r="N223" s="6"/>
      <c r="O223" s="9"/>
      <c r="P223" s="6"/>
      <c r="Q223" s="6"/>
      <c r="R223" s="6"/>
      <c r="S223" s="9"/>
      <c r="T223" s="9"/>
      <c r="U223" s="9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9"/>
      <c r="AK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7"/>
      <c r="K224" s="6"/>
      <c r="L224" s="6"/>
      <c r="M224" s="8"/>
      <c r="N224" s="6"/>
      <c r="O224" s="9"/>
      <c r="P224" s="6"/>
      <c r="Q224" s="6"/>
      <c r="R224" s="6"/>
      <c r="S224" s="9"/>
      <c r="T224" s="9"/>
      <c r="U224" s="9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9"/>
      <c r="AK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7"/>
      <c r="K225" s="6"/>
      <c r="L225" s="6"/>
      <c r="M225" s="8"/>
      <c r="N225" s="6"/>
      <c r="O225" s="9"/>
      <c r="P225" s="6"/>
      <c r="Q225" s="6"/>
      <c r="R225" s="6"/>
      <c r="S225" s="9"/>
      <c r="T225" s="9"/>
      <c r="U225" s="9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9"/>
      <c r="AK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7"/>
      <c r="K226" s="6"/>
      <c r="L226" s="6"/>
      <c r="M226" s="8"/>
      <c r="N226" s="6"/>
      <c r="O226" s="9"/>
      <c r="P226" s="6"/>
      <c r="Q226" s="6"/>
      <c r="R226" s="6"/>
      <c r="S226" s="9"/>
      <c r="T226" s="9"/>
      <c r="U226" s="9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9"/>
      <c r="AK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6"/>
      <c r="L227" s="6"/>
      <c r="M227" s="8"/>
      <c r="N227" s="6"/>
      <c r="O227" s="9"/>
      <c r="P227" s="6"/>
      <c r="Q227" s="6"/>
      <c r="R227" s="6"/>
      <c r="S227" s="9"/>
      <c r="T227" s="9"/>
      <c r="U227" s="9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9"/>
      <c r="AK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6"/>
      <c r="L228" s="6"/>
      <c r="M228" s="8"/>
      <c r="N228" s="6"/>
      <c r="O228" s="9"/>
      <c r="P228" s="6"/>
      <c r="Q228" s="6"/>
      <c r="R228" s="6"/>
      <c r="S228" s="9"/>
      <c r="T228" s="9"/>
      <c r="U228" s="9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9"/>
      <c r="AK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7"/>
      <c r="K229" s="6"/>
      <c r="L229" s="6"/>
      <c r="M229" s="8"/>
      <c r="N229" s="6"/>
      <c r="O229" s="9"/>
      <c r="P229" s="6"/>
      <c r="Q229" s="6"/>
      <c r="R229" s="6"/>
      <c r="S229" s="9"/>
      <c r="T229" s="9"/>
      <c r="U229" s="9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9"/>
      <c r="AK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7"/>
      <c r="K230" s="6"/>
      <c r="L230" s="6"/>
      <c r="M230" s="8"/>
      <c r="N230" s="6"/>
      <c r="O230" s="9"/>
      <c r="P230" s="6"/>
      <c r="Q230" s="6"/>
      <c r="R230" s="6"/>
      <c r="S230" s="9"/>
      <c r="T230" s="9"/>
      <c r="U230" s="9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9"/>
      <c r="AK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7"/>
      <c r="K231" s="6"/>
      <c r="L231" s="6"/>
      <c r="M231" s="8"/>
      <c r="N231" s="6"/>
      <c r="O231" s="9"/>
      <c r="P231" s="6"/>
      <c r="Q231" s="6"/>
      <c r="R231" s="6"/>
      <c r="S231" s="9"/>
      <c r="T231" s="9"/>
      <c r="U231" s="9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9"/>
      <c r="AK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7"/>
      <c r="K232" s="6"/>
      <c r="L232" s="6"/>
      <c r="M232" s="8"/>
      <c r="N232" s="6"/>
      <c r="O232" s="9"/>
      <c r="P232" s="6"/>
      <c r="Q232" s="6"/>
      <c r="R232" s="6"/>
      <c r="S232" s="9"/>
      <c r="T232" s="9"/>
      <c r="U232" s="9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9"/>
      <c r="AK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7"/>
      <c r="K233" s="6"/>
      <c r="L233" s="6"/>
      <c r="M233" s="8"/>
      <c r="N233" s="6"/>
      <c r="O233" s="9"/>
      <c r="P233" s="6"/>
      <c r="Q233" s="6"/>
      <c r="R233" s="6"/>
      <c r="S233" s="9"/>
      <c r="T233" s="9"/>
      <c r="U233" s="9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9"/>
      <c r="AK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7"/>
      <c r="K234" s="6"/>
      <c r="L234" s="6"/>
      <c r="M234" s="8"/>
      <c r="N234" s="6"/>
      <c r="O234" s="9"/>
      <c r="P234" s="6"/>
      <c r="Q234" s="6"/>
      <c r="R234" s="6"/>
      <c r="S234" s="9"/>
      <c r="T234" s="9"/>
      <c r="U234" s="9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9"/>
      <c r="AK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7"/>
      <c r="K235" s="6"/>
      <c r="L235" s="6"/>
      <c r="M235" s="8"/>
      <c r="N235" s="6"/>
      <c r="O235" s="9"/>
      <c r="P235" s="6"/>
      <c r="Q235" s="6"/>
      <c r="R235" s="6"/>
      <c r="S235" s="9"/>
      <c r="T235" s="9"/>
      <c r="U235" s="9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9"/>
      <c r="AK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7"/>
      <c r="K236" s="6"/>
      <c r="L236" s="6"/>
      <c r="M236" s="8"/>
      <c r="N236" s="6"/>
      <c r="O236" s="9"/>
      <c r="P236" s="6"/>
      <c r="Q236" s="6"/>
      <c r="R236" s="6"/>
      <c r="S236" s="9"/>
      <c r="T236" s="9"/>
      <c r="U236" s="9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9"/>
      <c r="AK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7"/>
      <c r="K237" s="6"/>
      <c r="L237" s="6"/>
      <c r="M237" s="8"/>
      <c r="N237" s="6"/>
      <c r="O237" s="9"/>
      <c r="P237" s="6"/>
      <c r="Q237" s="6"/>
      <c r="R237" s="6"/>
      <c r="S237" s="9"/>
      <c r="T237" s="9"/>
      <c r="U237" s="9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9"/>
      <c r="AK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7"/>
      <c r="K238" s="6"/>
      <c r="L238" s="6"/>
      <c r="M238" s="8"/>
      <c r="N238" s="6"/>
      <c r="O238" s="9"/>
      <c r="P238" s="6"/>
      <c r="Q238" s="6"/>
      <c r="R238" s="6"/>
      <c r="S238" s="9"/>
      <c r="T238" s="9"/>
      <c r="U238" s="9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9"/>
      <c r="AK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7"/>
      <c r="K239" s="6"/>
      <c r="L239" s="6"/>
      <c r="M239" s="8"/>
      <c r="N239" s="6"/>
      <c r="O239" s="9"/>
      <c r="P239" s="6"/>
      <c r="Q239" s="6"/>
      <c r="R239" s="6"/>
      <c r="S239" s="9"/>
      <c r="T239" s="9"/>
      <c r="U239" s="9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9"/>
      <c r="AK239" s="6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2025-12-22T13:33:30Z</dcterms:created>
  <dc:creator>syed.muazzam@bigbasket.com</dc:creator>
</cp:coreProperties>
</file>