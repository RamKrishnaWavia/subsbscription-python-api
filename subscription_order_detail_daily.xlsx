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ption_order_detail_daily" sheetId="1" r:id="rId4"/>
  </sheets>
  <externalReferences>
    <externalReference r:id="rId5"/>
  </externalReferences>
  <definedNames>
    <definedName name="City_Name">'[1]Migrated Societies Data'!$B$2:$B$999</definedName>
  </definedNames>
  <calcPr/>
  <extLst>
    <ext uri="GoogleSheetsCustomDataVersion2">
      <go:sheetsCustomData xmlns:go="http://customooxmlschemas.google.com/" r:id="rId6" roundtripDataChecksum="eH4dIN4wn+y/jg/OQ2vGkwQhluWFg7+gAmVxWaZfbNE="/>
    </ext>
  </extLst>
</workbook>
</file>

<file path=xl/sharedStrings.xml><?xml version="1.0" encoding="utf-8"?>
<sst xmlns="http://schemas.openxmlformats.org/spreadsheetml/2006/main" count="10273" uniqueCount="2587">
  <si>
    <t>date_of_generation</t>
  </si>
  <si>
    <t>subscription_id</t>
  </si>
  <si>
    <t>order_id</t>
  </si>
  <si>
    <t>member_id</t>
  </si>
  <si>
    <t>customer_name</t>
  </si>
  <si>
    <t>email</t>
  </si>
  <si>
    <t>phone_no</t>
  </si>
  <si>
    <t>sku_id</t>
  </si>
  <si>
    <t>sku_name</t>
  </si>
  <si>
    <t>subscription_order_type</t>
  </si>
  <si>
    <t>subscription_type</t>
  </si>
  <si>
    <t>order_value</t>
  </si>
  <si>
    <t>delivery_date</t>
  </si>
  <si>
    <t>delivery_status</t>
  </si>
  <si>
    <t>Quantity Received</t>
  </si>
  <si>
    <t>Quantity Delivered</t>
  </si>
  <si>
    <t>Society</t>
  </si>
  <si>
    <t>Month</t>
  </si>
  <si>
    <t>Basant Kumar</t>
  </si>
  <si>
    <t>aruneshchakrapani@gmail.com</t>
  </si>
  <si>
    <t>Samrudhi Milk</t>
  </si>
  <si>
    <t>subscription</t>
  </si>
  <si>
    <t>Active</t>
  </si>
  <si>
    <t>complete</t>
  </si>
  <si>
    <t>Srinivas Achary</t>
  </si>
  <si>
    <t>srinuachary@gmail.com</t>
  </si>
  <si>
    <t>Pasteurised Toned Milk</t>
  </si>
  <si>
    <t>Cancelled</t>
  </si>
  <si>
    <t>Harshitha Bennurmath</t>
  </si>
  <si>
    <t>harshitha.bennurmath@gmail.com</t>
  </si>
  <si>
    <t>Curd</t>
  </si>
  <si>
    <t>Kasturi Rangan</t>
  </si>
  <si>
    <t>rangan.kasturi@gmail.com</t>
  </si>
  <si>
    <t>Pankaj Pandey</t>
  </si>
  <si>
    <t>kr.pankajpandey92@gmail.com</t>
  </si>
  <si>
    <t>Gold Full Cream Milk</t>
  </si>
  <si>
    <t>Carrot - Red</t>
  </si>
  <si>
    <t>Hakka Noodles Masala</t>
  </si>
  <si>
    <t>Rajivranjan Verma</t>
  </si>
  <si>
    <t>sindhugowdackmglr@gmail.com</t>
  </si>
  <si>
    <t>Shubham Milk</t>
  </si>
  <si>
    <t>Abhishek Bajpai</t>
  </si>
  <si>
    <t>abhishekbajpai25@gmail.com</t>
  </si>
  <si>
    <t>Shruti Thukral</t>
  </si>
  <si>
    <t>sthukral167@gmail.com</t>
  </si>
  <si>
    <t>Palash Gandhi</t>
  </si>
  <si>
    <t>gandhipalash123@gmail.com</t>
  </si>
  <si>
    <t>Shwetha Shantharam</t>
  </si>
  <si>
    <t>shantharam.shwetha@gmail.com</t>
  </si>
  <si>
    <t>Manali Jajal</t>
  </si>
  <si>
    <t>manalipjogi@gmail.com</t>
  </si>
  <si>
    <t>Lakshmi J</t>
  </si>
  <si>
    <t>duplicate-srimuruganbala@gmail.com</t>
  </si>
  <si>
    <t>Kaolin Clay Face Lotion For Normal To Combination Skin</t>
  </si>
  <si>
    <t>cancelled</t>
  </si>
  <si>
    <t>Angel Jwala</t>
  </si>
  <si>
    <t>angeljwala@gmail.com</t>
  </si>
  <si>
    <t>Sirisha G</t>
  </si>
  <si>
    <t>siri.sindhu18@gmail.com</t>
  </si>
  <si>
    <t>Daily Health Toned Milk</t>
  </si>
  <si>
    <t>Kritee Jhawar</t>
  </si>
  <si>
    <t>kriteejhawar@gmail.com</t>
  </si>
  <si>
    <t>Taaza Milk</t>
  </si>
  <si>
    <t>Jagan Hari</t>
  </si>
  <si>
    <t>jmhari.uk@gmail.com</t>
  </si>
  <si>
    <t>Homogenised Pasteurised Cow's Pure Milk</t>
  </si>
  <si>
    <t>Nice Time Sugar Showered Coconut Biscuit</t>
  </si>
  <si>
    <t>Ashish Pokhriyal</t>
  </si>
  <si>
    <t>ashishpokhriyal21@gmail.com</t>
  </si>
  <si>
    <t>Cow Milk - Pasteurized</t>
  </si>
  <si>
    <t>Preeti Ramesh</t>
  </si>
  <si>
    <t>p3ramesh@gmail.com</t>
  </si>
  <si>
    <t>Natural Cow Milk</t>
  </si>
  <si>
    <t>Somashekar Soma</t>
  </si>
  <si>
    <t>somarasu1986@gmail.com</t>
  </si>
  <si>
    <t>sanjib samal</t>
  </si>
  <si>
    <t>sanjib.samal353@gmail.com</t>
  </si>
  <si>
    <t>Manasa Dwarampudi</t>
  </si>
  <si>
    <t>manasa1246@gmail.com</t>
  </si>
  <si>
    <t>Sanjeev Arya</t>
  </si>
  <si>
    <t>sanjeevarya@flash.co</t>
  </si>
  <si>
    <t>Farm Fresh Cow's Milk Curd</t>
  </si>
  <si>
    <t>Gautam Garg</t>
  </si>
  <si>
    <t>gautam.ceg@gmail.com</t>
  </si>
  <si>
    <t>Gayatri Rath</t>
  </si>
  <si>
    <t>gayatri.lucky3@gmail.com</t>
  </si>
  <si>
    <t>Smita Chakravorty</t>
  </si>
  <si>
    <t>papyrustica@gmail.com</t>
  </si>
  <si>
    <t>manisha sandoo</t>
  </si>
  <si>
    <t>workmanishawork@gmail.com</t>
  </si>
  <si>
    <t>Shobha Thomas</t>
  </si>
  <si>
    <t>anishobha@gmail.com</t>
  </si>
  <si>
    <t>Rahul Gupta</t>
  </si>
  <si>
    <t>nehav41@gmail.com</t>
  </si>
  <si>
    <t>Madhu Gowdru</t>
  </si>
  <si>
    <t>jambigimadhu@gmail.com</t>
  </si>
  <si>
    <t>Spiced Buttermilk</t>
  </si>
  <si>
    <t>Savitha Vijendran</t>
  </si>
  <si>
    <t>savvy.sen@gmail.com</t>
  </si>
  <si>
    <t>Anupama c</t>
  </si>
  <si>
    <t>anupatel2006@gmail.com</t>
  </si>
  <si>
    <t>Samriti Guleria</t>
  </si>
  <si>
    <t>samriti.guleria@gmail.com</t>
  </si>
  <si>
    <t>A2 Pasteurised Cow Milk</t>
  </si>
  <si>
    <t>Seema H</t>
  </si>
  <si>
    <t>seema02hegde@gmail.com</t>
  </si>
  <si>
    <t>Girish Shabadimath</t>
  </si>
  <si>
    <t>girish@bigbasket.com</t>
  </si>
  <si>
    <t>Shyam Sunder</t>
  </si>
  <si>
    <t>ksshyamsunder@gmail.com</t>
  </si>
  <si>
    <t>Curd - Creamy &amp; Tasty</t>
  </si>
  <si>
    <t>Vikas Chandra</t>
  </si>
  <si>
    <t>vikaschandra893@gmail.com</t>
  </si>
  <si>
    <t>Premium Tender Coconut</t>
  </si>
  <si>
    <t>ashish gautam</t>
  </si>
  <si>
    <t>aashish.1208@gmail.com</t>
  </si>
  <si>
    <t>Tanushri Rajvanshi</t>
  </si>
  <si>
    <t>tanushrirajvanshi@gmail.com</t>
  </si>
  <si>
    <t>Alok Sharma</t>
  </si>
  <si>
    <t>aloxarma@yahoo.com</t>
  </si>
  <si>
    <t>Vanilla Flavour Creme Sandwich Biscuit</t>
  </si>
  <si>
    <t>Ichha Shetty</t>
  </si>
  <si>
    <t>ichhashetty16@gmail.com</t>
  </si>
  <si>
    <t>Muhibullah Pahelwan</t>
  </si>
  <si>
    <t>spmuhib@gmail.com</t>
  </si>
  <si>
    <t>J V M  Sarma</t>
  </si>
  <si>
    <t>jvm_sarma@hotmail.com</t>
  </si>
  <si>
    <t>Malvika Sharma</t>
  </si>
  <si>
    <t>deepankar.uict@gmail.com</t>
  </si>
  <si>
    <t>Aniket S</t>
  </si>
  <si>
    <t>nktsarkar88@gmail.com</t>
  </si>
  <si>
    <t>Nitesh Yadav</t>
  </si>
  <si>
    <t>niteshyadav4u@gmail.com</t>
  </si>
  <si>
    <t>Sayantani Mukherjee</t>
  </si>
  <si>
    <t>sayantani.ttis@gmail.com</t>
  </si>
  <si>
    <t>Mishti Doi</t>
  </si>
  <si>
    <t>Radha Sudhir</t>
  </si>
  <si>
    <t>radhasukhale@gmail.com</t>
  </si>
  <si>
    <t>Supriya N</t>
  </si>
  <si>
    <t>supriyanarayan04@gmail.com</t>
  </si>
  <si>
    <t>Dr Rajeev Nag</t>
  </si>
  <si>
    <t>drrajeevnag@gmail.com</t>
  </si>
  <si>
    <t>Alok Kumar</t>
  </si>
  <si>
    <t>imalo1000@gmail.com</t>
  </si>
  <si>
    <t>Subramanian Narayan</t>
  </si>
  <si>
    <t>subbutalkies@yahoo.com</t>
  </si>
  <si>
    <t>Vivek Kumar</t>
  </si>
  <si>
    <t>vivekatbitm@gmail.com</t>
  </si>
  <si>
    <t>Amrutha A2 Pasteurised Milk - Organic</t>
  </si>
  <si>
    <t>Mohana R</t>
  </si>
  <si>
    <t>mohanar0508@gmail.com</t>
  </si>
  <si>
    <t>Harpreet Kaur</t>
  </si>
  <si>
    <t>hk.bawa@yahoo.com</t>
  </si>
  <si>
    <t>Srinidhi Kulkarni</t>
  </si>
  <si>
    <t>sanpav1928@gmail.com</t>
  </si>
  <si>
    <t>Padmini V</t>
  </si>
  <si>
    <t>vpsk0235@gmail.com</t>
  </si>
  <si>
    <t>Cut Roses Flower</t>
  </si>
  <si>
    <t>Shuaib Basha</t>
  </si>
  <si>
    <t>moveonpack@gmail.com</t>
  </si>
  <si>
    <t>Aayushi Vyas</t>
  </si>
  <si>
    <t>aayushin999@gmail.com</t>
  </si>
  <si>
    <t>Alok Shankar</t>
  </si>
  <si>
    <t>alok.rvce@gmail.com</t>
  </si>
  <si>
    <t>Aswini U</t>
  </si>
  <si>
    <t>aswini851993@gmail.com</t>
  </si>
  <si>
    <t>Nathan  Harris</t>
  </si>
  <si>
    <t>nathanleeharris1@hotmail.com</t>
  </si>
  <si>
    <t>sweta gudisa</t>
  </si>
  <si>
    <t>sweta85@gmail.com</t>
  </si>
  <si>
    <t>Shishir Anshuman</t>
  </si>
  <si>
    <t>shishiranshuman@gmail.com</t>
  </si>
  <si>
    <t>Lactose Free Milk</t>
  </si>
  <si>
    <t>Tender Coconut</t>
  </si>
  <si>
    <t>shadab ahmed</t>
  </si>
  <si>
    <t>shadab.kabir@yahoo.com</t>
  </si>
  <si>
    <t>Rajasekhar Dande</t>
  </si>
  <si>
    <t>rajasekhar.dande@gmail.com</t>
  </si>
  <si>
    <t>Swathi Vasanth</t>
  </si>
  <si>
    <t>swath.vasanthdesikan@gmail.com</t>
  </si>
  <si>
    <t>Full Cream Milk</t>
  </si>
  <si>
    <t>Samrat Narzary</t>
  </si>
  <si>
    <t>samrat.narzary@gmail.com</t>
  </si>
  <si>
    <t>Organic Cow Milk</t>
  </si>
  <si>
    <t>Sunil Kumar</t>
  </si>
  <si>
    <t>welcomesunil@yahoo.com</t>
  </si>
  <si>
    <t>Bigbasketeer Vishwakarma</t>
  </si>
  <si>
    <t>vikram.vishwa75@gmail.com</t>
  </si>
  <si>
    <t>Amitha D</t>
  </si>
  <si>
    <t>amithanoothi90@gmail.com</t>
  </si>
  <si>
    <t>Akash Agrawal</t>
  </si>
  <si>
    <t>skyagrawal@gmail.com</t>
  </si>
  <si>
    <t>Dayajeet Singh</t>
  </si>
  <si>
    <t>kalsisikh91@gmail.com</t>
  </si>
  <si>
    <t>Karthic Boopathy Mohanarangam</t>
  </si>
  <si>
    <t>jeevakarthic@yahoo.com</t>
  </si>
  <si>
    <t>Rama Budhori</t>
  </si>
  <si>
    <t>r_sbudhori@yahoo.com</t>
  </si>
  <si>
    <t>S N</t>
  </si>
  <si>
    <t>pnagendragowda@gmail.com</t>
  </si>
  <si>
    <t>Kalyani Bhattacharya</t>
  </si>
  <si>
    <t>er.kalyani01@gmail.com</t>
  </si>
  <si>
    <t>Rishabh Modi</t>
  </si>
  <si>
    <t>rishabhsm2017@email.iimcal.ac.in</t>
  </si>
  <si>
    <t>Shakir Iqbal</t>
  </si>
  <si>
    <t>shakir.iqbal.47@gmail.com</t>
  </si>
  <si>
    <t>Deepak Jangra</t>
  </si>
  <si>
    <t>deepakdehman@gmail.com</t>
  </si>
  <si>
    <t>Sunil Aggarwal</t>
  </si>
  <si>
    <t>xlsclp@gmail.com</t>
  </si>
  <si>
    <t>Meenaxi Sadhwani</t>
  </si>
  <si>
    <t>meenaxiadh@gmail.com</t>
  </si>
  <si>
    <t>Dr Sirisha Janni</t>
  </si>
  <si>
    <t>sirisha30m@gmail.com</t>
  </si>
  <si>
    <t>vinod singh</t>
  </si>
  <si>
    <t>vips.1443@gmail.com</t>
  </si>
  <si>
    <t>Kameshwari Mangipudi</t>
  </si>
  <si>
    <t>siri4friends@gmail.com</t>
  </si>
  <si>
    <t>jaiprakash verma</t>
  </si>
  <si>
    <t>jaiprakashverma231@gmail.com</t>
  </si>
  <si>
    <t>Vishal Rajput</t>
  </si>
  <si>
    <t>vishalisgreat@gmail.com</t>
  </si>
  <si>
    <t>Priyanka Singh</t>
  </si>
  <si>
    <t>priyn.singh@rediffmail.com</t>
  </si>
  <si>
    <t>Nishi Kanta Laskar</t>
  </si>
  <si>
    <t>nklaskar2012@gmail.com</t>
  </si>
  <si>
    <t>Amrutha A2 Farm Fresh Milk - Organic</t>
  </si>
  <si>
    <t>Sovan Mishra</t>
  </si>
  <si>
    <t>sovan.iiit@gmail.com</t>
  </si>
  <si>
    <t>Masala Chach - With Green Chillies, Ginger &amp; Jeera</t>
  </si>
  <si>
    <t>Ashker Pa</t>
  </si>
  <si>
    <t>shangulshan@gmail.com</t>
  </si>
  <si>
    <t>Meenu Kumari</t>
  </si>
  <si>
    <t>meenu4ever@gmail.com</t>
  </si>
  <si>
    <t>Umesh Prabhu</t>
  </si>
  <si>
    <t>prabhu.umesh@gmail.com</t>
  </si>
  <si>
    <t>Prashant Koshy</t>
  </si>
  <si>
    <t>prashantkoshy37@gmail.com</t>
  </si>
  <si>
    <t>Amrita Kulkarni</t>
  </si>
  <si>
    <t>vijayk2609@gmail.com</t>
  </si>
  <si>
    <t>Satabdi Ghosh</t>
  </si>
  <si>
    <t>satabdi1404@gmail.com</t>
  </si>
  <si>
    <t>Veda Murthy</t>
  </si>
  <si>
    <t>vmurthy.bng@gmail.com</t>
  </si>
  <si>
    <t>Chandrasekhara Reddy</t>
  </si>
  <si>
    <t>mudiyalachandra@gmail.com</t>
  </si>
  <si>
    <t>Shaista Kidwai</t>
  </si>
  <si>
    <t>saimakidwai63@gmail.com</t>
  </si>
  <si>
    <t>Sreekant N</t>
  </si>
  <si>
    <t>nsreekant@rediffmail.com</t>
  </si>
  <si>
    <t>Namita Rajnikant</t>
  </si>
  <si>
    <t>namita.rajnikant@gmail.com</t>
  </si>
  <si>
    <t>Raghavendran Gopalkrishnan</t>
  </si>
  <si>
    <t>graghavendran@outlook.com</t>
  </si>
  <si>
    <t>ANEESH KRISHNAN</t>
  </si>
  <si>
    <t>aneesh20793@gmail.com</t>
  </si>
  <si>
    <t>Sreejesh MP</t>
  </si>
  <si>
    <t>sreejesh.mp2002@gmail.com</t>
  </si>
  <si>
    <t>Greek Yogurt - Blueberry</t>
  </si>
  <si>
    <t>Organic A2 Probiotic Butter Milk Spiced</t>
  </si>
  <si>
    <t>Rajeshkumar Bhatt</t>
  </si>
  <si>
    <t>raj.bhatt@gmail.com</t>
  </si>
  <si>
    <t>HEMLATA PAL</t>
  </si>
  <si>
    <t>hemlatapal720@gmail.com</t>
  </si>
  <si>
    <t>Manoj Kumar Patra</t>
  </si>
  <si>
    <t>kavitapatra5678@gmail.com</t>
  </si>
  <si>
    <t>mompi sen</t>
  </si>
  <si>
    <t>intelmompisen@gmail.com</t>
  </si>
  <si>
    <t>Jagannath DAS</t>
  </si>
  <si>
    <t>jagannath.nls2020@gmail.com</t>
  </si>
  <si>
    <t>madhu t</t>
  </si>
  <si>
    <t>madhusudhanarao.t@gmail.com</t>
  </si>
  <si>
    <t>Mayur Patel</t>
  </si>
  <si>
    <t>mayurpatel07@live.in</t>
  </si>
  <si>
    <t>Harsha Gade</t>
  </si>
  <si>
    <t>harsha.gns@live.in</t>
  </si>
  <si>
    <t>Toned Milk</t>
  </si>
  <si>
    <t>Trupti Pattanayak</t>
  </si>
  <si>
    <t>jmp007tvs001@gmail.com</t>
  </si>
  <si>
    <t>Shankar s</t>
  </si>
  <si>
    <t>uma880123@gmail.com</t>
  </si>
  <si>
    <t>G Original Gluco Biscuits</t>
  </si>
  <si>
    <t>Satyakam Vashistha</t>
  </si>
  <si>
    <t>satyakam.vashistha@gmail.com</t>
  </si>
  <si>
    <t>Carrot - Ooty</t>
  </si>
  <si>
    <t>Coriander Leaves</t>
  </si>
  <si>
    <t>Methi/Venthaya Keerai - Cleaned, Without Roots</t>
  </si>
  <si>
    <t>Potato</t>
  </si>
  <si>
    <t>Gondhoraj Lemon</t>
  </si>
  <si>
    <t>Sweet Potato - Organically Grown</t>
  </si>
  <si>
    <t>Tuhina Verma</t>
  </si>
  <si>
    <t>brtv234@outlook.com</t>
  </si>
  <si>
    <t>Beans - Broad</t>
  </si>
  <si>
    <t>Sushma Bomjan</t>
  </si>
  <si>
    <t>sushmabomjan71@gmail.com</t>
  </si>
  <si>
    <t>Vidya Sundararaman</t>
  </si>
  <si>
    <t>vidsun_24@hotmail.com</t>
  </si>
  <si>
    <t>Banana - Robusta, Small</t>
  </si>
  <si>
    <t>abhishek singh</t>
  </si>
  <si>
    <t>abhibeats11@gmail.com</t>
  </si>
  <si>
    <t>A2 Desi Cow Milk</t>
  </si>
  <si>
    <t>Sandeep Sharma</t>
  </si>
  <si>
    <t>sunny.magotra@gmail.com</t>
  </si>
  <si>
    <t>Priyabrat Padhy</t>
  </si>
  <si>
    <t>priyabrat.dev@gmail.com</t>
  </si>
  <si>
    <t>Satish Kumar</t>
  </si>
  <si>
    <t>imp.satish@gmail.com</t>
  </si>
  <si>
    <t>Brijesh Agarwal</t>
  </si>
  <si>
    <t>brijeshbigb76@gmail.com</t>
  </si>
  <si>
    <t>hari Krishna</t>
  </si>
  <si>
    <t>hari300694@gmail.com</t>
  </si>
  <si>
    <t>Vino Bazaz</t>
  </si>
  <si>
    <t>vino_bazaz@rediffmail.com</t>
  </si>
  <si>
    <t>Tejaswini V</t>
  </si>
  <si>
    <t>teja9225@gmail.com</t>
  </si>
  <si>
    <t>Vijaya laxmi</t>
  </si>
  <si>
    <t>vijayalaxmi.bn@gmail.com</t>
  </si>
  <si>
    <t>Nanjundiah Srikant</t>
  </si>
  <si>
    <t>nsrikant@gmail.com</t>
  </si>
  <si>
    <t>Puspita Sahu</t>
  </si>
  <si>
    <t>puspita.little@gmail.com</t>
  </si>
  <si>
    <t>Yuvaraj Pathikonda</t>
  </si>
  <si>
    <t>mailtopyuvaraj@gmail.com</t>
  </si>
  <si>
    <t>BigBasketeer nidhin</t>
  </si>
  <si>
    <t>s.nidhin116@gmail.com</t>
  </si>
  <si>
    <t>Praphul anigol</t>
  </si>
  <si>
    <t>a.praphul@gmail.com</t>
  </si>
  <si>
    <t>Lavanya pramodh</t>
  </si>
  <si>
    <t>lavpramodh@gmail.com</t>
  </si>
  <si>
    <t>Ajit Choudhari</t>
  </si>
  <si>
    <t>akchoudhari09@gmail.com</t>
  </si>
  <si>
    <t>Anshita Dixit</t>
  </si>
  <si>
    <t>anshita.dixit@mail.com</t>
  </si>
  <si>
    <t>aditi pande</t>
  </si>
  <si>
    <t>aditipande84@gmail.com</t>
  </si>
  <si>
    <t>anirudh Saraiya</t>
  </si>
  <si>
    <t>anirudhmech911@gmail.com</t>
  </si>
  <si>
    <t>Swetha Hm</t>
  </si>
  <si>
    <t>swetha.hmathad@gmail.com</t>
  </si>
  <si>
    <t>Rishiraj singh</t>
  </si>
  <si>
    <t>singhrishi.rathore@gmail.com</t>
  </si>
  <si>
    <t>Amrutha A2 Organic Curd</t>
  </si>
  <si>
    <t>Siva Selvi P</t>
  </si>
  <si>
    <t>psivaoptimist@gmail.com</t>
  </si>
  <si>
    <t>gopi nath</t>
  </si>
  <si>
    <t>gopinath.annam@gmail.com</t>
  </si>
  <si>
    <t>Payal Sharma</t>
  </si>
  <si>
    <t>sharma.payalsharma59@gmail.com</t>
  </si>
  <si>
    <t>Bajeed Shaik</t>
  </si>
  <si>
    <t>shaik_bazid@yahoo.com</t>
  </si>
  <si>
    <t>Masala Tadka Tedhe Medhe</t>
  </si>
  <si>
    <t>Sanat Chanravanshi</t>
  </si>
  <si>
    <t>sanatchandravanshi@gmail.com</t>
  </si>
  <si>
    <t>pooja vittal</t>
  </si>
  <si>
    <t>poojavijay626@gmail.com</t>
  </si>
  <si>
    <t>Total Curd</t>
  </si>
  <si>
    <t>Irfan Khan</t>
  </si>
  <si>
    <t>iakcg1720@gmail.com</t>
  </si>
  <si>
    <t>Ragi Idli &amp; Dosa Batter</t>
  </si>
  <si>
    <t>Suraj RAVINDRAN</t>
  </si>
  <si>
    <t>surajravindran1108@gmqil.com</t>
  </si>
  <si>
    <t>GVN Babu</t>
  </si>
  <si>
    <t>gkvnbabu@gmail.com</t>
  </si>
  <si>
    <t>Mithila Das</t>
  </si>
  <si>
    <t>hibinti1@gmail.com</t>
  </si>
  <si>
    <t>Poovannan Shanmugam</t>
  </si>
  <si>
    <t>spoovannan82@gmail.com</t>
  </si>
  <si>
    <t>Akshay Jain</t>
  </si>
  <si>
    <t>akshay059@gmail.com</t>
  </si>
  <si>
    <t>Abhishek Saha</t>
  </si>
  <si>
    <t>saha.abhishek.2007@gmail.com</t>
  </si>
  <si>
    <t>Masti Curd</t>
  </si>
  <si>
    <t>Shikha Aggarwal</t>
  </si>
  <si>
    <t>shikha.aggarwal87@gmail.com</t>
  </si>
  <si>
    <t>Deepak Negi</t>
  </si>
  <si>
    <t>deepaknegi.1686@gmail.com</t>
  </si>
  <si>
    <t>Ginger</t>
  </si>
  <si>
    <t>Chrysanthemum/Shevanti Flower</t>
  </si>
  <si>
    <t>Christmas Tree Decor Snowstar - 4 cm, White</t>
  </si>
  <si>
    <t>anurag tiwari</t>
  </si>
  <si>
    <t>anuragsirouli@gmail.com</t>
  </si>
  <si>
    <t>Puneet Kaur</t>
  </si>
  <si>
    <t>pamkaur13@gmail.com</t>
  </si>
  <si>
    <t>Anisha Dharmani</t>
  </si>
  <si>
    <t>a13dharmani@gmail.com</t>
  </si>
  <si>
    <t>Skim Milk</t>
  </si>
  <si>
    <t>Amrit Matharu</t>
  </si>
  <si>
    <t>amrit.matharu@gmail.com</t>
  </si>
  <si>
    <t>Bharat Bagri</t>
  </si>
  <si>
    <t>focusedbharat@gmail.com</t>
  </si>
  <si>
    <t>Vijesh Devan</t>
  </si>
  <si>
    <t>vijesh.devan@gmail.com</t>
  </si>
  <si>
    <t>Sara Chakravarty</t>
  </si>
  <si>
    <t>sarvani3495@gmail.com</t>
  </si>
  <si>
    <t>Mool Goyal</t>
  </si>
  <si>
    <t>goyalmool47@gmail.com</t>
  </si>
  <si>
    <t>Namrata Nadgauda</t>
  </si>
  <si>
    <t>nsn.09h@gmail.com</t>
  </si>
  <si>
    <t>Organic Slim Milk</t>
  </si>
  <si>
    <t>Chaitali Patra</t>
  </si>
  <si>
    <t>chaitali4u@gmail.com</t>
  </si>
  <si>
    <t>Ananthakrishnan P R</t>
  </si>
  <si>
    <t>pr.ananthakrishnan@gmail.com</t>
  </si>
  <si>
    <t>Smitha Sekhar</t>
  </si>
  <si>
    <t>smitha.sekhar06@gmail.com</t>
  </si>
  <si>
    <t>Rakhi Goswami</t>
  </si>
  <si>
    <t>rakhigoswami1977@gmail.com</t>
  </si>
  <si>
    <t>Ramya R</t>
  </si>
  <si>
    <t>roniramy@yahoo.com</t>
  </si>
  <si>
    <t>Fried Bengal Gram</t>
  </si>
  <si>
    <t>Hershit Mahajan</t>
  </si>
  <si>
    <t>hetal.chauhan.bca@gmail.com</t>
  </si>
  <si>
    <t>Soba Noodles With 70% Buckwheat Flour &amp; 30% Whole Wheat - Natural, No Maida</t>
  </si>
  <si>
    <t>Organic Brown Sugar</t>
  </si>
  <si>
    <t>Kumari Madhumita</t>
  </si>
  <si>
    <t>madhumitakri@yahoo.com</t>
  </si>
  <si>
    <t>Vinayak Pandey</t>
  </si>
  <si>
    <t>vinayakdpandey@gmail.com</t>
  </si>
  <si>
    <t>Ankita Singh</t>
  </si>
  <si>
    <t>ladyankita.singh@gmail.com</t>
  </si>
  <si>
    <t>Dwija Sharma</t>
  </si>
  <si>
    <t>sharmadwija@gmail.com</t>
  </si>
  <si>
    <t>Keshaw Srivastava</t>
  </si>
  <si>
    <t>keshaw29srivastava@gmail.com</t>
  </si>
  <si>
    <t>Gayathri SJ</t>
  </si>
  <si>
    <t>gayathrisj1996@gmail.com</t>
  </si>
  <si>
    <t>Mithun Mandal</t>
  </si>
  <si>
    <t>mithun12000@gmail.com</t>
  </si>
  <si>
    <t>Sandeep Parida</t>
  </si>
  <si>
    <t>sandeepkumarparida@gmail.com</t>
  </si>
  <si>
    <t>Marigold Flower - Yellow</t>
  </si>
  <si>
    <t>bharadwaj c</t>
  </si>
  <si>
    <t>bharath.smi10@gmail.com</t>
  </si>
  <si>
    <t>Bindu Reddy</t>
  </si>
  <si>
    <t>himabindu874@gmail.com</t>
  </si>
  <si>
    <t>Nilesh Dongre</t>
  </si>
  <si>
    <t>nieldongre@gmail.com</t>
  </si>
  <si>
    <t>Rathi Meraskar</t>
  </si>
  <si>
    <t>sainath.mer@gmail.com</t>
  </si>
  <si>
    <t>Vedavathi Srinivas</t>
  </si>
  <si>
    <t>veda1004@yahoo.com</t>
  </si>
  <si>
    <t>Rachana Ashok</t>
  </si>
  <si>
    <t>rachana.ashok@gmail.com</t>
  </si>
  <si>
    <t>Naziya Sohail</t>
  </si>
  <si>
    <t>naziak07@gmail.com</t>
  </si>
  <si>
    <t>A2 Buffalo Milk - Natural, No Preservatives &amp; Antibiotics</t>
  </si>
  <si>
    <t>Manoj Kasa</t>
  </si>
  <si>
    <t>manu.kasa@gmail.com</t>
  </si>
  <si>
    <t>Ramkumar S</t>
  </si>
  <si>
    <t>ramkumars@flash.co</t>
  </si>
  <si>
    <t>Rekha Shreemaan</t>
  </si>
  <si>
    <t>rekhashreemaan@gmail.com</t>
  </si>
  <si>
    <t>Rajita Nair</t>
  </si>
  <si>
    <t>rajitashij@gmail.com</t>
  </si>
  <si>
    <t>Kerala Rice Murukku</t>
  </si>
  <si>
    <t>Ribbon Pakoda</t>
  </si>
  <si>
    <t>American Style Cream &amp; Onion Potato Chips</t>
  </si>
  <si>
    <t>Vimal Devan</t>
  </si>
  <si>
    <t>vimalarundevan@gmail.com</t>
  </si>
  <si>
    <t>Praveen Kumar Ampasala</t>
  </si>
  <si>
    <t>ampasalapraveenkumar@gmail.com</t>
  </si>
  <si>
    <t>Vanishree Deshmukh</t>
  </si>
  <si>
    <t>vanishree.deshmukh@gmail.com</t>
  </si>
  <si>
    <t>Akhil Raj</t>
  </si>
  <si>
    <t>nandhu897@gmail.com</t>
  </si>
  <si>
    <t>Soumya Verma</t>
  </si>
  <si>
    <t>vermasoumya596@gmail.com</t>
  </si>
  <si>
    <t>shalini mangipudi</t>
  </si>
  <si>
    <t>shahini91@gamail.com</t>
  </si>
  <si>
    <t>Maria Gilby</t>
  </si>
  <si>
    <t>mariagilby@yahoo.co.in</t>
  </si>
  <si>
    <t>Anshul Gupta</t>
  </si>
  <si>
    <t>ganshul98@gmail.com</t>
  </si>
  <si>
    <t>Sabita Nayak</t>
  </si>
  <si>
    <t>mail.snayak@gmail.com</t>
  </si>
  <si>
    <t>Monika P</t>
  </si>
  <si>
    <t>monikaponnada@gmail.com</t>
  </si>
  <si>
    <t>soundarya k</t>
  </si>
  <si>
    <t>soundaryaork@gmail.com</t>
  </si>
  <si>
    <t>Pushpa Venkat</t>
  </si>
  <si>
    <t>pushpapushvenkat@gmail.com</t>
  </si>
  <si>
    <t>Anupam Banerjee</t>
  </si>
  <si>
    <t>anupambanerjee85@gmail.com</t>
  </si>
  <si>
    <t>Ashish Sukhwani</t>
  </si>
  <si>
    <t>skhwni.ashish@gmail.com</t>
  </si>
  <si>
    <t>Divyarani R</t>
  </si>
  <si>
    <t>chinni.chala@gmail.com</t>
  </si>
  <si>
    <t>Savitha Bigbasketeer</t>
  </si>
  <si>
    <t>savithact078@gmail.com</t>
  </si>
  <si>
    <t>SRIDHAR V</t>
  </si>
  <si>
    <t>vrsridharan@gmail.com</t>
  </si>
  <si>
    <t>Irfan Bigbasketeer</t>
  </si>
  <si>
    <t>irfanahmadnr@gmail.com</t>
  </si>
  <si>
    <t>Shristi</t>
  </si>
  <si>
    <t>srishtip2@gmail.com</t>
  </si>
  <si>
    <t>Praveen Digwal</t>
  </si>
  <si>
    <t>digwal.praveen@gmail.com</t>
  </si>
  <si>
    <t>Piyush Jain</t>
  </si>
  <si>
    <t>piyushj@gmail.com</t>
  </si>
  <si>
    <t>PAYALHOMCHAND PARATE</t>
  </si>
  <si>
    <t>payal.parate@gmail.com</t>
  </si>
  <si>
    <t>Vinay Gupta</t>
  </si>
  <si>
    <t>er.vinaygupta07@gmail.com</t>
  </si>
  <si>
    <t>Tiger Kreemz Choco Flavoured Sandwich Biscuits</t>
  </si>
  <si>
    <t>Gautam Gaikwad</t>
  </si>
  <si>
    <t>gautam.gaikwad.uf@gmail.com</t>
  </si>
  <si>
    <t>Moonfils Croissant - Choco Creme, Veg</t>
  </si>
  <si>
    <t>Rahul Mavila</t>
  </si>
  <si>
    <t>rahulmsashi@gmail.com</t>
  </si>
  <si>
    <t>Puja Kumari</t>
  </si>
  <si>
    <t>pujas1982@gmail.com</t>
  </si>
  <si>
    <t>Bigbasketeer GULATI</t>
  </si>
  <si>
    <t>diptigulati1705@gmail.com</t>
  </si>
  <si>
    <t>SAJEEV KURUP SAJEEV KURUP</t>
  </si>
  <si>
    <t>kottinattusajeev@rediffmail.com</t>
  </si>
  <si>
    <t>Organic Greek Yoghurt - Plain</t>
  </si>
  <si>
    <t>Ashish Lal</t>
  </si>
  <si>
    <t>ashishlal2003@in.com</t>
  </si>
  <si>
    <t>Sumit pal</t>
  </si>
  <si>
    <t>sumitpal.1987@gmail.com</t>
  </si>
  <si>
    <t>Special UHT Processed Homogenised Toned Milk</t>
  </si>
  <si>
    <t>Amrit Adheesh</t>
  </si>
  <si>
    <t>amritadheesh@gmail.com</t>
  </si>
  <si>
    <t>esha tanwar</t>
  </si>
  <si>
    <t>ishinature@gmail.com</t>
  </si>
  <si>
    <t>Shwetambari Tewari</t>
  </si>
  <si>
    <t>shwetambari123@gmail.com</t>
  </si>
  <si>
    <t>Ghayaz Ahmed</t>
  </si>
  <si>
    <t>ghayaz@gmail.com</t>
  </si>
  <si>
    <t>MRSRITIKA GUPTA</t>
  </si>
  <si>
    <t>rajkesherwani@gmail.com</t>
  </si>
  <si>
    <t>Vipin Adiyodi</t>
  </si>
  <si>
    <t>vipin.adiyodi0788@gmail.com</t>
  </si>
  <si>
    <t>Kamal Tiwari</t>
  </si>
  <si>
    <t>kamaltiwari@gmail.com</t>
  </si>
  <si>
    <t>Prakrati Hegde</t>
  </si>
  <si>
    <t>prakrati.hegde@tcs.com</t>
  </si>
  <si>
    <t>Bigbasketeer Bigbasketeer</t>
  </si>
  <si>
    <t>vijay.2025@icloud.com</t>
  </si>
  <si>
    <t>Ramya U</t>
  </si>
  <si>
    <t>masi449@gmail.com</t>
  </si>
  <si>
    <t>vinod kumar</t>
  </si>
  <si>
    <t>vinforvinod13@gmail.com</t>
  </si>
  <si>
    <t>Kamal Nayak</t>
  </si>
  <si>
    <t>iamkamalnayak@gmail.com</t>
  </si>
  <si>
    <t>Himanshu Mishra</t>
  </si>
  <si>
    <t>rajanietdavv@gmail.com</t>
  </si>
  <si>
    <t>Satish Meena</t>
  </si>
  <si>
    <t>msatish2291@gmail.com</t>
  </si>
  <si>
    <t>Rati Bharali</t>
  </si>
  <si>
    <t>rati.bharali81@gmail.com</t>
  </si>
  <si>
    <t>Suhash Kanti Bhar</t>
  </si>
  <si>
    <t>suhash.bhar@gmail.com</t>
  </si>
  <si>
    <t>GP Rao</t>
  </si>
  <si>
    <t>shirisharaogurram@gmail.com</t>
  </si>
  <si>
    <t>Priyanka Nema</t>
  </si>
  <si>
    <t>nemapriyanka22@gmail.com</t>
  </si>
  <si>
    <t>Marian Ray</t>
  </si>
  <si>
    <t>marian.mukerji@gmail.com</t>
  </si>
  <si>
    <t>Shailendra Gupta</t>
  </si>
  <si>
    <t>shailendra22@gmail.com</t>
  </si>
  <si>
    <t>Suraj Sankaran</t>
  </si>
  <si>
    <t>suraj.sankaran@gmail.com</t>
  </si>
  <si>
    <t>ARCHANAGUPTA Bigbasketeer</t>
  </si>
  <si>
    <t>guptvn@gmail.com</t>
  </si>
  <si>
    <t>Soma Mani</t>
  </si>
  <si>
    <t>saikatmani2@gmail.com</t>
  </si>
  <si>
    <t>Sumiya Kousar</t>
  </si>
  <si>
    <t>sumiya.pasha7@gmail.com</t>
  </si>
  <si>
    <t>Mahesh Singh</t>
  </si>
  <si>
    <t>mbmaheshbisht@gmail.com</t>
  </si>
  <si>
    <t>Shishir Menon</t>
  </si>
  <si>
    <t>shishirshalini@gmail.com</t>
  </si>
  <si>
    <t>Gaurav Garg</t>
  </si>
  <si>
    <t>gargethan11@gmail.com</t>
  </si>
  <si>
    <t>Abishek Rao</t>
  </si>
  <si>
    <t>rao.abishek87@gmail.com</t>
  </si>
  <si>
    <t>Shanker S</t>
  </si>
  <si>
    <t>shanker.iobs@gmail.com</t>
  </si>
  <si>
    <t>Geethanjali Krishnappa</t>
  </si>
  <si>
    <t>geethaanj@gmail.com</t>
  </si>
  <si>
    <t>Rathi Premnath</t>
  </si>
  <si>
    <t>rathi.premnath@gmail.com</t>
  </si>
  <si>
    <t>Farm Fresh Curd/Dahi</t>
  </si>
  <si>
    <t>Gouri HM</t>
  </si>
  <si>
    <t>gourihm81@gmail.com</t>
  </si>
  <si>
    <t>Pankaj Mahanty</t>
  </si>
  <si>
    <t>pmahanty@gmail.com</t>
  </si>
  <si>
    <t>Anay Athreya</t>
  </si>
  <si>
    <t>Kartikey Shukla</t>
  </si>
  <si>
    <t>kartikey.shukla@gmail.com</t>
  </si>
  <si>
    <t>Sowmiya Govindarajan</t>
  </si>
  <si>
    <t>sowmiyag.somu@gmail.com</t>
  </si>
  <si>
    <t>Vishal R</t>
  </si>
  <si>
    <t>cnetvishal@gmail.com</t>
  </si>
  <si>
    <t>Priya Karthik</t>
  </si>
  <si>
    <t>priya.narayanan83@gmail.com</t>
  </si>
  <si>
    <t>Jaspreet Sabherwal</t>
  </si>
  <si>
    <t>jaspreetsabherwal91@gmail.com</t>
  </si>
  <si>
    <t>Shailesh Kumar</t>
  </si>
  <si>
    <t>psk.shailesh@gmail.com</t>
  </si>
  <si>
    <t>Ajitkumar Mishra</t>
  </si>
  <si>
    <t>ajit.mishra111@gmail.com</t>
  </si>
  <si>
    <t>Beena Bedi</t>
  </si>
  <si>
    <t>beenabedi05@gmail.com</t>
  </si>
  <si>
    <t>Hina Khan</t>
  </si>
  <si>
    <t>hinafaezkhan@gmail.com</t>
  </si>
  <si>
    <t>Lakshmi K</t>
  </si>
  <si>
    <t>lakshmi.kollati@gmail.com</t>
  </si>
  <si>
    <t>sudha Ramnath</t>
  </si>
  <si>
    <t>suvenkira@gmail.com</t>
  </si>
  <si>
    <t>Ananya Dutt</t>
  </si>
  <si>
    <t>dutt.ananya15@gmail.com</t>
  </si>
  <si>
    <t>Subhisha A C</t>
  </si>
  <si>
    <t>subhishaac@yahoo.co.in</t>
  </si>
  <si>
    <t>Bigbasketeer Regupathi</t>
  </si>
  <si>
    <t>dilip.regupathi@gmail.com</t>
  </si>
  <si>
    <t>Roupya Dhal</t>
  </si>
  <si>
    <t>roupyadhal2005@yahoo.com</t>
  </si>
  <si>
    <t>Prashantha T</t>
  </si>
  <si>
    <t>prashanthmech09@gmail.com</t>
  </si>
  <si>
    <t>sudha sai</t>
  </si>
  <si>
    <t>asaisudha@yahoo.co.in</t>
  </si>
  <si>
    <t>Asha Shankar</t>
  </si>
  <si>
    <t>ashashankar1@gmail.com</t>
  </si>
  <si>
    <t>Customer .</t>
  </si>
  <si>
    <t>priyankadhar91@gmail.com</t>
  </si>
  <si>
    <t>Marigold Flower - Orange</t>
  </si>
  <si>
    <t>Avanish Chaturvedi</t>
  </si>
  <si>
    <t>avanish990@gmail.com</t>
  </si>
  <si>
    <t>Varun Kumar</t>
  </si>
  <si>
    <t>varunkumar2u@gmail.com</t>
  </si>
  <si>
    <t>Aravind Suresh</t>
  </si>
  <si>
    <t>aravindsuresh910@gmail.com</t>
  </si>
  <si>
    <t>Ravi Srinivasan</t>
  </si>
  <si>
    <t>krs1165@gmail.com</t>
  </si>
  <si>
    <t>Anjaly .</t>
  </si>
  <si>
    <t>anjalymgeorge@gmail.com</t>
  </si>
  <si>
    <t>Radhakrishnan .</t>
  </si>
  <si>
    <t>radhakrishna.pai1943@gmail.com</t>
  </si>
  <si>
    <t>yashkrish@gmail.com</t>
  </si>
  <si>
    <t>Kondal Reddy</t>
  </si>
  <si>
    <t>bkreddy78@gmail.com</t>
  </si>
  <si>
    <t>Jeena Basil</t>
  </si>
  <si>
    <t>jeenababy19@gmail.com</t>
  </si>
  <si>
    <t>Shayani Chakraborty</t>
  </si>
  <si>
    <t>shayanichakraborty@gmail.com</t>
  </si>
  <si>
    <t>Minute Fresh Signature Dosa Batter</t>
  </si>
  <si>
    <t>Vishwanatha Mp</t>
  </si>
  <si>
    <t>vishwa77mp@gmail.com</t>
  </si>
  <si>
    <t>Azhagu Balaji</t>
  </si>
  <si>
    <t>balajinallu@gmail.com</t>
  </si>
  <si>
    <t>anuja Dwivedi</t>
  </si>
  <si>
    <t>see2anuja@gmail.com</t>
  </si>
  <si>
    <t>Brunda Akshar</t>
  </si>
  <si>
    <t>akshar.ak10@gmail.com</t>
  </si>
  <si>
    <t>Zoya Khan</t>
  </si>
  <si>
    <t>ziaa_khan@outlook.com</t>
  </si>
  <si>
    <t>raghu.thane@gmail.com</t>
  </si>
  <si>
    <t>KARTHIKEYAN GUNASEKARAN KARTHIKEYAN GUNASEKARAN</t>
  </si>
  <si>
    <t>karthikeyantse97@gmail.com</t>
  </si>
  <si>
    <t>Radhakrishna K K</t>
  </si>
  <si>
    <t>shenoykris@gmail.com</t>
  </si>
  <si>
    <t>priyankas.lucky@gmail.com</t>
  </si>
  <si>
    <t>Pallavi Sharma</t>
  </si>
  <si>
    <t>pallaviketkar89@gmail.com</t>
  </si>
  <si>
    <t>sumita.shivaji@gmail.com</t>
  </si>
  <si>
    <t>saqib.personals@gmail.com</t>
  </si>
  <si>
    <t>Malarvizhi  Sivanandam</t>
  </si>
  <si>
    <t>malarv197@gmail.com</t>
  </si>
  <si>
    <t>Rahul Agarwal</t>
  </si>
  <si>
    <t>agarwalrahul688@gmail.com</t>
  </si>
  <si>
    <t>tanweeralam3@gmail.com</t>
  </si>
  <si>
    <t>Shree shyam Steel traders</t>
  </si>
  <si>
    <t>rohitrocks457@gmail.com</t>
  </si>
  <si>
    <t>pria.jairam@gmail.com</t>
  </si>
  <si>
    <t>teja.allam@yahoo.co.in</t>
  </si>
  <si>
    <t>Poonam Singh</t>
  </si>
  <si>
    <t>poonamvinish@gmail.com</t>
  </si>
  <si>
    <t>rdhariwal469@gmail.com</t>
  </si>
  <si>
    <t>K ARUNA</t>
  </si>
  <si>
    <t>aruna_rk9@yahoo.co.in</t>
  </si>
  <si>
    <t>Special Toned Milk</t>
  </si>
  <si>
    <t>Jishitha Veesam</t>
  </si>
  <si>
    <t>jishitha17@gmail.com</t>
  </si>
  <si>
    <t>Apoorva Vyas</t>
  </si>
  <si>
    <t>apoorvavyas@rocketmail.com</t>
  </si>
  <si>
    <t>Tender Coconut - Small</t>
  </si>
  <si>
    <t>Sheijoo Naveen</t>
  </si>
  <si>
    <t>sheijoonaveen@gmail.com</t>
  </si>
  <si>
    <t>samanvayshobhit@gmail.com</t>
  </si>
  <si>
    <t>Maha P</t>
  </si>
  <si>
    <t>maha13ram@gmail.com</t>
  </si>
  <si>
    <t>Aneesh Karayil</t>
  </si>
  <si>
    <t>arul_303@yahoo.co.in</t>
  </si>
  <si>
    <t>Padma Rajshekar</t>
  </si>
  <si>
    <t>padmalaxmirajashekar@gmail.com</t>
  </si>
  <si>
    <t>sureshvishaal2104@gmail.com</t>
  </si>
  <si>
    <t>supriya.3rk@gmail.com</t>
  </si>
  <si>
    <t>radha kailasam</t>
  </si>
  <si>
    <t>radha_kailasam@hotmail.com</t>
  </si>
  <si>
    <t>Venugopal Iyengar</t>
  </si>
  <si>
    <t>iyengar.venuvopal@gmail.com</t>
  </si>
  <si>
    <t>k.soundar@gmail.com</t>
  </si>
  <si>
    <t>djohn1946@gmail.com</t>
  </si>
  <si>
    <t>Ranjana Sundaresan</t>
  </si>
  <si>
    <t>ranjana992@gmail.com</t>
  </si>
  <si>
    <t>Roses Flower - Cut</t>
  </si>
  <si>
    <t>noorjahan.r1965@gmail.com</t>
  </si>
  <si>
    <t>Kamaldeep Sehmbey</t>
  </si>
  <si>
    <t>singh.kamaldeep@gmail.com</t>
  </si>
  <si>
    <t>Ramakishna Sailada</t>
  </si>
  <si>
    <t>krishna.sailada@gmail.com</t>
  </si>
  <si>
    <t>jaags.dj@gmail.com</t>
  </si>
  <si>
    <t>priyatinju@gmail.com</t>
  </si>
  <si>
    <t>nalapur.anirudhh@gmail.com</t>
  </si>
  <si>
    <t>nitishakolasani9@gmail.com</t>
  </si>
  <si>
    <t>swapnilj8@gmail.com</t>
  </si>
  <si>
    <t>Krackjack Sweet &amp; Salty Cracker Biscuits</t>
  </si>
  <si>
    <t>MuraliKrishna</t>
  </si>
  <si>
    <t>mmk.mur@gmail.com</t>
  </si>
  <si>
    <t>Homogenised Standardised Milk</t>
  </si>
  <si>
    <t>Kailash S</t>
  </si>
  <si>
    <t>kailashsms20@gmail.com</t>
  </si>
  <si>
    <t>Subramaniam M S</t>
  </si>
  <si>
    <t>msserode@gmail.com</t>
  </si>
  <si>
    <t>Surabhi thakur Barat</t>
  </si>
  <si>
    <t>surabhi.thakur84@gmail.com</t>
  </si>
  <si>
    <t>Shilpa S</t>
  </si>
  <si>
    <t>shilpagowda33@gmail.com</t>
  </si>
  <si>
    <t>Manjunath Sampath</t>
  </si>
  <si>
    <t>manjunaths378@gmail.com</t>
  </si>
  <si>
    <t>MAHESH RS</t>
  </si>
  <si>
    <t>mahesh.buraj@outlook.com</t>
  </si>
  <si>
    <t>Virendra Singh</t>
  </si>
  <si>
    <t>virendra172002@gmail.com</t>
  </si>
  <si>
    <t>Surya Bhasker Naveen</t>
  </si>
  <si>
    <t>isbnaveen@gmail.com</t>
  </si>
  <si>
    <t>Standardised Milk Gold</t>
  </si>
  <si>
    <t>Priyamvada .</t>
  </si>
  <si>
    <t>spriye17@gmail.com</t>
  </si>
  <si>
    <t>Cucumber</t>
  </si>
  <si>
    <t>Shilpa Bhat</t>
  </si>
  <si>
    <t>shilpabhat.19@gmail.com</t>
  </si>
  <si>
    <t>Krishaiah Sharoff</t>
  </si>
  <si>
    <t>sharoff2007@gmail.com</t>
  </si>
  <si>
    <t>Sasmita Biswal</t>
  </si>
  <si>
    <t>sasmita.biswal004@gmail.com</t>
  </si>
  <si>
    <t>aishusheeba@gmail.com</t>
  </si>
  <si>
    <t>Suhas C</t>
  </si>
  <si>
    <t>suhas77cs@gmail.com</t>
  </si>
  <si>
    <t>Dr Bhaskar Rajakumar</t>
  </si>
  <si>
    <t>dr.bhaskarrajkumar@gmail.com</t>
  </si>
  <si>
    <t>Sanjaya Mittal</t>
  </si>
  <si>
    <t>sanjayamittal@yahoo.co.in</t>
  </si>
  <si>
    <t>ankithkumar116@gmail.com</t>
  </si>
  <si>
    <t>Desi Cow's A2 Milk</t>
  </si>
  <si>
    <t>Triveni Sharath</t>
  </si>
  <si>
    <t>trivenisharath@yahoo.com</t>
  </si>
  <si>
    <t>Dhiraj .</t>
  </si>
  <si>
    <t>hdfchomeloans6@gmail.com</t>
  </si>
  <si>
    <t>Aashna Patel</t>
  </si>
  <si>
    <t>lerorc13639@gmail.com</t>
  </si>
  <si>
    <t>Ishwarappa RAMADURG</t>
  </si>
  <si>
    <t>pravin_ir@rediffmail.com</t>
  </si>
  <si>
    <t>Raghunandan Sundaravaradan</t>
  </si>
  <si>
    <t>raggo2006@gmail.com</t>
  </si>
  <si>
    <t>Ashish Kr</t>
  </si>
  <si>
    <t>ashish.smile@yahoo.com</t>
  </si>
  <si>
    <t>girija1301@gmail.com</t>
  </si>
  <si>
    <t>senthilb2@gmail.com</t>
  </si>
  <si>
    <t>Swetha Mahadevan</t>
  </si>
  <si>
    <t>swetha.mahadevan2011@gmail.com</t>
  </si>
  <si>
    <t>Vijayan Pandarathil</t>
  </si>
  <si>
    <t>vijayan.pandarathil@gmail.com</t>
  </si>
  <si>
    <t>Deepika Padiyar</t>
  </si>
  <si>
    <t>deepikapdr@gmail.com</t>
  </si>
  <si>
    <t>Prabhakar Banerjee</t>
  </si>
  <si>
    <t>prabhakarbanerjee@gmail.com</t>
  </si>
  <si>
    <t>Dipankar Duttagupta</t>
  </si>
  <si>
    <t>dipankar.duttagupta88@gmail.com</t>
  </si>
  <si>
    <t>Ram</t>
  </si>
  <si>
    <t>ram060607@gmail.com</t>
  </si>
  <si>
    <t>Praveen Karunanithi</t>
  </si>
  <si>
    <t>praveen8052@gmail.com</t>
  </si>
  <si>
    <t>shwetangi009@gmail.com</t>
  </si>
  <si>
    <t>Monika khare</t>
  </si>
  <si>
    <t>monikakharelko@yahoo.co.in</t>
  </si>
  <si>
    <t>Kaza Lakshmi</t>
  </si>
  <si>
    <t>kaza.lakshmi1@gmail.com</t>
  </si>
  <si>
    <t>Nikhil Mehra</t>
  </si>
  <si>
    <t>mehranikhil26@gmail.com</t>
  </si>
  <si>
    <t>neha topre</t>
  </si>
  <si>
    <t>n.nehawin25@gmail.com</t>
  </si>
  <si>
    <t>Neha Upreti</t>
  </si>
  <si>
    <t>upretineha16@gmail.com</t>
  </si>
  <si>
    <t>MR MOHAN</t>
  </si>
  <si>
    <t>chinna.raj150@gmail.com</t>
  </si>
  <si>
    <t>Venkatesh G</t>
  </si>
  <si>
    <t>gvenk21@gmail.com</t>
  </si>
  <si>
    <t>Abhishek Thakur</t>
  </si>
  <si>
    <t>abhishekthaks@gmail.com</t>
  </si>
  <si>
    <t>Tajinder Singh</t>
  </si>
  <si>
    <t>tr.tajinder@gmail.com</t>
  </si>
  <si>
    <t>Vishal Baheti</t>
  </si>
  <si>
    <t>periwal.n@gmail.com</t>
  </si>
  <si>
    <t>Sheetal Vardhaman</t>
  </si>
  <si>
    <t>sheetalsv220179@gmail.com</t>
  </si>
  <si>
    <t>Deepika Ganesan</t>
  </si>
  <si>
    <t>deeganesan2011@gmail.com</t>
  </si>
  <si>
    <t>Sutapa Sengupta</t>
  </si>
  <si>
    <t>sutapa.sengupta1010@gmail.com</t>
  </si>
  <si>
    <t>GoodLife UHT Treated Toned Milk</t>
  </si>
  <si>
    <t>Ram Kumar Murti</t>
  </si>
  <si>
    <t>ramkmurti@gmail.com</t>
  </si>
  <si>
    <t>Slim Skimmed Milk</t>
  </si>
  <si>
    <t>Organic Probiotic Curd</t>
  </si>
  <si>
    <t>Fresh Cream</t>
  </si>
  <si>
    <t>Mangal Jain</t>
  </si>
  <si>
    <t>mjtrade20@gmail.com</t>
  </si>
  <si>
    <t>Gaurav Mangla</t>
  </si>
  <si>
    <t>mangla4567@gmail.com</t>
  </si>
  <si>
    <t>Apple - Royal Gala Economy</t>
  </si>
  <si>
    <t>pradeepa nair</t>
  </si>
  <si>
    <t>pradeepa.nair0@gmail.com</t>
  </si>
  <si>
    <t>Tapas Dey</t>
  </si>
  <si>
    <t>tapasdey1@gmail.com</t>
  </si>
  <si>
    <t>sun.satish25@gmail.com</t>
  </si>
  <si>
    <t>Bigbasketeer Shu</t>
  </si>
  <si>
    <t>sadhnas920@gmail.com</t>
  </si>
  <si>
    <t>Ritesh Jaiswal</t>
  </si>
  <si>
    <t>ritesh12153@gmail.com</t>
  </si>
  <si>
    <t>Namita Prabhakar</t>
  </si>
  <si>
    <t>mannam2221@gmail.com</t>
  </si>
  <si>
    <t>Priya Thiyagu</t>
  </si>
  <si>
    <t>madhesh200809@gmail.com</t>
  </si>
  <si>
    <t>NN VIBHAKAR</t>
  </si>
  <si>
    <t>nnvibhakar@gmail.com</t>
  </si>
  <si>
    <t>Jayant Sharma</t>
  </si>
  <si>
    <t>jayantsharma85@gmail.com</t>
  </si>
  <si>
    <t>Reshma Pawar</t>
  </si>
  <si>
    <t>reshmamoho124@gamil.com</t>
  </si>
  <si>
    <t>Santhosh Hegde</t>
  </si>
  <si>
    <t>santhoshhegde1903@gmail.com</t>
  </si>
  <si>
    <t>Salim Inam</t>
  </si>
  <si>
    <t>sambininam@gmail.com</t>
  </si>
  <si>
    <t>Tender Coconut - Chowghat Orange</t>
  </si>
  <si>
    <t>Geetha Nayak</t>
  </si>
  <si>
    <t>geeta.geetanjali@gmail.com</t>
  </si>
  <si>
    <t>Paveen kumar</t>
  </si>
  <si>
    <t>paveenkumar90@gmail.com</t>
  </si>
  <si>
    <t>Ashish Kumar</t>
  </si>
  <si>
    <t>ashishkumar2403@gmail.com</t>
  </si>
  <si>
    <t>Rajashree Mishra</t>
  </si>
  <si>
    <t>rajashree.mishra01@gmail.com</t>
  </si>
  <si>
    <t>Pradeep B</t>
  </si>
  <si>
    <t>Ritu Sharma</t>
  </si>
  <si>
    <t>sharitu@gmail.com</t>
  </si>
  <si>
    <t>Anoop K</t>
  </si>
  <si>
    <t>anoop8791k@gmail.com</t>
  </si>
  <si>
    <t>Asit</t>
  </si>
  <si>
    <t>asitusabat@yahoo.com</t>
  </si>
  <si>
    <t>Debasri Mitra</t>
  </si>
  <si>
    <t>debasri.mitra@merckgroup.com</t>
  </si>
  <si>
    <t>Priti Jagotta</t>
  </si>
  <si>
    <t>hsharma2176@gmail.com</t>
  </si>
  <si>
    <t>Anand Kishore</t>
  </si>
  <si>
    <t>kishoreanand07@gmail.com</t>
  </si>
  <si>
    <t>bigbasketeer s</t>
  </si>
  <si>
    <t>piysi741897@gmail.com</t>
  </si>
  <si>
    <t>vidhi sharma</t>
  </si>
  <si>
    <t>Ganesh Pratap</t>
  </si>
  <si>
    <t>drganeshpratap@gmail.com</t>
  </si>
  <si>
    <t>sushma Tiwari</t>
  </si>
  <si>
    <t>sushma.tiwari2026@gmail.com</t>
  </si>
  <si>
    <t>prema lakshmipathy</t>
  </si>
  <si>
    <t>SHRIDEVI NIJAGULI</t>
  </si>
  <si>
    <t>shridevinijagulidwd@gmail.com</t>
  </si>
  <si>
    <t>Sankha Dolui</t>
  </si>
  <si>
    <t>sankha00@yahoo.com</t>
  </si>
  <si>
    <t>Aman Deep Chauhan</t>
  </si>
  <si>
    <t>amadeechauhan@yahoo.co.in</t>
  </si>
  <si>
    <t>Naveen N</t>
  </si>
  <si>
    <t>cnnaveen_nr@yahoo.co.in</t>
  </si>
  <si>
    <t>santosh ks</t>
  </si>
  <si>
    <t>sribalajiplanet@gmail.com</t>
  </si>
  <si>
    <t>Vidya Shree B N</t>
  </si>
  <si>
    <t>vidyaramesh05@yahoo.com</t>
  </si>
  <si>
    <t>Akanksha Gangwar</t>
  </si>
  <si>
    <t>akku0027@gmail.com</t>
  </si>
  <si>
    <t>Sandeep Patil</t>
  </si>
  <si>
    <t>push.bhairanatti@gmail.com</t>
  </si>
  <si>
    <t>Vijayaragavan A</t>
  </si>
  <si>
    <t>auxiarobana@gmail.com</t>
  </si>
  <si>
    <t>Pushpa Chowdhary</t>
  </si>
  <si>
    <t>mrspushpachowdhary@gmail.com</t>
  </si>
  <si>
    <t>VAIBHAV KUMAR</t>
  </si>
  <si>
    <t>vaibhav.nitjsr@gmail.com</t>
  </si>
  <si>
    <t>Priya Unnikrishnan</t>
  </si>
  <si>
    <t>pnair630@gmail.com</t>
  </si>
  <si>
    <t>Praveen Singh</t>
  </si>
  <si>
    <t>pksingh.luwa@gmail.com</t>
  </si>
  <si>
    <t>sanath s</t>
  </si>
  <si>
    <t>sanpun@gmail.com</t>
  </si>
  <si>
    <t>James Noronha</t>
  </si>
  <si>
    <t>jprasadn007@gmail.com</t>
  </si>
  <si>
    <t>Bhuvanendra Takoor</t>
  </si>
  <si>
    <t>mamathadr69@gmail.com</t>
  </si>
  <si>
    <t>Paramita Goswami</t>
  </si>
  <si>
    <t>paramitamukherjee123@gmail.com</t>
  </si>
  <si>
    <t>Shivendra Verma</t>
  </si>
  <si>
    <t>Tejaswinee Ganesh</t>
  </si>
  <si>
    <t>doctej_15@hotmail.com</t>
  </si>
  <si>
    <t>Tapasree Chakraborty</t>
  </si>
  <si>
    <t>tapasree.chakraborty19@gmail.com</t>
  </si>
  <si>
    <t>Himani Thapar</t>
  </si>
  <si>
    <t>himanithapar98@gmail.com</t>
  </si>
  <si>
    <t>Rajendra V Bhandiwad</t>
  </si>
  <si>
    <t>rkdesignster@gmail.com</t>
  </si>
  <si>
    <t>shivam Gupta</t>
  </si>
  <si>
    <t>shivam.gupta.delhi@gmail.com</t>
  </si>
  <si>
    <t>Fresh Paneer</t>
  </si>
  <si>
    <t>Whole Wheat Bread</t>
  </si>
  <si>
    <t>Sahana Kc</t>
  </si>
  <si>
    <t>sahanakc16@gmail.com</t>
  </si>
  <si>
    <t>Karthik Krishnan</t>
  </si>
  <si>
    <t>nirmita.n@gmail.com</t>
  </si>
  <si>
    <t>Vara Lakshmi</t>
  </si>
  <si>
    <t>svara831@gmail.com</t>
  </si>
  <si>
    <t>Vishwanath Gowda</t>
  </si>
  <si>
    <t>vishwanath.gowda1209@gmail.com</t>
  </si>
  <si>
    <t>Ashwini Shetty</t>
  </si>
  <si>
    <t>ashushetty.c@gmail.com</t>
  </si>
  <si>
    <t>Patel Mehulkumar Patel</t>
  </si>
  <si>
    <t>mehul342001ster@zohomail.in</t>
  </si>
  <si>
    <t>Tina Bhadhara</t>
  </si>
  <si>
    <t>girish.bhadhara@gmail.com</t>
  </si>
  <si>
    <t>Bina Devi</t>
  </si>
  <si>
    <t>dbina238@gmail.com</t>
  </si>
  <si>
    <t>Krithee K</t>
  </si>
  <si>
    <t>kritheek@gmail.com</t>
  </si>
  <si>
    <t>Idly &amp; Dosa Batter</t>
  </si>
  <si>
    <t>Padmanabha Reddy Meda Meda</t>
  </si>
  <si>
    <t>padmanabhareddy.meda25@gmail.com</t>
  </si>
  <si>
    <t>Bhavini Negandhi</t>
  </si>
  <si>
    <t>bvnegandhi0@gmail.com</t>
  </si>
  <si>
    <t>Ganesh Krishnaiyer</t>
  </si>
  <si>
    <t>ashkrish18@flash.co</t>
  </si>
  <si>
    <t>Panyam Nagaraj</t>
  </si>
  <si>
    <t>panyam.nagaraj@gmail.com</t>
  </si>
  <si>
    <t>Sravani K</t>
  </si>
  <si>
    <t>sravani.seshasai@gmail.com</t>
  </si>
  <si>
    <t>Maulik Mankad</t>
  </si>
  <si>
    <t>mankad.maulik@gmail.com</t>
  </si>
  <si>
    <t>MahaaLakshmi Prasad</t>
  </si>
  <si>
    <t>prasadmahalakshmi@gmail.com</t>
  </si>
  <si>
    <t>Manisha Singh</t>
  </si>
  <si>
    <t>tomanishasingh@gmail.com</t>
  </si>
  <si>
    <t>Venu Poddar</t>
  </si>
  <si>
    <t>venu.poddar@gmail.com</t>
  </si>
  <si>
    <t>Rajnish Kumar</t>
  </si>
  <si>
    <t>rajnishindian@gmail.com</t>
  </si>
  <si>
    <t>Paneer</t>
  </si>
  <si>
    <t>Saravana Rajesh</t>
  </si>
  <si>
    <t>saravanarajesh2020@gmail.com</t>
  </si>
  <si>
    <t>Banana - Yelakki, Organically Grown</t>
  </si>
  <si>
    <t>priyadarsini sinha</t>
  </si>
  <si>
    <t>sinha.priyadarsini@gmail.com</t>
  </si>
  <si>
    <t>Shwetha Kumari</t>
  </si>
  <si>
    <t>mshweta.wagle@gmail.com</t>
  </si>
  <si>
    <t>Sudarsan K</t>
  </si>
  <si>
    <t>sudarsan406@gmail.com</t>
  </si>
  <si>
    <t>Madhavi Aphale</t>
  </si>
  <si>
    <t>lathkar.madhavi@gmail.com</t>
  </si>
  <si>
    <t>Ravi S</t>
  </si>
  <si>
    <t>pariusa@gmail.com</t>
  </si>
  <si>
    <t>Reshmi</t>
  </si>
  <si>
    <t>reshmi.cv@gmail.com</t>
  </si>
  <si>
    <t>Padmaja Sharma</t>
  </si>
  <si>
    <t>msrmukkamala1956@gmail.com</t>
  </si>
  <si>
    <t>Anurag Sharma</t>
  </si>
  <si>
    <t>anuragjosh@gmail.com</t>
  </si>
  <si>
    <t>S Gupta</t>
  </si>
  <si>
    <t>sabgup@mail.com</t>
  </si>
  <si>
    <t>Vikas Chaudhary</t>
  </si>
  <si>
    <t>khushboochaudhary26@gmail.com</t>
  </si>
  <si>
    <t>Jayadev S</t>
  </si>
  <si>
    <t>jayadevsasi@gmail.com</t>
  </si>
  <si>
    <t>smriti thakur</t>
  </si>
  <si>
    <t>smriti.thakur10@gmail.com</t>
  </si>
  <si>
    <t>Sukamal Rakshit</t>
  </si>
  <si>
    <t>kalmanje.bhagyashri@gmail.com</t>
  </si>
  <si>
    <t>Umesh Singh Chauhan</t>
  </si>
  <si>
    <t>umesh@dnmindia.in</t>
  </si>
  <si>
    <t>Jeevitha Pradeep</t>
  </si>
  <si>
    <t>jeevibds@gmail.com</t>
  </si>
  <si>
    <t>Siddharth Sankhua</t>
  </si>
  <si>
    <t>ssankhua@yahoo.com</t>
  </si>
  <si>
    <t>Varda Fatma</t>
  </si>
  <si>
    <t>vardafatma17@gmail.com</t>
  </si>
  <si>
    <t>ram subramanya</t>
  </si>
  <si>
    <t>cphanes@gmail.com</t>
  </si>
  <si>
    <t>Supriyo Guharoy</t>
  </si>
  <si>
    <t>superio28@gmail.com</t>
  </si>
  <si>
    <t>gargi joshi</t>
  </si>
  <si>
    <t>gargijoshi761@gmail.com</t>
  </si>
  <si>
    <t>swetha shashidhar</t>
  </si>
  <si>
    <t>swetha.shashidhar@gmail.com</t>
  </si>
  <si>
    <t>rejani jayasankar</t>
  </si>
  <si>
    <t>rejanijayasankar@gmail.com</t>
  </si>
  <si>
    <t>Amit Srivastava</t>
  </si>
  <si>
    <t>amit.shrivastava1984@gmail.com</t>
  </si>
  <si>
    <t>Anil Sreenivas</t>
  </si>
  <si>
    <t>anilsvadhyar@gmail.com</t>
  </si>
  <si>
    <t>Dharmendra Sharma</t>
  </si>
  <si>
    <t>dharmendra.12@gmail.com</t>
  </si>
  <si>
    <t>Ashwin Kumar</t>
  </si>
  <si>
    <t>ashwin251990@gmail.com</t>
  </si>
  <si>
    <t>Aditya Deshpande</t>
  </si>
  <si>
    <t>adityad1829@gmail.com</t>
  </si>
  <si>
    <t>Venu Gopal</t>
  </si>
  <si>
    <t>vgplmenon@gmail.com</t>
  </si>
  <si>
    <t>Harjit Singh</t>
  </si>
  <si>
    <t>harjithayatpur@gmail.com</t>
  </si>
  <si>
    <t>Krishankant Jingar</t>
  </si>
  <si>
    <t>kjingar@gmail.com</t>
  </si>
  <si>
    <t>harish b s</t>
  </si>
  <si>
    <t>harish.bhambore@rediffmail.com</t>
  </si>
  <si>
    <t>wajid shah</t>
  </si>
  <si>
    <t>shiekhwajid@gmail.com</t>
  </si>
  <si>
    <t>Deepali Sharma</t>
  </si>
  <si>
    <t>deepalimsharma01@gmail.com</t>
  </si>
  <si>
    <t>Saurabh Srivastava</t>
  </si>
  <si>
    <t>2saurabh.srivastava@gmail.com</t>
  </si>
  <si>
    <t>Sindhuri G</t>
  </si>
  <si>
    <t>sunil.uppalur@gmail.com</t>
  </si>
  <si>
    <t>Standardised Milk</t>
  </si>
  <si>
    <t>Manoj M</t>
  </si>
  <si>
    <t>manoj.m1985@gmail.com</t>
  </si>
  <si>
    <t>Ipsita Bhattacharyya</t>
  </si>
  <si>
    <t>ipsita.jrht@gmail.com</t>
  </si>
  <si>
    <t>Artisanal Organic Set Curd</t>
  </si>
  <si>
    <t>Mausumi Ratha</t>
  </si>
  <si>
    <t>mausumiratha52@gmail.com</t>
  </si>
  <si>
    <t>Seetharamaraju I</t>
  </si>
  <si>
    <t>sram.fico@gmail.com</t>
  </si>
  <si>
    <t>yugandhar kavarikuntla</t>
  </si>
  <si>
    <t>yuga_k@rediffmail.com</t>
  </si>
  <si>
    <t>Ashish Srivastav</t>
  </si>
  <si>
    <t>ashish.androidphone@gmail.com</t>
  </si>
  <si>
    <t>Plus Eggs</t>
  </si>
  <si>
    <t>Mariam Bai</t>
  </si>
  <si>
    <t>kausargalaria@gmail.com</t>
  </si>
  <si>
    <t>Nivea Jacob</t>
  </si>
  <si>
    <t>niveajacob@gmail.com</t>
  </si>
  <si>
    <t>Sachin Sharma</t>
  </si>
  <si>
    <t>sachinshar111@gmail.com</t>
  </si>
  <si>
    <t>Aloo Bhujia</t>
  </si>
  <si>
    <t>Pranav Bhatt</t>
  </si>
  <si>
    <t>pranav_cache@yahoo.co.in</t>
  </si>
  <si>
    <t>nalini dass</t>
  </si>
  <si>
    <t>nalinihdass@gmail.com</t>
  </si>
  <si>
    <t>U Jagadeesh</t>
  </si>
  <si>
    <t>jagadeesh.udayagiri@gmail.com</t>
  </si>
  <si>
    <t>Akila G</t>
  </si>
  <si>
    <t>ganstanmba@gmail.com</t>
  </si>
  <si>
    <t>Siddhant W. Bhattacharya</t>
  </si>
  <si>
    <t>siddhant627@gmail.com</t>
  </si>
  <si>
    <t>Rashmi Sinha</t>
  </si>
  <si>
    <t>rassinha25@gmail.com</t>
  </si>
  <si>
    <t>Bounce Orange Creme Biscuits</t>
  </si>
  <si>
    <t>vijay wadhwani</t>
  </si>
  <si>
    <t>himitk@gmail.com</t>
  </si>
  <si>
    <t>Achint Mathur</t>
  </si>
  <si>
    <t>achintm8@gmail.com</t>
  </si>
  <si>
    <t>Madhuri Nagendran</t>
  </si>
  <si>
    <t>madhurinagendran71@gmail.com</t>
  </si>
  <si>
    <t>jyothi chandrakanth</t>
  </si>
  <si>
    <t>janakipam48@gmail.com</t>
  </si>
  <si>
    <t>Apoorv Upadhyay</t>
  </si>
  <si>
    <t>upadhyay01.apoorv@gmail.com</t>
  </si>
  <si>
    <t>nilesh kanani</t>
  </si>
  <si>
    <t>nileshkanani81@gmail.com</t>
  </si>
  <si>
    <t>Naveen Kumar Kaushik</t>
  </si>
  <si>
    <t>naveenkumarkaushik@hotmail.com</t>
  </si>
  <si>
    <t>Suneel Choudhary</t>
  </si>
  <si>
    <t>suneelc@yahoo.com</t>
  </si>
  <si>
    <t>Abrar Ahmed</t>
  </si>
  <si>
    <t>heloabrar@rediffmail.com</t>
  </si>
  <si>
    <t>Raghupathi  R</t>
  </si>
  <si>
    <t>raghu.pgr@gmail.com</t>
  </si>
  <si>
    <t>Brinda Gupta</t>
  </si>
  <si>
    <t>brinda1989@yahoo.co.uk</t>
  </si>
  <si>
    <t>Pawan Kumar</t>
  </si>
  <si>
    <t>surabhi.937@gmail.com</t>
  </si>
  <si>
    <t>P Nancy</t>
  </si>
  <si>
    <t>nancypnp@gmail.com</t>
  </si>
  <si>
    <t>Mamta Singh Singh Singh</t>
  </si>
  <si>
    <t>mamtasingh0299@gmail.com</t>
  </si>
  <si>
    <t>Rajesh Ravindran</t>
  </si>
  <si>
    <t>rajeshin23@yahoo.com</t>
  </si>
  <si>
    <t>sriram s</t>
  </si>
  <si>
    <t>lakshmisriram22@gmail.com</t>
  </si>
  <si>
    <t>Abhinav Bhatt</t>
  </si>
  <si>
    <t>abhinavbhatt5@gmail.com</t>
  </si>
  <si>
    <t>Masala Chaasa - With Zinc, Vitamin A &amp; D Added, Supports Immunity</t>
  </si>
  <si>
    <t>Shamsher singh</t>
  </si>
  <si>
    <t>meetshamsher@gmail.com</t>
  </si>
  <si>
    <t>Tanuj Sengar</t>
  </si>
  <si>
    <t>tanujsengar400@gmail.com</t>
  </si>
  <si>
    <t>Rajiv Singh</t>
  </si>
  <si>
    <t>rajivsingh.hsbc@gmail.com</t>
  </si>
  <si>
    <t>vibhav saluja</t>
  </si>
  <si>
    <t>vibhavsaluja@yahoo.com</t>
  </si>
  <si>
    <t>samar p</t>
  </si>
  <si>
    <t>saransh.patel1987@gmail.com</t>
  </si>
  <si>
    <t>Tiger Kreemz - Elaichi Biscuits</t>
  </si>
  <si>
    <t>Sukanya Raghuraman</t>
  </si>
  <si>
    <t>sukbala@yahoo.com</t>
  </si>
  <si>
    <t>Shwetacustomer Priyadarshini</t>
  </si>
  <si>
    <t>ashbeboash@gmail.com</t>
  </si>
  <si>
    <t>Ajeet Vishwakarma</t>
  </si>
  <si>
    <t>ajitvishwakarma2005@gmail.com</t>
  </si>
  <si>
    <t>Tanveer Rubani</t>
  </si>
  <si>
    <t>rubtanveer@yahoo.com</t>
  </si>
  <si>
    <t>Ruchika Rani</t>
  </si>
  <si>
    <t>ruchika25180@gmail.com</t>
  </si>
  <si>
    <t>Venkata Podila</t>
  </si>
  <si>
    <t>Vish.Podila@gmail.com</t>
  </si>
  <si>
    <t>Ramakrishnam Raju Bhupatiraju</t>
  </si>
  <si>
    <t>brraju52@gmail.com</t>
  </si>
  <si>
    <t>Tanvi Goel</t>
  </si>
  <si>
    <t>gl.tanvi@gmail.com</t>
  </si>
  <si>
    <t>ajay bose</t>
  </si>
  <si>
    <t>ajay.bose@gmail.com</t>
  </si>
  <si>
    <t>Greek Yogurt</t>
  </si>
  <si>
    <t>Nagamouli CHINTALA</t>
  </si>
  <si>
    <t>chintalanagamouli@gmail.com</t>
  </si>
  <si>
    <t>Subhranil Dalal</t>
  </si>
  <si>
    <t>subhranil.dalal@gmail.com</t>
  </si>
  <si>
    <t>Sandeep T</t>
  </si>
  <si>
    <t>sandeeptheeyareth@gmail.com</t>
  </si>
  <si>
    <t>Pooja Srivastava</t>
  </si>
  <si>
    <t>pooja.srivastava13@gmail.com</t>
  </si>
  <si>
    <t>Durgesh Singh</t>
  </si>
  <si>
    <t>durgsingh2003@gmail.com</t>
  </si>
  <si>
    <t>Anwesh Yashraj</t>
  </si>
  <si>
    <t>anweshyashraj@gmail.com</t>
  </si>
  <si>
    <t>AJITH NAIR</t>
  </si>
  <si>
    <t>ajithnair@britndia.com</t>
  </si>
  <si>
    <t>lavanya arul</t>
  </si>
  <si>
    <t>lavanya201094@gmail.com</t>
  </si>
  <si>
    <t>Kalavathi S</t>
  </si>
  <si>
    <t>kalavathi.sridhar62@gmail.com</t>
  </si>
  <si>
    <t>Dinesh Acharya</t>
  </si>
  <si>
    <t>dini.arya@gmail.com</t>
  </si>
  <si>
    <t>Shraddha   Sharma</t>
  </si>
  <si>
    <t>shraddhajhirmaria@gmail.com</t>
  </si>
  <si>
    <t>Rashmi Gour</t>
  </si>
  <si>
    <t>rashmi.gour.basu@gmail.com</t>
  </si>
  <si>
    <t>Sweet Potato</t>
  </si>
  <si>
    <t>kusumlata Rai</t>
  </si>
  <si>
    <t>kusukr123@gmail.com</t>
  </si>
  <si>
    <t>Carrot - Orange</t>
  </si>
  <si>
    <t>Chilli - Green Long, Medium</t>
  </si>
  <si>
    <t>Amrish Sinha</t>
  </si>
  <si>
    <t>amrishrajasinha@gmail.com</t>
  </si>
  <si>
    <t>Ankit Dusad</t>
  </si>
  <si>
    <t>ankitdusad9790@yahoo.com</t>
  </si>
  <si>
    <t>Venkat Eswar</t>
  </si>
  <si>
    <t>venkatcse2009@gmail.com</t>
  </si>
  <si>
    <t>Smitha Cavale</t>
  </si>
  <si>
    <t>nls5150@yahoo.com</t>
  </si>
  <si>
    <t>sreedeep s u</t>
  </si>
  <si>
    <t>mail2sreedeep@gmail.com</t>
  </si>
  <si>
    <t>Samir Chaudhary</t>
  </si>
  <si>
    <t>samir.mnitian@gmail.com</t>
  </si>
  <si>
    <t>Amit Bhagat</t>
  </si>
  <si>
    <t>amitkrazzy@gmail.com</t>
  </si>
  <si>
    <t>Archana S</t>
  </si>
  <si>
    <t>achu.sense@gmail.com</t>
  </si>
  <si>
    <t>Kumar Shreshtha</t>
  </si>
  <si>
    <t>indeliblerai@gmail.com</t>
  </si>
  <si>
    <t>Priti Singh</t>
  </si>
  <si>
    <t>shaivis@hotmail.com</t>
  </si>
  <si>
    <t>Sadhana Rao</t>
  </si>
  <si>
    <t>sadhanarao50@gmail.com</t>
  </si>
  <si>
    <t>Naveen Srivastava</t>
  </si>
  <si>
    <t>nav047@gmail.com</t>
  </si>
  <si>
    <t>liril gupta</t>
  </si>
  <si>
    <t>guptaliril@gmail.com</t>
  </si>
  <si>
    <t>Rekha c</t>
  </si>
  <si>
    <t>crekha_99@yahoo.com</t>
  </si>
  <si>
    <t>T Sunil Kumar Dora</t>
  </si>
  <si>
    <t>tskdora@gmail.com</t>
  </si>
  <si>
    <t>Krishna Chakravartula</t>
  </si>
  <si>
    <t>psyck70@gmail.com</t>
  </si>
  <si>
    <t>Ankita MISHRA</t>
  </si>
  <si>
    <t>twinflameforum@gmail.com</t>
  </si>
  <si>
    <t>Rima Singh</t>
  </si>
  <si>
    <t>singhrima24@gmail.com</t>
  </si>
  <si>
    <t>Dinesh Nayak</t>
  </si>
  <si>
    <t>mrdinank@gmail.com</t>
  </si>
  <si>
    <t>Raghavendra CD</t>
  </si>
  <si>
    <t>cdraghu@outlook.com</t>
  </si>
  <si>
    <t>RAMAN RAVISHANKAR</t>
  </si>
  <si>
    <t>ravi_zeo@yahoo.com</t>
  </si>
  <si>
    <t>Ravi Ladha</t>
  </si>
  <si>
    <t>raviladha@gmail.com</t>
  </si>
  <si>
    <t>Rohit Atri</t>
  </si>
  <si>
    <t>atrirohit@gmail.com</t>
  </si>
  <si>
    <t>Renuka Srikrishnan</t>
  </si>
  <si>
    <t>renuka.srikrishnan@yahoo.com</t>
  </si>
  <si>
    <t>Rajneesh Kumar</t>
  </si>
  <si>
    <t>rajumnit@gmail.com</t>
  </si>
  <si>
    <t>Ss Prasad Prasad</t>
  </si>
  <si>
    <t>satyashekharprasad@gmail.com</t>
  </si>
  <si>
    <t>Arun Gopinath</t>
  </si>
  <si>
    <t>arungopinat@gmail.com</t>
  </si>
  <si>
    <t>Raj Ramchandani</t>
  </si>
  <si>
    <t>rajinindia@hotmail.com</t>
  </si>
  <si>
    <t>Sarvesh Mittal</t>
  </si>
  <si>
    <t>mittalparth22@gmail.com</t>
  </si>
  <si>
    <t>Salted Peanuts</t>
  </si>
  <si>
    <t>Ayyappa T</t>
  </si>
  <si>
    <t>ayyappa.tejo@gmail.com</t>
  </si>
  <si>
    <t>Anandbabu Obla</t>
  </si>
  <si>
    <t>anandobla@gmail.com</t>
  </si>
  <si>
    <t>Ramya br</t>
  </si>
  <si>
    <t>ramya.br@gmail.com</t>
  </si>
  <si>
    <t>Ameya Yellapurkar</t>
  </si>
  <si>
    <t>ameyellapurkar@outlook.com</t>
  </si>
  <si>
    <t>Vidya  Patil</t>
  </si>
  <si>
    <t>vidya23patil@gmail.com</t>
  </si>
  <si>
    <t>Amrutha A2 Slim Milk - Organic</t>
  </si>
  <si>
    <t>Gayathri Natesan</t>
  </si>
  <si>
    <t>nkgayathri@gmail.com</t>
  </si>
  <si>
    <t>Jacob Jose</t>
  </si>
  <si>
    <t>jacobpjose@gmail.com</t>
  </si>
  <si>
    <t>Rich Full Cream Milk</t>
  </si>
  <si>
    <t>Rohit Shah</t>
  </si>
  <si>
    <t>rohitshaw82@yahoo.com</t>
  </si>
  <si>
    <t>Farm Eggs-Medium, Brown</t>
  </si>
  <si>
    <t>Jaydeep Vishwakarma</t>
  </si>
  <si>
    <t>jaydeepformail@gmail.com</t>
  </si>
  <si>
    <t>Pradeep Prabhu</t>
  </si>
  <si>
    <t>pprabhu@gmail.com</t>
  </si>
  <si>
    <t>Lemon</t>
  </si>
  <si>
    <t>Vasantha Nagarajan</t>
  </si>
  <si>
    <t>vasanthanagarajan5@gmail.com</t>
  </si>
  <si>
    <t>Agam Sharan</t>
  </si>
  <si>
    <t>shwetaptn@gmail.com</t>
  </si>
  <si>
    <t>Nippon Dwivedi</t>
  </si>
  <si>
    <t>nippon.dwivedi@gmail.com</t>
  </si>
  <si>
    <t>Parameswaran J</t>
  </si>
  <si>
    <t>jparameswaran@gmail.com</t>
  </si>
  <si>
    <t>A2 Desi Cow milk</t>
  </si>
  <si>
    <t>Rupesh Laad</t>
  </si>
  <si>
    <t>rupesh.laad@gmail.com</t>
  </si>
  <si>
    <t>Naveen A</t>
  </si>
  <si>
    <t>naveen1777@gmail.com</t>
  </si>
  <si>
    <t>Hemanth Edara</t>
  </si>
  <si>
    <t>hemanthedara@gmail.com</t>
  </si>
  <si>
    <t>PALLAB KARMAKAR</t>
  </si>
  <si>
    <t>pallabkarmakar0@gmail.com</t>
  </si>
  <si>
    <t>Homogenised Fresh Toned Milk</t>
  </si>
  <si>
    <t>Shalini K</t>
  </si>
  <si>
    <t>shalsnam@yahoo.co.in</t>
  </si>
  <si>
    <t>monika kunwar</t>
  </si>
  <si>
    <t>monikakunwar@gmail.com</t>
  </si>
  <si>
    <t>SUBODH KUMAR PAL</t>
  </si>
  <si>
    <t>subodhkpal@gmail.com</t>
  </si>
  <si>
    <t>Anil dubey</t>
  </si>
  <si>
    <t>dubey.anil69@gmail.com</t>
  </si>
  <si>
    <t>Sourish Dey</t>
  </si>
  <si>
    <t>sourish_nitdgp@yahoo.co.in</t>
  </si>
  <si>
    <t>varun goyal</t>
  </si>
  <si>
    <t>varun.goyal.eee@gmail.com</t>
  </si>
  <si>
    <t>Manjunatha Karantha</t>
  </si>
  <si>
    <t>manju.shopping.blr@gmail.com</t>
  </si>
  <si>
    <t>Archana Nandyala</t>
  </si>
  <si>
    <t>archana.nandyala@gmail.com</t>
  </si>
  <si>
    <t>Padmini Mohan</t>
  </si>
  <si>
    <t>m.padmini87@gmail.com</t>
  </si>
  <si>
    <t>rs moorrthi</t>
  </si>
  <si>
    <t>manchula.murthi@gmail.com</t>
  </si>
  <si>
    <t>Phani Kumar Tavva</t>
  </si>
  <si>
    <t>ptavva@gmail.com</t>
  </si>
  <si>
    <t>Narinder  Singh</t>
  </si>
  <si>
    <t>neru555@gmail.com</t>
  </si>
  <si>
    <t>Sreedhar R</t>
  </si>
  <si>
    <t>sreedhar308@gmail.com</t>
  </si>
  <si>
    <t>Sayali Chipalkatti</t>
  </si>
  <si>
    <t>sayalipc@gmail.com</t>
  </si>
  <si>
    <t>Rahul Shrivastava</t>
  </si>
  <si>
    <t>rahulshrivastava22@hotmail.com</t>
  </si>
  <si>
    <t>Venkatraman Rm</t>
  </si>
  <si>
    <t>naukri.venkat@gmail.com</t>
  </si>
  <si>
    <t>Parul Maheshwari</t>
  </si>
  <si>
    <t>parulmca@gmail.com</t>
  </si>
  <si>
    <t>Manjari D</t>
  </si>
  <si>
    <t>manjari9001@gmail.com</t>
  </si>
  <si>
    <t>nitin pai</t>
  </si>
  <si>
    <t>nitinmpai@gmail.com</t>
  </si>
  <si>
    <t>Sathya R</t>
  </si>
  <si>
    <t>sathyarg@gmail.com</t>
  </si>
  <si>
    <t>Deepti Kaushal</t>
  </si>
  <si>
    <t>deeptisrythm@gmail.com</t>
  </si>
  <si>
    <t>Nagaraja Thippeswamy</t>
  </si>
  <si>
    <t>nagarajat.2007@gmail.com</t>
  </si>
  <si>
    <t>Dharmesh Mistry</t>
  </si>
  <si>
    <t>dharmesh@dharmeshmistry.in</t>
  </si>
  <si>
    <t>Anubhuti Gupta</t>
  </si>
  <si>
    <t>anubhuti.gaur@accenture.com</t>
  </si>
  <si>
    <t>Smitha Biradar</t>
  </si>
  <si>
    <t>smithaiipm@gmail.com</t>
  </si>
  <si>
    <t>Ishwarya Dhandapani</t>
  </si>
  <si>
    <t>ish.dhandapani@gmail.com</t>
  </si>
  <si>
    <t>Nidhi Srivastava</t>
  </si>
  <si>
    <t>nidhi1875@gmail.com</t>
  </si>
  <si>
    <t>Anshul Agrawal</t>
  </si>
  <si>
    <t>anshulagrawal@gmail.com</t>
  </si>
  <si>
    <t>md Obaidullah</t>
  </si>
  <si>
    <t>md.obaidullah77@gmail.com</t>
  </si>
  <si>
    <t>swathi srawan</t>
  </si>
  <si>
    <t>swathi.tn24@gmail.com</t>
  </si>
  <si>
    <t>vamsi somanchi</t>
  </si>
  <si>
    <t>v_somanchi@yahoo.co.in</t>
  </si>
  <si>
    <t>Jyothi A</t>
  </si>
  <si>
    <t>jyothiacharya.l@gmail.com</t>
  </si>
  <si>
    <t>Coconut - Medium</t>
  </si>
  <si>
    <t>narayanaswamy sundaram</t>
  </si>
  <si>
    <t>narayanps@gmail.com</t>
  </si>
  <si>
    <t>vineet kumar</t>
  </si>
  <si>
    <t>vinst1@yahoo.com</t>
  </si>
  <si>
    <t>Apple Juice - Cold Pressed</t>
  </si>
  <si>
    <t>Pineapple Juice - Cold Pressed</t>
  </si>
  <si>
    <t>Chandan Sreenivasa</t>
  </si>
  <si>
    <t>mscsreenivasa@gmail.com</t>
  </si>
  <si>
    <t>Mrudula Nair</t>
  </si>
  <si>
    <t>mridsmisty@yahoo.co.in</t>
  </si>
  <si>
    <t>Suman Ananth</t>
  </si>
  <si>
    <t>sumanananth@gmail.com</t>
  </si>
  <si>
    <t>Gururaj Rayadurg</t>
  </si>
  <si>
    <t>ray.gururaj@gmail.com</t>
  </si>
  <si>
    <t>Shweta Ghai</t>
  </si>
  <si>
    <t>shweta.jenveja@gmail.com</t>
  </si>
  <si>
    <t>Ramachandra B</t>
  </si>
  <si>
    <t>b_ra23@hotmail.com</t>
  </si>
  <si>
    <t>Anurita Chandola</t>
  </si>
  <si>
    <t>anuritasati@gmail.com</t>
  </si>
  <si>
    <t>gaurav gupta</t>
  </si>
  <si>
    <t>gk4share@gmail.com</t>
  </si>
  <si>
    <t>Tothapuri Mango - Organically Grown</t>
  </si>
  <si>
    <t>Megha B</t>
  </si>
  <si>
    <t>megha_adiga@yahoo.com</t>
  </si>
  <si>
    <t>preeti shukla</t>
  </si>
  <si>
    <t>pinkydubey2@gmail.com</t>
  </si>
  <si>
    <t>Shant Swarup</t>
  </si>
  <si>
    <t>anushree1907@gmail.com</t>
  </si>
  <si>
    <t>Priya Dharshini</t>
  </si>
  <si>
    <t>bala.dharshini@gmail.com</t>
  </si>
  <si>
    <t>TK Sridhar</t>
  </si>
  <si>
    <t>sridhar.tk@in.abb.com</t>
  </si>
  <si>
    <t>Vineet Kulkarni</t>
  </si>
  <si>
    <t>vineetklkrn@yahoo.com</t>
  </si>
  <si>
    <t>Padmaja v</t>
  </si>
  <si>
    <t>padmaja.vutukuri@gmail.com</t>
  </si>
  <si>
    <t>Kiran Deopa</t>
  </si>
  <si>
    <t>kirandeopa@gmail.com</t>
  </si>
  <si>
    <t>shwetha aravind</t>
  </si>
  <si>
    <t>shwethaaravind@yahoo.co.in</t>
  </si>
  <si>
    <t>Vidyasagar Limaye</t>
  </si>
  <si>
    <t>vidyasagarlimaye@gmail.com</t>
  </si>
  <si>
    <t>Milk Bread</t>
  </si>
  <si>
    <t>Chocolate Flavour Creme Sandwich Biscuit</t>
  </si>
  <si>
    <t>Avocado - Imported, Medium</t>
  </si>
  <si>
    <t>debasish patnaik</t>
  </si>
  <si>
    <t>dev.aryan2000@gmail.com</t>
  </si>
  <si>
    <t>Rajesh Kuppa</t>
  </si>
  <si>
    <t>rajeshsncet@gmail.com</t>
  </si>
  <si>
    <t>Devavrata Sharma</t>
  </si>
  <si>
    <t>devavrata.s@gmail.com</t>
  </si>
  <si>
    <t>Ritcha Priyadarshani</t>
  </si>
  <si>
    <t>ritcha.p@gmail.com</t>
  </si>
  <si>
    <t>Gopinathan Bhaskaran</t>
  </si>
  <si>
    <t>bgn1945@yahoo.in</t>
  </si>
  <si>
    <t>Shobhit Tiwari</t>
  </si>
  <si>
    <t>shob179@gmail.com</t>
  </si>
  <si>
    <t>vikram sinha</t>
  </si>
  <si>
    <t>vikramchickoo@gmail.com</t>
  </si>
  <si>
    <t>Nagi Reddy Emani</t>
  </si>
  <si>
    <t>enreddy@gmail.com</t>
  </si>
  <si>
    <t>Piyush Garg</t>
  </si>
  <si>
    <t>piyushga@gmail.com</t>
  </si>
  <si>
    <t>Shailendra Yadav</t>
  </si>
  <si>
    <t>yadavshailendratechnical@gmail.com</t>
  </si>
  <si>
    <t>Shalini Lall</t>
  </si>
  <si>
    <t>shalini.jovita@gmail.com</t>
  </si>
  <si>
    <t>Double Toned Milk</t>
  </si>
  <si>
    <t>Praveena K R</t>
  </si>
  <si>
    <t>prav.raja@gmail.com</t>
  </si>
  <si>
    <t>Dinesh Mohan Gupta</t>
  </si>
  <si>
    <t>deeamgee@hotmail.com</t>
  </si>
  <si>
    <t>Sanjeeva Deshpande</t>
  </si>
  <si>
    <t>sanjeeva6@outlook.com</t>
  </si>
  <si>
    <t>Suchitra Bakthavathsalam</t>
  </si>
  <si>
    <t>deepali  h</t>
  </si>
  <si>
    <t>deepalish2@gmail.com</t>
  </si>
  <si>
    <t>Nishant Kumar</t>
  </si>
  <si>
    <t>nishantkumar55@gmail.com</t>
  </si>
  <si>
    <t>Bachu vijayalakshmi</t>
  </si>
  <si>
    <t>lakshmivijaya857@gmail.com</t>
  </si>
  <si>
    <t>Siddhardha Parakala</t>
  </si>
  <si>
    <t>sidhu.parakala@gmail.com</t>
  </si>
  <si>
    <t>Madhurima Bose</t>
  </si>
  <si>
    <t>madhurimabose@gmail.com</t>
  </si>
  <si>
    <t>Rashmi V R</t>
  </si>
  <si>
    <t>rashmivr@yahoo.co.in</t>
  </si>
  <si>
    <t>Packaged Drinking Water - With Added Minerals</t>
  </si>
  <si>
    <t>Packaged Drinking Water</t>
  </si>
  <si>
    <t>Smita Behera</t>
  </si>
  <si>
    <t>debajit.pathak@gmail.com</t>
  </si>
  <si>
    <t>priya iyer</t>
  </si>
  <si>
    <t>priyaiyerpriya@gmail.com</t>
  </si>
  <si>
    <t>Siddharthan sundaram</t>
  </si>
  <si>
    <t>sidvigh@gmail.com</t>
  </si>
  <si>
    <t>Vamsi Krishna</t>
  </si>
  <si>
    <t>vamsibsb@gmail.com</t>
  </si>
  <si>
    <t>Niveditha Hegde</t>
  </si>
  <si>
    <t>nivedhita@gmail.com</t>
  </si>
  <si>
    <t>varsha kumari</t>
  </si>
  <si>
    <t>varshakumari1907@gmail.com</t>
  </si>
  <si>
    <t>Ganapathy Subramanian SRM</t>
  </si>
  <si>
    <t>srmmails@gmail.com</t>
  </si>
  <si>
    <t>prasad P</t>
  </si>
  <si>
    <t>prasad.parameswaran@philips.com</t>
  </si>
  <si>
    <t>Kollol Deb</t>
  </si>
  <si>
    <t>kollold@gmail.com</t>
  </si>
  <si>
    <t>Kalyani Beesetti</t>
  </si>
  <si>
    <t>kakalyani2205b@gmail.com</t>
  </si>
  <si>
    <t>Premila Khattar</t>
  </si>
  <si>
    <t>premilakhattar@gmail.com</t>
  </si>
  <si>
    <t>Pooja Mantri</t>
  </si>
  <si>
    <t>pmantri3110@gmail.com</t>
  </si>
  <si>
    <t>roopa shree</t>
  </si>
  <si>
    <t>roopa.s.harsha@gmail.com</t>
  </si>
  <si>
    <t>Giri Dharan</t>
  </si>
  <si>
    <t>giridharan_0321@yahoo.com</t>
  </si>
  <si>
    <t>Rohit Vishwakarma</t>
  </si>
  <si>
    <t>rohitvishwakarma29@gmail.com</t>
  </si>
  <si>
    <t>S KUMAR</t>
  </si>
  <si>
    <t>saibigbasket2@gmail.com</t>
  </si>
  <si>
    <t>Neerada Rao</t>
  </si>
  <si>
    <t>neeradar@gmail.com</t>
  </si>
  <si>
    <t>Sangeetha Prasanna</t>
  </si>
  <si>
    <t>sangeetha31284@gmail.com</t>
  </si>
  <si>
    <t>Pranav Joshi</t>
  </si>
  <si>
    <t>pranavmjoshi.ec@gmail.com</t>
  </si>
  <si>
    <t>Vibha Pandey</t>
  </si>
  <si>
    <t>pandey.vibha03@gmail.com</t>
  </si>
  <si>
    <t>Hari Singh</t>
  </si>
  <si>
    <t>singh.hari@outlook.com</t>
  </si>
  <si>
    <t>Renuka Hunur</t>
  </si>
  <si>
    <t>renuka.hunur@gmail.com</t>
  </si>
  <si>
    <t>Aparna Jha</t>
  </si>
  <si>
    <t>jha.aparna22@gmail.com</t>
  </si>
  <si>
    <t>Joseph Shibu</t>
  </si>
  <si>
    <t>josephshk@gmail.com</t>
  </si>
  <si>
    <t>Farm Eggs, Regular</t>
  </si>
  <si>
    <t>Vinod Hanumantharayappa</t>
  </si>
  <si>
    <t>h.vinod@gmail.com</t>
  </si>
  <si>
    <t>shankar shankar</t>
  </si>
  <si>
    <t>gaurshankar1980@gmail.com</t>
  </si>
  <si>
    <t>Aakriti Verma</t>
  </si>
  <si>
    <t>aakriti100verma@gmail.com</t>
  </si>
  <si>
    <t>Rahul Jain</t>
  </si>
  <si>
    <t>Pomegranate</t>
  </si>
  <si>
    <t>Certified Organic Cow Milk</t>
  </si>
  <si>
    <t>sreepraveen nanduri</t>
  </si>
  <si>
    <t>nsreepraveen@gmail.com</t>
  </si>
  <si>
    <t>Mayandi Kr</t>
  </si>
  <si>
    <t>mayandi_karunanithi@yahoo.co.in</t>
  </si>
  <si>
    <t>Daksh Goyal</t>
  </si>
  <si>
    <t>daksh_goyal@yahoo.com</t>
  </si>
  <si>
    <t>Sandwich Bread</t>
  </si>
  <si>
    <t>RAJU H</t>
  </si>
  <si>
    <t>rajuh.bel@gmail.com</t>
  </si>
  <si>
    <t>Certified Organic Toned Milk</t>
  </si>
  <si>
    <t>Ramya Sekar</t>
  </si>
  <si>
    <t>ramyakrishna.rl@gmail.com</t>
  </si>
  <si>
    <t>Supal Sood</t>
  </si>
  <si>
    <t>supal.sood@gmail.com</t>
  </si>
  <si>
    <t>ved Chaudhary</t>
  </si>
  <si>
    <t>talktoved@gmail.com</t>
  </si>
  <si>
    <t>Diggamber Singh</t>
  </si>
  <si>
    <t>diggambersingh@gmail.com</t>
  </si>
  <si>
    <t>Tanushree Acharya</t>
  </si>
  <si>
    <t>tanushreeaacharya@gmail.com</t>
  </si>
  <si>
    <t>Dr Vijeev Menon</t>
  </si>
  <si>
    <t>vijeev29@rediffmail.com</t>
  </si>
  <si>
    <t>Thanu Don</t>
  </si>
  <si>
    <t>thanuelsasaji@gmail.com</t>
  </si>
  <si>
    <t>Shilpa Saundarya</t>
  </si>
  <si>
    <t>shilpasaundaryaa@gmail.com</t>
  </si>
  <si>
    <t>Sonia Modi</t>
  </si>
  <si>
    <t>soniamodi.82@gmail.com</t>
  </si>
  <si>
    <t>Udayakumar Kumaran</t>
  </si>
  <si>
    <t>udaymangad@gmail.com</t>
  </si>
  <si>
    <t>Rita Laad</t>
  </si>
  <si>
    <t>rita.laad@gmail.com</t>
  </si>
  <si>
    <t>Navneet Kumar</t>
  </si>
  <si>
    <t>navneet.kumar.garg@gmail.com</t>
  </si>
  <si>
    <t>krishnasastry m</t>
  </si>
  <si>
    <t>NITESH KUMAR</t>
  </si>
  <si>
    <t>niteshkum@gmail.com</t>
  </si>
  <si>
    <t>kabirdas jaunjare</t>
  </si>
  <si>
    <t>kabird15@gmail.com</t>
  </si>
  <si>
    <t>Rahul Agrawal</t>
  </si>
  <si>
    <t>contact@rahulag.co.in</t>
  </si>
  <si>
    <t>Ritu shri</t>
  </si>
  <si>
    <t>rargal.2024@gmail.com</t>
  </si>
  <si>
    <t>Yelakki Banana</t>
  </si>
  <si>
    <t>Nimbu Paani Liquid</t>
  </si>
  <si>
    <t>Chunks Pineapple</t>
  </si>
  <si>
    <t>Mango | Probiotic Fermented Milk Drink</t>
  </si>
  <si>
    <t>Amitesh kumar</t>
  </si>
  <si>
    <t>amitesh4ever@gmail.com</t>
  </si>
  <si>
    <t>Akshatha Aithal</t>
  </si>
  <si>
    <t>akshaithal@gmail.com</t>
  </si>
  <si>
    <t>Abhishek Bhardwaj</t>
  </si>
  <si>
    <t>abhimca.soft@gmail.com</t>
  </si>
  <si>
    <t>Kishan Mallya</t>
  </si>
  <si>
    <t>mallya.kishan@gmail.com</t>
  </si>
  <si>
    <t>Arunava Mitra</t>
  </si>
  <si>
    <t>uarunava1@gmail.com</t>
  </si>
  <si>
    <t>Anu Edasseri</t>
  </si>
  <si>
    <t>anu_edasseri@yahoo.co.in</t>
  </si>
  <si>
    <t>saurabh gupta</t>
  </si>
  <si>
    <t>saurabh_04_bit@yahoo.co.in</t>
  </si>
  <si>
    <t>Priya Vinod</t>
  </si>
  <si>
    <t>priyadarshniau24@gmail.com</t>
  </si>
  <si>
    <t>Pramod Jain</t>
  </si>
  <si>
    <t>jainpramod1983@gmail.com</t>
  </si>
  <si>
    <t>Anuj Singal</t>
  </si>
  <si>
    <t>anujsingal89@gmail.com</t>
  </si>
  <si>
    <t>Kavya Araveti</t>
  </si>
  <si>
    <t>kavy4u@gmail.com</t>
  </si>
  <si>
    <t>Rituparna Borkataky</t>
  </si>
  <si>
    <t>rborkataky7@gmail.com</t>
  </si>
  <si>
    <t>Maltesh Pawar</t>
  </si>
  <si>
    <t>malteshp1@gmail.com</t>
  </si>
  <si>
    <t>Rajesh Kumar</t>
  </si>
  <si>
    <t>rajesh.kumarr@ge.com</t>
  </si>
  <si>
    <t>Subin K</t>
  </si>
  <si>
    <t>subinkrishna@gmail.com</t>
  </si>
  <si>
    <t>Pushpa Sai</t>
  </si>
  <si>
    <t>pushpa.sai32@gmail.com</t>
  </si>
  <si>
    <t>Rafia Fatima</t>
  </si>
  <si>
    <t>rafiafatima2805@gmail.com</t>
  </si>
  <si>
    <t>Vikash Mishra</t>
  </si>
  <si>
    <t>vikas.mishra23@gmail.com</t>
  </si>
  <si>
    <t>Ritika S Mishra</t>
  </si>
  <si>
    <t>sportzy@gmail.com</t>
  </si>
  <si>
    <t>Dali Kh</t>
  </si>
  <si>
    <t>dalikh@gmail.com</t>
  </si>
  <si>
    <t>Pawan Maurya</t>
  </si>
  <si>
    <t>1106810111pawan@gmail.com</t>
  </si>
  <si>
    <t>Anurag Dhingra</t>
  </si>
  <si>
    <t>anuragdhingra11@gmail.com</t>
  </si>
  <si>
    <t>Sree Ram Peri</t>
  </si>
  <si>
    <t>sreeram.peri81@gmail.com</t>
  </si>
  <si>
    <t>Rajnish S</t>
  </si>
  <si>
    <t>rajnish123_jh@yahoo.co.in</t>
  </si>
  <si>
    <t>Parimal Rice</t>
  </si>
  <si>
    <t>Yoga Lakshmi</t>
  </si>
  <si>
    <t>yoga.ramlak@gmail.com</t>
  </si>
  <si>
    <t>Madhusmita Mahapatra</t>
  </si>
  <si>
    <t>madhusmita.mahapatra289@gmail.com</t>
  </si>
  <si>
    <t>Phani Shanbhog</t>
  </si>
  <si>
    <t>phanishan@gmail.com</t>
  </si>
  <si>
    <t>P Nagaveni</t>
  </si>
  <si>
    <t>vnathvi@gmail.com</t>
  </si>
  <si>
    <t>Avi v</t>
  </si>
  <si>
    <t>avinash27april@gmail.com</t>
  </si>
  <si>
    <t>Amitakhya Bhuyan</t>
  </si>
  <si>
    <t>amitakhya.bhuyan@bigbasket.com</t>
  </si>
  <si>
    <t>Apple - Royal Gala, Regular</t>
  </si>
  <si>
    <t>Himanshu jajal</t>
  </si>
  <si>
    <t>jajalami18@gmail.com</t>
  </si>
  <si>
    <t>Desi A2 Cow's Milk - Pasteurised</t>
  </si>
  <si>
    <t>Rama Abhinav C</t>
  </si>
  <si>
    <t>ironmanabhi26@gmail.com</t>
  </si>
  <si>
    <t>Rama Harohalli</t>
  </si>
  <si>
    <t>rkharohalli@gmail.com</t>
  </si>
  <si>
    <t>dhara rajput</t>
  </si>
  <si>
    <t>dhararajput1988@gmail.com</t>
  </si>
  <si>
    <t>aamani V</t>
  </si>
  <si>
    <t>s.aamani@gmail.com</t>
  </si>
  <si>
    <t>Muralidhar G</t>
  </si>
  <si>
    <t>murali.golluri@gmail.com</t>
  </si>
  <si>
    <t>Shilpa Agrawal</t>
  </si>
  <si>
    <t>shilpsa20@gmail.com</t>
  </si>
  <si>
    <t>Ambuj Singh</t>
  </si>
  <si>
    <t>aus1708bb@gmail.com</t>
  </si>
  <si>
    <t>mahesh burukule</t>
  </si>
  <si>
    <t>mahesh.burukule@gmail.com</t>
  </si>
  <si>
    <t>Vishwas R</t>
  </si>
  <si>
    <t>vishwas.r.jnv@gmail.com</t>
  </si>
  <si>
    <t>S Vijaya rani</t>
  </si>
  <si>
    <t>svijayarani67@gmail.com</t>
  </si>
  <si>
    <t>Tapasee R G Ch</t>
  </si>
  <si>
    <t>sakti949@gmail.com</t>
  </si>
  <si>
    <t>RAMJITH MR</t>
  </si>
  <si>
    <t>renjithmr92@gmail.com</t>
  </si>
  <si>
    <t>Amrendra shandilya</t>
  </si>
  <si>
    <t>shandilya.amrendra@gmail.com</t>
  </si>
  <si>
    <t>Mrinalini Singh</t>
  </si>
  <si>
    <t>kmrinalinisingh@gmail.com</t>
  </si>
  <si>
    <t>vijeta verma</t>
  </si>
  <si>
    <t>vijiverma11@gmail.com</t>
  </si>
  <si>
    <t>Prasuna Rani</t>
  </si>
  <si>
    <t>prasunarani30@gmail.com</t>
  </si>
  <si>
    <t>Archiet Shrivastava</t>
  </si>
  <si>
    <t>archiet.01@gmail.com</t>
  </si>
  <si>
    <t>Renjith George</t>
  </si>
  <si>
    <t>renjithmg@gmail.com</t>
  </si>
  <si>
    <t>Electrolyte Drink - Apple</t>
  </si>
  <si>
    <t>Bhavya Vasan</t>
  </si>
  <si>
    <t>bhavyavasan@gmail.com</t>
  </si>
  <si>
    <t>Deepti Rajput</t>
  </si>
  <si>
    <t>deeptirajput2103@gmail.com</t>
  </si>
  <si>
    <t>Soma Misra</t>
  </si>
  <si>
    <t>soma.misra.1983@gmail.com</t>
  </si>
  <si>
    <t>Sharanagouda Biradar</t>
  </si>
  <si>
    <t>sharanrbiradar@gmail.com</t>
  </si>
  <si>
    <t>nira nayak</t>
  </si>
  <si>
    <t>nirajana@gmail.com</t>
  </si>
  <si>
    <t>Complete Classic Pancake Mix</t>
  </si>
  <si>
    <t>Saumya Agarwal</t>
  </si>
  <si>
    <t>saumya.310394@gmail.com</t>
  </si>
  <si>
    <t>Smita Jha</t>
  </si>
  <si>
    <t>smitajha490@gmail.com</t>
  </si>
  <si>
    <t>Organic Moringa Powder</t>
  </si>
  <si>
    <t>Subhashish Pattajoshi</t>
  </si>
  <si>
    <t>subhashish.pattajoshi@gmail.com</t>
  </si>
  <si>
    <t>mini pillai</t>
  </si>
  <si>
    <t>pillai.miniram.mini@gmail.com</t>
  </si>
  <si>
    <t>Palak - Cleaned, Without Roots</t>
  </si>
  <si>
    <t>Ashwin Patel</t>
  </si>
  <si>
    <t>kabathani@gmail.com</t>
  </si>
  <si>
    <t>Susmita Kumari</t>
  </si>
  <si>
    <t>ksusmita48@gmail.com</t>
  </si>
  <si>
    <t>sandhya ramesh</t>
  </si>
  <si>
    <t>sandhyaramesh449@gmail.com</t>
  </si>
  <si>
    <t>Abhishek Uppala</t>
  </si>
  <si>
    <t>abhi.uppala@gmail.com</t>
  </si>
  <si>
    <t>John Joy</t>
  </si>
  <si>
    <t>johnjoy@gmail.com</t>
  </si>
  <si>
    <t>Guava</t>
  </si>
  <si>
    <t>Anil Deshpande</t>
  </si>
  <si>
    <t>deshpandeanil84@gmail.com</t>
  </si>
  <si>
    <t>Harshitha Nitin</t>
  </si>
  <si>
    <t>harshitha.harshin@gmail.com</t>
  </si>
  <si>
    <t>vikky mewada</t>
  </si>
  <si>
    <t>vikky.mewada@protonmail.com</t>
  </si>
  <si>
    <t>Sreemathi Akhilesh</t>
  </si>
  <si>
    <t>avakhilesh@gmail.com</t>
  </si>
  <si>
    <t>Praveen V</t>
  </si>
  <si>
    <t>prashanti.spv@gmail.com</t>
  </si>
  <si>
    <t>Nirmal Sampathirao</t>
  </si>
  <si>
    <t>nirmalkumarraju1@gmail.com</t>
  </si>
  <si>
    <t>Sumit Zitshi</t>
  </si>
  <si>
    <t>sumit_zitshi@yahoo.com</t>
  </si>
  <si>
    <t>Vishal Batra</t>
  </si>
  <si>
    <t>vishalbatra08@gmail.com</t>
  </si>
  <si>
    <t>Cranberry Flavoured Cooler Juice</t>
  </si>
  <si>
    <t>Sea Breeze Baby Wipes</t>
  </si>
  <si>
    <t>Latha Varadarajan</t>
  </si>
  <si>
    <t>nvr.latha@gmail.com</t>
  </si>
  <si>
    <t>shivi dwivedi</t>
  </si>
  <si>
    <t>shivangi1224@gmail.com</t>
  </si>
  <si>
    <t>Sandesh Panchal</t>
  </si>
  <si>
    <t>sandy_omshiv@yahoo.co.in</t>
  </si>
  <si>
    <t>shweta madhavan</t>
  </si>
  <si>
    <t>shwetamadhavan@gmail.com</t>
  </si>
  <si>
    <t>Shipra PATEL</t>
  </si>
  <si>
    <t>shipra.patel@gmail.com</t>
  </si>
  <si>
    <t>Neelima C</t>
  </si>
  <si>
    <t>neelima.chakkirala@gmail.com</t>
  </si>
  <si>
    <t>Sasikala E</t>
  </si>
  <si>
    <t>sasikala.rajeesh@gmail.com</t>
  </si>
  <si>
    <t>Pooja Arya</t>
  </si>
  <si>
    <t>arya.2jan@gmail.com</t>
  </si>
  <si>
    <t>Suprabha shetty</t>
  </si>
  <si>
    <t>suprabhabhandary84@gmail.com</t>
  </si>
  <si>
    <t>Ashish Sharma</t>
  </si>
  <si>
    <t>ashishsharma9233@gmail.com</t>
  </si>
  <si>
    <t>sonia mazumdar</t>
  </si>
  <si>
    <t>soniammazumdar@gmail.com</t>
  </si>
  <si>
    <t>harshita v</t>
  </si>
  <si>
    <t>1v.harshita@gmail.com</t>
  </si>
  <si>
    <t>Archana Errumsetty</t>
  </si>
  <si>
    <t>archana.akula5@gmail.com</t>
  </si>
  <si>
    <t>Aniket Kumar</t>
  </si>
  <si>
    <t>aniket4261@gmail.com</t>
  </si>
  <si>
    <t>Uma Paul Saha</t>
  </si>
  <si>
    <t>banti.paul@gmail.com</t>
  </si>
  <si>
    <t>Debasish B</t>
  </si>
  <si>
    <t>d.bhanj@gmail.com</t>
  </si>
  <si>
    <t>Shanthi Kumar</t>
  </si>
  <si>
    <t>shanthikumar10@gmail.com</t>
  </si>
  <si>
    <t>Hrituparna Saha</t>
  </si>
  <si>
    <t>hrituparna.saha08@gmail.com</t>
  </si>
  <si>
    <t>Alok Sinha</t>
  </si>
  <si>
    <t>aloksinha.jsr@gmail.com</t>
  </si>
  <si>
    <t>LOVADITYA RAGHU</t>
  </si>
  <si>
    <t>adityaraghu28@gmail.com</t>
  </si>
  <si>
    <t>Arun Pal</t>
  </si>
  <si>
    <t>arunpal62@gmail.com</t>
  </si>
  <si>
    <t>puja sachan</t>
  </si>
  <si>
    <t>puja1sachan@gmail.com</t>
  </si>
  <si>
    <t>Aparna Pai</t>
  </si>
  <si>
    <t>aparnapai82@gmail.com</t>
  </si>
  <si>
    <t>Shailaja Sarma</t>
  </si>
  <si>
    <t>shailaja.sarma1@gmail.com</t>
  </si>
  <si>
    <t>Mridula Kumar</t>
  </si>
  <si>
    <t>mriduperidot.star@gmail.com</t>
  </si>
  <si>
    <t>Teja Allam</t>
  </si>
  <si>
    <t>teja.allam@outlook.com</t>
  </si>
  <si>
    <t>Priyanka MG</t>
  </si>
  <si>
    <t>priyanka_gajakosh@yahoo.com</t>
  </si>
  <si>
    <t>Shyam Mohan Boyapati</t>
  </si>
  <si>
    <t>bshyammohan@hotmail.com</t>
  </si>
  <si>
    <t>Kirthika Karthick</t>
  </si>
  <si>
    <t>cbe.karthick@gmail.com</t>
  </si>
  <si>
    <t>Sonam Jain</t>
  </si>
  <si>
    <t>sonam.dolly21@gmail.com</t>
  </si>
  <si>
    <t>srividya l</t>
  </si>
  <si>
    <t>lak.svidya@gmail.com</t>
  </si>
  <si>
    <t>Shradha K</t>
  </si>
  <si>
    <t>shradha.sk@gmail.com</t>
  </si>
  <si>
    <t>Abha Rai</t>
  </si>
  <si>
    <t>meabha1111@gmail.com</t>
  </si>
  <si>
    <t>Chandana Dileep</t>
  </si>
  <si>
    <t>ganeshcec@gmail.com</t>
  </si>
  <si>
    <t>sannidhi hegde</t>
  </si>
  <si>
    <t>sannidhithegde@gmail.com</t>
  </si>
  <si>
    <t>Jyothi Kartha</t>
  </si>
  <si>
    <t>jyothi.h.nair@gmail.com</t>
  </si>
  <si>
    <t>Swetank Aryan</t>
  </si>
  <si>
    <t>shwetank1103@gmail.com</t>
  </si>
  <si>
    <t>Arshad Jamil</t>
  </si>
  <si>
    <t>jamil.arshad10@gmail.com</t>
  </si>
  <si>
    <t>divyani raj</t>
  </si>
  <si>
    <t>divyaniraj1d@gmail.com</t>
  </si>
  <si>
    <t>Ruhee Singh</t>
  </si>
  <si>
    <t>ruhee.singh@gmail.com</t>
  </si>
  <si>
    <t>Arvind Derhgawen</t>
  </si>
  <si>
    <t>aderhgawen@hotmail.com</t>
  </si>
  <si>
    <t>Sakshi Gupta</t>
  </si>
  <si>
    <t>sakshi.gupta.acc10@gmail.com</t>
  </si>
  <si>
    <t>Pyushi Paliwal</t>
  </si>
  <si>
    <t>paliwalvipin3@gmail.com</t>
  </si>
  <si>
    <t>Madhusudan Sreenivas</t>
  </si>
  <si>
    <t>madhusudan.sreenivas@gmail.com</t>
  </si>
  <si>
    <t>Vasanthi P</t>
  </si>
  <si>
    <t>vasanthi.pad@gmail.com</t>
  </si>
  <si>
    <t>Maitree Chaudhuri</t>
  </si>
  <si>
    <t>maitree.22@gmail.com</t>
  </si>
  <si>
    <t>Sachit Kapoor</t>
  </si>
  <si>
    <t>sachit.kapoor87@gmail.com</t>
  </si>
  <si>
    <t>Shashi Kumar</t>
  </si>
  <si>
    <t>shashikrishna.sk@gmail.com</t>
  </si>
  <si>
    <t>Mahalakshmi Subramanian</t>
  </si>
  <si>
    <t>mahalakshmisubramanian8@gmail.com</t>
  </si>
  <si>
    <t>Reshma Raveendran</t>
  </si>
  <si>
    <t>reshma.vishalnair@gmail.com</t>
  </si>
  <si>
    <t>Dhaval Lila</t>
  </si>
  <si>
    <t>dhavalleela85@gmail.com</t>
  </si>
  <si>
    <t>Dikshant Tanwani</t>
  </si>
  <si>
    <t>dikshant.tanwani@gmail.com</t>
  </si>
  <si>
    <t>Aditi Jain</t>
  </si>
  <si>
    <t>aditiyatish@gmail.com</t>
  </si>
  <si>
    <t>Meenakhi Pradhan</t>
  </si>
  <si>
    <t>pmeenakhi03@gmail.com</t>
  </si>
  <si>
    <t>Ram Lakhan Prasad</t>
  </si>
  <si>
    <t>vijsinha0@gmail.com</t>
  </si>
  <si>
    <t>ROOHI R</t>
  </si>
  <si>
    <t>roosan0108@gmail.com</t>
  </si>
  <si>
    <t>Jyotirmayee Sahoo</t>
  </si>
  <si>
    <t>jyoti.sahoo9988@gmail.com</t>
  </si>
  <si>
    <t>Soundarya Sabareesan</t>
  </si>
  <si>
    <t>soundarya.pedapudi@gmail.com</t>
  </si>
  <si>
    <t>Nandan Mankad</t>
  </si>
  <si>
    <t>mankadnandan@gmail.com</t>
  </si>
  <si>
    <t>Jawed Hassan</t>
  </si>
  <si>
    <t>shafajh@gmail.com</t>
  </si>
  <si>
    <t>Chandan G S</t>
  </si>
  <si>
    <t>chandansurndar3@gmail.com</t>
  </si>
  <si>
    <t>Venkatesh Srinivasan</t>
  </si>
  <si>
    <t>venkyiimb@gmail.com</t>
  </si>
  <si>
    <t>Sindhu Vi</t>
  </si>
  <si>
    <t>sindhuvi05@gmail.com</t>
  </si>
  <si>
    <t>ashwini krishnamurthy</t>
  </si>
  <si>
    <t>ashwinikrishnamurthy5656@gmail.com</t>
  </si>
  <si>
    <t>Zoya Alam</t>
  </si>
  <si>
    <t>zoya.alam1205@gmail.com</t>
  </si>
  <si>
    <t>Washproof Strips - Medicated Dressing</t>
  </si>
  <si>
    <t>Alok Ranjan</t>
  </si>
  <si>
    <t>alok.ranjan16_mad@apu.edu.in</t>
  </si>
  <si>
    <t>Piyushanand Awasthi</t>
  </si>
  <si>
    <t>awasthi.piyush1993@gmail.com</t>
  </si>
  <si>
    <t>Shishir Kumar</t>
  </si>
  <si>
    <t>shishirmanipal40@gmail.com</t>
  </si>
  <si>
    <t>Reya Sen</t>
  </si>
  <si>
    <t>reyasen017@gmail.com</t>
  </si>
  <si>
    <t>Neha Thakur</t>
  </si>
  <si>
    <t>thakur189neha@gmail.com</t>
  </si>
  <si>
    <t>Atish Gairola</t>
  </si>
  <si>
    <t>atish.hal.g@gmail.com</t>
  </si>
  <si>
    <t>Kumar Anubhav</t>
  </si>
  <si>
    <t>anubhav.nitk@gmail.com</t>
  </si>
  <si>
    <t>leena charles</t>
  </si>
  <si>
    <t>leena.john83@gmail.com</t>
  </si>
  <si>
    <t>Cabbage</t>
  </si>
  <si>
    <t>Swayandeep Das</t>
  </si>
  <si>
    <t>dasswayandeep007@gmail.com</t>
  </si>
  <si>
    <t>Bigbasketeer MISHRA</t>
  </si>
  <si>
    <t>sruti.mishra@tataconsumer.com</t>
  </si>
  <si>
    <t>Jay C</t>
  </si>
  <si>
    <t>ajjus.pc@gmail.com</t>
  </si>
  <si>
    <t>Sugandha Bansal</t>
  </si>
  <si>
    <t>sugandhabansal3107@gmail.com</t>
  </si>
  <si>
    <t>Abhishek Varadarajan</t>
  </si>
  <si>
    <t>abhishek.varadarajan@alumni.niituniversity.in</t>
  </si>
  <si>
    <t>surekha Garag</t>
  </si>
  <si>
    <t>eshaan.garag@gmail.com</t>
  </si>
  <si>
    <t>Archana Bisht</t>
  </si>
  <si>
    <t>archanabisht0606@gmail.com</t>
  </si>
  <si>
    <t>Kartik Dhingra</t>
  </si>
  <si>
    <t>dheengra.kartik@gmail.com</t>
  </si>
  <si>
    <t>vrajesh sejpal</t>
  </si>
  <si>
    <t>vrsejpal@gmail.com</t>
  </si>
  <si>
    <t>Anamika Shukla</t>
  </si>
  <si>
    <t>anamikarshukla@gmail.com</t>
  </si>
  <si>
    <t>Vaibhav Tripathi</t>
  </si>
  <si>
    <t>vatripat@gmail.com</t>
  </si>
  <si>
    <t>Yogendra Trivedi</t>
  </si>
  <si>
    <t>yogendra.trivedi@gmail.com</t>
  </si>
  <si>
    <t>Aditi Kulkarni</t>
  </si>
  <si>
    <t>assgjvfujjb@gmail.com</t>
  </si>
  <si>
    <t>Sriharsha Vinnakota</t>
  </si>
  <si>
    <t>harshaone2@gmail.com</t>
  </si>
  <si>
    <t>Abhishek Shukla</t>
  </si>
  <si>
    <t>abhishekshukla111@gmail.com</t>
  </si>
  <si>
    <t>Sumana Goswami</t>
  </si>
  <si>
    <t>sanagsw@gmail.com</t>
  </si>
  <si>
    <t>Kovida Nelakuditi</t>
  </si>
  <si>
    <t>nkovida@gmail.com</t>
  </si>
  <si>
    <t>Chidambaran Rk</t>
  </si>
  <si>
    <t>chidambaramrk@yahoo.com</t>
  </si>
  <si>
    <t>Sabarinathan Shanmugam</t>
  </si>
  <si>
    <t>sabarisanth@gmail.com</t>
  </si>
  <si>
    <t>Praveen JHA</t>
  </si>
  <si>
    <t>pkjsimpleton@gmail.com</t>
  </si>
  <si>
    <t>Samreen Shiekh</t>
  </si>
  <si>
    <t>samreenshiekh36@gmail.com</t>
  </si>
  <si>
    <t>GoodLife Toned Milk</t>
  </si>
  <si>
    <t>Tapash Ghose</t>
  </si>
  <si>
    <t>tapash.ghose@gmail.com</t>
  </si>
  <si>
    <t>Saran Ps</t>
  </si>
  <si>
    <t>saranps@live.com</t>
  </si>
  <si>
    <t>Swapna Vartak</t>
  </si>
  <si>
    <t>swapnavartak@gmail.com</t>
  </si>
  <si>
    <t>Bandana Todi</t>
  </si>
  <si>
    <t>todi.bandana@gmail.com</t>
  </si>
  <si>
    <t>Ranvijay Singh</t>
  </si>
  <si>
    <t>ranvijay221@gmail.com</t>
  </si>
  <si>
    <t>Prasho M</t>
  </si>
  <si>
    <t>prashoma.m@gmail.com</t>
  </si>
  <si>
    <t>Kirti Bhatt</t>
  </si>
  <si>
    <t>sharewithkirti@gmail.com</t>
  </si>
  <si>
    <t>Aditya Patidar</t>
  </si>
  <si>
    <t>aditya143p@gmail.com</t>
  </si>
  <si>
    <t>Ashwini Bagaddeo</t>
  </si>
  <si>
    <t>ashwini.c.bagaddeo@gmail.com</t>
  </si>
  <si>
    <t>Ketaki Athawale</t>
  </si>
  <si>
    <t>limayeketakis@gmail.com</t>
  </si>
  <si>
    <t>Nancy Nagarathna</t>
  </si>
  <si>
    <t>bnjoy2429@gmail.com</t>
  </si>
  <si>
    <t>Ramesh Babu</t>
  </si>
  <si>
    <t>sribalajimotors9311@gmail.com</t>
  </si>
  <si>
    <t>Tomato - Local</t>
  </si>
  <si>
    <t>Malathi Shankar</t>
  </si>
  <si>
    <t>malathi.shankar44@gmail.com</t>
  </si>
  <si>
    <t>Sachin Poonacha</t>
  </si>
  <si>
    <t>poonacha.sachin@gmail.com</t>
  </si>
  <si>
    <t>Shruthika D</t>
  </si>
  <si>
    <t>dollydoijode@gmail.com</t>
  </si>
  <si>
    <t>Janardhan Karamala</t>
  </si>
  <si>
    <t>jana.karamala17@gmail.com</t>
  </si>
  <si>
    <t>Bigbasketeer B</t>
  </si>
  <si>
    <t>radhablore16@gmail.com</t>
  </si>
  <si>
    <t>M Srikanth</t>
  </si>
  <si>
    <t>sai99msk@gmail.com</t>
  </si>
  <si>
    <t>Santosh Mathur</t>
  </si>
  <si>
    <t>mathursantosh@gmail.comi</t>
  </si>
  <si>
    <t>Padmanaba PADMANABA BHAT</t>
  </si>
  <si>
    <t>bhatvp@gmail.com</t>
  </si>
  <si>
    <t>Aravind Chakravarty Myla</t>
  </si>
  <si>
    <t>aravindm2013@email.iimcal.ac.in</t>
  </si>
  <si>
    <t>Abhishek Kumar</t>
  </si>
  <si>
    <t>needarenainterviewprep@gmail.com</t>
  </si>
  <si>
    <t>Abhi Abhilash</t>
  </si>
  <si>
    <t>abhilaabhilash2008@gmail.com</t>
  </si>
  <si>
    <t>Karel Marx Govindarajan</t>
  </si>
  <si>
    <t>kavikarel@gmail.com</t>
  </si>
  <si>
    <t>Lohit Kumar SD</t>
  </si>
  <si>
    <t>lohitkumarsd@gmail.com</t>
  </si>
  <si>
    <t>Shilpee Jain</t>
  </si>
  <si>
    <t>shilpeeiitk@gmail.com</t>
  </si>
  <si>
    <t>Manohar Reddy</t>
  </si>
  <si>
    <t>manohar555manu@gmail.com</t>
  </si>
  <si>
    <t>Sneh Shikhar</t>
  </si>
  <si>
    <t>snehshikhar612@gmail.com</t>
  </si>
  <si>
    <t>Deep Yadav</t>
  </si>
  <si>
    <t>deeppriy@gmail.com</t>
  </si>
  <si>
    <t>Akanksha Bisht</t>
  </si>
  <si>
    <t>akankshabisht860@gmail.com</t>
  </si>
  <si>
    <t>Pratibha Aggarwal</t>
  </si>
  <si>
    <t>prati435@gmail.com</t>
  </si>
  <si>
    <t>Spandana Ketha</t>
  </si>
  <si>
    <t>spandana596@gmail.com</t>
  </si>
  <si>
    <t>Sonakshi Naik</t>
  </si>
  <si>
    <t>sonakshin24@gmail.com</t>
  </si>
  <si>
    <t>Shiishir Ranjan</t>
  </si>
  <si>
    <t>shishirrnjn@yahoo.co.in</t>
  </si>
  <si>
    <t>Somshekar de</t>
  </si>
  <si>
    <t>somu5286@gmail.com</t>
  </si>
  <si>
    <t>Som H</t>
  </si>
  <si>
    <t>somusahasa4@gmail.com</t>
  </si>
  <si>
    <t>Rani Kumari</t>
  </si>
  <si>
    <t>praveentrinav2013@gmail.com</t>
  </si>
  <si>
    <t>Sam Sanasam</t>
  </si>
  <si>
    <t>sanasam.nanaosana@gmail.com</t>
  </si>
  <si>
    <t>Mahadeva Swaroop</t>
  </si>
  <si>
    <t>mahaksingh05@gmail.com</t>
  </si>
  <si>
    <t>Organic Curd</t>
  </si>
  <si>
    <t>Arthi Parthipan</t>
  </si>
  <si>
    <t>parthipanb9@gmail.com</t>
  </si>
  <si>
    <t>Nancy Janet</t>
  </si>
  <si>
    <t>jnjanet@gmail.com</t>
  </si>
  <si>
    <t>Somnath Mukherjee</t>
  </si>
  <si>
    <t>somnathmukherjee.mba@gmail.com</t>
  </si>
  <si>
    <t>Neil Mhatre</t>
  </si>
  <si>
    <t>neil0907@gmail.com</t>
  </si>
  <si>
    <t>Ravi Teja</t>
  </si>
  <si>
    <t>raviteja11b@gmail.com</t>
  </si>
  <si>
    <t>Mahendra Kahar</t>
  </si>
  <si>
    <t>mahendra.kahar@gmail.com</t>
  </si>
  <si>
    <t>Siddharth Shandilya</t>
  </si>
  <si>
    <t>siddharthshandilya1@gmail.com</t>
  </si>
  <si>
    <t>anne marie</t>
  </si>
  <si>
    <t>annemarie_dacosta@hotmail.com</t>
  </si>
  <si>
    <t>gayathri s</t>
  </si>
  <si>
    <t>gayathri383@gmail.com</t>
  </si>
  <si>
    <t>abhijohn13@gmail.com</t>
  </si>
  <si>
    <t>Sujit Nair</t>
  </si>
  <si>
    <t>bhavnam1@gmail.com</t>
  </si>
  <si>
    <t>jeevan kumar</t>
  </si>
  <si>
    <t>jeevank@tatasky.com</t>
  </si>
  <si>
    <t>sarveshmittal@rediffmail.com</t>
  </si>
  <si>
    <t>Moong Dal</t>
  </si>
  <si>
    <t>nikhilbel123@gmail.com</t>
  </si>
  <si>
    <t>suneetha pujari</t>
  </si>
  <si>
    <t>sureshpujari@yahoo.com</t>
  </si>
  <si>
    <t>suhas .</t>
  </si>
  <si>
    <t>prabhu_suhas@yahoo.co.in</t>
  </si>
  <si>
    <t>Samir pal</t>
  </si>
  <si>
    <t>sk_pal@rediffmail.com</t>
  </si>
  <si>
    <t>Divya Sridhar</t>
  </si>
  <si>
    <t>divsri0304@gmail.com</t>
  </si>
  <si>
    <t>Ayush Gorya</t>
  </si>
  <si>
    <t>ayushgorya@gmail.com</t>
  </si>
  <si>
    <t>Organic Probiotic Buttermilk - Plain, Low-Calorie</t>
  </si>
  <si>
    <t>Mohit S</t>
  </si>
  <si>
    <t>mohit.shah26@gmail.com</t>
  </si>
  <si>
    <t>Zuha Banu</t>
  </si>
  <si>
    <t>zuhab92@gmail.com</t>
  </si>
  <si>
    <t>Rishi Kumar</t>
  </si>
  <si>
    <t>rishibravo@gmail.com</t>
  </si>
  <si>
    <t>vivek s</t>
  </si>
  <si>
    <t>vivswam2017@gmail.com</t>
  </si>
  <si>
    <t>Sunil Shetty</t>
  </si>
  <si>
    <t>msunilshetty@gmail.com</t>
  </si>
  <si>
    <t>Bhuvana mathan</t>
  </si>
  <si>
    <t>Inderpreet Singh</t>
  </si>
  <si>
    <t>ips.wadhwa@yahoo.com</t>
  </si>
  <si>
    <t>chanks.mehta@gmail.com</t>
  </si>
  <si>
    <t>Roasted Bengal Gram Atta/Sattu Flour</t>
  </si>
  <si>
    <t>Gokul Kannan Ramamoorthy</t>
  </si>
  <si>
    <t>nrgokulkannan@gmail.com</t>
  </si>
  <si>
    <t>Mohan Vijay</t>
  </si>
  <si>
    <t>bhuvanamohan2006@gmail.com</t>
  </si>
  <si>
    <t>Rupika Jayraman</t>
  </si>
  <si>
    <t>rupikaram@gmail.com</t>
  </si>
  <si>
    <t>Sharmila J</t>
  </si>
  <si>
    <t>sharmi.nivi@gmail.com</t>
  </si>
  <si>
    <t>Nandini Pera</t>
  </si>
  <si>
    <t>ammulu786786@gmail.com</t>
  </si>
  <si>
    <t>Sushmita Patel</t>
  </si>
  <si>
    <t>sush901@gmail.com</t>
  </si>
  <si>
    <t>Surendra Palappa</t>
  </si>
  <si>
    <t>surendrap59@gmail.com</t>
  </si>
  <si>
    <t>Ayesha Upadhyay</t>
  </si>
  <si>
    <t>ayeshacv@gmail.com</t>
  </si>
  <si>
    <t>sadhana kotapati</t>
  </si>
  <si>
    <t>sadhana.1674@yahoo.co.in</t>
  </si>
  <si>
    <t>Fazil M</t>
  </si>
  <si>
    <t>fazil.raffy@gmail.com</t>
  </si>
  <si>
    <t>Sagar A Kamble</t>
  </si>
  <si>
    <t>sagar.a.kamble@gmail.com</t>
  </si>
  <si>
    <t>Poornimaa Ajay</t>
  </si>
  <si>
    <t>poornimaajay2006@gmail.com</t>
  </si>
  <si>
    <t>Sunita Das</t>
  </si>
  <si>
    <t>litysunita@gmail.com</t>
  </si>
  <si>
    <t>Bn Sinha</t>
  </si>
  <si>
    <t>sinhabn111@gmail.com</t>
  </si>
  <si>
    <t>Bigbasketeer</t>
  </si>
  <si>
    <t>Surabhi Kukreti</t>
  </si>
  <si>
    <t>surabhikukreti22@gmail.com</t>
  </si>
  <si>
    <t>Devendra Gupta</t>
  </si>
  <si>
    <t>dev29aug@gmail.com</t>
  </si>
  <si>
    <t>Nitin Garg</t>
  </si>
  <si>
    <t>nitingarg007@gmail.com</t>
  </si>
  <si>
    <t>Vijay Panchal</t>
  </si>
  <si>
    <t>vijaypanchal.eckit@gmail.com</t>
  </si>
  <si>
    <t>Midhun Jose</t>
  </si>
  <si>
    <t>midhunjos@gmail.com</t>
  </si>
  <si>
    <t>Smruti SAHOO</t>
  </si>
  <si>
    <t>sahoo.smruti24@gmail.com</t>
  </si>
  <si>
    <t>Arshpreet Kaur</t>
  </si>
  <si>
    <t>arsh.jeenu@gmail.com</t>
  </si>
  <si>
    <t>suman dutta</t>
  </si>
  <si>
    <t>suman9n.dutta@gmail.com</t>
  </si>
  <si>
    <t>David Wilson</t>
  </si>
  <si>
    <t>tashafern12@gmail.com</t>
  </si>
  <si>
    <t>Venkat Srinivasan</t>
  </si>
  <si>
    <t>venky1972@gmail.com</t>
  </si>
  <si>
    <t>Richa Pande</t>
  </si>
  <si>
    <t>richapande07@gmail.com</t>
  </si>
  <si>
    <t>Anamika Upadhyay</t>
  </si>
  <si>
    <t>anamikaupadhyay805@gmail.com</t>
  </si>
  <si>
    <t>Somesh Auddy</t>
  </si>
  <si>
    <t>somesh.auddy@gmail.com</t>
  </si>
  <si>
    <t>Ekkada Hoovu String</t>
  </si>
  <si>
    <t>Jayanthi Baburao</t>
  </si>
  <si>
    <t>shreenibala@gmail.com</t>
  </si>
  <si>
    <t>Suham Paul</t>
  </si>
  <si>
    <t>suham.paul@gmail.com</t>
  </si>
  <si>
    <t>Jai Shankar</t>
  </si>
  <si>
    <t>jaishankarbu@gmail.com</t>
  </si>
  <si>
    <t>Ayeesha Siddiqha</t>
  </si>
  <si>
    <t>ayesha.siddiqua43@gmail.com</t>
  </si>
  <si>
    <t>kumar9pramod3@gmail.com</t>
  </si>
  <si>
    <t>Krishan Saharan</t>
  </si>
  <si>
    <t>krishan.saharan@itc.in</t>
  </si>
  <si>
    <t>Abhishek Mehrotra</t>
  </si>
  <si>
    <t>mehrotra.abhishek@gmail.com</t>
  </si>
  <si>
    <t>Anuj Bansal</t>
  </si>
  <si>
    <t>kumardhivya@gmail.com</t>
  </si>
  <si>
    <t>Prateek goyal</t>
  </si>
  <si>
    <t>prateek.goyal@gmail.com</t>
  </si>
  <si>
    <t>Roopa John</t>
  </si>
  <si>
    <t>roopajohn2012@gmail.com</t>
  </si>
  <si>
    <t>dixit.prabhav@gmail.com</t>
  </si>
  <si>
    <t>vishal@formspacedesign.com</t>
  </si>
  <si>
    <t>Urmila Ja</t>
  </si>
  <si>
    <t>urmilajangid168@gmail.com</t>
  </si>
  <si>
    <t>Girish Natarajan</t>
  </si>
  <si>
    <t>natrajangirish32@gmail.com</t>
  </si>
  <si>
    <t>shyam.siyag31@gmail.com</t>
  </si>
  <si>
    <t>dreamsland2017@gmail.com</t>
  </si>
  <si>
    <t>Somrupa Chattopadhyay</t>
  </si>
  <si>
    <t>somrupa.chattopadhyay@gmail.com</t>
  </si>
  <si>
    <t>Nishant Singh</t>
  </si>
  <si>
    <t>nishantsingh.bit@gmail.com</t>
  </si>
  <si>
    <t>Banana - Robusta</t>
  </si>
  <si>
    <t>Aditya Gayatri</t>
  </si>
  <si>
    <t>adityagayatri91@gmail.com</t>
  </si>
  <si>
    <t>Anupama Nandakumar</t>
  </si>
  <si>
    <t>cnk1983@gmail.com</t>
  </si>
  <si>
    <t>Sangeeta Kulkarni</t>
  </si>
  <si>
    <t>sangatik@gmail.com</t>
  </si>
  <si>
    <t>Saahiba Singh</t>
  </si>
  <si>
    <t>saahiba.virk@gmail.com</t>
  </si>
  <si>
    <t>MANISH C SAXENA</t>
  </si>
  <si>
    <t>msaxena19168@gmail.com</t>
  </si>
  <si>
    <t>Arun Nafde</t>
  </si>
  <si>
    <t>arun.nafde@gmail.com</t>
  </si>
  <si>
    <t>sweta singh</t>
  </si>
  <si>
    <t>010swetasingh@gmail.com</t>
  </si>
  <si>
    <t>Vaishnavi Terdal</t>
  </si>
  <si>
    <t>vaishnavit95@gmail.com</t>
  </si>
  <si>
    <t>varun bv</t>
  </si>
  <si>
    <t>1ms17cs133@gmail.com</t>
  </si>
  <si>
    <t>Shruthi Ganesh</t>
  </si>
  <si>
    <t>shruthiganeshvishwanath@gmail.com</t>
  </si>
  <si>
    <t>Radish - White</t>
  </si>
  <si>
    <t>Beans - Cowpea</t>
  </si>
  <si>
    <t>Shameer Mohammed</t>
  </si>
  <si>
    <t>mohammedshameer@gmail.com</t>
  </si>
  <si>
    <t>ashish9112@gmail.com</t>
  </si>
  <si>
    <t>Mayank Jaswal</t>
  </si>
  <si>
    <t>mayank1jaswal@gmail.com</t>
  </si>
  <si>
    <t>Gayathri Anandh</t>
  </si>
  <si>
    <t>gayumadhu@gmail.com</t>
  </si>
  <si>
    <t>Shinde Vishal</t>
  </si>
  <si>
    <t>vr.shinde@outlook.com</t>
  </si>
  <si>
    <t>Bharat P</t>
  </si>
  <si>
    <t>bharatpot11@gmail.com</t>
  </si>
  <si>
    <t>Nayana Hs</t>
  </si>
  <si>
    <t>iamnayana@gmail.com</t>
  </si>
  <si>
    <t>Anand Arora</t>
  </si>
  <si>
    <t>anand.m.arora7@gmail.com</t>
  </si>
  <si>
    <t>Drumstick/Moringa</t>
  </si>
  <si>
    <t>Anju Sivasankaran</t>
  </si>
  <si>
    <t>anjuk.sivasankaran@tcs.com</t>
  </si>
  <si>
    <t>Orange, Strawberry &amp; Caramel Flavour Lollipops</t>
  </si>
  <si>
    <t>Akash Shrivastava</t>
  </si>
  <si>
    <t>akash.shrivastava.nitie@gmail.com</t>
  </si>
  <si>
    <t>Savitri Krishnamurty</t>
  </si>
  <si>
    <t>skm2201@gmail.com</t>
  </si>
  <si>
    <t>Priya Gopal</t>
  </si>
  <si>
    <t>priya.kiruthika@gmail.com</t>
  </si>
  <si>
    <t>Minati Panda</t>
  </si>
  <si>
    <t>panda.minati@gmail.com</t>
  </si>
  <si>
    <t>Shwetha Shetty</t>
  </si>
  <si>
    <t>shettyshwetha20@gmail.com</t>
  </si>
  <si>
    <t>Subramanian Ganesh</t>
  </si>
  <si>
    <t>krupa.iisc@gmail.com</t>
  </si>
  <si>
    <t>Richa Dixit</t>
  </si>
  <si>
    <t>richa_0886@yahoo.co.in</t>
  </si>
  <si>
    <t>A P Bhatt</t>
  </si>
  <si>
    <t>hiral1985@yahoo.co.in</t>
  </si>
  <si>
    <t>Hemasundar Paidi</t>
  </si>
  <si>
    <t>phsundar@gmail.com</t>
  </si>
  <si>
    <t>Shubhan Gupta</t>
  </si>
  <si>
    <t>techstar199@gmail.com</t>
  </si>
  <si>
    <t>G Selvi</t>
  </si>
  <si>
    <t>akhilra789@gmail.com</t>
  </si>
  <si>
    <t>Shavan Chauhan</t>
  </si>
  <si>
    <t>pnsg9@yahoo.com</t>
  </si>
  <si>
    <t>Mohammed Imran</t>
  </si>
  <si>
    <t>mohd.imma24@gmail.com</t>
  </si>
  <si>
    <t>sanghamitra banerjee</t>
  </si>
  <si>
    <t>banerjeesanghamitra07@gmial.com</t>
  </si>
  <si>
    <t>Krithika T M</t>
  </si>
  <si>
    <t>krithikathimma@gmail.com</t>
  </si>
  <si>
    <t>Shubham Jain</t>
  </si>
  <si>
    <t>shubham.jain.nda@gmail.com</t>
  </si>
  <si>
    <t>Muhammed Arif</t>
  </si>
  <si>
    <t>m.arif.u.88@gmail.com</t>
  </si>
  <si>
    <t>Parasuraman A</t>
  </si>
  <si>
    <t>parasu85@gmail.com</t>
  </si>
  <si>
    <t>Megha Varghese</t>
  </si>
  <si>
    <t>megskichu@gmail.com</t>
  </si>
  <si>
    <t>Ronit Chatterjee</t>
  </si>
  <si>
    <t>theronitchatterjee@gmail.com</t>
  </si>
  <si>
    <t>Arjun Rajagopalan</t>
  </si>
  <si>
    <t>arjunrajagopalan_2@yahoo.com</t>
  </si>
  <si>
    <t>Aathirai Pandian</t>
  </si>
  <si>
    <t>pandian@gmail.co</t>
  </si>
  <si>
    <t>Janaki Vasudevan</t>
  </si>
  <si>
    <t>janakivasu17@gmail.com</t>
  </si>
  <si>
    <t>Vikas Kumar</t>
  </si>
  <si>
    <t>kvikas82@gmail.com</t>
  </si>
  <si>
    <t>abhishekkumar079@gmail.com</t>
  </si>
  <si>
    <t>Sukanya Ray</t>
  </si>
  <si>
    <t>mysticmyria@gmail.com</t>
  </si>
  <si>
    <t>Utkarsh Kumar</t>
  </si>
  <si>
    <t>utkarsh.bcet@gmail.com</t>
  </si>
  <si>
    <t>Chethana T</t>
  </si>
  <si>
    <t>chetht2022@gmail.com</t>
  </si>
  <si>
    <t>Gautam Sabba</t>
  </si>
  <si>
    <t>gautam.sabba@gmail.com</t>
  </si>
  <si>
    <t>Dhanush Jathan</t>
  </si>
  <si>
    <t>dhanushvjathan@gmail.com</t>
  </si>
  <si>
    <t>Pranav AP</t>
  </si>
  <si>
    <t>pranavap999@gmail.com</t>
  </si>
  <si>
    <t>Abhi S</t>
  </si>
  <si>
    <t>abhimkd@gmail.com</t>
  </si>
  <si>
    <t>Jitesh gandhi</t>
  </si>
  <si>
    <t>jitesh.gandhi1403@gmail.com</t>
  </si>
  <si>
    <t>Suhas N</t>
  </si>
  <si>
    <t>kadrisuhas@gmail.com</t>
  </si>
  <si>
    <t>swagatika dash</t>
  </si>
  <si>
    <t>swagatikadash95@gmail.com</t>
  </si>
  <si>
    <t>Sudhindra K</t>
  </si>
  <si>
    <t>deeeeeeepu@gmail.com</t>
  </si>
  <si>
    <t>kumaresan k</t>
  </si>
  <si>
    <t>saharun98@gmail.com</t>
  </si>
  <si>
    <t>Rama Prasad Naidu Kommu</t>
  </si>
  <si>
    <t>rama.komm1987@gmail.com</t>
  </si>
  <si>
    <t>Prathima Sriram</t>
  </si>
  <si>
    <t>sriramp1985@gmail.com</t>
  </si>
  <si>
    <t>Surya Pavan</t>
  </si>
  <si>
    <t>suryapavan82@gmail.com</t>
  </si>
  <si>
    <t>Vigneshwar G</t>
  </si>
  <si>
    <t>vigneshwar1003@gmail.com</t>
  </si>
  <si>
    <t>Pramendra Singh</t>
  </si>
  <si>
    <t>pramendra.somvanshi@gmail.com</t>
  </si>
  <si>
    <t>Banana - Yelakki</t>
  </si>
  <si>
    <t>Aditya A</t>
  </si>
  <si>
    <t>aditheartist@gmail.com</t>
  </si>
  <si>
    <t>Kalpana Suman</t>
  </si>
  <si>
    <t>kalpanabitece@gmail.com</t>
  </si>
  <si>
    <t>Akshata Bilagi</t>
  </si>
  <si>
    <t>akshata.bilagi@gmail.com</t>
  </si>
  <si>
    <t>Subhashree Mishra</t>
  </si>
  <si>
    <t>16subhashree@gmail.com</t>
  </si>
  <si>
    <t>Praveen Kaushik</t>
  </si>
  <si>
    <t>praveenkaushik80@gmail.com</t>
  </si>
  <si>
    <t>Shruti Deshpande</t>
  </si>
  <si>
    <t>deshpande.shrutim@gmail.com</t>
  </si>
  <si>
    <t>Junaid Akram</t>
  </si>
  <si>
    <t>junaidpatel84@gmail.com</t>
  </si>
  <si>
    <t>pooja p</t>
  </si>
  <si>
    <t>pjrai06@gmail.com</t>
  </si>
  <si>
    <t>Arpita Chanchawat</t>
  </si>
  <si>
    <t>achanchawat@gmail.com</t>
  </si>
  <si>
    <t>ANAND TIWARI</t>
  </si>
  <si>
    <t>anandtiwari1711@gmail.com</t>
  </si>
  <si>
    <t>Gokulanathan M</t>
  </si>
  <si>
    <t>gokulanathan.mani@gmail.com</t>
  </si>
  <si>
    <t>Parul Gupta</t>
  </si>
  <si>
    <t>only.parul@gmail.com</t>
  </si>
  <si>
    <t>Soumen Roy</t>
  </si>
  <si>
    <t>gularoy@gmail.com</t>
  </si>
  <si>
    <t>Pawan Deshpande</t>
  </si>
  <si>
    <t>deshpande.pawan.p@gmail.com</t>
  </si>
  <si>
    <t>Mohini Hukumchand</t>
  </si>
  <si>
    <t>richas83@gmail.com</t>
  </si>
  <si>
    <t>snehal a</t>
  </si>
  <si>
    <t>snehac1144@gmail.com</t>
  </si>
  <si>
    <t>V Gauthami</t>
  </si>
  <si>
    <t>vsgauthami25@gmail.com</t>
  </si>
  <si>
    <t>Archana Das</t>
  </si>
  <si>
    <t>archana.puja.77@gmail.com</t>
  </si>
  <si>
    <t>Rajesh Mishra</t>
  </si>
  <si>
    <t>raj4linux@gmail.com</t>
  </si>
  <si>
    <t>Pinkesh Jain</t>
  </si>
  <si>
    <t>pinkesh.jain173@gmail.com</t>
  </si>
  <si>
    <t>Srividya Sriram</t>
  </si>
  <si>
    <t>srividya1510@gmail.com</t>
  </si>
  <si>
    <t>Pratik Behera</t>
  </si>
  <si>
    <t>pratik.prit@hotmail.com</t>
  </si>
  <si>
    <t>Sanjay Ghanshyam Vaid</t>
  </si>
  <si>
    <t>princescott2102@gmail.com</t>
  </si>
  <si>
    <t>Dhirendra Chilwal</t>
  </si>
  <si>
    <t>chilwal.dh@gmail.com</t>
  </si>
  <si>
    <t>Shreeman C J</t>
  </si>
  <si>
    <t>shreeman@gemil.com</t>
  </si>
  <si>
    <t>Nitin Indoria</t>
  </si>
  <si>
    <t>nitinindoria.1@gmail.com</t>
  </si>
  <si>
    <t>Harika Ch</t>
  </si>
  <si>
    <t>hari.akira@gmail.com</t>
  </si>
  <si>
    <t>Asit Kumar</t>
  </si>
  <si>
    <t>asit.kmsahoo@gmail.com</t>
  </si>
  <si>
    <t>Sidharth Jena</t>
  </si>
  <si>
    <t>sidharthj.pgpm13@gmail.com</t>
  </si>
  <si>
    <t>Gopinath G</t>
  </si>
  <si>
    <t>nithyagopi30@gmail.com</t>
  </si>
  <si>
    <t>sajan Abraham</t>
  </si>
  <si>
    <t>sajanabrahamisin@gmail.com</t>
  </si>
  <si>
    <t>BigBasketeer Bigbasketeer</t>
  </si>
  <si>
    <t>kavikanee@gmail.com</t>
  </si>
  <si>
    <t>Jyoti Vantagodi</t>
  </si>
  <si>
    <t>jvantagodi@gmail.com</t>
  </si>
  <si>
    <t>aaruaadhi95@gmail.com</t>
  </si>
  <si>
    <t>Shaonli Dutt</t>
  </si>
  <si>
    <t>shaonli.dutt@gmail.com</t>
  </si>
  <si>
    <t>Sujata Joshi</t>
  </si>
  <si>
    <t>sujata.vajendra@gmail.com</t>
  </si>
  <si>
    <t>SHARATH KUMAR</t>
  </si>
  <si>
    <t>kumar.sharath48@yahoo.com</t>
  </si>
  <si>
    <t>Kulbir Choudhary</t>
  </si>
  <si>
    <t>ranvir.choudhary7@gmail.com</t>
  </si>
  <si>
    <t>Alok Singh</t>
  </si>
  <si>
    <t>heyalok.singh80@gmail.com</t>
  </si>
  <si>
    <t>nagabhushan C</t>
  </si>
  <si>
    <t>Chaya H</t>
  </si>
  <si>
    <t>chayahalappa@gmail.com</t>
  </si>
  <si>
    <t>anima Senapati</t>
  </si>
  <si>
    <t>Jeevan M</t>
  </si>
  <si>
    <t>johnjeevan738@gmail.com</t>
  </si>
  <si>
    <t>guruprasanna h</t>
  </si>
  <si>
    <t>guruprasanna2001@gmail.com</t>
  </si>
  <si>
    <t>giridhar sitaraman</t>
  </si>
  <si>
    <t>iepgiri@gmail.com</t>
  </si>
  <si>
    <t>Bigbasketeer k</t>
  </si>
  <si>
    <t>yogeesha44@gmail.com</t>
  </si>
  <si>
    <t>swetha prasad</t>
  </si>
  <si>
    <t>swethaprasad20@gmail.com</t>
  </si>
  <si>
    <t>Organic Chia Seeds</t>
  </si>
  <si>
    <t>Quinoa</t>
  </si>
  <si>
    <t>Shwetha M M</t>
  </si>
  <si>
    <t>shwethamm12@gmail.com</t>
  </si>
  <si>
    <t>Soni Singh</t>
  </si>
  <si>
    <t>rahul_singh_coer@yahoo.co.co.in</t>
  </si>
  <si>
    <t>Ashwani Kumar</t>
  </si>
  <si>
    <t>aksinghal1125@gmail.com</t>
  </si>
  <si>
    <t>Ananth Padmanabha Rao</t>
  </si>
  <si>
    <t>apr_2000@yahoo.com</t>
  </si>
  <si>
    <t>Nishkarsh</t>
  </si>
  <si>
    <t>nishkarsh.shastri@gmail.com</t>
  </si>
  <si>
    <t>Tanmoy Dan</t>
  </si>
  <si>
    <t>tanmoy.dan@gmail.com</t>
  </si>
  <si>
    <t>Brown Bread</t>
  </si>
  <si>
    <t>MR ROBERT PAUL</t>
  </si>
  <si>
    <t>robert.paul@meggitt.com</t>
  </si>
  <si>
    <t>Lokesh Jp</t>
  </si>
  <si>
    <t>lokeshkonar@gmail.com</t>
  </si>
  <si>
    <t>Mita Roy</t>
  </si>
  <si>
    <t>mitar0935@gmail.com</t>
  </si>
  <si>
    <t>Soma Mishra</t>
  </si>
  <si>
    <t>somam23@gmail.com</t>
  </si>
  <si>
    <t>jithu george</t>
  </si>
  <si>
    <t>ashy.eldhose@gmail.com</t>
  </si>
  <si>
    <t>Nayan Barman</t>
  </si>
  <si>
    <t>nayanbarman11@gmail.com</t>
  </si>
  <si>
    <t>SARADA WUNNAVA</t>
  </si>
  <si>
    <t>wssarada@gmail.com</t>
  </si>
  <si>
    <t>Rahul Tripathi</t>
  </si>
  <si>
    <t>trips.rahul@gmail.com</t>
  </si>
  <si>
    <t>Joy Amu</t>
  </si>
  <si>
    <t>joysharmili147@gmail.com</t>
  </si>
  <si>
    <t>Monica Pawar</t>
  </si>
  <si>
    <t>monika.balyan.90@gmail.com</t>
  </si>
  <si>
    <t>Samhitha M</t>
  </si>
  <si>
    <t>samhitha.june@gmail.com</t>
  </si>
  <si>
    <t>itscoolatul@gmail.com</t>
  </si>
  <si>
    <t>Sunitha S</t>
  </si>
  <si>
    <t>vaijenthimala31@gmail.com</t>
  </si>
  <si>
    <t>deepak060885@gmail.com</t>
  </si>
  <si>
    <t>DrSatya Panda</t>
  </si>
  <si>
    <t>satyasidharth@yahoo.com</t>
  </si>
  <si>
    <t>Surjeet Maharana</t>
  </si>
  <si>
    <t>surajmech.24@gmail.com</t>
  </si>
  <si>
    <t>chidud_77@yahoo.com</t>
  </si>
  <si>
    <t>chiru888231@gmail.com</t>
  </si>
  <si>
    <t>Dineshkumar S</t>
  </si>
  <si>
    <t>dineshkumarsubbiah802@gmail.com</t>
  </si>
  <si>
    <t>Saraswathi Thavamani</t>
  </si>
  <si>
    <t>saraswathi39.k@gmail.com</t>
  </si>
  <si>
    <t>Krishnachaitanya P</t>
  </si>
  <si>
    <t>kcp520969@tatamotors.com</t>
  </si>
  <si>
    <t>Chennappa naik y</t>
  </si>
  <si>
    <t>ycnaik1960@gmail.com</t>
  </si>
  <si>
    <t>Vikash Kumar</t>
  </si>
  <si>
    <t>vikash5sept@gmail.com</t>
  </si>
  <si>
    <t>Manjeet Singh</t>
  </si>
  <si>
    <t>codingislife12@gmail.com</t>
  </si>
  <si>
    <t>BigBasketeer Guruprasad</t>
  </si>
  <si>
    <t>leelasguru@gmail.com</t>
  </si>
  <si>
    <t>Subrata Mondal</t>
  </si>
  <si>
    <t>subratapetro@gmail.com</t>
  </si>
  <si>
    <t>Kamya Tandon</t>
  </si>
  <si>
    <t>kamya.tandon1@gmail.com</t>
  </si>
  <si>
    <t>Srinivas NA</t>
  </si>
  <si>
    <t>srinivas.mfunds@gmail.com</t>
  </si>
  <si>
    <t>gururajbr1965@gmail.com</t>
  </si>
  <si>
    <t>Sunil Prabhakar</t>
  </si>
  <si>
    <t>sunilprabhakar1985@gmail.com</t>
  </si>
  <si>
    <t>Deepak Choudhary</t>
  </si>
  <si>
    <t>furydempire@gmail.com</t>
  </si>
  <si>
    <t>jaivirbaniwal@gmail.com</t>
  </si>
  <si>
    <t>ashwin666111@gmail.com</t>
  </si>
  <si>
    <t>jatinthriller@gmail.com</t>
  </si>
  <si>
    <t>sudhakrishnan03@gmail.com</t>
  </si>
  <si>
    <t>chandan.rao12@gmail.com</t>
  </si>
  <si>
    <t>gururaj shreedhara</t>
  </si>
  <si>
    <t>gururajs@acharya.ac.in</t>
  </si>
  <si>
    <t>vanishri.mathapati@gmail.com</t>
  </si>
  <si>
    <t>Sonali Somani</t>
  </si>
  <si>
    <t>premnarayan.007@gmail.com</t>
  </si>
  <si>
    <t>Balindra Kumar</t>
  </si>
  <si>
    <t>balindra72@gmail.com</t>
  </si>
  <si>
    <t>Vikas Bihani</t>
  </si>
  <si>
    <t>laxmiteaco@yahoo.com</t>
  </si>
  <si>
    <t>shobha1704@gmail.com</t>
  </si>
  <si>
    <t>sathyabalaji@yahoo.com</t>
  </si>
  <si>
    <t>vijaykrishnadesai@gmail.com</t>
  </si>
  <si>
    <t>chaithrabasavaraj043@gmail.com</t>
  </si>
  <si>
    <t>pushpa R</t>
  </si>
  <si>
    <t>pushpa.shrinivas@yahoo.in</t>
  </si>
  <si>
    <t>Amruta Patil</t>
  </si>
  <si>
    <t>adpsmile@gmail.com</t>
  </si>
  <si>
    <t>Bourbon Creme Biscuit With Chocolate</t>
  </si>
  <si>
    <t>Little Hearts Classic Crunch Biscuits</t>
  </si>
  <si>
    <t>Instant Bhel</t>
  </si>
  <si>
    <t>Sadiqua Yousuff</t>
  </si>
  <si>
    <t>mrcog1sadiqua@gmail.com</t>
  </si>
  <si>
    <t>arunkumar.s.patil@gmail.com</t>
  </si>
  <si>
    <t>eashuraj@gmail.com</t>
  </si>
  <si>
    <t>Gopalakrishna M</t>
  </si>
  <si>
    <t>gops_pals2@rediffmail.com</t>
  </si>
  <si>
    <t>Rajshekhar Yalakki</t>
  </si>
  <si>
    <t>rajshekar_96@yahoo.com</t>
  </si>
  <si>
    <t>medha.patwardhan58@gmail.com</t>
  </si>
  <si>
    <t>semica@gmail.com</t>
  </si>
  <si>
    <t>Marie Gold Biscuits</t>
  </si>
  <si>
    <t>mariyammar801@gmail.com</t>
  </si>
  <si>
    <t>bprakas1109@gmail.com</t>
  </si>
  <si>
    <t>manojcorrea@gmail.com</t>
  </si>
  <si>
    <t>Govardhan Sharma</t>
  </si>
  <si>
    <t>govardhanji@yahoo.com</t>
  </si>
  <si>
    <t>Sudhir Nair</t>
  </si>
  <si>
    <t>sudhirnair78@yahoo.com</t>
  </si>
  <si>
    <t>Srinivas Kathavate</t>
  </si>
  <si>
    <t>srinivas.kathavate@gmail.com</t>
  </si>
  <si>
    <t>Sajanikumari Vinod</t>
  </si>
  <si>
    <t>sajanikumari@gmail.com</t>
  </si>
  <si>
    <t>Jitendra Sharma</t>
  </si>
  <si>
    <t>jitendra_jitu84@yahoo.com</t>
  </si>
  <si>
    <t>Veena J</t>
  </si>
  <si>
    <t>veena_jayraj@yahoo.co.in</t>
  </si>
  <si>
    <t>Lakshmi Ramaswamy</t>
  </si>
  <si>
    <t>mkrishn2@gmail.com</t>
  </si>
  <si>
    <t>sreramkumar s.v.</t>
  </si>
  <si>
    <t>sreramkumar@gmail.com</t>
  </si>
  <si>
    <t>Vinod Komaravolu</t>
  </si>
  <si>
    <t>klvd.vinod@gmail.com</t>
  </si>
  <si>
    <t>Santhanam .</t>
  </si>
  <si>
    <t>santhanamseetha@gmail.com</t>
  </si>
  <si>
    <t>Gourav Soni</t>
  </si>
  <si>
    <t>sonigouravnit@gmail.com</t>
  </si>
  <si>
    <t>Avinash Girish</t>
  </si>
  <si>
    <t>avinash100778@gmail.com</t>
  </si>
  <si>
    <t>steffyberniceramola@gmail.com</t>
  </si>
  <si>
    <t>Girubha Dharmakumar</t>
  </si>
  <si>
    <t>girubha@gmail.com</t>
  </si>
  <si>
    <t>Samuel Johnson</t>
  </si>
  <si>
    <t>pranigold@gmail.com</t>
  </si>
  <si>
    <t>guptamonica12@gmail.com</t>
  </si>
  <si>
    <t>venkiec025@gmail.com</t>
  </si>
  <si>
    <t>Yogesh Garg</t>
  </si>
  <si>
    <t>yg.august3@gmail.com</t>
  </si>
  <si>
    <t>Sandeep Gutal</t>
  </si>
  <si>
    <t>sandeepnqa@gmail.com</t>
  </si>
  <si>
    <t>jas.vinita@gmail.com</t>
  </si>
  <si>
    <t>Debaprasad Daxinray</t>
  </si>
  <si>
    <t>daxinray@gmail.com</t>
  </si>
  <si>
    <t>akshay.chidrawar11@gmail.com</t>
  </si>
  <si>
    <t>Biswajit Ghosh</t>
  </si>
  <si>
    <t>bis.stat080@gmail.com</t>
  </si>
  <si>
    <t>domnicsurendar@gmail.com</t>
  </si>
  <si>
    <t>Famina Sangtani</t>
  </si>
  <si>
    <t>ghanshyamdas660@gmail.com</t>
  </si>
  <si>
    <t>RAHUL GUPTA</t>
  </si>
  <si>
    <t>rahulguptaasr@gmail.com</t>
  </si>
  <si>
    <t>Manoranjan Sahu</t>
  </si>
  <si>
    <t>mano.sahu@gmail.com</t>
  </si>
  <si>
    <t>Saurabh Kumar</t>
  </si>
  <si>
    <t>saurabh.kr007@gmail.com</t>
  </si>
  <si>
    <t>Abhishek Singh</t>
  </si>
  <si>
    <t>singh.abhishek10061990@gmail.com</t>
  </si>
  <si>
    <t>Sachin Zacharias</t>
  </si>
  <si>
    <t>sachuzac@gmail.com</t>
  </si>
  <si>
    <t>sabarish TP</t>
  </si>
  <si>
    <t>sabarishtp@yahoo.com</t>
  </si>
  <si>
    <t>Kanchan Ailawadi</t>
  </si>
  <si>
    <t>Sangeeta Singh</t>
  </si>
  <si>
    <t>lokesh.chou@gmail.com</t>
  </si>
  <si>
    <t>Sunil Rai</t>
  </si>
  <si>
    <t>sunilchowdary.b@gmail.com</t>
  </si>
  <si>
    <t>geetha19669@gmail.com</t>
  </si>
  <si>
    <t>karunakar.in@gmail.com</t>
  </si>
  <si>
    <t>PANDIAN G</t>
  </si>
  <si>
    <t>pandiang48@gmail.com</t>
  </si>
  <si>
    <t>akhi5482@gmail.com</t>
  </si>
  <si>
    <t>Vasanta Krishnamurthy</t>
  </si>
  <si>
    <t>veeharas@gmail.com</t>
  </si>
  <si>
    <t>Arun Bhatt</t>
  </si>
  <si>
    <t>arunbhattdpscl@gmail.com</t>
  </si>
  <si>
    <t>harshithasvm@gmail.com</t>
  </si>
  <si>
    <t>Tharuni Sai</t>
  </si>
  <si>
    <t>tharunisai19@gmail.com</t>
  </si>
  <si>
    <t>Ctinandeesh O</t>
  </si>
  <si>
    <t>ctinandeesh@gmail.com</t>
  </si>
  <si>
    <t>Manjula M</t>
  </si>
  <si>
    <t>mvdrsanthakumar@gmail.com</t>
  </si>
  <si>
    <t>madhavivbabu@gmail.com</t>
  </si>
  <si>
    <t>CHANDRASHEKAR BANDARI</t>
  </si>
  <si>
    <t>bandarichandu@gmail.com</t>
  </si>
  <si>
    <t>Prashant Chitrapur</t>
  </si>
  <si>
    <t>chirag.chitrapur@icloud.com</t>
  </si>
  <si>
    <t>Shweta kshirsagar</t>
  </si>
  <si>
    <t>snk9733@gmail.com</t>
  </si>
  <si>
    <t>Seetha Lakshmi Subramaian</t>
  </si>
  <si>
    <t>sandhyaconnect@gmail.com</t>
  </si>
  <si>
    <t>rawaneshweta@gmail.com</t>
  </si>
  <si>
    <t>pramodkekatpure0224@gmail.com</t>
  </si>
  <si>
    <t>Rahul Kumar</t>
  </si>
  <si>
    <t>rahulkr7511@gmail.com</t>
  </si>
  <si>
    <t>Deepalee Gawade</t>
  </si>
  <si>
    <t>gawade.deepale@gmail.com</t>
  </si>
  <si>
    <t>aavinashkumarmishra@gmail.com</t>
  </si>
  <si>
    <t>shashikant.upare@biocon.com</t>
  </si>
  <si>
    <t>Janarthanan Kandhasamy</t>
  </si>
  <si>
    <t>jana.kandhasamy@gmail.com</t>
  </si>
  <si>
    <t>Rameshkumar Gnanavadivel</t>
  </si>
  <si>
    <t>grameshb4u@gmail.com</t>
  </si>
  <si>
    <t>Sunona George</t>
  </si>
  <si>
    <t>suninasaarag@gmail.com</t>
  </si>
  <si>
    <t>Shishir Gupta</t>
  </si>
  <si>
    <t>shishirgupta18@yahoo.com</t>
  </si>
  <si>
    <t>Abhishek Naik</t>
  </si>
  <si>
    <t>anaik1623@gmail.com</t>
  </si>
  <si>
    <t>Khyati Iyer</t>
  </si>
  <si>
    <t>drkhyatiiyer@outlook.com</t>
  </si>
  <si>
    <t>Balchandra Karbhajan</t>
  </si>
  <si>
    <t>bkarbhajan@gmail.com</t>
  </si>
  <si>
    <t>Parmita Rakshit</t>
  </si>
  <si>
    <t>parmita.n@gmail.com</t>
  </si>
  <si>
    <t>John Johny</t>
  </si>
  <si>
    <t>john.cjohnsj@gmail.com</t>
  </si>
  <si>
    <t>Suresh Babu</t>
  </si>
  <si>
    <t>sureshbabu5284@gmail.com</t>
  </si>
  <si>
    <t>Shoba Umapathi</t>
  </si>
  <si>
    <t>Arati Bagaddeo</t>
  </si>
  <si>
    <t>bagaddeo.arati@gmail.com</t>
  </si>
  <si>
    <t>sribala.ganez@gmail.com</t>
  </si>
  <si>
    <t>Narasimha Murthy</t>
  </si>
  <si>
    <t>nmurthy1506@gmail.com</t>
  </si>
  <si>
    <t>kmeenakshee8@gmail.com</t>
  </si>
  <si>
    <t>Arun wadhwa</t>
  </si>
  <si>
    <t>mail2.arunkum@gmail.com</t>
  </si>
  <si>
    <t>Ashwini Nayak</t>
  </si>
  <si>
    <t>ashshrnayak9@gmail.com</t>
  </si>
  <si>
    <t>JimJam Naughty Jam Biscuits</t>
  </si>
  <si>
    <t>pravin.bari091@gmail.com</t>
  </si>
  <si>
    <t>Sharfaa Tabassum</t>
  </si>
  <si>
    <t>shweatha birugu</t>
  </si>
  <si>
    <t>shweatha.b@gmail.com</t>
  </si>
  <si>
    <t>smsuriya@gmail.com</t>
  </si>
  <si>
    <t>Thilak Vaidyah</t>
  </si>
  <si>
    <t>thilakvaidyah1997@gmail.com</t>
  </si>
  <si>
    <t>Ramyashree BR</t>
  </si>
  <si>
    <t>ramyaranganath7@gmail.com</t>
  </si>
  <si>
    <t>Ritesh Kumar</t>
  </si>
  <si>
    <t>hiiriteshkumar@gmail.com</t>
  </si>
  <si>
    <t>sharmakumkum080@gmail.com</t>
  </si>
  <si>
    <t>Kamal Jervin</t>
  </si>
  <si>
    <t>kamaljervin@gmail.com</t>
  </si>
  <si>
    <t>Karuna Yg</t>
  </si>
  <si>
    <t>karunayg@gmail.com</t>
  </si>
  <si>
    <t>manu abraham</t>
  </si>
  <si>
    <t>manuabraham22@gmail.com</t>
  </si>
  <si>
    <t>Sunil Lingaraddi</t>
  </si>
  <si>
    <t>sunil.wings@gmail.com</t>
  </si>
  <si>
    <t>kirthikka m</t>
  </si>
  <si>
    <t>kirthikka.hellofm@gmail.com</t>
  </si>
  <si>
    <t>Latha Harikrishnan</t>
  </si>
  <si>
    <t>lathaharikrishnan.lh@gmail.com</t>
  </si>
  <si>
    <t>vinay.adki123@gmail.com</t>
  </si>
  <si>
    <t>vodducharitha@gmail.com</t>
  </si>
  <si>
    <t>Aryan Yadav</t>
  </si>
  <si>
    <t>aryan.0408.yadav@gmail.com</t>
  </si>
  <si>
    <t>Whole Wheat Atta Bread</t>
  </si>
  <si>
    <t>Karthik Raveen</t>
  </si>
  <si>
    <t>karthik.raveen@gmail.com</t>
  </si>
  <si>
    <t>Hyder Ali</t>
  </si>
  <si>
    <t>gracious124@gmail.com</t>
  </si>
  <si>
    <t>Manohar Jani</t>
  </si>
  <si>
    <t>deepakmanoharjani@gmail.com</t>
  </si>
  <si>
    <t>Smita Vaidya</t>
  </si>
  <si>
    <t>smita.vaidya0111@gmail.com</t>
  </si>
  <si>
    <t>cm44gupta@gmail.com</t>
  </si>
  <si>
    <t>Ganesh Prabhu</t>
  </si>
  <si>
    <t>gdprabhu@gmail.com</t>
  </si>
  <si>
    <t>Rashmi Joshi</t>
  </si>
  <si>
    <t>rashmi_shr@yahoo.com</t>
  </si>
  <si>
    <t>Shreya Agarwal</t>
  </si>
  <si>
    <t>shreya.sagi333@gmail.com</t>
  </si>
  <si>
    <t>rajurakma73@gmail.com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</si>
</sst>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theme="1"/>
      <name val="Aptos Narrow"/>
      <scheme val="minor"/>
    </font>
    <font>
      <sz val="10.0"/>
      <color rgb="FF000000"/>
      <name val="&quot;Aptos Narrow&quot;"/>
    </font>
    <font>
      <sz val="10.0"/>
      <color theme="1"/>
      <name val="Arial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1" fillId="3" fontId="2" numFmtId="0" xfId="0" applyBorder="1" applyFill="1" applyFont="1"/>
    <xf borderId="1" fillId="3" fontId="3" numFmtId="0" xfId="0" applyBorder="1" applyFont="1"/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order_modification_reports_sa_b"/>
      <sheetName val="credit-used-report-bb20-source-"/>
      <sheetName val="expressOrder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43"/>
    <col customWidth="1" min="6" max="6" width="39.86"/>
    <col customWidth="1" min="9" max="9" width="51.86"/>
    <col customWidth="1" min="10" max="10" width="21.43"/>
    <col customWidth="1" min="15" max="15" width="16.71"/>
    <col customWidth="1" min="16" max="16" width="16.86"/>
    <col customWidth="1" min="18" max="18" width="34.43"/>
    <col customWidth="1" min="19" max="19" width="36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tr">
        <f t="shared" ref="Q1:Q1714" si="1">TEXT(A1,"DD-MM-YYYY")</f>
        <v>date_of_generation</v>
      </c>
      <c r="R1" s="4" t="str">
        <f>IFERROR( VLOOKUP(C1,[1]expressOrderReport!$S:$AZ,34,0),0)</f>
        <v>#ERROR!</v>
      </c>
      <c r="S1" s="3" t="s">
        <v>16</v>
      </c>
      <c r="T1" s="3" t="s">
        <v>17</v>
      </c>
    </row>
    <row r="2" ht="15.75" customHeight="1">
      <c r="A2" s="5">
        <v>46013.0</v>
      </c>
      <c r="B2" s="6">
        <v>3731.0</v>
      </c>
      <c r="C2" s="6">
        <v>1.859164697E9</v>
      </c>
      <c r="D2" s="6">
        <v>1.7399498E7</v>
      </c>
      <c r="E2" s="6" t="s">
        <v>18</v>
      </c>
      <c r="F2" s="6" t="s">
        <v>19</v>
      </c>
      <c r="G2" s="6">
        <v>9.886654678E9</v>
      </c>
      <c r="H2" s="6">
        <v>4.0161616E7</v>
      </c>
      <c r="I2" s="6" t="s">
        <v>20</v>
      </c>
      <c r="J2" s="6" t="s">
        <v>21</v>
      </c>
      <c r="K2" s="6" t="s">
        <v>22</v>
      </c>
      <c r="L2" s="6">
        <v>56.0</v>
      </c>
      <c r="M2" s="5">
        <v>46013.0</v>
      </c>
      <c r="N2" s="6" t="s">
        <v>23</v>
      </c>
      <c r="O2" s="6" t="str">
        <f>SUMIFS([1]order_sku_sales_bb2_report!P:P,[1]order_sku_sales_bb2_report!H:H,C27732,[1]order_sku_sales_bb2_report!J:J,H27732)</f>
        <v>#ERROR!</v>
      </c>
      <c r="P2" s="6" t="str">
        <f>SUMIFS([1]order_sku_sales_bb2_report!O:O,[1]order_sku_sales_bb2_report!H:H,C27732,[1]order_sku_sales_bb2_report!J:J,H27732)</f>
        <v>#ERROR!</v>
      </c>
      <c r="Q2" s="6" t="str">
        <f t="shared" si="1"/>
        <v>22-12-2025</v>
      </c>
      <c r="R2" s="6" t="str">
        <f>IFERROR( VLOOKUP(C27732,[1]expressOrderReport!$S:$AZ,34,0),0)</f>
        <v>#ERROR!</v>
      </c>
      <c r="S2" s="6" t="str">
        <f>ARRAY_CONSTRAIN(ARRAYFORMULA(_xludf.XLOOKUP(D27732,[1]order_Report_SA_ID_BB2.0!V:V,[1]order_Report_SA_ID_BB2.0!AM:AM,"")), 1, 1)</f>
        <v>#ERROR!</v>
      </c>
      <c r="T2" s="6" t="str">
        <f t="shared" ref="T2:T1714" si="2">TEXT(Q2,"MMM'25")</f>
        <v>Dec'25</v>
      </c>
    </row>
    <row r="3" ht="15.75" customHeight="1">
      <c r="A3" s="5">
        <v>46013.0</v>
      </c>
      <c r="B3" s="6">
        <v>7544.0</v>
      </c>
      <c r="C3" s="6">
        <v>1.859164704E9</v>
      </c>
      <c r="D3" s="6">
        <v>1.6661372E7</v>
      </c>
      <c r="E3" s="6" t="s">
        <v>24</v>
      </c>
      <c r="F3" s="6" t="s">
        <v>25</v>
      </c>
      <c r="G3" s="6">
        <v>9.66339751E9</v>
      </c>
      <c r="H3" s="6">
        <v>4.0149832E7</v>
      </c>
      <c r="I3" s="6" t="s">
        <v>26</v>
      </c>
      <c r="J3" s="6" t="s">
        <v>21</v>
      </c>
      <c r="K3" s="6" t="s">
        <v>27</v>
      </c>
      <c r="L3" s="6">
        <v>48.0</v>
      </c>
      <c r="M3" s="5">
        <v>46013.0</v>
      </c>
      <c r="N3" s="6" t="s">
        <v>23</v>
      </c>
      <c r="O3" s="6" t="str">
        <f>SUMIFS([1]order_sku_sales_bb2_report!P:P,[1]order_sku_sales_bb2_report!H:H,C27733,[1]order_sku_sales_bb2_report!J:J,H27733)</f>
        <v>#ERROR!</v>
      </c>
      <c r="P3" s="6" t="str">
        <f>SUMIFS([1]order_sku_sales_bb2_report!O:O,[1]order_sku_sales_bb2_report!H:H,C27733,[1]order_sku_sales_bb2_report!J:J,H27733)</f>
        <v>#ERROR!</v>
      </c>
      <c r="Q3" s="6" t="str">
        <f t="shared" si="1"/>
        <v>22-12-2025</v>
      </c>
      <c r="R3" s="6" t="str">
        <f>IFERROR( VLOOKUP(C27733,[1]expressOrderReport!$S:$AZ,34,0),0)</f>
        <v>#ERROR!</v>
      </c>
      <c r="S3" s="6" t="str">
        <f>ARRAY_CONSTRAIN(ARRAYFORMULA(_xludf.XLOOKUP(D27733,[1]order_Report_SA_ID_BB2.0!V:V,[1]order_Report_SA_ID_BB2.0!AM:AM,"")), 1, 1)</f>
        <v>#ERROR!</v>
      </c>
      <c r="T3" s="6" t="str">
        <f t="shared" si="2"/>
        <v>Dec'25</v>
      </c>
    </row>
    <row r="4" ht="15.75" customHeight="1">
      <c r="A4" s="5">
        <v>46013.0</v>
      </c>
      <c r="B4" s="6">
        <v>11778.0</v>
      </c>
      <c r="C4" s="6">
        <v>1.85916471E9</v>
      </c>
      <c r="D4" s="6">
        <v>2.3529516E7</v>
      </c>
      <c r="E4" s="6" t="s">
        <v>28</v>
      </c>
      <c r="F4" s="6" t="s">
        <v>29</v>
      </c>
      <c r="G4" s="6">
        <v>9.980803337E9</v>
      </c>
      <c r="H4" s="6">
        <v>4.0149832E7</v>
      </c>
      <c r="I4" s="6" t="s">
        <v>26</v>
      </c>
      <c r="J4" s="6" t="s">
        <v>21</v>
      </c>
      <c r="K4" s="6" t="s">
        <v>22</v>
      </c>
      <c r="L4" s="6">
        <v>76.0</v>
      </c>
      <c r="M4" s="5">
        <v>46013.0</v>
      </c>
      <c r="N4" s="6" t="s">
        <v>23</v>
      </c>
      <c r="O4" s="6" t="str">
        <f>SUMIFS([1]order_sku_sales_bb2_report!P:P,[1]order_sku_sales_bb2_report!H:H,C27734,[1]order_sku_sales_bb2_report!J:J,H27734)</f>
        <v>#ERROR!</v>
      </c>
      <c r="P4" s="6" t="str">
        <f>SUMIFS([1]order_sku_sales_bb2_report!O:O,[1]order_sku_sales_bb2_report!H:H,C27734,[1]order_sku_sales_bb2_report!J:J,H27734)</f>
        <v>#ERROR!</v>
      </c>
      <c r="Q4" s="6" t="str">
        <f t="shared" si="1"/>
        <v>22-12-2025</v>
      </c>
      <c r="R4" s="6" t="str">
        <f>IFERROR( VLOOKUP(C27734,[1]expressOrderReport!$S:$AZ,34,0),0)</f>
        <v>#ERROR!</v>
      </c>
      <c r="S4" s="6" t="str">
        <f>ARRAY_CONSTRAIN(ARRAYFORMULA(_xludf.XLOOKUP(D27734,[1]order_Report_SA_ID_BB2.0!V:V,[1]order_Report_SA_ID_BB2.0!AM:AM,"")), 1, 1)</f>
        <v>#ERROR!</v>
      </c>
      <c r="T4" s="6" t="str">
        <f t="shared" si="2"/>
        <v>Dec'25</v>
      </c>
    </row>
    <row r="5" ht="15.75" customHeight="1">
      <c r="A5" s="5">
        <v>46013.0</v>
      </c>
      <c r="B5" s="6">
        <v>11779.0</v>
      </c>
      <c r="C5" s="6">
        <v>1.85916471E9</v>
      </c>
      <c r="D5" s="6">
        <v>2.3529516E7</v>
      </c>
      <c r="E5" s="6" t="s">
        <v>28</v>
      </c>
      <c r="F5" s="6" t="s">
        <v>29</v>
      </c>
      <c r="G5" s="6">
        <v>9.980803337E9</v>
      </c>
      <c r="H5" s="6">
        <v>4.014983E7</v>
      </c>
      <c r="I5" s="6" t="s">
        <v>30</v>
      </c>
      <c r="J5" s="6" t="s">
        <v>21</v>
      </c>
      <c r="K5" s="6" t="s">
        <v>22</v>
      </c>
      <c r="L5" s="6">
        <v>76.0</v>
      </c>
      <c r="M5" s="5">
        <v>46013.0</v>
      </c>
      <c r="N5" s="6" t="s">
        <v>23</v>
      </c>
      <c r="O5" s="6" t="str">
        <f>SUMIFS([1]order_sku_sales_bb2_report!P:P,[1]order_sku_sales_bb2_report!H:H,C27735,[1]order_sku_sales_bb2_report!J:J,H27735)</f>
        <v>#ERROR!</v>
      </c>
      <c r="P5" s="6" t="str">
        <f>SUMIFS([1]order_sku_sales_bb2_report!O:O,[1]order_sku_sales_bb2_report!H:H,C27735,[1]order_sku_sales_bb2_report!J:J,H27735)</f>
        <v>#ERROR!</v>
      </c>
      <c r="Q5" s="6" t="str">
        <f t="shared" si="1"/>
        <v>22-12-2025</v>
      </c>
      <c r="R5" s="6" t="str">
        <f>IFERROR( VLOOKUP(C27735,[1]expressOrderReport!$S:$AZ,34,0),0)</f>
        <v>#ERROR!</v>
      </c>
      <c r="S5" s="6" t="str">
        <f>ARRAY_CONSTRAIN(ARRAYFORMULA(_xludf.XLOOKUP(D27735,[1]order_Report_SA_ID_BB2.0!V:V,[1]order_Report_SA_ID_BB2.0!AM:AM,"")), 1, 1)</f>
        <v>#ERROR!</v>
      </c>
      <c r="T5" s="6" t="str">
        <f t="shared" si="2"/>
        <v>Dec'25</v>
      </c>
    </row>
    <row r="6" ht="15.75" customHeight="1">
      <c r="A6" s="5">
        <v>46013.0</v>
      </c>
      <c r="B6" s="6">
        <v>7523.0</v>
      </c>
      <c r="C6" s="6">
        <v>1.859164715E9</v>
      </c>
      <c r="D6" s="6">
        <v>6967288.0</v>
      </c>
      <c r="E6" s="6" t="s">
        <v>31</v>
      </c>
      <c r="F6" s="6" t="s">
        <v>32</v>
      </c>
      <c r="G6" s="6">
        <v>9.483501982E9</v>
      </c>
      <c r="H6" s="6">
        <v>4.014983E7</v>
      </c>
      <c r="I6" s="6" t="s">
        <v>30</v>
      </c>
      <c r="J6" s="6" t="s">
        <v>21</v>
      </c>
      <c r="K6" s="6" t="s">
        <v>22</v>
      </c>
      <c r="L6" s="6">
        <v>148.0</v>
      </c>
      <c r="M6" s="5">
        <v>46013.0</v>
      </c>
      <c r="N6" s="6" t="s">
        <v>23</v>
      </c>
      <c r="O6" s="6" t="str">
        <f>SUMIFS([1]order_sku_sales_bb2_report!P:P,[1]order_sku_sales_bb2_report!H:H,C27736,[1]order_sku_sales_bb2_report!J:J,H27736)</f>
        <v>#ERROR!</v>
      </c>
      <c r="P6" s="6" t="str">
        <f>SUMIFS([1]order_sku_sales_bb2_report!O:O,[1]order_sku_sales_bb2_report!H:H,C27736,[1]order_sku_sales_bb2_report!J:J,H27736)</f>
        <v>#ERROR!</v>
      </c>
      <c r="Q6" s="6" t="str">
        <f t="shared" si="1"/>
        <v>22-12-2025</v>
      </c>
      <c r="R6" s="6" t="str">
        <f>IFERROR( VLOOKUP(C27736,[1]expressOrderReport!$S:$AZ,34,0),0)</f>
        <v>#ERROR!</v>
      </c>
      <c r="S6" s="6" t="str">
        <f>ARRAY_CONSTRAIN(ARRAYFORMULA(_xludf.XLOOKUP(D27736,[1]order_Report_SA_ID_BB2.0!V:V,[1]order_Report_SA_ID_BB2.0!AM:AM,"")), 1, 1)</f>
        <v>#ERROR!</v>
      </c>
      <c r="T6" s="6" t="str">
        <f t="shared" si="2"/>
        <v>Dec'25</v>
      </c>
    </row>
    <row r="7" ht="15.75" customHeight="1">
      <c r="A7" s="5">
        <v>46013.0</v>
      </c>
      <c r="B7" s="6">
        <v>7525.0</v>
      </c>
      <c r="C7" s="6">
        <v>1.859164715E9</v>
      </c>
      <c r="D7" s="6">
        <v>6967288.0</v>
      </c>
      <c r="E7" s="6" t="s">
        <v>31</v>
      </c>
      <c r="F7" s="6" t="s">
        <v>32</v>
      </c>
      <c r="G7" s="6">
        <v>9.483501982E9</v>
      </c>
      <c r="H7" s="6">
        <v>4.0158264E7</v>
      </c>
      <c r="I7" s="6" t="s">
        <v>26</v>
      </c>
      <c r="J7" s="6" t="s">
        <v>21</v>
      </c>
      <c r="K7" s="6" t="s">
        <v>22</v>
      </c>
      <c r="L7" s="6">
        <v>148.0</v>
      </c>
      <c r="M7" s="5">
        <v>46013.0</v>
      </c>
      <c r="N7" s="6" t="s">
        <v>23</v>
      </c>
      <c r="O7" s="6" t="str">
        <f>SUMIFS([1]order_sku_sales_bb2_report!P:P,[1]order_sku_sales_bb2_report!H:H,C27737,[1]order_sku_sales_bb2_report!J:J,H27737)</f>
        <v>#ERROR!</v>
      </c>
      <c r="P7" s="6" t="str">
        <f>SUMIFS([1]order_sku_sales_bb2_report!O:O,[1]order_sku_sales_bb2_report!H:H,C27737,[1]order_sku_sales_bb2_report!J:J,H27737)</f>
        <v>#ERROR!</v>
      </c>
      <c r="Q7" s="6" t="str">
        <f t="shared" si="1"/>
        <v>22-12-2025</v>
      </c>
      <c r="R7" s="6" t="str">
        <f>IFERROR( VLOOKUP(C27737,[1]expressOrderReport!$S:$AZ,34,0),0)</f>
        <v>#ERROR!</v>
      </c>
      <c r="S7" s="6" t="str">
        <f>ARRAY_CONSTRAIN(ARRAYFORMULA(_xludf.XLOOKUP(D27737,[1]order_Report_SA_ID_BB2.0!V:V,[1]order_Report_SA_ID_BB2.0!AM:AM,"")), 1, 1)</f>
        <v>#ERROR!</v>
      </c>
      <c r="T7" s="6" t="str">
        <f t="shared" si="2"/>
        <v>Dec'25</v>
      </c>
    </row>
    <row r="8" ht="15.75" customHeight="1">
      <c r="A8" s="5">
        <v>46013.0</v>
      </c>
      <c r="B8" s="6">
        <v>1664.0</v>
      </c>
      <c r="C8" s="6">
        <v>1.859164728E9</v>
      </c>
      <c r="D8" s="6">
        <v>6864410.0</v>
      </c>
      <c r="E8" s="6" t="s">
        <v>33</v>
      </c>
      <c r="F8" s="6" t="s">
        <v>34</v>
      </c>
      <c r="G8" s="6">
        <v>9.739794543E9</v>
      </c>
      <c r="H8" s="6">
        <v>4.0090893E7</v>
      </c>
      <c r="I8" s="6" t="s">
        <v>35</v>
      </c>
      <c r="J8" s="6" t="s">
        <v>21</v>
      </c>
      <c r="K8" s="6" t="s">
        <v>22</v>
      </c>
      <c r="L8" s="6">
        <v>121.81</v>
      </c>
      <c r="M8" s="5">
        <v>46013.0</v>
      </c>
      <c r="N8" s="6" t="s">
        <v>23</v>
      </c>
      <c r="O8" s="6" t="str">
        <f>SUMIFS([1]order_sku_sales_bb2_report!P:P,[1]order_sku_sales_bb2_report!H:H,C27738,[1]order_sku_sales_bb2_report!J:J,H27738)</f>
        <v>#ERROR!</v>
      </c>
      <c r="P8" s="6" t="str">
        <f>SUMIFS([1]order_sku_sales_bb2_report!O:O,[1]order_sku_sales_bb2_report!H:H,C27738,[1]order_sku_sales_bb2_report!J:J,H27738)</f>
        <v>#ERROR!</v>
      </c>
      <c r="Q8" s="6" t="str">
        <f t="shared" si="1"/>
        <v>22-12-2025</v>
      </c>
      <c r="R8" s="6" t="str">
        <f>IFERROR( VLOOKUP(C27738,[1]expressOrderReport!$S:$AZ,34,0),0)</f>
        <v>#ERROR!</v>
      </c>
      <c r="S8" s="6" t="str">
        <f>ARRAY_CONSTRAIN(ARRAYFORMULA(_xludf.XLOOKUP(D27738,[1]order_Report_SA_ID_BB2.0!V:V,[1]order_Report_SA_ID_BB2.0!AM:AM,"")), 1, 1)</f>
        <v>#ERROR!</v>
      </c>
      <c r="T8" s="6" t="str">
        <f t="shared" si="2"/>
        <v>Dec'25</v>
      </c>
    </row>
    <row r="9" ht="15.75" customHeight="1">
      <c r="A9" s="5">
        <v>46013.0</v>
      </c>
      <c r="B9" s="6">
        <v>11158.0</v>
      </c>
      <c r="C9" s="6">
        <v>1.859164728E9</v>
      </c>
      <c r="D9" s="6">
        <v>6864410.0</v>
      </c>
      <c r="E9" s="6" t="s">
        <v>33</v>
      </c>
      <c r="F9" s="6" t="s">
        <v>34</v>
      </c>
      <c r="G9" s="6">
        <v>9.739794543E9</v>
      </c>
      <c r="H9" s="6">
        <v>4.0149832E7</v>
      </c>
      <c r="I9" s="6" t="s">
        <v>26</v>
      </c>
      <c r="J9" s="6" t="s">
        <v>21</v>
      </c>
      <c r="K9" s="6" t="s">
        <v>22</v>
      </c>
      <c r="L9" s="6">
        <v>121.81</v>
      </c>
      <c r="M9" s="5">
        <v>46013.0</v>
      </c>
      <c r="N9" s="6" t="s">
        <v>23</v>
      </c>
      <c r="O9" s="6" t="str">
        <f>SUMIFS([1]order_sku_sales_bb2_report!P:P,[1]order_sku_sales_bb2_report!H:H,C27739,[1]order_sku_sales_bb2_report!J:J,H27739)</f>
        <v>#ERROR!</v>
      </c>
      <c r="P9" s="6" t="str">
        <f>SUMIFS([1]order_sku_sales_bb2_report!O:O,[1]order_sku_sales_bb2_report!H:H,C27739,[1]order_sku_sales_bb2_report!J:J,H27739)</f>
        <v>#ERROR!</v>
      </c>
      <c r="Q9" s="6" t="str">
        <f t="shared" si="1"/>
        <v>22-12-2025</v>
      </c>
      <c r="R9" s="6" t="str">
        <f>IFERROR( VLOOKUP(C27739,[1]expressOrderReport!$S:$AZ,34,0),0)</f>
        <v>#ERROR!</v>
      </c>
      <c r="S9" s="6" t="str">
        <f>ARRAY_CONSTRAIN(ARRAYFORMULA(_xludf.XLOOKUP(D27739,[1]order_Report_SA_ID_BB2.0!V:V,[1]order_Report_SA_ID_BB2.0!AM:AM,"")), 1, 1)</f>
        <v>#ERROR!</v>
      </c>
      <c r="T9" s="6" t="str">
        <f t="shared" si="2"/>
        <v>Dec'25</v>
      </c>
    </row>
    <row r="10" ht="15.75" customHeight="1">
      <c r="A10" s="5">
        <v>46013.0</v>
      </c>
      <c r="B10" s="6">
        <v>12081.0</v>
      </c>
      <c r="C10" s="6">
        <v>1.859164728E9</v>
      </c>
      <c r="D10" s="6">
        <v>6864410.0</v>
      </c>
      <c r="E10" s="6" t="s">
        <v>33</v>
      </c>
      <c r="F10" s="6" t="s">
        <v>34</v>
      </c>
      <c r="G10" s="6">
        <v>9.739794543E9</v>
      </c>
      <c r="H10" s="6">
        <v>4.0018331E7</v>
      </c>
      <c r="I10" s="6" t="s">
        <v>36</v>
      </c>
      <c r="J10" s="6" t="s">
        <v>21</v>
      </c>
      <c r="K10" s="6" t="s">
        <v>22</v>
      </c>
      <c r="L10" s="6">
        <v>121.81</v>
      </c>
      <c r="M10" s="5">
        <v>46013.0</v>
      </c>
      <c r="N10" s="6" t="s">
        <v>23</v>
      </c>
      <c r="O10" s="6" t="str">
        <f>SUMIFS([1]order_sku_sales_bb2_report!P:P,[1]order_sku_sales_bb2_report!H:H,C27740,[1]order_sku_sales_bb2_report!J:J,H27740)</f>
        <v>#ERROR!</v>
      </c>
      <c r="P10" s="6" t="str">
        <f>SUMIFS([1]order_sku_sales_bb2_report!O:O,[1]order_sku_sales_bb2_report!H:H,C27740,[1]order_sku_sales_bb2_report!J:J,H27740)</f>
        <v>#ERROR!</v>
      </c>
      <c r="Q10" s="6" t="str">
        <f t="shared" si="1"/>
        <v>22-12-2025</v>
      </c>
      <c r="R10" s="6" t="str">
        <f>IFERROR( VLOOKUP(C27740,[1]expressOrderReport!$S:$AZ,34,0),0)</f>
        <v>#ERROR!</v>
      </c>
      <c r="S10" s="6" t="str">
        <f>ARRAY_CONSTRAIN(ARRAYFORMULA(_xludf.XLOOKUP(D27740,[1]order_Report_SA_ID_BB2.0!V:V,[1]order_Report_SA_ID_BB2.0!AM:AM,"")), 1, 1)</f>
        <v>#ERROR!</v>
      </c>
      <c r="T10" s="6" t="str">
        <f t="shared" si="2"/>
        <v>Dec'25</v>
      </c>
    </row>
    <row r="11" ht="15.75" customHeight="1">
      <c r="A11" s="5">
        <v>46013.0</v>
      </c>
      <c r="B11" s="6">
        <v>12083.0</v>
      </c>
      <c r="C11" s="6">
        <v>1.859164728E9</v>
      </c>
      <c r="D11" s="6">
        <v>6864410.0</v>
      </c>
      <c r="E11" s="6" t="s">
        <v>33</v>
      </c>
      <c r="F11" s="6" t="s">
        <v>34</v>
      </c>
      <c r="G11" s="6">
        <v>9.739794543E9</v>
      </c>
      <c r="H11" s="6">
        <v>4.0019457E7</v>
      </c>
      <c r="I11" s="6" t="s">
        <v>37</v>
      </c>
      <c r="J11" s="6" t="s">
        <v>21</v>
      </c>
      <c r="K11" s="6" t="s">
        <v>22</v>
      </c>
      <c r="L11" s="6">
        <v>121.81</v>
      </c>
      <c r="M11" s="5">
        <v>46013.0</v>
      </c>
      <c r="N11" s="6" t="s">
        <v>23</v>
      </c>
      <c r="O11" s="6" t="str">
        <f>SUMIFS([1]order_sku_sales_bb2_report!P:P,[1]order_sku_sales_bb2_report!H:H,C27741,[1]order_sku_sales_bb2_report!J:J,H27741)</f>
        <v>#ERROR!</v>
      </c>
      <c r="P11" s="6" t="str">
        <f>SUMIFS([1]order_sku_sales_bb2_report!O:O,[1]order_sku_sales_bb2_report!H:H,C27741,[1]order_sku_sales_bb2_report!J:J,H27741)</f>
        <v>#ERROR!</v>
      </c>
      <c r="Q11" s="6" t="str">
        <f t="shared" si="1"/>
        <v>22-12-2025</v>
      </c>
      <c r="R11" s="6" t="str">
        <f>IFERROR( VLOOKUP(C27741,[1]expressOrderReport!$S:$AZ,34,0),0)</f>
        <v>#ERROR!</v>
      </c>
      <c r="S11" s="6" t="str">
        <f>ARRAY_CONSTRAIN(ARRAYFORMULA(_xludf.XLOOKUP(D27741,[1]order_Report_SA_ID_BB2.0!V:V,[1]order_Report_SA_ID_BB2.0!AM:AM,"")), 1, 1)</f>
        <v>#ERROR!</v>
      </c>
      <c r="T11" s="6" t="str">
        <f t="shared" si="2"/>
        <v>Dec'25</v>
      </c>
    </row>
    <row r="12" ht="15.75" customHeight="1">
      <c r="A12" s="5">
        <v>46013.0</v>
      </c>
      <c r="B12" s="6">
        <v>8644.0</v>
      </c>
      <c r="C12" s="6">
        <v>1.859164738E9</v>
      </c>
      <c r="D12" s="6">
        <v>1.8109891E7</v>
      </c>
      <c r="E12" s="6" t="s">
        <v>38</v>
      </c>
      <c r="F12" s="6" t="s">
        <v>39</v>
      </c>
      <c r="G12" s="6">
        <v>8.9702456E9</v>
      </c>
      <c r="H12" s="6">
        <v>4.0149834E7</v>
      </c>
      <c r="I12" s="6" t="s">
        <v>40</v>
      </c>
      <c r="J12" s="6" t="s">
        <v>21</v>
      </c>
      <c r="K12" s="6" t="s">
        <v>22</v>
      </c>
      <c r="L12" s="6">
        <v>52.0</v>
      </c>
      <c r="M12" s="5">
        <v>46013.0</v>
      </c>
      <c r="N12" s="6" t="s">
        <v>23</v>
      </c>
      <c r="O12" s="6" t="str">
        <f>SUMIFS([1]order_sku_sales_bb2_report!P:P,[1]order_sku_sales_bb2_report!H:H,C27742,[1]order_sku_sales_bb2_report!J:J,H27742)</f>
        <v>#ERROR!</v>
      </c>
      <c r="P12" s="6" t="str">
        <f>SUMIFS([1]order_sku_sales_bb2_report!O:O,[1]order_sku_sales_bb2_report!H:H,C27742,[1]order_sku_sales_bb2_report!J:J,H27742)</f>
        <v>#ERROR!</v>
      </c>
      <c r="Q12" s="6" t="str">
        <f t="shared" si="1"/>
        <v>22-12-2025</v>
      </c>
      <c r="R12" s="6" t="str">
        <f>IFERROR( VLOOKUP(C27742,[1]expressOrderReport!$S:$AZ,34,0),0)</f>
        <v>#ERROR!</v>
      </c>
      <c r="S12" s="6" t="str">
        <f>ARRAY_CONSTRAIN(ARRAYFORMULA(_xludf.XLOOKUP(D27742,[1]order_Report_SA_ID_BB2.0!V:V,[1]order_Report_SA_ID_BB2.0!AM:AM,"")), 1, 1)</f>
        <v>#ERROR!</v>
      </c>
      <c r="T12" s="6" t="str">
        <f t="shared" si="2"/>
        <v>Dec'25</v>
      </c>
    </row>
    <row r="13" ht="15.75" customHeight="1">
      <c r="A13" s="5">
        <v>46013.0</v>
      </c>
      <c r="B13" s="6">
        <v>3091.0</v>
      </c>
      <c r="C13" s="6">
        <v>1.859164747E9</v>
      </c>
      <c r="D13" s="6">
        <v>4265441.0</v>
      </c>
      <c r="E13" s="6" t="s">
        <v>41</v>
      </c>
      <c r="F13" s="6" t="s">
        <v>42</v>
      </c>
      <c r="G13" s="6">
        <v>8.884017345E9</v>
      </c>
      <c r="H13" s="6">
        <v>4.0158264E7</v>
      </c>
      <c r="I13" s="6" t="s">
        <v>26</v>
      </c>
      <c r="J13" s="6" t="s">
        <v>21</v>
      </c>
      <c r="K13" s="6" t="s">
        <v>22</v>
      </c>
      <c r="L13" s="6">
        <v>74.0</v>
      </c>
      <c r="M13" s="5">
        <v>46013.0</v>
      </c>
      <c r="N13" s="6" t="s">
        <v>23</v>
      </c>
      <c r="O13" s="6" t="str">
        <f>SUMIFS([1]order_sku_sales_bb2_report!P:P,[1]order_sku_sales_bb2_report!H:H,C27744,[1]order_sku_sales_bb2_report!J:J,H27744)</f>
        <v>#ERROR!</v>
      </c>
      <c r="P13" s="6" t="str">
        <f>SUMIFS([1]order_sku_sales_bb2_report!O:O,[1]order_sku_sales_bb2_report!H:H,C27744,[1]order_sku_sales_bb2_report!J:J,H27744)</f>
        <v>#ERROR!</v>
      </c>
      <c r="Q13" s="6" t="str">
        <f t="shared" si="1"/>
        <v>22-12-2025</v>
      </c>
      <c r="R13" s="6" t="str">
        <f>IFERROR( VLOOKUP(C27744,[1]expressOrderReport!$S:$AZ,34,0),0)</f>
        <v>#ERROR!</v>
      </c>
      <c r="S13" s="6" t="str">
        <f>ARRAY_CONSTRAIN(ARRAYFORMULA(_xludf.XLOOKUP(D27744,[1]order_Report_SA_ID_BB2.0!V:V,[1]order_Report_SA_ID_BB2.0!AM:AM,"")), 1, 1)</f>
        <v>#ERROR!</v>
      </c>
      <c r="T13" s="6" t="str">
        <f t="shared" si="2"/>
        <v>Dec'25</v>
      </c>
    </row>
    <row r="14" ht="15.75" customHeight="1">
      <c r="A14" s="5">
        <v>46013.0</v>
      </c>
      <c r="B14" s="6">
        <v>3098.0</v>
      </c>
      <c r="C14" s="6">
        <v>1.859164747E9</v>
      </c>
      <c r="D14" s="6">
        <v>4265441.0</v>
      </c>
      <c r="E14" s="6" t="s">
        <v>41</v>
      </c>
      <c r="F14" s="6" t="s">
        <v>42</v>
      </c>
      <c r="G14" s="6">
        <v>8.884017345E9</v>
      </c>
      <c r="H14" s="6">
        <v>4.0161616E7</v>
      </c>
      <c r="I14" s="6" t="s">
        <v>20</v>
      </c>
      <c r="J14" s="6" t="s">
        <v>21</v>
      </c>
      <c r="K14" s="6" t="s">
        <v>22</v>
      </c>
      <c r="L14" s="6">
        <v>74.0</v>
      </c>
      <c r="M14" s="5">
        <v>46013.0</v>
      </c>
      <c r="N14" s="6" t="s">
        <v>23</v>
      </c>
      <c r="O14" s="6" t="str">
        <f>SUMIFS([1]order_sku_sales_bb2_report!P:P,[1]order_sku_sales_bb2_report!H:H,C27745,[1]order_sku_sales_bb2_report!J:J,H27745)</f>
        <v>#ERROR!</v>
      </c>
      <c r="P14" s="6" t="str">
        <f>SUMIFS([1]order_sku_sales_bb2_report!O:O,[1]order_sku_sales_bb2_report!H:H,C27745,[1]order_sku_sales_bb2_report!J:J,H27745)</f>
        <v>#ERROR!</v>
      </c>
      <c r="Q14" s="6" t="str">
        <f t="shared" si="1"/>
        <v>22-12-2025</v>
      </c>
      <c r="R14" s="6" t="str">
        <f>IFERROR( VLOOKUP(C27745,[1]expressOrderReport!$S:$AZ,34,0),0)</f>
        <v>#ERROR!</v>
      </c>
      <c r="S14" s="6" t="str">
        <f>ARRAY_CONSTRAIN(ARRAYFORMULA(_xludf.XLOOKUP(D27745,[1]order_Report_SA_ID_BB2.0!V:V,[1]order_Report_SA_ID_BB2.0!AM:AM,"")), 1, 1)</f>
        <v>#ERROR!</v>
      </c>
      <c r="T14" s="6" t="str">
        <f t="shared" si="2"/>
        <v>Dec'25</v>
      </c>
    </row>
    <row r="15" ht="15.75" customHeight="1">
      <c r="A15" s="5">
        <v>46013.0</v>
      </c>
      <c r="B15" s="6">
        <v>1943.0</v>
      </c>
      <c r="C15" s="6">
        <v>1.859164752E9</v>
      </c>
      <c r="D15" s="6">
        <v>3563463.0</v>
      </c>
      <c r="E15" s="6" t="s">
        <v>43</v>
      </c>
      <c r="F15" s="6" t="s">
        <v>44</v>
      </c>
      <c r="G15" s="6">
        <v>9.711790267E9</v>
      </c>
      <c r="H15" s="6">
        <v>4.0149832E7</v>
      </c>
      <c r="I15" s="6" t="s">
        <v>26</v>
      </c>
      <c r="J15" s="6" t="s">
        <v>21</v>
      </c>
      <c r="K15" s="6" t="s">
        <v>22</v>
      </c>
      <c r="L15" s="6">
        <v>96.0</v>
      </c>
      <c r="M15" s="5">
        <v>46013.0</v>
      </c>
      <c r="N15" s="6" t="s">
        <v>23</v>
      </c>
      <c r="O15" s="6" t="str">
        <f>SUMIFS([1]order_sku_sales_bb2_report!P:P,[1]order_sku_sales_bb2_report!H:H,C27746,[1]order_sku_sales_bb2_report!J:J,H27746)</f>
        <v>#ERROR!</v>
      </c>
      <c r="P15" s="6" t="str">
        <f>SUMIFS([1]order_sku_sales_bb2_report!O:O,[1]order_sku_sales_bb2_report!H:H,C27746,[1]order_sku_sales_bb2_report!J:J,H27746)</f>
        <v>#ERROR!</v>
      </c>
      <c r="Q15" s="6" t="str">
        <f t="shared" si="1"/>
        <v>22-12-2025</v>
      </c>
      <c r="R15" s="6" t="str">
        <f>IFERROR( VLOOKUP(C27746,[1]expressOrderReport!$S:$AZ,34,0),0)</f>
        <v>#ERROR!</v>
      </c>
      <c r="S15" s="6" t="str">
        <f>ARRAY_CONSTRAIN(ARRAYFORMULA(_xludf.XLOOKUP(D27746,[1]order_Report_SA_ID_BB2.0!V:V,[1]order_Report_SA_ID_BB2.0!AM:AM,"")), 1, 1)</f>
        <v>#ERROR!</v>
      </c>
      <c r="T15" s="6" t="str">
        <f t="shared" si="2"/>
        <v>Dec'25</v>
      </c>
    </row>
    <row r="16" ht="15.75" customHeight="1">
      <c r="A16" s="5">
        <v>46013.0</v>
      </c>
      <c r="B16" s="6">
        <v>2335.0</v>
      </c>
      <c r="C16" s="6">
        <v>1.859164762E9</v>
      </c>
      <c r="D16" s="6">
        <v>2.7219336E7</v>
      </c>
      <c r="E16" s="6" t="s">
        <v>45</v>
      </c>
      <c r="F16" s="6" t="s">
        <v>46</v>
      </c>
      <c r="G16" s="6">
        <v>9.737017419E9</v>
      </c>
      <c r="H16" s="6">
        <v>4.0090893E7</v>
      </c>
      <c r="I16" s="6" t="s">
        <v>35</v>
      </c>
      <c r="J16" s="6" t="s">
        <v>21</v>
      </c>
      <c r="K16" s="6" t="s">
        <v>22</v>
      </c>
      <c r="L16" s="6">
        <v>33.0</v>
      </c>
      <c r="M16" s="5">
        <v>46013.0</v>
      </c>
      <c r="N16" s="6" t="s">
        <v>23</v>
      </c>
      <c r="O16" s="6" t="str">
        <f>SUMIFS([1]order_sku_sales_bb2_report!P:P,[1]order_sku_sales_bb2_report!H:H,C27747,[1]order_sku_sales_bb2_report!J:J,H27747)</f>
        <v>#ERROR!</v>
      </c>
      <c r="P16" s="6" t="str">
        <f>SUMIFS([1]order_sku_sales_bb2_report!O:O,[1]order_sku_sales_bb2_report!H:H,C27747,[1]order_sku_sales_bb2_report!J:J,H27747)</f>
        <v>#ERROR!</v>
      </c>
      <c r="Q16" s="6" t="str">
        <f t="shared" si="1"/>
        <v>22-12-2025</v>
      </c>
      <c r="R16" s="6" t="str">
        <f>IFERROR( VLOOKUP(C27747,[1]expressOrderReport!$S:$AZ,34,0),0)</f>
        <v>#ERROR!</v>
      </c>
      <c r="S16" s="6" t="str">
        <f>ARRAY_CONSTRAIN(ARRAYFORMULA(_xludf.XLOOKUP(D27747,[1]order_Report_SA_ID_BB2.0!V:V,[1]order_Report_SA_ID_BB2.0!AM:AM,"")), 1, 1)</f>
        <v>#ERROR!</v>
      </c>
      <c r="T16" s="6" t="str">
        <f t="shared" si="2"/>
        <v>Dec'25</v>
      </c>
    </row>
    <row r="17" ht="15.75" customHeight="1">
      <c r="A17" s="5">
        <v>46013.0</v>
      </c>
      <c r="B17" s="6">
        <v>7566.0</v>
      </c>
      <c r="C17" s="6">
        <v>1.85916477E9</v>
      </c>
      <c r="D17" s="6">
        <v>4676857.0</v>
      </c>
      <c r="E17" s="6" t="s">
        <v>47</v>
      </c>
      <c r="F17" s="6" t="s">
        <v>48</v>
      </c>
      <c r="G17" s="6">
        <v>9.980038728E9</v>
      </c>
      <c r="H17" s="6">
        <v>4.0158264E7</v>
      </c>
      <c r="I17" s="6" t="s">
        <v>26</v>
      </c>
      <c r="J17" s="6" t="s">
        <v>21</v>
      </c>
      <c r="K17" s="6" t="s">
        <v>22</v>
      </c>
      <c r="L17" s="6">
        <v>92.0</v>
      </c>
      <c r="M17" s="5">
        <v>46013.0</v>
      </c>
      <c r="N17" s="6" t="s">
        <v>23</v>
      </c>
      <c r="O17" s="6" t="str">
        <f>SUMIFS([1]order_sku_sales_bb2_report!P:P,[1]order_sku_sales_bb2_report!H:H,C27748,[1]order_sku_sales_bb2_report!J:J,H27748)</f>
        <v>#ERROR!</v>
      </c>
      <c r="P17" s="6" t="str">
        <f>SUMIFS([1]order_sku_sales_bb2_report!O:O,[1]order_sku_sales_bb2_report!H:H,C27748,[1]order_sku_sales_bb2_report!J:J,H27748)</f>
        <v>#ERROR!</v>
      </c>
      <c r="Q17" s="6" t="str">
        <f t="shared" si="1"/>
        <v>22-12-2025</v>
      </c>
      <c r="R17" s="6" t="str">
        <f>IFERROR( VLOOKUP(C27748,[1]expressOrderReport!$S:$AZ,34,0),0)</f>
        <v>#ERROR!</v>
      </c>
      <c r="S17" s="6" t="str">
        <f>ARRAY_CONSTRAIN(ARRAYFORMULA(_xludf.XLOOKUP(D27748,[1]order_Report_SA_ID_BB2.0!V:V,[1]order_Report_SA_ID_BB2.0!AM:AM,"")), 1, 1)</f>
        <v>#ERROR!</v>
      </c>
      <c r="T17" s="6" t="str">
        <f t="shared" si="2"/>
        <v>Dec'25</v>
      </c>
    </row>
    <row r="18" ht="15.75" customHeight="1">
      <c r="A18" s="5">
        <v>46013.0</v>
      </c>
      <c r="B18" s="6">
        <v>11489.0</v>
      </c>
      <c r="C18" s="6">
        <v>1.859165977E9</v>
      </c>
      <c r="D18" s="6">
        <v>3.3779887E7</v>
      </c>
      <c r="E18" s="6" t="s">
        <v>49</v>
      </c>
      <c r="F18" s="6" t="s">
        <v>50</v>
      </c>
      <c r="G18" s="6">
        <v>7.016471835E9</v>
      </c>
      <c r="H18" s="6">
        <v>4.0161616E7</v>
      </c>
      <c r="I18" s="6" t="s">
        <v>20</v>
      </c>
      <c r="J18" s="6" t="s">
        <v>21</v>
      </c>
      <c r="K18" s="6" t="s">
        <v>22</v>
      </c>
      <c r="L18" s="6">
        <v>56.0</v>
      </c>
      <c r="M18" s="5">
        <v>46013.0</v>
      </c>
      <c r="N18" s="6" t="s">
        <v>23</v>
      </c>
      <c r="O18" s="6" t="str">
        <f>SUMIFS([1]order_sku_sales_bb2_report!P:P,[1]order_sku_sales_bb2_report!H:H,C27749,[1]order_sku_sales_bb2_report!J:J,H27749)</f>
        <v>#ERROR!</v>
      </c>
      <c r="P18" s="6" t="str">
        <f>SUMIFS([1]order_sku_sales_bb2_report!O:O,[1]order_sku_sales_bb2_report!H:H,C27749,[1]order_sku_sales_bb2_report!J:J,H27749)</f>
        <v>#ERROR!</v>
      </c>
      <c r="Q18" s="6" t="str">
        <f t="shared" si="1"/>
        <v>22-12-2025</v>
      </c>
      <c r="R18" s="6" t="str">
        <f>IFERROR( VLOOKUP(C27749,[1]expressOrderReport!$S:$AZ,34,0),0)</f>
        <v>#ERROR!</v>
      </c>
      <c r="S18" s="6" t="str">
        <f>ARRAY_CONSTRAIN(ARRAYFORMULA(_xludf.XLOOKUP(D27749,[1]order_Report_SA_ID_BB2.0!V:V,[1]order_Report_SA_ID_BB2.0!AM:AM,"")), 1, 1)</f>
        <v>#ERROR!</v>
      </c>
      <c r="T18" s="6" t="str">
        <f t="shared" si="2"/>
        <v>Dec'25</v>
      </c>
    </row>
    <row r="19" ht="15.75" customHeight="1">
      <c r="A19" s="5">
        <v>46013.0</v>
      </c>
      <c r="B19" s="6">
        <v>6028.0</v>
      </c>
      <c r="C19" s="6">
        <v>1.859165983E9</v>
      </c>
      <c r="D19" s="6">
        <v>1.9705678E7</v>
      </c>
      <c r="E19" s="6" t="s">
        <v>51</v>
      </c>
      <c r="F19" s="6" t="s">
        <v>52</v>
      </c>
      <c r="G19" s="6">
        <v>9.98028094E9</v>
      </c>
      <c r="H19" s="6">
        <v>4.0136509E7</v>
      </c>
      <c r="I19" s="6" t="s">
        <v>53</v>
      </c>
      <c r="J19" s="6" t="s">
        <v>21</v>
      </c>
      <c r="K19" s="6" t="s">
        <v>22</v>
      </c>
      <c r="L19" s="6">
        <v>279.01</v>
      </c>
      <c r="M19" s="5">
        <v>46013.0</v>
      </c>
      <c r="N19" s="6" t="s">
        <v>54</v>
      </c>
      <c r="O19" s="6" t="str">
        <f>SUMIFS([1]order_sku_sales_bb2_report!P:P,[1]order_sku_sales_bb2_report!H:H,C27750,[1]order_sku_sales_bb2_report!J:J,H27750)</f>
        <v>#ERROR!</v>
      </c>
      <c r="P19" s="6" t="str">
        <f>SUMIFS([1]order_sku_sales_bb2_report!O:O,[1]order_sku_sales_bb2_report!H:H,C27750,[1]order_sku_sales_bb2_report!J:J,H27750)</f>
        <v>#ERROR!</v>
      </c>
      <c r="Q19" s="6" t="str">
        <f t="shared" si="1"/>
        <v>22-12-2025</v>
      </c>
      <c r="R19" s="6" t="str">
        <f>IFERROR( VLOOKUP(C27750,[1]expressOrderReport!$S:$AZ,34,0),0)</f>
        <v>#ERROR!</v>
      </c>
      <c r="S19" s="6" t="str">
        <f>ARRAY_CONSTRAIN(ARRAYFORMULA(_xludf.XLOOKUP(D27750,[1]order_Report_SA_ID_BB2.0!V:V,[1]order_Report_SA_ID_BB2.0!AM:AM,"")), 1, 1)</f>
        <v>#ERROR!</v>
      </c>
      <c r="T19" s="6" t="str">
        <f t="shared" si="2"/>
        <v>Dec'25</v>
      </c>
    </row>
    <row r="20" ht="15.75" customHeight="1">
      <c r="A20" s="5">
        <v>46013.0</v>
      </c>
      <c r="B20" s="6">
        <v>11325.0</v>
      </c>
      <c r="C20" s="6">
        <v>1.859165991E9</v>
      </c>
      <c r="D20" s="6">
        <v>1.6104731E7</v>
      </c>
      <c r="E20" s="6" t="s">
        <v>55</v>
      </c>
      <c r="F20" s="6" t="s">
        <v>56</v>
      </c>
      <c r="G20" s="6">
        <v>7.259236924E9</v>
      </c>
      <c r="H20" s="6">
        <v>4.0149833E7</v>
      </c>
      <c r="I20" s="6" t="s">
        <v>40</v>
      </c>
      <c r="J20" s="6" t="s">
        <v>21</v>
      </c>
      <c r="K20" s="6" t="s">
        <v>22</v>
      </c>
      <c r="L20" s="6">
        <v>27.0</v>
      </c>
      <c r="M20" s="5">
        <v>46013.0</v>
      </c>
      <c r="N20" s="6" t="s">
        <v>23</v>
      </c>
      <c r="O20" s="6" t="str">
        <f>SUMIFS([1]order_sku_sales_bb2_report!P:P,[1]order_sku_sales_bb2_report!H:H,C27751,[1]order_sku_sales_bb2_report!J:J,H27751)</f>
        <v>#ERROR!</v>
      </c>
      <c r="P20" s="6" t="str">
        <f>SUMIFS([1]order_sku_sales_bb2_report!O:O,[1]order_sku_sales_bb2_report!H:H,C27751,[1]order_sku_sales_bb2_report!J:J,H27751)</f>
        <v>#ERROR!</v>
      </c>
      <c r="Q20" s="6" t="str">
        <f t="shared" si="1"/>
        <v>22-12-2025</v>
      </c>
      <c r="R20" s="6" t="str">
        <f>IFERROR( VLOOKUP(C27751,[1]expressOrderReport!$S:$AZ,34,0),0)</f>
        <v>#ERROR!</v>
      </c>
      <c r="S20" s="6" t="str">
        <f>ARRAY_CONSTRAIN(ARRAYFORMULA(_xludf.XLOOKUP(D27751,[1]order_Report_SA_ID_BB2.0!V:V,[1]order_Report_SA_ID_BB2.0!AM:AM,"")), 1, 1)</f>
        <v>#ERROR!</v>
      </c>
      <c r="T20" s="6" t="str">
        <f t="shared" si="2"/>
        <v>Dec'25</v>
      </c>
    </row>
    <row r="21" ht="15.75" customHeight="1">
      <c r="A21" s="5">
        <v>46013.0</v>
      </c>
      <c r="B21" s="6">
        <v>4469.0</v>
      </c>
      <c r="C21" s="6">
        <v>1.859165996E9</v>
      </c>
      <c r="D21" s="6">
        <v>2.7641046E7</v>
      </c>
      <c r="E21" s="6" t="s">
        <v>57</v>
      </c>
      <c r="F21" s="6" t="s">
        <v>58</v>
      </c>
      <c r="G21" s="6">
        <v>9.032129856E9</v>
      </c>
      <c r="H21" s="6">
        <v>4.0147597E7</v>
      </c>
      <c r="I21" s="6" t="s">
        <v>59</v>
      </c>
      <c r="J21" s="6" t="s">
        <v>21</v>
      </c>
      <c r="K21" s="6" t="s">
        <v>22</v>
      </c>
      <c r="L21" s="6">
        <v>26.0</v>
      </c>
      <c r="M21" s="5">
        <v>46013.0</v>
      </c>
      <c r="N21" s="6" t="s">
        <v>23</v>
      </c>
      <c r="O21" s="6" t="str">
        <f>SUMIFS([1]order_sku_sales_bb2_report!P:P,[1]order_sku_sales_bb2_report!H:H,C27752,[1]order_sku_sales_bb2_report!J:J,H27752)</f>
        <v>#ERROR!</v>
      </c>
      <c r="P21" s="6" t="str">
        <f>SUMIFS([1]order_sku_sales_bb2_report!O:O,[1]order_sku_sales_bb2_report!H:H,C27752,[1]order_sku_sales_bb2_report!J:J,H27752)</f>
        <v>#ERROR!</v>
      </c>
      <c r="Q21" s="6" t="str">
        <f t="shared" si="1"/>
        <v>22-12-2025</v>
      </c>
      <c r="R21" s="6" t="str">
        <f>IFERROR( VLOOKUP(C27752,[1]expressOrderReport!$S:$AZ,34,0),0)</f>
        <v>#ERROR!</v>
      </c>
      <c r="S21" s="6" t="str">
        <f>ARRAY_CONSTRAIN(ARRAYFORMULA(_xludf.XLOOKUP(D27752,[1]order_Report_SA_ID_BB2.0!V:V,[1]order_Report_SA_ID_BB2.0!AM:AM,"")), 1, 1)</f>
        <v>#ERROR!</v>
      </c>
      <c r="T21" s="6" t="str">
        <f t="shared" si="2"/>
        <v>Dec'25</v>
      </c>
    </row>
    <row r="22" ht="15.75" customHeight="1">
      <c r="A22" s="5">
        <v>46013.0</v>
      </c>
      <c r="B22" s="6">
        <v>11802.0</v>
      </c>
      <c r="C22" s="6">
        <v>1.859166006E9</v>
      </c>
      <c r="D22" s="6">
        <v>231849.0</v>
      </c>
      <c r="E22" s="6" t="s">
        <v>60</v>
      </c>
      <c r="F22" s="6" t="s">
        <v>61</v>
      </c>
      <c r="G22" s="6">
        <v>9.886885353E9</v>
      </c>
      <c r="H22" s="6">
        <v>4.0090894E7</v>
      </c>
      <c r="I22" s="6" t="s">
        <v>62</v>
      </c>
      <c r="J22" s="6" t="s">
        <v>21</v>
      </c>
      <c r="K22" s="6" t="s">
        <v>22</v>
      </c>
      <c r="L22" s="6">
        <v>56.0</v>
      </c>
      <c r="M22" s="5">
        <v>46013.0</v>
      </c>
      <c r="N22" s="6" t="s">
        <v>23</v>
      </c>
      <c r="O22" s="6" t="str">
        <f>SUMIFS([1]order_sku_sales_bb2_report!P:P,[1]order_sku_sales_bb2_report!H:H,C27754,[1]order_sku_sales_bb2_report!J:J,H27754)</f>
        <v>#ERROR!</v>
      </c>
      <c r="P22" s="6" t="str">
        <f>SUMIFS([1]order_sku_sales_bb2_report!O:O,[1]order_sku_sales_bb2_report!H:H,C27754,[1]order_sku_sales_bb2_report!J:J,H27754)</f>
        <v>#ERROR!</v>
      </c>
      <c r="Q22" s="6" t="str">
        <f t="shared" si="1"/>
        <v>22-12-2025</v>
      </c>
      <c r="R22" s="6" t="str">
        <f>IFERROR( VLOOKUP(C27754,[1]expressOrderReport!$S:$AZ,34,0),0)</f>
        <v>#ERROR!</v>
      </c>
      <c r="S22" s="6" t="str">
        <f>ARRAY_CONSTRAIN(ARRAYFORMULA(_xludf.XLOOKUP(D27754,[1]order_Report_SA_ID_BB2.0!V:V,[1]order_Report_SA_ID_BB2.0!AM:AM,"")), 1, 1)</f>
        <v>#ERROR!</v>
      </c>
      <c r="T22" s="6" t="str">
        <f t="shared" si="2"/>
        <v>Dec'25</v>
      </c>
    </row>
    <row r="23" ht="15.75" customHeight="1">
      <c r="A23" s="5">
        <v>46013.0</v>
      </c>
      <c r="B23" s="6">
        <v>7154.0</v>
      </c>
      <c r="C23" s="6">
        <v>1.859166017E9</v>
      </c>
      <c r="D23" s="6">
        <v>1.803055E7</v>
      </c>
      <c r="E23" s="6" t="s">
        <v>63</v>
      </c>
      <c r="F23" s="6" t="s">
        <v>64</v>
      </c>
      <c r="G23" s="6">
        <v>9.538013131E9</v>
      </c>
      <c r="H23" s="6">
        <v>4.0149831E7</v>
      </c>
      <c r="I23" s="6" t="s">
        <v>65</v>
      </c>
      <c r="J23" s="6" t="s">
        <v>21</v>
      </c>
      <c r="K23" s="6" t="s">
        <v>22</v>
      </c>
      <c r="L23" s="6">
        <v>35.0</v>
      </c>
      <c r="M23" s="5">
        <v>46013.0</v>
      </c>
      <c r="N23" s="6" t="s">
        <v>23</v>
      </c>
      <c r="O23" s="6" t="str">
        <f>SUMIFS([1]order_sku_sales_bb2_report!P:P,[1]order_sku_sales_bb2_report!H:H,C27755,[1]order_sku_sales_bb2_report!J:J,H27755)</f>
        <v>#ERROR!</v>
      </c>
      <c r="P23" s="6" t="str">
        <f>SUMIFS([1]order_sku_sales_bb2_report!O:O,[1]order_sku_sales_bb2_report!H:H,C27755,[1]order_sku_sales_bb2_report!J:J,H27755)</f>
        <v>#ERROR!</v>
      </c>
      <c r="Q23" s="6" t="str">
        <f t="shared" si="1"/>
        <v>22-12-2025</v>
      </c>
      <c r="R23" s="6" t="str">
        <f>IFERROR( VLOOKUP(C27755,[1]expressOrderReport!$S:$AZ,34,0),0)</f>
        <v>#ERROR!</v>
      </c>
      <c r="S23" s="6" t="str">
        <f>ARRAY_CONSTRAIN(ARRAYFORMULA(_xludf.XLOOKUP(D27755,[1]order_Report_SA_ID_BB2.0!V:V,[1]order_Report_SA_ID_BB2.0!AM:AM,"")), 1, 1)</f>
        <v>#ERROR!</v>
      </c>
      <c r="T23" s="6" t="str">
        <f t="shared" si="2"/>
        <v>Dec'25</v>
      </c>
    </row>
    <row r="24" ht="15.75" customHeight="1">
      <c r="A24" s="5">
        <v>46013.0</v>
      </c>
      <c r="B24" s="6">
        <v>7159.0</v>
      </c>
      <c r="C24" s="6">
        <v>1.859166017E9</v>
      </c>
      <c r="D24" s="6">
        <v>1.803055E7</v>
      </c>
      <c r="E24" s="6" t="s">
        <v>63</v>
      </c>
      <c r="F24" s="6" t="s">
        <v>64</v>
      </c>
      <c r="G24" s="6">
        <v>9.538013131E9</v>
      </c>
      <c r="H24" s="6">
        <v>1.00012346E8</v>
      </c>
      <c r="I24" s="6" t="s">
        <v>66</v>
      </c>
      <c r="J24" s="6" t="s">
        <v>21</v>
      </c>
      <c r="K24" s="6" t="s">
        <v>22</v>
      </c>
      <c r="L24" s="6">
        <v>35.0</v>
      </c>
      <c r="M24" s="5">
        <v>46013.0</v>
      </c>
      <c r="N24" s="6" t="s">
        <v>23</v>
      </c>
      <c r="O24" s="6" t="str">
        <f>SUMIFS([1]order_sku_sales_bb2_report!P:P,[1]order_sku_sales_bb2_report!H:H,C27756,[1]order_sku_sales_bb2_report!J:J,H27756)</f>
        <v>#ERROR!</v>
      </c>
      <c r="P24" s="6" t="str">
        <f>SUMIFS([1]order_sku_sales_bb2_report!O:O,[1]order_sku_sales_bb2_report!H:H,C27756,[1]order_sku_sales_bb2_report!J:J,H27756)</f>
        <v>#ERROR!</v>
      </c>
      <c r="Q24" s="6" t="str">
        <f t="shared" si="1"/>
        <v>22-12-2025</v>
      </c>
      <c r="R24" s="6" t="str">
        <f>IFERROR( VLOOKUP(C27756,[1]expressOrderReport!$S:$AZ,34,0),0)</f>
        <v>#ERROR!</v>
      </c>
      <c r="S24" s="6" t="str">
        <f>ARRAY_CONSTRAIN(ARRAYFORMULA(_xludf.XLOOKUP(D27756,[1]order_Report_SA_ID_BB2.0!V:V,[1]order_Report_SA_ID_BB2.0!AM:AM,"")), 1, 1)</f>
        <v>#ERROR!</v>
      </c>
      <c r="T24" s="6" t="str">
        <f t="shared" si="2"/>
        <v>Dec'25</v>
      </c>
    </row>
    <row r="25" ht="15.75" customHeight="1">
      <c r="A25" s="5">
        <v>46013.0</v>
      </c>
      <c r="B25" s="6">
        <v>9173.0</v>
      </c>
      <c r="C25" s="6">
        <v>1.859166025E9</v>
      </c>
      <c r="D25" s="6">
        <v>236428.0</v>
      </c>
      <c r="E25" s="6" t="s">
        <v>67</v>
      </c>
      <c r="F25" s="6" t="s">
        <v>68</v>
      </c>
      <c r="G25" s="6">
        <v>9.873507848E9</v>
      </c>
      <c r="H25" s="6">
        <v>4.0148723E7</v>
      </c>
      <c r="I25" s="6" t="s">
        <v>69</v>
      </c>
      <c r="J25" s="6" t="s">
        <v>21</v>
      </c>
      <c r="K25" s="6" t="s">
        <v>22</v>
      </c>
      <c r="L25" s="6">
        <v>168.0</v>
      </c>
      <c r="M25" s="5">
        <v>46013.0</v>
      </c>
      <c r="N25" s="6" t="s">
        <v>23</v>
      </c>
      <c r="O25" s="6" t="str">
        <f>SUMIFS([1]order_sku_sales_bb2_report!P:P,[1]order_sku_sales_bb2_report!H:H,C27757,[1]order_sku_sales_bb2_report!J:J,H27757)</f>
        <v>#ERROR!</v>
      </c>
      <c r="P25" s="6" t="str">
        <f>SUMIFS([1]order_sku_sales_bb2_report!O:O,[1]order_sku_sales_bb2_report!H:H,C27757,[1]order_sku_sales_bb2_report!J:J,H27757)</f>
        <v>#ERROR!</v>
      </c>
      <c r="Q25" s="6" t="str">
        <f t="shared" si="1"/>
        <v>22-12-2025</v>
      </c>
      <c r="R25" s="6" t="str">
        <f>IFERROR( VLOOKUP(C27757,[1]expressOrderReport!$S:$AZ,34,0),0)</f>
        <v>#ERROR!</v>
      </c>
      <c r="S25" s="6" t="str">
        <f>ARRAY_CONSTRAIN(ARRAYFORMULA(_xludf.XLOOKUP(D27757,[1]order_Report_SA_ID_BB2.0!V:V,[1]order_Report_SA_ID_BB2.0!AM:AM,"")), 1, 1)</f>
        <v>#ERROR!</v>
      </c>
      <c r="T25" s="6" t="str">
        <f t="shared" si="2"/>
        <v>Dec'25</v>
      </c>
    </row>
    <row r="26" ht="15.75" customHeight="1">
      <c r="A26" s="5">
        <v>46013.0</v>
      </c>
      <c r="B26" s="6">
        <v>11207.0</v>
      </c>
      <c r="C26" s="6">
        <v>1.859166035E9</v>
      </c>
      <c r="D26" s="6">
        <v>5452031.0</v>
      </c>
      <c r="E26" s="6" t="s">
        <v>70</v>
      </c>
      <c r="F26" s="6" t="s">
        <v>71</v>
      </c>
      <c r="G26" s="6">
        <v>9.818865678E9</v>
      </c>
      <c r="H26" s="6">
        <v>4.016372E7</v>
      </c>
      <c r="I26" s="6" t="s">
        <v>72</v>
      </c>
      <c r="J26" s="6" t="s">
        <v>21</v>
      </c>
      <c r="K26" s="6" t="s">
        <v>22</v>
      </c>
      <c r="L26" s="6">
        <v>79.8</v>
      </c>
      <c r="M26" s="5">
        <v>46013.0</v>
      </c>
      <c r="N26" s="6" t="s">
        <v>23</v>
      </c>
      <c r="O26" s="6" t="str">
        <f>SUMIFS([1]order_sku_sales_bb2_report!P:P,[1]order_sku_sales_bb2_report!H:H,C27759,[1]order_sku_sales_bb2_report!J:J,H27759)</f>
        <v>#ERROR!</v>
      </c>
      <c r="P26" s="6" t="str">
        <f>SUMIFS([1]order_sku_sales_bb2_report!O:O,[1]order_sku_sales_bb2_report!H:H,C27759,[1]order_sku_sales_bb2_report!J:J,H27759)</f>
        <v>#ERROR!</v>
      </c>
      <c r="Q26" s="6" t="str">
        <f t="shared" si="1"/>
        <v>22-12-2025</v>
      </c>
      <c r="R26" s="6" t="str">
        <f>IFERROR( VLOOKUP(C27759,[1]expressOrderReport!$S:$AZ,34,0),0)</f>
        <v>#ERROR!</v>
      </c>
      <c r="S26" s="6" t="str">
        <f>ARRAY_CONSTRAIN(ARRAYFORMULA(_xludf.XLOOKUP(D27759,[1]order_Report_SA_ID_BB2.0!V:V,[1]order_Report_SA_ID_BB2.0!AM:AM,"")), 1, 1)</f>
        <v>#ERROR!</v>
      </c>
      <c r="T26" s="6" t="str">
        <f t="shared" si="2"/>
        <v>Dec'25</v>
      </c>
    </row>
    <row r="27" ht="15.75" customHeight="1">
      <c r="A27" s="5">
        <v>46013.0</v>
      </c>
      <c r="B27" s="6">
        <v>2327.0</v>
      </c>
      <c r="C27" s="6">
        <v>1.859166042E9</v>
      </c>
      <c r="D27" s="6">
        <v>3.038532E7</v>
      </c>
      <c r="E27" s="6" t="s">
        <v>73</v>
      </c>
      <c r="F27" s="6" t="s">
        <v>74</v>
      </c>
      <c r="G27" s="6">
        <v>8.310259194E9</v>
      </c>
      <c r="H27" s="6">
        <v>4.0149833E7</v>
      </c>
      <c r="I27" s="6" t="s">
        <v>40</v>
      </c>
      <c r="J27" s="6" t="s">
        <v>21</v>
      </c>
      <c r="K27" s="6" t="s">
        <v>22</v>
      </c>
      <c r="L27" s="6">
        <v>27.0</v>
      </c>
      <c r="M27" s="5">
        <v>46013.0</v>
      </c>
      <c r="N27" s="6" t="s">
        <v>23</v>
      </c>
      <c r="O27" s="6" t="str">
        <f>SUMIFS([1]order_sku_sales_bb2_report!P:P,[1]order_sku_sales_bb2_report!H:H,C27760,[1]order_sku_sales_bb2_report!J:J,H27760)</f>
        <v>#ERROR!</v>
      </c>
      <c r="P27" s="6" t="str">
        <f>SUMIFS([1]order_sku_sales_bb2_report!O:O,[1]order_sku_sales_bb2_report!H:H,C27760,[1]order_sku_sales_bb2_report!J:J,H27760)</f>
        <v>#ERROR!</v>
      </c>
      <c r="Q27" s="6" t="str">
        <f t="shared" si="1"/>
        <v>22-12-2025</v>
      </c>
      <c r="R27" s="6" t="str">
        <f>IFERROR( VLOOKUP(C27760,[1]expressOrderReport!$S:$AZ,34,0),0)</f>
        <v>#ERROR!</v>
      </c>
      <c r="S27" s="6" t="str">
        <f>ARRAY_CONSTRAIN(ARRAYFORMULA(_xludf.XLOOKUP(D27760,[1]order_Report_SA_ID_BB2.0!V:V,[1]order_Report_SA_ID_BB2.0!AM:AM,"")), 1, 1)</f>
        <v>#ERROR!</v>
      </c>
      <c r="T27" s="6" t="str">
        <f t="shared" si="2"/>
        <v>Dec'25</v>
      </c>
    </row>
    <row r="28" ht="15.75" customHeight="1">
      <c r="A28" s="5">
        <v>46013.0</v>
      </c>
      <c r="B28" s="6">
        <v>5049.0</v>
      </c>
      <c r="C28" s="6">
        <v>1.859166049E9</v>
      </c>
      <c r="D28" s="6">
        <v>3.5110697E7</v>
      </c>
      <c r="E28" s="6" t="s">
        <v>75</v>
      </c>
      <c r="F28" s="6" t="s">
        <v>76</v>
      </c>
      <c r="G28" s="6">
        <v>9.538322E9</v>
      </c>
      <c r="H28" s="6">
        <v>4.0149831E7</v>
      </c>
      <c r="I28" s="6" t="s">
        <v>65</v>
      </c>
      <c r="J28" s="6" t="s">
        <v>21</v>
      </c>
      <c r="K28" s="6" t="s">
        <v>22</v>
      </c>
      <c r="L28" s="6">
        <v>52.0</v>
      </c>
      <c r="M28" s="5">
        <v>46013.0</v>
      </c>
      <c r="N28" s="6" t="s">
        <v>23</v>
      </c>
      <c r="O28" s="6" t="str">
        <f>SUMIFS([1]order_sku_sales_bb2_report!P:P,[1]order_sku_sales_bb2_report!H:H,C27761,[1]order_sku_sales_bb2_report!J:J,H27761)</f>
        <v>#ERROR!</v>
      </c>
      <c r="P28" s="6" t="str">
        <f>SUMIFS([1]order_sku_sales_bb2_report!O:O,[1]order_sku_sales_bb2_report!H:H,C27761,[1]order_sku_sales_bb2_report!J:J,H27761)</f>
        <v>#ERROR!</v>
      </c>
      <c r="Q28" s="6" t="str">
        <f t="shared" si="1"/>
        <v>22-12-2025</v>
      </c>
      <c r="R28" s="6" t="str">
        <f>IFERROR( VLOOKUP(C27761,[1]expressOrderReport!$S:$AZ,34,0),0)</f>
        <v>#ERROR!</v>
      </c>
      <c r="S28" s="6" t="str">
        <f>ARRAY_CONSTRAIN(ARRAYFORMULA(_xludf.XLOOKUP(D27761,[1]order_Report_SA_ID_BB2.0!V:V,[1]order_Report_SA_ID_BB2.0!AM:AM,"")), 1, 1)</f>
        <v>#ERROR!</v>
      </c>
      <c r="T28" s="6" t="str">
        <f t="shared" si="2"/>
        <v>Dec'25</v>
      </c>
    </row>
    <row r="29" ht="15.75" customHeight="1">
      <c r="A29" s="5">
        <v>46013.0</v>
      </c>
      <c r="B29" s="6">
        <v>3236.0</v>
      </c>
      <c r="C29" s="6">
        <v>1.859166058E9</v>
      </c>
      <c r="D29" s="6">
        <v>1229668.0</v>
      </c>
      <c r="E29" s="6" t="s">
        <v>77</v>
      </c>
      <c r="F29" s="6" t="s">
        <v>78</v>
      </c>
      <c r="G29" s="6">
        <v>8.147444789E9</v>
      </c>
      <c r="H29" s="6">
        <v>4.0161616E7</v>
      </c>
      <c r="I29" s="6" t="s">
        <v>20</v>
      </c>
      <c r="J29" s="6" t="s">
        <v>21</v>
      </c>
      <c r="K29" s="6" t="s">
        <v>22</v>
      </c>
      <c r="L29" s="6">
        <v>56.0</v>
      </c>
      <c r="M29" s="5">
        <v>46013.0</v>
      </c>
      <c r="N29" s="6" t="s">
        <v>23</v>
      </c>
      <c r="O29" s="6" t="str">
        <f>SUMIFS([1]order_sku_sales_bb2_report!P:P,[1]order_sku_sales_bb2_report!H:H,C27762,[1]order_sku_sales_bb2_report!J:J,H27762)</f>
        <v>#ERROR!</v>
      </c>
      <c r="P29" s="6" t="str">
        <f>SUMIFS([1]order_sku_sales_bb2_report!O:O,[1]order_sku_sales_bb2_report!H:H,C27762,[1]order_sku_sales_bb2_report!J:J,H27762)</f>
        <v>#ERROR!</v>
      </c>
      <c r="Q29" s="6" t="str">
        <f t="shared" si="1"/>
        <v>22-12-2025</v>
      </c>
      <c r="R29" s="6" t="str">
        <f>IFERROR( VLOOKUP(C27762,[1]expressOrderReport!$S:$AZ,34,0),0)</f>
        <v>#ERROR!</v>
      </c>
      <c r="S29" s="6" t="str">
        <f>ARRAY_CONSTRAIN(ARRAYFORMULA(_xludf.XLOOKUP(D27762,[1]order_Report_SA_ID_BB2.0!V:V,[1]order_Report_SA_ID_BB2.0!AM:AM,"")), 1, 1)</f>
        <v>#ERROR!</v>
      </c>
      <c r="T29" s="6" t="str">
        <f t="shared" si="2"/>
        <v>Dec'25</v>
      </c>
    </row>
    <row r="30" ht="15.75" customHeight="1">
      <c r="A30" s="5">
        <v>46013.0</v>
      </c>
      <c r="B30" s="6">
        <v>8897.0</v>
      </c>
      <c r="C30" s="6">
        <v>1.859166066E9</v>
      </c>
      <c r="D30" s="6">
        <v>8301809.0</v>
      </c>
      <c r="E30" s="6" t="s">
        <v>79</v>
      </c>
      <c r="F30" s="6" t="s">
        <v>80</v>
      </c>
      <c r="G30" s="6">
        <v>7.780467588E9</v>
      </c>
      <c r="H30" s="6">
        <v>4.0206226E7</v>
      </c>
      <c r="I30" s="6" t="s">
        <v>81</v>
      </c>
      <c r="J30" s="6" t="s">
        <v>21</v>
      </c>
      <c r="K30" s="6" t="s">
        <v>22</v>
      </c>
      <c r="L30" s="6">
        <v>35.0</v>
      </c>
      <c r="M30" s="5">
        <v>46013.0</v>
      </c>
      <c r="N30" s="6" t="s">
        <v>54</v>
      </c>
      <c r="O30" s="6" t="str">
        <f>SUMIFS([1]order_sku_sales_bb2_report!P:P,[1]order_sku_sales_bb2_report!H:H,C27763,[1]order_sku_sales_bb2_report!J:J,H27763)</f>
        <v>#ERROR!</v>
      </c>
      <c r="P30" s="6" t="str">
        <f>SUMIFS([1]order_sku_sales_bb2_report!O:O,[1]order_sku_sales_bb2_report!H:H,C27763,[1]order_sku_sales_bb2_report!J:J,H27763)</f>
        <v>#ERROR!</v>
      </c>
      <c r="Q30" s="6" t="str">
        <f t="shared" si="1"/>
        <v>22-12-2025</v>
      </c>
      <c r="R30" s="6" t="str">
        <f>IFERROR( VLOOKUP(C27763,[1]expressOrderReport!$S:$AZ,34,0),0)</f>
        <v>#ERROR!</v>
      </c>
      <c r="S30" s="6" t="str">
        <f>ARRAY_CONSTRAIN(ARRAYFORMULA(_xludf.XLOOKUP(D27763,[1]order_Report_SA_ID_BB2.0!V:V,[1]order_Report_SA_ID_BB2.0!AM:AM,"")), 1, 1)</f>
        <v>#ERROR!</v>
      </c>
      <c r="T30" s="6" t="str">
        <f t="shared" si="2"/>
        <v>Dec'25</v>
      </c>
    </row>
    <row r="31" ht="15.75" customHeight="1">
      <c r="A31" s="5">
        <v>46013.0</v>
      </c>
      <c r="B31" s="6">
        <v>5861.0</v>
      </c>
      <c r="C31" s="6">
        <v>1.859166075E9</v>
      </c>
      <c r="D31" s="6">
        <v>1119654.0</v>
      </c>
      <c r="E31" s="6" t="s">
        <v>82</v>
      </c>
      <c r="F31" s="6" t="s">
        <v>83</v>
      </c>
      <c r="G31" s="6">
        <v>7.387000192E9</v>
      </c>
      <c r="H31" s="6">
        <v>4.0149834E7</v>
      </c>
      <c r="I31" s="6" t="s">
        <v>40</v>
      </c>
      <c r="J31" s="6" t="s">
        <v>21</v>
      </c>
      <c r="K31" s="6" t="s">
        <v>22</v>
      </c>
      <c r="L31" s="6">
        <v>104.0</v>
      </c>
      <c r="M31" s="5">
        <v>46013.0</v>
      </c>
      <c r="N31" s="6" t="s">
        <v>23</v>
      </c>
      <c r="O31" s="6" t="str">
        <f>SUMIFS([1]order_sku_sales_bb2_report!P:P,[1]order_sku_sales_bb2_report!H:H,C27764,[1]order_sku_sales_bb2_report!J:J,H27764)</f>
        <v>#ERROR!</v>
      </c>
      <c r="P31" s="6" t="str">
        <f>SUMIFS([1]order_sku_sales_bb2_report!O:O,[1]order_sku_sales_bb2_report!H:H,C27764,[1]order_sku_sales_bb2_report!J:J,H27764)</f>
        <v>#ERROR!</v>
      </c>
      <c r="Q31" s="6" t="str">
        <f t="shared" si="1"/>
        <v>22-12-2025</v>
      </c>
      <c r="R31" s="6" t="str">
        <f>IFERROR( VLOOKUP(C27764,[1]expressOrderReport!$S:$AZ,34,0),0)</f>
        <v>#ERROR!</v>
      </c>
      <c r="S31" s="6" t="str">
        <f>ARRAY_CONSTRAIN(ARRAYFORMULA(_xludf.XLOOKUP(D27764,[1]order_Report_SA_ID_BB2.0!V:V,[1]order_Report_SA_ID_BB2.0!AM:AM,"")), 1, 1)</f>
        <v>#ERROR!</v>
      </c>
      <c r="T31" s="6" t="str">
        <f t="shared" si="2"/>
        <v>Dec'25</v>
      </c>
    </row>
    <row r="32" ht="15.75" customHeight="1">
      <c r="A32" s="5">
        <v>46013.0</v>
      </c>
      <c r="B32" s="6">
        <v>7914.0</v>
      </c>
      <c r="C32" s="6">
        <v>1.859166082E9</v>
      </c>
      <c r="D32" s="6">
        <v>2.7427899E7</v>
      </c>
      <c r="E32" s="6" t="s">
        <v>84</v>
      </c>
      <c r="F32" s="6" t="s">
        <v>85</v>
      </c>
      <c r="G32" s="6">
        <v>9.05103374E9</v>
      </c>
      <c r="H32" s="6">
        <v>4.0149831E7</v>
      </c>
      <c r="I32" s="6" t="s">
        <v>65</v>
      </c>
      <c r="J32" s="6" t="s">
        <v>21</v>
      </c>
      <c r="K32" s="6" t="s">
        <v>22</v>
      </c>
      <c r="L32" s="6">
        <v>52.0</v>
      </c>
      <c r="M32" s="5">
        <v>46013.0</v>
      </c>
      <c r="N32" s="6" t="s">
        <v>23</v>
      </c>
      <c r="O32" s="6" t="str">
        <f>SUMIFS([1]order_sku_sales_bb2_report!P:P,[1]order_sku_sales_bb2_report!H:H,C27765,[1]order_sku_sales_bb2_report!J:J,H27765)</f>
        <v>#ERROR!</v>
      </c>
      <c r="P32" s="6" t="str">
        <f>SUMIFS([1]order_sku_sales_bb2_report!O:O,[1]order_sku_sales_bb2_report!H:H,C27765,[1]order_sku_sales_bb2_report!J:J,H27765)</f>
        <v>#ERROR!</v>
      </c>
      <c r="Q32" s="6" t="str">
        <f t="shared" si="1"/>
        <v>22-12-2025</v>
      </c>
      <c r="R32" s="6" t="str">
        <f>IFERROR( VLOOKUP(C27765,[1]expressOrderReport!$S:$AZ,34,0),0)</f>
        <v>#ERROR!</v>
      </c>
      <c r="S32" s="6" t="str">
        <f>ARRAY_CONSTRAIN(ARRAYFORMULA(_xludf.XLOOKUP(D27765,[1]order_Report_SA_ID_BB2.0!V:V,[1]order_Report_SA_ID_BB2.0!AM:AM,"")), 1, 1)</f>
        <v>#ERROR!</v>
      </c>
      <c r="T32" s="6" t="str">
        <f t="shared" si="2"/>
        <v>Dec'25</v>
      </c>
    </row>
    <row r="33" ht="15.75" customHeight="1">
      <c r="A33" s="5">
        <v>46013.0</v>
      </c>
      <c r="B33" s="6">
        <v>11861.0</v>
      </c>
      <c r="C33" s="6">
        <v>1.85916609E9</v>
      </c>
      <c r="D33" s="6">
        <v>1.7991165E7</v>
      </c>
      <c r="E33" s="6" t="s">
        <v>86</v>
      </c>
      <c r="F33" s="6" t="s">
        <v>87</v>
      </c>
      <c r="G33" s="6">
        <v>9.538906665E9</v>
      </c>
      <c r="H33" s="6">
        <v>4.0158264E7</v>
      </c>
      <c r="I33" s="6" t="s">
        <v>26</v>
      </c>
      <c r="J33" s="6" t="s">
        <v>21</v>
      </c>
      <c r="K33" s="6" t="s">
        <v>22</v>
      </c>
      <c r="L33" s="6">
        <v>70.0</v>
      </c>
      <c r="M33" s="5">
        <v>46013.0</v>
      </c>
      <c r="N33" s="6" t="s">
        <v>23</v>
      </c>
      <c r="O33" s="6" t="str">
        <f>SUMIFS([1]order_sku_sales_bb2_report!P:P,[1]order_sku_sales_bb2_report!H:H,C27766,[1]order_sku_sales_bb2_report!J:J,H27766)</f>
        <v>#ERROR!</v>
      </c>
      <c r="P33" s="6" t="str">
        <f>SUMIFS([1]order_sku_sales_bb2_report!O:O,[1]order_sku_sales_bb2_report!H:H,C27766,[1]order_sku_sales_bb2_report!J:J,H27766)</f>
        <v>#ERROR!</v>
      </c>
      <c r="Q33" s="6" t="str">
        <f t="shared" si="1"/>
        <v>22-12-2025</v>
      </c>
      <c r="R33" s="6" t="str">
        <f>IFERROR( VLOOKUP(C27766,[1]expressOrderReport!$S:$AZ,34,0),0)</f>
        <v>#ERROR!</v>
      </c>
      <c r="S33" s="6" t="str">
        <f>ARRAY_CONSTRAIN(ARRAYFORMULA(_xludf.XLOOKUP(D27766,[1]order_Report_SA_ID_BB2.0!V:V,[1]order_Report_SA_ID_BB2.0!AM:AM,"")), 1, 1)</f>
        <v>#ERROR!</v>
      </c>
      <c r="T33" s="6" t="str">
        <f t="shared" si="2"/>
        <v>Dec'25</v>
      </c>
    </row>
    <row r="34" ht="15.75" customHeight="1">
      <c r="A34" s="5">
        <v>46013.0</v>
      </c>
      <c r="B34" s="6">
        <v>11862.0</v>
      </c>
      <c r="C34" s="6">
        <v>1.85916609E9</v>
      </c>
      <c r="D34" s="6">
        <v>1.7991165E7</v>
      </c>
      <c r="E34" s="6" t="s">
        <v>86</v>
      </c>
      <c r="F34" s="6" t="s">
        <v>87</v>
      </c>
      <c r="G34" s="6">
        <v>9.538906665E9</v>
      </c>
      <c r="H34" s="6">
        <v>4.0149832E7</v>
      </c>
      <c r="I34" s="6" t="s">
        <v>26</v>
      </c>
      <c r="J34" s="6" t="s">
        <v>21</v>
      </c>
      <c r="K34" s="6" t="s">
        <v>22</v>
      </c>
      <c r="L34" s="6">
        <v>70.0</v>
      </c>
      <c r="M34" s="5">
        <v>46013.0</v>
      </c>
      <c r="N34" s="6" t="s">
        <v>23</v>
      </c>
      <c r="O34" s="6" t="str">
        <f>SUMIFS([1]order_sku_sales_bb2_report!P:P,[1]order_sku_sales_bb2_report!H:H,C27767,[1]order_sku_sales_bb2_report!J:J,H27767)</f>
        <v>#ERROR!</v>
      </c>
      <c r="P34" s="6" t="str">
        <f>SUMIFS([1]order_sku_sales_bb2_report!O:O,[1]order_sku_sales_bb2_report!H:H,C27767,[1]order_sku_sales_bb2_report!J:J,H27767)</f>
        <v>#ERROR!</v>
      </c>
      <c r="Q34" s="6" t="str">
        <f t="shared" si="1"/>
        <v>22-12-2025</v>
      </c>
      <c r="R34" s="6" t="str">
        <f>IFERROR( VLOOKUP(C27767,[1]expressOrderReport!$S:$AZ,34,0),0)</f>
        <v>#ERROR!</v>
      </c>
      <c r="S34" s="6" t="str">
        <f>ARRAY_CONSTRAIN(ARRAYFORMULA(_xludf.XLOOKUP(D27767,[1]order_Report_SA_ID_BB2.0!V:V,[1]order_Report_SA_ID_BB2.0!AM:AM,"")), 1, 1)</f>
        <v>#ERROR!</v>
      </c>
      <c r="T34" s="6" t="str">
        <f t="shared" si="2"/>
        <v>Dec'25</v>
      </c>
    </row>
    <row r="35" ht="15.75" customHeight="1">
      <c r="A35" s="5">
        <v>46013.0</v>
      </c>
      <c r="B35" s="6">
        <v>8479.0</v>
      </c>
      <c r="C35" s="6">
        <v>1.859166101E9</v>
      </c>
      <c r="D35" s="6">
        <v>3.1827198E7</v>
      </c>
      <c r="E35" s="6" t="s">
        <v>88</v>
      </c>
      <c r="F35" s="6" t="s">
        <v>89</v>
      </c>
      <c r="G35" s="6">
        <v>8.384932966E9</v>
      </c>
      <c r="H35" s="6">
        <v>4.0149831E7</v>
      </c>
      <c r="I35" s="6" t="s">
        <v>65</v>
      </c>
      <c r="J35" s="6" t="s">
        <v>21</v>
      </c>
      <c r="K35" s="6" t="s">
        <v>22</v>
      </c>
      <c r="L35" s="6">
        <v>78.0</v>
      </c>
      <c r="M35" s="5">
        <v>46013.0</v>
      </c>
      <c r="N35" s="6" t="s">
        <v>23</v>
      </c>
      <c r="O35" s="6" t="str">
        <f>SUMIFS([1]order_sku_sales_bb2_report!P:P,[1]order_sku_sales_bb2_report!H:H,C27768,[1]order_sku_sales_bb2_report!J:J,H27768)</f>
        <v>#ERROR!</v>
      </c>
      <c r="P35" s="6" t="str">
        <f>SUMIFS([1]order_sku_sales_bb2_report!O:O,[1]order_sku_sales_bb2_report!H:H,C27768,[1]order_sku_sales_bb2_report!J:J,H27768)</f>
        <v>#ERROR!</v>
      </c>
      <c r="Q35" s="6" t="str">
        <f t="shared" si="1"/>
        <v>22-12-2025</v>
      </c>
      <c r="R35" s="6" t="str">
        <f>IFERROR( VLOOKUP(C27768,[1]expressOrderReport!$S:$AZ,34,0),0)</f>
        <v>#ERROR!</v>
      </c>
      <c r="S35" s="6" t="str">
        <f>ARRAY_CONSTRAIN(ARRAYFORMULA(_xludf.XLOOKUP(D27768,[1]order_Report_SA_ID_BB2.0!V:V,[1]order_Report_SA_ID_BB2.0!AM:AM,"")), 1, 1)</f>
        <v>#ERROR!</v>
      </c>
      <c r="T35" s="6" t="str">
        <f t="shared" si="2"/>
        <v>Dec'25</v>
      </c>
    </row>
    <row r="36" ht="15.75" customHeight="1">
      <c r="A36" s="5">
        <v>46013.0</v>
      </c>
      <c r="B36" s="6">
        <v>8913.0</v>
      </c>
      <c r="C36" s="6">
        <v>1.859166112E9</v>
      </c>
      <c r="D36" s="6">
        <v>6332005.0</v>
      </c>
      <c r="E36" s="6" t="s">
        <v>90</v>
      </c>
      <c r="F36" s="6" t="s">
        <v>91</v>
      </c>
      <c r="G36" s="6">
        <v>9.449458017E9</v>
      </c>
      <c r="H36" s="6">
        <v>4.0158264E7</v>
      </c>
      <c r="I36" s="6" t="s">
        <v>26</v>
      </c>
      <c r="J36" s="6" t="s">
        <v>21</v>
      </c>
      <c r="K36" s="6" t="s">
        <v>22</v>
      </c>
      <c r="L36" s="6">
        <v>92.0</v>
      </c>
      <c r="M36" s="5">
        <v>46013.0</v>
      </c>
      <c r="N36" s="6" t="s">
        <v>23</v>
      </c>
      <c r="O36" s="6" t="str">
        <f>SUMIFS([1]order_sku_sales_bb2_report!P:P,[1]order_sku_sales_bb2_report!H:H,C27769,[1]order_sku_sales_bb2_report!J:J,H27769)</f>
        <v>#ERROR!</v>
      </c>
      <c r="P36" s="6" t="str">
        <f>SUMIFS([1]order_sku_sales_bb2_report!O:O,[1]order_sku_sales_bb2_report!H:H,C27769,[1]order_sku_sales_bb2_report!J:J,H27769)</f>
        <v>#ERROR!</v>
      </c>
      <c r="Q36" s="6" t="str">
        <f t="shared" si="1"/>
        <v>22-12-2025</v>
      </c>
      <c r="R36" s="6" t="str">
        <f>IFERROR( VLOOKUP(C27769,[1]expressOrderReport!$S:$AZ,34,0),0)</f>
        <v>#ERROR!</v>
      </c>
      <c r="S36" s="6" t="str">
        <f>ARRAY_CONSTRAIN(ARRAYFORMULA(_xludf.XLOOKUP(D27769,[1]order_Report_SA_ID_BB2.0!V:V,[1]order_Report_SA_ID_BB2.0!AM:AM,"")), 1, 1)</f>
        <v>#ERROR!</v>
      </c>
      <c r="T36" s="6" t="str">
        <f t="shared" si="2"/>
        <v>Dec'25</v>
      </c>
    </row>
    <row r="37" ht="15.75" customHeight="1">
      <c r="A37" s="5">
        <v>46013.0</v>
      </c>
      <c r="B37" s="6">
        <v>2714.0</v>
      </c>
      <c r="C37" s="6">
        <v>1.85916612E9</v>
      </c>
      <c r="D37" s="6">
        <v>6825795.0</v>
      </c>
      <c r="E37" s="6" t="s">
        <v>92</v>
      </c>
      <c r="F37" s="6" t="s">
        <v>93</v>
      </c>
      <c r="G37" s="6">
        <v>8.887502252E9</v>
      </c>
      <c r="H37" s="6">
        <v>4.0161616E7</v>
      </c>
      <c r="I37" s="6" t="s">
        <v>20</v>
      </c>
      <c r="J37" s="6" t="s">
        <v>21</v>
      </c>
      <c r="K37" s="6" t="s">
        <v>22</v>
      </c>
      <c r="L37" s="6">
        <v>112.0</v>
      </c>
      <c r="M37" s="5">
        <v>46013.0</v>
      </c>
      <c r="N37" s="6" t="s">
        <v>23</v>
      </c>
      <c r="O37" s="6" t="str">
        <f>SUMIFS([1]order_sku_sales_bb2_report!P:P,[1]order_sku_sales_bb2_report!H:H,C27770,[1]order_sku_sales_bb2_report!J:J,H27770)</f>
        <v>#ERROR!</v>
      </c>
      <c r="P37" s="6" t="str">
        <f>SUMIFS([1]order_sku_sales_bb2_report!O:O,[1]order_sku_sales_bb2_report!H:H,C27770,[1]order_sku_sales_bb2_report!J:J,H27770)</f>
        <v>#ERROR!</v>
      </c>
      <c r="Q37" s="6" t="str">
        <f t="shared" si="1"/>
        <v>22-12-2025</v>
      </c>
      <c r="R37" s="6" t="str">
        <f>IFERROR( VLOOKUP(C27770,[1]expressOrderReport!$S:$AZ,34,0),0)</f>
        <v>#ERROR!</v>
      </c>
      <c r="S37" s="6" t="str">
        <f>ARRAY_CONSTRAIN(ARRAYFORMULA(_xludf.XLOOKUP(D27770,[1]order_Report_SA_ID_BB2.0!V:V,[1]order_Report_SA_ID_BB2.0!AM:AM,"")), 1, 1)</f>
        <v>#ERROR!</v>
      </c>
      <c r="T37" s="6" t="str">
        <f t="shared" si="2"/>
        <v>Dec'25</v>
      </c>
    </row>
    <row r="38" ht="15.75" customHeight="1">
      <c r="A38" s="5">
        <v>46013.0</v>
      </c>
      <c r="B38" s="6">
        <v>5676.0</v>
      </c>
      <c r="C38" s="6">
        <v>1.859166125E9</v>
      </c>
      <c r="D38" s="6">
        <v>1.6388737E7</v>
      </c>
      <c r="E38" s="6" t="s">
        <v>94</v>
      </c>
      <c r="F38" s="6" t="s">
        <v>95</v>
      </c>
      <c r="G38" s="6">
        <v>9.886546898E9</v>
      </c>
      <c r="H38" s="6">
        <v>161899.0</v>
      </c>
      <c r="I38" s="6" t="s">
        <v>96</v>
      </c>
      <c r="J38" s="6" t="s">
        <v>21</v>
      </c>
      <c r="K38" s="6" t="s">
        <v>22</v>
      </c>
      <c r="L38" s="6">
        <v>15.0</v>
      </c>
      <c r="M38" s="5">
        <v>46013.0</v>
      </c>
      <c r="N38" s="6" t="s">
        <v>23</v>
      </c>
      <c r="O38" s="6" t="str">
        <f>SUMIFS([1]order_sku_sales_bb2_report!P:P,[1]order_sku_sales_bb2_report!H:H,C27771,[1]order_sku_sales_bb2_report!J:J,H27771)</f>
        <v>#ERROR!</v>
      </c>
      <c r="P38" s="6" t="str">
        <f>SUMIFS([1]order_sku_sales_bb2_report!O:O,[1]order_sku_sales_bb2_report!H:H,C27771,[1]order_sku_sales_bb2_report!J:J,H27771)</f>
        <v>#ERROR!</v>
      </c>
      <c r="Q38" s="6" t="str">
        <f t="shared" si="1"/>
        <v>22-12-2025</v>
      </c>
      <c r="R38" s="6" t="str">
        <f>IFERROR( VLOOKUP(C27771,[1]expressOrderReport!$S:$AZ,34,0),0)</f>
        <v>#ERROR!</v>
      </c>
      <c r="S38" s="6" t="str">
        <f>ARRAY_CONSTRAIN(ARRAYFORMULA(_xludf.XLOOKUP(D27771,[1]order_Report_SA_ID_BB2.0!V:V,[1]order_Report_SA_ID_BB2.0!AM:AM,"")), 1, 1)</f>
        <v>#ERROR!</v>
      </c>
      <c r="T38" s="6" t="str">
        <f t="shared" si="2"/>
        <v>Dec'25</v>
      </c>
    </row>
    <row r="39" ht="15.75" customHeight="1">
      <c r="A39" s="5">
        <v>46013.0</v>
      </c>
      <c r="B39" s="6">
        <v>7790.0</v>
      </c>
      <c r="C39" s="6">
        <v>1.859166134E9</v>
      </c>
      <c r="D39" s="6">
        <v>2854789.0</v>
      </c>
      <c r="E39" s="6" t="s">
        <v>97</v>
      </c>
      <c r="F39" s="6" t="s">
        <v>98</v>
      </c>
      <c r="G39" s="6">
        <v>9.880520987E9</v>
      </c>
      <c r="H39" s="6">
        <v>4.0149832E7</v>
      </c>
      <c r="I39" s="6" t="s">
        <v>26</v>
      </c>
      <c r="J39" s="6" t="s">
        <v>21</v>
      </c>
      <c r="K39" s="6" t="s">
        <v>22</v>
      </c>
      <c r="L39" s="6">
        <v>24.0</v>
      </c>
      <c r="M39" s="5">
        <v>46013.0</v>
      </c>
      <c r="N39" s="6" t="s">
        <v>23</v>
      </c>
      <c r="O39" s="6" t="str">
        <f>SUMIFS([1]order_sku_sales_bb2_report!P:P,[1]order_sku_sales_bb2_report!H:H,C27772,[1]order_sku_sales_bb2_report!J:J,H27772)</f>
        <v>#ERROR!</v>
      </c>
      <c r="P39" s="6" t="str">
        <f>SUMIFS([1]order_sku_sales_bb2_report!O:O,[1]order_sku_sales_bb2_report!H:H,C27772,[1]order_sku_sales_bb2_report!J:J,H27772)</f>
        <v>#ERROR!</v>
      </c>
      <c r="Q39" s="6" t="str">
        <f t="shared" si="1"/>
        <v>22-12-2025</v>
      </c>
      <c r="R39" s="6" t="str">
        <f>IFERROR( VLOOKUP(C27772,[1]expressOrderReport!$S:$AZ,34,0),0)</f>
        <v>#ERROR!</v>
      </c>
      <c r="S39" s="6" t="str">
        <f>ARRAY_CONSTRAIN(ARRAYFORMULA(_xludf.XLOOKUP(D27772,[1]order_Report_SA_ID_BB2.0!V:V,[1]order_Report_SA_ID_BB2.0!AM:AM,"")), 1, 1)</f>
        <v>#ERROR!</v>
      </c>
      <c r="T39" s="6" t="str">
        <f t="shared" si="2"/>
        <v>Dec'25</v>
      </c>
    </row>
    <row r="40" ht="15.75" customHeight="1">
      <c r="A40" s="5">
        <v>46013.0</v>
      </c>
      <c r="B40" s="6">
        <v>9679.0</v>
      </c>
      <c r="C40" s="6">
        <v>1.85916614E9</v>
      </c>
      <c r="D40" s="6">
        <v>717721.0</v>
      </c>
      <c r="E40" s="6" t="s">
        <v>99</v>
      </c>
      <c r="F40" s="6" t="s">
        <v>100</v>
      </c>
      <c r="G40" s="6">
        <v>9.90214162E9</v>
      </c>
      <c r="H40" s="6">
        <v>4.0149833E7</v>
      </c>
      <c r="I40" s="6" t="s">
        <v>40</v>
      </c>
      <c r="J40" s="6" t="s">
        <v>21</v>
      </c>
      <c r="K40" s="6" t="s">
        <v>22</v>
      </c>
      <c r="L40" s="6">
        <v>54.0</v>
      </c>
      <c r="M40" s="5">
        <v>46013.0</v>
      </c>
      <c r="N40" s="6" t="s">
        <v>23</v>
      </c>
      <c r="O40" s="6" t="str">
        <f>SUMIFS([1]order_sku_sales_bb2_report!P:P,[1]order_sku_sales_bb2_report!H:H,C27773,[1]order_sku_sales_bb2_report!J:J,H27773)</f>
        <v>#ERROR!</v>
      </c>
      <c r="P40" s="6" t="str">
        <f>SUMIFS([1]order_sku_sales_bb2_report!O:O,[1]order_sku_sales_bb2_report!H:H,C27773,[1]order_sku_sales_bb2_report!J:J,H27773)</f>
        <v>#ERROR!</v>
      </c>
      <c r="Q40" s="6" t="str">
        <f t="shared" si="1"/>
        <v>22-12-2025</v>
      </c>
      <c r="R40" s="6" t="str">
        <f>IFERROR( VLOOKUP(C27773,[1]expressOrderReport!$S:$AZ,34,0),0)</f>
        <v>#ERROR!</v>
      </c>
      <c r="S40" s="6" t="str">
        <f>ARRAY_CONSTRAIN(ARRAYFORMULA(_xludf.XLOOKUP(D27773,[1]order_Report_SA_ID_BB2.0!V:V,[1]order_Report_SA_ID_BB2.0!AM:AM,"")), 1, 1)</f>
        <v>#ERROR!</v>
      </c>
      <c r="T40" s="6" t="str">
        <f t="shared" si="2"/>
        <v>Dec'25</v>
      </c>
    </row>
    <row r="41" ht="15.75" customHeight="1">
      <c r="A41" s="5">
        <v>46013.0</v>
      </c>
      <c r="B41" s="6">
        <v>7629.0</v>
      </c>
      <c r="C41" s="6">
        <v>1.859166146E9</v>
      </c>
      <c r="D41" s="6">
        <v>2772806.0</v>
      </c>
      <c r="E41" s="6" t="s">
        <v>101</v>
      </c>
      <c r="F41" s="6" t="s">
        <v>102</v>
      </c>
      <c r="G41" s="6">
        <v>9.779595082E9</v>
      </c>
      <c r="H41" s="6">
        <v>4.0198739E7</v>
      </c>
      <c r="I41" s="6" t="s">
        <v>103</v>
      </c>
      <c r="J41" s="6" t="s">
        <v>21</v>
      </c>
      <c r="K41" s="6" t="s">
        <v>22</v>
      </c>
      <c r="L41" s="6">
        <v>80.0</v>
      </c>
      <c r="M41" s="5">
        <v>46013.0</v>
      </c>
      <c r="N41" s="6" t="s">
        <v>54</v>
      </c>
      <c r="O41" s="6" t="str">
        <f>SUMIFS([1]order_sku_sales_bb2_report!P:P,[1]order_sku_sales_bb2_report!H:H,C27774,[1]order_sku_sales_bb2_report!J:J,H27774)</f>
        <v>#ERROR!</v>
      </c>
      <c r="P41" s="6" t="str">
        <f>SUMIFS([1]order_sku_sales_bb2_report!O:O,[1]order_sku_sales_bb2_report!H:H,C27774,[1]order_sku_sales_bb2_report!J:J,H27774)</f>
        <v>#ERROR!</v>
      </c>
      <c r="Q41" s="6" t="str">
        <f t="shared" si="1"/>
        <v>22-12-2025</v>
      </c>
      <c r="R41" s="6" t="str">
        <f>IFERROR( VLOOKUP(C27774,[1]expressOrderReport!$S:$AZ,34,0),0)</f>
        <v>#ERROR!</v>
      </c>
      <c r="S41" s="6" t="str">
        <f>ARRAY_CONSTRAIN(ARRAYFORMULA(_xludf.XLOOKUP(D27774,[1]order_Report_SA_ID_BB2.0!V:V,[1]order_Report_SA_ID_BB2.0!AM:AM,"")), 1, 1)</f>
        <v>#ERROR!</v>
      </c>
      <c r="T41" s="6" t="str">
        <f t="shared" si="2"/>
        <v>Dec'25</v>
      </c>
    </row>
    <row r="42" ht="15.75" customHeight="1">
      <c r="A42" s="5">
        <v>46013.0</v>
      </c>
      <c r="B42" s="6">
        <v>6689.0</v>
      </c>
      <c r="C42" s="6">
        <v>1.85916615E9</v>
      </c>
      <c r="D42" s="6">
        <v>1.9819255E7</v>
      </c>
      <c r="E42" s="6" t="s">
        <v>104</v>
      </c>
      <c r="F42" s="6" t="s">
        <v>105</v>
      </c>
      <c r="G42" s="6">
        <v>9.902739462E9</v>
      </c>
      <c r="H42" s="6">
        <v>4.0149833E7</v>
      </c>
      <c r="I42" s="6" t="s">
        <v>40</v>
      </c>
      <c r="J42" s="6" t="s">
        <v>21</v>
      </c>
      <c r="K42" s="6" t="s">
        <v>22</v>
      </c>
      <c r="L42" s="6">
        <v>27.0</v>
      </c>
      <c r="M42" s="5">
        <v>46013.0</v>
      </c>
      <c r="N42" s="6" t="s">
        <v>23</v>
      </c>
      <c r="O42" s="6" t="str">
        <f>SUMIFS([1]order_sku_sales_bb2_report!P:P,[1]order_sku_sales_bb2_report!H:H,C27775,[1]order_sku_sales_bb2_report!J:J,H27775)</f>
        <v>#ERROR!</v>
      </c>
      <c r="P42" s="6" t="str">
        <f>SUMIFS([1]order_sku_sales_bb2_report!O:O,[1]order_sku_sales_bb2_report!H:H,C27775,[1]order_sku_sales_bb2_report!J:J,H27775)</f>
        <v>#ERROR!</v>
      </c>
      <c r="Q42" s="6" t="str">
        <f t="shared" si="1"/>
        <v>22-12-2025</v>
      </c>
      <c r="R42" s="6" t="str">
        <f>IFERROR( VLOOKUP(C27775,[1]expressOrderReport!$S:$AZ,34,0),0)</f>
        <v>#ERROR!</v>
      </c>
      <c r="S42" s="6" t="str">
        <f>ARRAY_CONSTRAIN(ARRAYFORMULA(_xludf.XLOOKUP(D27775,[1]order_Report_SA_ID_BB2.0!V:V,[1]order_Report_SA_ID_BB2.0!AM:AM,"")), 1, 1)</f>
        <v>#ERROR!</v>
      </c>
      <c r="T42" s="6" t="str">
        <f t="shared" si="2"/>
        <v>Dec'25</v>
      </c>
    </row>
    <row r="43" ht="15.75" customHeight="1">
      <c r="A43" s="5">
        <v>46013.0</v>
      </c>
      <c r="B43" s="6">
        <v>6684.0</v>
      </c>
      <c r="C43" s="6">
        <v>1.859166158E9</v>
      </c>
      <c r="D43" s="6">
        <v>5956.0</v>
      </c>
      <c r="E43" s="6" t="s">
        <v>106</v>
      </c>
      <c r="F43" s="6" t="s">
        <v>107</v>
      </c>
      <c r="G43" s="6">
        <v>9.74256633E9</v>
      </c>
      <c r="H43" s="6">
        <v>4.0149832E7</v>
      </c>
      <c r="I43" s="6" t="s">
        <v>26</v>
      </c>
      <c r="J43" s="6" t="s">
        <v>21</v>
      </c>
      <c r="K43" s="6" t="s">
        <v>22</v>
      </c>
      <c r="L43" s="6">
        <v>24.0</v>
      </c>
      <c r="M43" s="5">
        <v>46013.0</v>
      </c>
      <c r="N43" s="6" t="s">
        <v>23</v>
      </c>
      <c r="O43" s="6" t="str">
        <f>SUMIFS([1]order_sku_sales_bb2_report!P:P,[1]order_sku_sales_bb2_report!H:H,C27776,[1]order_sku_sales_bb2_report!J:J,H27776)</f>
        <v>#ERROR!</v>
      </c>
      <c r="P43" s="6" t="str">
        <f>SUMIFS([1]order_sku_sales_bb2_report!O:O,[1]order_sku_sales_bb2_report!H:H,C27776,[1]order_sku_sales_bb2_report!J:J,H27776)</f>
        <v>#ERROR!</v>
      </c>
      <c r="Q43" s="6" t="str">
        <f t="shared" si="1"/>
        <v>22-12-2025</v>
      </c>
      <c r="R43" s="6" t="str">
        <f>IFERROR( VLOOKUP(C27776,[1]expressOrderReport!$S:$AZ,34,0),0)</f>
        <v>#ERROR!</v>
      </c>
      <c r="S43" s="6" t="str">
        <f>ARRAY_CONSTRAIN(ARRAYFORMULA(_xludf.XLOOKUP(D27776,[1]order_Report_SA_ID_BB2.0!V:V,[1]order_Report_SA_ID_BB2.0!AM:AM,"")), 1, 1)</f>
        <v>#ERROR!</v>
      </c>
      <c r="T43" s="6" t="str">
        <f t="shared" si="2"/>
        <v>Dec'25</v>
      </c>
    </row>
    <row r="44" ht="15.75" customHeight="1">
      <c r="A44" s="5">
        <v>46013.0</v>
      </c>
      <c r="B44" s="6">
        <v>8118.0</v>
      </c>
      <c r="C44" s="6">
        <v>1.859166165E9</v>
      </c>
      <c r="D44" s="6">
        <v>1.4097569E7</v>
      </c>
      <c r="E44" s="6" t="s">
        <v>108</v>
      </c>
      <c r="F44" s="6" t="s">
        <v>109</v>
      </c>
      <c r="G44" s="6">
        <v>9.008056145E9</v>
      </c>
      <c r="H44" s="6">
        <v>4.0147597E7</v>
      </c>
      <c r="I44" s="6" t="s">
        <v>59</v>
      </c>
      <c r="J44" s="6" t="s">
        <v>21</v>
      </c>
      <c r="K44" s="6" t="s">
        <v>22</v>
      </c>
      <c r="L44" s="6">
        <v>102.0</v>
      </c>
      <c r="M44" s="5">
        <v>46013.0</v>
      </c>
      <c r="N44" s="6" t="s">
        <v>23</v>
      </c>
      <c r="O44" s="6" t="str">
        <f>SUMIFS([1]order_sku_sales_bb2_report!P:P,[1]order_sku_sales_bb2_report!H:H,C27777,[1]order_sku_sales_bb2_report!J:J,H27777)</f>
        <v>#ERROR!</v>
      </c>
      <c r="P44" s="6" t="str">
        <f>SUMIFS([1]order_sku_sales_bb2_report!O:O,[1]order_sku_sales_bb2_report!H:H,C27777,[1]order_sku_sales_bb2_report!J:J,H27777)</f>
        <v>#ERROR!</v>
      </c>
      <c r="Q44" s="6" t="str">
        <f t="shared" si="1"/>
        <v>22-12-2025</v>
      </c>
      <c r="R44" s="6" t="str">
        <f>IFERROR( VLOOKUP(C27777,[1]expressOrderReport!$S:$AZ,34,0),0)</f>
        <v>#ERROR!</v>
      </c>
      <c r="S44" s="6" t="str">
        <f>ARRAY_CONSTRAIN(ARRAYFORMULA(_xludf.XLOOKUP(D27777,[1]order_Report_SA_ID_BB2.0!V:V,[1]order_Report_SA_ID_BB2.0!AM:AM,"")), 1, 1)</f>
        <v>#ERROR!</v>
      </c>
      <c r="T44" s="6" t="str">
        <f t="shared" si="2"/>
        <v>Dec'25</v>
      </c>
    </row>
    <row r="45" ht="15.75" customHeight="1">
      <c r="A45" s="5">
        <v>46013.0</v>
      </c>
      <c r="B45" s="6">
        <v>8119.0</v>
      </c>
      <c r="C45" s="6">
        <v>1.859166165E9</v>
      </c>
      <c r="D45" s="6">
        <v>1.4097569E7</v>
      </c>
      <c r="E45" s="6" t="s">
        <v>108</v>
      </c>
      <c r="F45" s="6" t="s">
        <v>109</v>
      </c>
      <c r="G45" s="6">
        <v>9.008056145E9</v>
      </c>
      <c r="H45" s="6">
        <v>4.0332425E7</v>
      </c>
      <c r="I45" s="6" t="s">
        <v>110</v>
      </c>
      <c r="J45" s="6" t="s">
        <v>21</v>
      </c>
      <c r="K45" s="6" t="s">
        <v>22</v>
      </c>
      <c r="L45" s="6">
        <v>102.0</v>
      </c>
      <c r="M45" s="5">
        <v>46013.0</v>
      </c>
      <c r="N45" s="6" t="s">
        <v>23</v>
      </c>
      <c r="O45" s="6" t="str">
        <f>SUMIFS([1]order_sku_sales_bb2_report!P:P,[1]order_sku_sales_bb2_report!H:H,C27778,[1]order_sku_sales_bb2_report!J:J,H27778)</f>
        <v>#ERROR!</v>
      </c>
      <c r="P45" s="6" t="str">
        <f>SUMIFS([1]order_sku_sales_bb2_report!O:O,[1]order_sku_sales_bb2_report!H:H,C27778,[1]order_sku_sales_bb2_report!J:J,H27778)</f>
        <v>#ERROR!</v>
      </c>
      <c r="Q45" s="6" t="str">
        <f t="shared" si="1"/>
        <v>22-12-2025</v>
      </c>
      <c r="R45" s="6" t="str">
        <f>IFERROR( VLOOKUP(C27778,[1]expressOrderReport!$S:$AZ,34,0),0)</f>
        <v>#ERROR!</v>
      </c>
      <c r="S45" s="6" t="str">
        <f>ARRAY_CONSTRAIN(ARRAYFORMULA(_xludf.XLOOKUP(D27778,[1]order_Report_SA_ID_BB2.0!V:V,[1]order_Report_SA_ID_BB2.0!AM:AM,"")), 1, 1)</f>
        <v>#ERROR!</v>
      </c>
      <c r="T45" s="6" t="str">
        <f t="shared" si="2"/>
        <v>Dec'25</v>
      </c>
    </row>
    <row r="46" ht="15.75" customHeight="1">
      <c r="A46" s="5">
        <v>46013.0</v>
      </c>
      <c r="B46" s="6">
        <v>10773.0</v>
      </c>
      <c r="C46" s="6">
        <v>1.859166172E9</v>
      </c>
      <c r="D46" s="6">
        <v>8411994.0</v>
      </c>
      <c r="E46" s="6" t="s">
        <v>111</v>
      </c>
      <c r="F46" s="6" t="s">
        <v>112</v>
      </c>
      <c r="G46" s="6">
        <v>9.545995934E9</v>
      </c>
      <c r="H46" s="6">
        <v>4.0272798E7</v>
      </c>
      <c r="I46" s="6" t="s">
        <v>113</v>
      </c>
      <c r="J46" s="6" t="s">
        <v>21</v>
      </c>
      <c r="K46" s="6" t="s">
        <v>22</v>
      </c>
      <c r="L46" s="6">
        <v>116.8</v>
      </c>
      <c r="M46" s="5">
        <v>46013.0</v>
      </c>
      <c r="N46" s="6" t="s">
        <v>23</v>
      </c>
      <c r="O46" s="6" t="str">
        <f>SUMIFS([1]order_sku_sales_bb2_report!P:P,[1]order_sku_sales_bb2_report!H:H,C27779,[1]order_sku_sales_bb2_report!J:J,H27779)</f>
        <v>#ERROR!</v>
      </c>
      <c r="P46" s="6" t="str">
        <f>SUMIFS([1]order_sku_sales_bb2_report!O:O,[1]order_sku_sales_bb2_report!H:H,C27779,[1]order_sku_sales_bb2_report!J:J,H27779)</f>
        <v>#ERROR!</v>
      </c>
      <c r="Q46" s="6" t="str">
        <f t="shared" si="1"/>
        <v>22-12-2025</v>
      </c>
      <c r="R46" s="6" t="str">
        <f>IFERROR( VLOOKUP(C27779,[1]expressOrderReport!$S:$AZ,34,0),0)</f>
        <v>#ERROR!</v>
      </c>
      <c r="S46" s="6" t="str">
        <f>ARRAY_CONSTRAIN(ARRAYFORMULA(_xludf.XLOOKUP(D27779,[1]order_Report_SA_ID_BB2.0!V:V,[1]order_Report_SA_ID_BB2.0!AM:AM,"")), 1, 1)</f>
        <v>#ERROR!</v>
      </c>
      <c r="T46" s="6" t="str">
        <f t="shared" si="2"/>
        <v>Dec'25</v>
      </c>
    </row>
    <row r="47" ht="15.75" customHeight="1">
      <c r="A47" s="5">
        <v>46013.0</v>
      </c>
      <c r="B47" s="6">
        <v>11438.0</v>
      </c>
      <c r="C47" s="6">
        <v>1.859166178E9</v>
      </c>
      <c r="D47" s="6">
        <v>1.4134874E7</v>
      </c>
      <c r="E47" s="6" t="s">
        <v>114</v>
      </c>
      <c r="F47" s="6" t="s">
        <v>115</v>
      </c>
      <c r="G47" s="6">
        <v>9.87328827E9</v>
      </c>
      <c r="H47" s="6">
        <v>4.0149832E7</v>
      </c>
      <c r="I47" s="6" t="s">
        <v>26</v>
      </c>
      <c r="J47" s="6" t="s">
        <v>21</v>
      </c>
      <c r="K47" s="6" t="s">
        <v>22</v>
      </c>
      <c r="L47" s="6">
        <v>24.0</v>
      </c>
      <c r="M47" s="5">
        <v>46013.0</v>
      </c>
      <c r="N47" s="6" t="s">
        <v>23</v>
      </c>
      <c r="O47" s="6" t="str">
        <f>SUMIFS([1]order_sku_sales_bb2_report!P:P,[1]order_sku_sales_bb2_report!H:H,C27780,[1]order_sku_sales_bb2_report!J:J,H27780)</f>
        <v>#ERROR!</v>
      </c>
      <c r="P47" s="6" t="str">
        <f>SUMIFS([1]order_sku_sales_bb2_report!O:O,[1]order_sku_sales_bb2_report!H:H,C27780,[1]order_sku_sales_bb2_report!J:J,H27780)</f>
        <v>#ERROR!</v>
      </c>
      <c r="Q47" s="6" t="str">
        <f t="shared" si="1"/>
        <v>22-12-2025</v>
      </c>
      <c r="R47" s="6" t="str">
        <f>IFERROR( VLOOKUP(C27780,[1]expressOrderReport!$S:$AZ,34,0),0)</f>
        <v>#ERROR!</v>
      </c>
      <c r="S47" s="6" t="str">
        <f>ARRAY_CONSTRAIN(ARRAYFORMULA(_xludf.XLOOKUP(D27780,[1]order_Report_SA_ID_BB2.0!V:V,[1]order_Report_SA_ID_BB2.0!AM:AM,"")), 1, 1)</f>
        <v>#ERROR!</v>
      </c>
      <c r="T47" s="6" t="str">
        <f t="shared" si="2"/>
        <v>Dec'25</v>
      </c>
    </row>
    <row r="48" ht="15.75" customHeight="1">
      <c r="A48" s="5">
        <v>46013.0</v>
      </c>
      <c r="B48" s="6">
        <v>2769.0</v>
      </c>
      <c r="C48" s="6">
        <v>1.859166188E9</v>
      </c>
      <c r="D48" s="6">
        <v>604300.0</v>
      </c>
      <c r="E48" s="6" t="s">
        <v>116</v>
      </c>
      <c r="F48" s="6" t="s">
        <v>117</v>
      </c>
      <c r="G48" s="6">
        <v>9.901454987E9</v>
      </c>
      <c r="H48" s="6">
        <v>4.0158264E7</v>
      </c>
      <c r="I48" s="6" t="s">
        <v>26</v>
      </c>
      <c r="J48" s="6" t="s">
        <v>21</v>
      </c>
      <c r="K48" s="6" t="s">
        <v>22</v>
      </c>
      <c r="L48" s="6">
        <v>70.0</v>
      </c>
      <c r="M48" s="5">
        <v>46013.0</v>
      </c>
      <c r="N48" s="6" t="s">
        <v>23</v>
      </c>
      <c r="O48" s="6" t="str">
        <f>SUMIFS([1]order_sku_sales_bb2_report!P:P,[1]order_sku_sales_bb2_report!H:H,C27781,[1]order_sku_sales_bb2_report!J:J,H27781)</f>
        <v>#ERROR!</v>
      </c>
      <c r="P48" s="6" t="str">
        <f>SUMIFS([1]order_sku_sales_bb2_report!O:O,[1]order_sku_sales_bb2_report!H:H,C27781,[1]order_sku_sales_bb2_report!J:J,H27781)</f>
        <v>#ERROR!</v>
      </c>
      <c r="Q48" s="6" t="str">
        <f t="shared" si="1"/>
        <v>22-12-2025</v>
      </c>
      <c r="R48" s="6" t="str">
        <f>IFERROR( VLOOKUP(C27781,[1]expressOrderReport!$S:$AZ,34,0),0)</f>
        <v>#ERROR!</v>
      </c>
      <c r="S48" s="6" t="str">
        <f>ARRAY_CONSTRAIN(ARRAYFORMULA(_xludf.XLOOKUP(D27781,[1]order_Report_SA_ID_BB2.0!V:V,[1]order_Report_SA_ID_BB2.0!AM:AM,"")), 1, 1)</f>
        <v>#ERROR!</v>
      </c>
      <c r="T48" s="6" t="str">
        <f t="shared" si="2"/>
        <v>Dec'25</v>
      </c>
    </row>
    <row r="49" ht="15.75" customHeight="1">
      <c r="A49" s="5">
        <v>46013.0</v>
      </c>
      <c r="B49" s="6">
        <v>2770.0</v>
      </c>
      <c r="C49" s="6">
        <v>1.859166188E9</v>
      </c>
      <c r="D49" s="6">
        <v>604300.0</v>
      </c>
      <c r="E49" s="6" t="s">
        <v>116</v>
      </c>
      <c r="F49" s="6" t="s">
        <v>117</v>
      </c>
      <c r="G49" s="6">
        <v>9.901454987E9</v>
      </c>
      <c r="H49" s="6">
        <v>4.0149832E7</v>
      </c>
      <c r="I49" s="6" t="s">
        <v>26</v>
      </c>
      <c r="J49" s="6" t="s">
        <v>21</v>
      </c>
      <c r="K49" s="6" t="s">
        <v>22</v>
      </c>
      <c r="L49" s="6">
        <v>70.0</v>
      </c>
      <c r="M49" s="5">
        <v>46013.0</v>
      </c>
      <c r="N49" s="6" t="s">
        <v>23</v>
      </c>
      <c r="O49" s="6" t="str">
        <f>SUMIFS([1]order_sku_sales_bb2_report!P:P,[1]order_sku_sales_bb2_report!H:H,C27782,[1]order_sku_sales_bb2_report!J:J,H27782)</f>
        <v>#ERROR!</v>
      </c>
      <c r="P49" s="6" t="str">
        <f>SUMIFS([1]order_sku_sales_bb2_report!O:O,[1]order_sku_sales_bb2_report!H:H,C27782,[1]order_sku_sales_bb2_report!J:J,H27782)</f>
        <v>#ERROR!</v>
      </c>
      <c r="Q49" s="6" t="str">
        <f t="shared" si="1"/>
        <v>22-12-2025</v>
      </c>
      <c r="R49" s="6" t="str">
        <f>IFERROR( VLOOKUP(C27782,[1]expressOrderReport!$S:$AZ,34,0),0)</f>
        <v>#ERROR!</v>
      </c>
      <c r="S49" s="6" t="str">
        <f>ARRAY_CONSTRAIN(ARRAYFORMULA(_xludf.XLOOKUP(D27782,[1]order_Report_SA_ID_BB2.0!V:V,[1]order_Report_SA_ID_BB2.0!AM:AM,"")), 1, 1)</f>
        <v>#ERROR!</v>
      </c>
      <c r="T49" s="6" t="str">
        <f t="shared" si="2"/>
        <v>Dec'25</v>
      </c>
    </row>
    <row r="50" ht="15.75" customHeight="1">
      <c r="A50" s="5">
        <v>46013.0</v>
      </c>
      <c r="B50" s="6">
        <v>764.0</v>
      </c>
      <c r="C50" s="6">
        <v>1.859166197E9</v>
      </c>
      <c r="D50" s="6">
        <v>2.8638493E7</v>
      </c>
      <c r="E50" s="6" t="s">
        <v>118</v>
      </c>
      <c r="F50" s="6" t="s">
        <v>119</v>
      </c>
      <c r="G50" s="6">
        <v>9.619517747E9</v>
      </c>
      <c r="H50" s="6">
        <v>4.0149832E7</v>
      </c>
      <c r="I50" s="6" t="s">
        <v>26</v>
      </c>
      <c r="J50" s="6" t="s">
        <v>21</v>
      </c>
      <c r="K50" s="6" t="s">
        <v>22</v>
      </c>
      <c r="L50" s="6">
        <v>33.0</v>
      </c>
      <c r="M50" s="5">
        <v>46013.0</v>
      </c>
      <c r="N50" s="6" t="s">
        <v>23</v>
      </c>
      <c r="O50" s="6" t="str">
        <f>SUMIFS([1]order_sku_sales_bb2_report!P:P,[1]order_sku_sales_bb2_report!H:H,C27783,[1]order_sku_sales_bb2_report!J:J,H27783)</f>
        <v>#ERROR!</v>
      </c>
      <c r="P50" s="6" t="str">
        <f>SUMIFS([1]order_sku_sales_bb2_report!O:O,[1]order_sku_sales_bb2_report!H:H,C27783,[1]order_sku_sales_bb2_report!J:J,H27783)</f>
        <v>#ERROR!</v>
      </c>
      <c r="Q50" s="6" t="str">
        <f t="shared" si="1"/>
        <v>22-12-2025</v>
      </c>
      <c r="R50" s="6" t="str">
        <f>IFERROR( VLOOKUP(C27783,[1]expressOrderReport!$S:$AZ,34,0),0)</f>
        <v>#ERROR!</v>
      </c>
      <c r="S50" s="6" t="str">
        <f>ARRAY_CONSTRAIN(ARRAYFORMULA(_xludf.XLOOKUP(D27783,[1]order_Report_SA_ID_BB2.0!V:V,[1]order_Report_SA_ID_BB2.0!AM:AM,"")), 1, 1)</f>
        <v>#ERROR!</v>
      </c>
      <c r="T50" s="6" t="str">
        <f t="shared" si="2"/>
        <v>Dec'25</v>
      </c>
    </row>
    <row r="51" ht="15.75" customHeight="1">
      <c r="A51" s="5">
        <v>46013.0</v>
      </c>
      <c r="B51" s="6">
        <v>770.0</v>
      </c>
      <c r="C51" s="6">
        <v>1.859166197E9</v>
      </c>
      <c r="D51" s="6">
        <v>2.8638493E7</v>
      </c>
      <c r="E51" s="6" t="s">
        <v>118</v>
      </c>
      <c r="F51" s="6" t="s">
        <v>119</v>
      </c>
      <c r="G51" s="6">
        <v>9.619517747E9</v>
      </c>
      <c r="H51" s="6">
        <v>1.0042312E8</v>
      </c>
      <c r="I51" s="6" t="s">
        <v>120</v>
      </c>
      <c r="J51" s="6" t="s">
        <v>21</v>
      </c>
      <c r="K51" s="6" t="s">
        <v>22</v>
      </c>
      <c r="L51" s="6">
        <v>33.0</v>
      </c>
      <c r="M51" s="5">
        <v>46013.0</v>
      </c>
      <c r="N51" s="6" t="s">
        <v>23</v>
      </c>
      <c r="O51" s="6" t="str">
        <f>SUMIFS([1]order_sku_sales_bb2_report!P:P,[1]order_sku_sales_bb2_report!H:H,C27784,[1]order_sku_sales_bb2_report!J:J,H27784)</f>
        <v>#ERROR!</v>
      </c>
      <c r="P51" s="6" t="str">
        <f>SUMIFS([1]order_sku_sales_bb2_report!O:O,[1]order_sku_sales_bb2_report!H:H,C27784,[1]order_sku_sales_bb2_report!J:J,H27784)</f>
        <v>#ERROR!</v>
      </c>
      <c r="Q51" s="6" t="str">
        <f t="shared" si="1"/>
        <v>22-12-2025</v>
      </c>
      <c r="R51" s="6" t="str">
        <f>IFERROR( VLOOKUP(C27784,[1]expressOrderReport!$S:$AZ,34,0),0)</f>
        <v>#ERROR!</v>
      </c>
      <c r="S51" s="6" t="str">
        <f>ARRAY_CONSTRAIN(ARRAYFORMULA(_xludf.XLOOKUP(D27784,[1]order_Report_SA_ID_BB2.0!V:V,[1]order_Report_SA_ID_BB2.0!AM:AM,"")), 1, 1)</f>
        <v>#ERROR!</v>
      </c>
      <c r="T51" s="6" t="str">
        <f t="shared" si="2"/>
        <v>Dec'25</v>
      </c>
    </row>
    <row r="52" ht="15.75" customHeight="1">
      <c r="A52" s="5">
        <v>46013.0</v>
      </c>
      <c r="B52" s="6">
        <v>9808.0</v>
      </c>
      <c r="C52" s="6">
        <v>1.859166204E9</v>
      </c>
      <c r="D52" s="6">
        <v>2.3008914E7</v>
      </c>
      <c r="E52" s="6" t="s">
        <v>121</v>
      </c>
      <c r="F52" s="6" t="s">
        <v>122</v>
      </c>
      <c r="G52" s="6">
        <v>7.760085888E9</v>
      </c>
      <c r="H52" s="6">
        <v>4.014983E7</v>
      </c>
      <c r="I52" s="6" t="s">
        <v>30</v>
      </c>
      <c r="J52" s="6" t="s">
        <v>21</v>
      </c>
      <c r="K52" s="6" t="s">
        <v>22</v>
      </c>
      <c r="L52" s="6">
        <v>84.0</v>
      </c>
      <c r="M52" s="5">
        <v>46013.0</v>
      </c>
      <c r="N52" s="6" t="s">
        <v>23</v>
      </c>
      <c r="O52" s="6" t="str">
        <f>SUMIFS([1]order_sku_sales_bb2_report!P:P,[1]order_sku_sales_bb2_report!H:H,C27785,[1]order_sku_sales_bb2_report!J:J,H27785)</f>
        <v>#ERROR!</v>
      </c>
      <c r="P52" s="6" t="str">
        <f>SUMIFS([1]order_sku_sales_bb2_report!O:O,[1]order_sku_sales_bb2_report!H:H,C27785,[1]order_sku_sales_bb2_report!J:J,H27785)</f>
        <v>#ERROR!</v>
      </c>
      <c r="Q52" s="6" t="str">
        <f t="shared" si="1"/>
        <v>22-12-2025</v>
      </c>
      <c r="R52" s="6" t="str">
        <f>IFERROR( VLOOKUP(C27785,[1]expressOrderReport!$S:$AZ,34,0),0)</f>
        <v>#ERROR!</v>
      </c>
      <c r="S52" s="6" t="str">
        <f>ARRAY_CONSTRAIN(ARRAYFORMULA(_xludf.XLOOKUP(D27785,[1]order_Report_SA_ID_BB2.0!V:V,[1]order_Report_SA_ID_BB2.0!AM:AM,"")), 1, 1)</f>
        <v>#ERROR!</v>
      </c>
      <c r="T52" s="6" t="str">
        <f t="shared" si="2"/>
        <v>Dec'25</v>
      </c>
    </row>
    <row r="53" ht="15.75" customHeight="1">
      <c r="A53" s="5">
        <v>46013.0</v>
      </c>
      <c r="B53" s="6">
        <v>11233.0</v>
      </c>
      <c r="C53" s="6">
        <v>1.859166204E9</v>
      </c>
      <c r="D53" s="6">
        <v>2.3008914E7</v>
      </c>
      <c r="E53" s="6" t="s">
        <v>121</v>
      </c>
      <c r="F53" s="6" t="s">
        <v>122</v>
      </c>
      <c r="G53" s="6">
        <v>7.760085888E9</v>
      </c>
      <c r="H53" s="6">
        <v>4.0161616E7</v>
      </c>
      <c r="I53" s="6" t="s">
        <v>20</v>
      </c>
      <c r="J53" s="6" t="s">
        <v>21</v>
      </c>
      <c r="K53" s="6" t="s">
        <v>22</v>
      </c>
      <c r="L53" s="6">
        <v>84.0</v>
      </c>
      <c r="M53" s="5">
        <v>46013.0</v>
      </c>
      <c r="N53" s="6" t="s">
        <v>23</v>
      </c>
      <c r="O53" s="6" t="str">
        <f>SUMIFS([1]order_sku_sales_bb2_report!P:P,[1]order_sku_sales_bb2_report!H:H,C27786,[1]order_sku_sales_bb2_report!J:J,H27786)</f>
        <v>#ERROR!</v>
      </c>
      <c r="P53" s="6" t="str">
        <f>SUMIFS([1]order_sku_sales_bb2_report!O:O,[1]order_sku_sales_bb2_report!H:H,C27786,[1]order_sku_sales_bb2_report!J:J,H27786)</f>
        <v>#ERROR!</v>
      </c>
      <c r="Q53" s="6" t="str">
        <f t="shared" si="1"/>
        <v>22-12-2025</v>
      </c>
      <c r="R53" s="6" t="str">
        <f>IFERROR( VLOOKUP(C27786,[1]expressOrderReport!$S:$AZ,34,0),0)</f>
        <v>#ERROR!</v>
      </c>
      <c r="S53" s="6" t="str">
        <f>ARRAY_CONSTRAIN(ARRAYFORMULA(_xludf.XLOOKUP(D27786,[1]order_Report_SA_ID_BB2.0!V:V,[1]order_Report_SA_ID_BB2.0!AM:AM,"")), 1, 1)</f>
        <v>#ERROR!</v>
      </c>
      <c r="T53" s="6" t="str">
        <f t="shared" si="2"/>
        <v>Dec'25</v>
      </c>
    </row>
    <row r="54" ht="15.75" customHeight="1">
      <c r="A54" s="5">
        <v>46013.0</v>
      </c>
      <c r="B54" s="6">
        <v>7840.0</v>
      </c>
      <c r="C54" s="6">
        <v>1.859166208E9</v>
      </c>
      <c r="D54" s="6">
        <v>9676210.0</v>
      </c>
      <c r="E54" s="6" t="s">
        <v>123</v>
      </c>
      <c r="F54" s="6" t="s">
        <v>124</v>
      </c>
      <c r="G54" s="6">
        <v>9.886841642E9</v>
      </c>
      <c r="H54" s="6">
        <v>4.0149833E7</v>
      </c>
      <c r="I54" s="6" t="s">
        <v>40</v>
      </c>
      <c r="J54" s="6" t="s">
        <v>21</v>
      </c>
      <c r="K54" s="6" t="s">
        <v>22</v>
      </c>
      <c r="L54" s="6">
        <v>54.0</v>
      </c>
      <c r="M54" s="5">
        <v>46013.0</v>
      </c>
      <c r="N54" s="6" t="s">
        <v>23</v>
      </c>
      <c r="O54" s="6" t="str">
        <f>SUMIFS([1]order_sku_sales_bb2_report!P:P,[1]order_sku_sales_bb2_report!H:H,C27787,[1]order_sku_sales_bb2_report!J:J,H27787)</f>
        <v>#ERROR!</v>
      </c>
      <c r="P54" s="6" t="str">
        <f>SUMIFS([1]order_sku_sales_bb2_report!O:O,[1]order_sku_sales_bb2_report!H:H,C27787,[1]order_sku_sales_bb2_report!J:J,H27787)</f>
        <v>#ERROR!</v>
      </c>
      <c r="Q54" s="6" t="str">
        <f t="shared" si="1"/>
        <v>22-12-2025</v>
      </c>
      <c r="R54" s="6" t="str">
        <f>IFERROR( VLOOKUP(C27787,[1]expressOrderReport!$S:$AZ,34,0),0)</f>
        <v>#ERROR!</v>
      </c>
      <c r="S54" s="6" t="str">
        <f>ARRAY_CONSTRAIN(ARRAYFORMULA(_xludf.XLOOKUP(D27787,[1]order_Report_SA_ID_BB2.0!V:V,[1]order_Report_SA_ID_BB2.0!AM:AM,"")), 1, 1)</f>
        <v>#ERROR!</v>
      </c>
      <c r="T54" s="6" t="str">
        <f t="shared" si="2"/>
        <v>Dec'25</v>
      </c>
    </row>
    <row r="55" ht="15.75" customHeight="1">
      <c r="A55" s="5">
        <v>46013.0</v>
      </c>
      <c r="B55" s="6">
        <v>8490.0</v>
      </c>
      <c r="C55" s="6">
        <v>1.859166221E9</v>
      </c>
      <c r="D55" s="6">
        <v>5.2499998E7</v>
      </c>
      <c r="E55" s="6" t="s">
        <v>125</v>
      </c>
      <c r="F55" s="6" t="s">
        <v>126</v>
      </c>
      <c r="G55" s="6">
        <v>9.866224789E9</v>
      </c>
      <c r="H55" s="6">
        <v>4.0149832E7</v>
      </c>
      <c r="I55" s="6" t="s">
        <v>26</v>
      </c>
      <c r="J55" s="6" t="s">
        <v>21</v>
      </c>
      <c r="K55" s="6" t="s">
        <v>22</v>
      </c>
      <c r="L55" s="6">
        <v>24.0</v>
      </c>
      <c r="M55" s="5">
        <v>46013.0</v>
      </c>
      <c r="N55" s="6" t="s">
        <v>23</v>
      </c>
      <c r="O55" s="6" t="str">
        <f>SUMIFS([1]order_sku_sales_bb2_report!P:P,[1]order_sku_sales_bb2_report!H:H,C27789,[1]order_sku_sales_bb2_report!J:J,H27789)</f>
        <v>#ERROR!</v>
      </c>
      <c r="P55" s="6" t="str">
        <f>SUMIFS([1]order_sku_sales_bb2_report!O:O,[1]order_sku_sales_bb2_report!H:H,C27789,[1]order_sku_sales_bb2_report!J:J,H27789)</f>
        <v>#ERROR!</v>
      </c>
      <c r="Q55" s="6" t="str">
        <f t="shared" si="1"/>
        <v>22-12-2025</v>
      </c>
      <c r="R55" s="6" t="str">
        <f>IFERROR( VLOOKUP(C27789,[1]expressOrderReport!$S:$AZ,34,0),0)</f>
        <v>#ERROR!</v>
      </c>
      <c r="S55" s="6" t="str">
        <f>ARRAY_CONSTRAIN(ARRAYFORMULA(_xludf.XLOOKUP(D27789,[1]order_Report_SA_ID_BB2.0!V:V,[1]order_Report_SA_ID_BB2.0!AM:AM,"")), 1, 1)</f>
        <v>#ERROR!</v>
      </c>
      <c r="T55" s="6" t="str">
        <f t="shared" si="2"/>
        <v>Dec'25</v>
      </c>
    </row>
    <row r="56" ht="15.75" customHeight="1">
      <c r="A56" s="5">
        <v>46013.0</v>
      </c>
      <c r="B56" s="6">
        <v>2330.0</v>
      </c>
      <c r="C56" s="6">
        <v>1.859166228E9</v>
      </c>
      <c r="D56" s="6">
        <v>3.6777635E7</v>
      </c>
      <c r="E56" s="6" t="s">
        <v>127</v>
      </c>
      <c r="F56" s="6" t="s">
        <v>128</v>
      </c>
      <c r="G56" s="6">
        <v>8.141608157E9</v>
      </c>
      <c r="H56" s="6">
        <v>4.0161616E7</v>
      </c>
      <c r="I56" s="6" t="s">
        <v>20</v>
      </c>
      <c r="J56" s="6" t="s">
        <v>21</v>
      </c>
      <c r="K56" s="6" t="s">
        <v>22</v>
      </c>
      <c r="L56" s="6">
        <v>220.0</v>
      </c>
      <c r="M56" s="5">
        <v>46013.0</v>
      </c>
      <c r="N56" s="6" t="s">
        <v>23</v>
      </c>
      <c r="O56" s="6" t="str">
        <f>SUMIFS([1]order_sku_sales_bb2_report!P:P,[1]order_sku_sales_bb2_report!H:H,C27790,[1]order_sku_sales_bb2_report!J:J,H27790)</f>
        <v>#ERROR!</v>
      </c>
      <c r="P56" s="6" t="str">
        <f>SUMIFS([1]order_sku_sales_bb2_report!O:O,[1]order_sku_sales_bb2_report!H:H,C27790,[1]order_sku_sales_bb2_report!J:J,H27790)</f>
        <v>#ERROR!</v>
      </c>
      <c r="Q56" s="6" t="str">
        <f t="shared" si="1"/>
        <v>22-12-2025</v>
      </c>
      <c r="R56" s="6" t="str">
        <f>IFERROR( VLOOKUP(C27790,[1]expressOrderReport!$S:$AZ,34,0),0)</f>
        <v>#ERROR!</v>
      </c>
      <c r="S56" s="6" t="str">
        <f>ARRAY_CONSTRAIN(ARRAYFORMULA(_xludf.XLOOKUP(D27790,[1]order_Report_SA_ID_BB2.0!V:V,[1]order_Report_SA_ID_BB2.0!AM:AM,"")), 1, 1)</f>
        <v>#ERROR!</v>
      </c>
      <c r="T56" s="6" t="str">
        <f t="shared" si="2"/>
        <v>Dec'25</v>
      </c>
    </row>
    <row r="57" ht="15.75" customHeight="1">
      <c r="A57" s="5">
        <v>46013.0</v>
      </c>
      <c r="B57" s="6">
        <v>2332.0</v>
      </c>
      <c r="C57" s="6">
        <v>1.859166228E9</v>
      </c>
      <c r="D57" s="6">
        <v>3.6777635E7</v>
      </c>
      <c r="E57" s="6" t="s">
        <v>127</v>
      </c>
      <c r="F57" s="6" t="s">
        <v>128</v>
      </c>
      <c r="G57" s="6">
        <v>8.141608157E9</v>
      </c>
      <c r="H57" s="6">
        <v>4.0148723E7</v>
      </c>
      <c r="I57" s="6" t="s">
        <v>69</v>
      </c>
      <c r="J57" s="6" t="s">
        <v>21</v>
      </c>
      <c r="K57" s="6" t="s">
        <v>22</v>
      </c>
      <c r="L57" s="6">
        <v>220.0</v>
      </c>
      <c r="M57" s="5">
        <v>46013.0</v>
      </c>
      <c r="N57" s="6" t="s">
        <v>23</v>
      </c>
      <c r="O57" s="6" t="str">
        <f>SUMIFS([1]order_sku_sales_bb2_report!P:P,[1]order_sku_sales_bb2_report!H:H,C27791,[1]order_sku_sales_bb2_report!J:J,H27791)</f>
        <v>#ERROR!</v>
      </c>
      <c r="P57" s="6" t="str">
        <f>SUMIFS([1]order_sku_sales_bb2_report!O:O,[1]order_sku_sales_bb2_report!H:H,C27791,[1]order_sku_sales_bb2_report!J:J,H27791)</f>
        <v>#ERROR!</v>
      </c>
      <c r="Q57" s="6" t="str">
        <f t="shared" si="1"/>
        <v>22-12-2025</v>
      </c>
      <c r="R57" s="6" t="str">
        <f>IFERROR( VLOOKUP(C27791,[1]expressOrderReport!$S:$AZ,34,0),0)</f>
        <v>#ERROR!</v>
      </c>
      <c r="S57" s="6" t="str">
        <f>ARRAY_CONSTRAIN(ARRAYFORMULA(_xludf.XLOOKUP(D27791,[1]order_Report_SA_ID_BB2.0!V:V,[1]order_Report_SA_ID_BB2.0!AM:AM,"")), 1, 1)</f>
        <v>#ERROR!</v>
      </c>
      <c r="T57" s="6" t="str">
        <f t="shared" si="2"/>
        <v>Dec'25</v>
      </c>
    </row>
    <row r="58" ht="15.75" customHeight="1">
      <c r="A58" s="5">
        <v>46013.0</v>
      </c>
      <c r="B58" s="6">
        <v>10798.0</v>
      </c>
      <c r="C58" s="6">
        <v>1.859166228E9</v>
      </c>
      <c r="D58" s="6">
        <v>3.6777635E7</v>
      </c>
      <c r="E58" s="6" t="s">
        <v>127</v>
      </c>
      <c r="F58" s="6" t="s">
        <v>128</v>
      </c>
      <c r="G58" s="6">
        <v>8.141608157E9</v>
      </c>
      <c r="H58" s="6">
        <v>4.0149834E7</v>
      </c>
      <c r="I58" s="6" t="s">
        <v>40</v>
      </c>
      <c r="J58" s="6" t="s">
        <v>21</v>
      </c>
      <c r="K58" s="6" t="s">
        <v>22</v>
      </c>
      <c r="L58" s="6">
        <v>220.0</v>
      </c>
      <c r="M58" s="5">
        <v>46013.0</v>
      </c>
      <c r="N58" s="6" t="s">
        <v>23</v>
      </c>
      <c r="O58" s="6" t="str">
        <f>SUMIFS([1]order_sku_sales_bb2_report!P:P,[1]order_sku_sales_bb2_report!H:H,C27792,[1]order_sku_sales_bb2_report!J:J,H27792)</f>
        <v>#ERROR!</v>
      </c>
      <c r="P58" s="6" t="str">
        <f>SUMIFS([1]order_sku_sales_bb2_report!O:O,[1]order_sku_sales_bb2_report!H:H,C27792,[1]order_sku_sales_bb2_report!J:J,H27792)</f>
        <v>#ERROR!</v>
      </c>
      <c r="Q58" s="6" t="str">
        <f t="shared" si="1"/>
        <v>22-12-2025</v>
      </c>
      <c r="R58" s="6" t="str">
        <f>IFERROR( VLOOKUP(C27792,[1]expressOrderReport!$S:$AZ,34,0),0)</f>
        <v>#ERROR!</v>
      </c>
      <c r="S58" s="6" t="str">
        <f>ARRAY_CONSTRAIN(ARRAYFORMULA(_xludf.XLOOKUP(D27792,[1]order_Report_SA_ID_BB2.0!V:V,[1]order_Report_SA_ID_BB2.0!AM:AM,"")), 1, 1)</f>
        <v>#ERROR!</v>
      </c>
      <c r="T58" s="6" t="str">
        <f t="shared" si="2"/>
        <v>Dec'25</v>
      </c>
    </row>
    <row r="59" ht="15.75" customHeight="1">
      <c r="A59" s="5">
        <v>46013.0</v>
      </c>
      <c r="B59" s="6">
        <v>8489.0</v>
      </c>
      <c r="C59" s="6">
        <v>1.859166234E9</v>
      </c>
      <c r="D59" s="6">
        <v>2.3054881E7</v>
      </c>
      <c r="E59" s="6" t="s">
        <v>129</v>
      </c>
      <c r="F59" s="6" t="s">
        <v>130</v>
      </c>
      <c r="G59" s="6">
        <v>7.667555133E9</v>
      </c>
      <c r="H59" s="6">
        <v>4.0149833E7</v>
      </c>
      <c r="I59" s="6" t="s">
        <v>40</v>
      </c>
      <c r="J59" s="6" t="s">
        <v>21</v>
      </c>
      <c r="K59" s="6" t="s">
        <v>22</v>
      </c>
      <c r="L59" s="6">
        <v>27.0</v>
      </c>
      <c r="M59" s="5">
        <v>46013.0</v>
      </c>
      <c r="N59" s="6" t="s">
        <v>23</v>
      </c>
      <c r="O59" s="6" t="str">
        <f>SUMIFS([1]order_sku_sales_bb2_report!P:P,[1]order_sku_sales_bb2_report!H:H,C27793,[1]order_sku_sales_bb2_report!J:J,H27793)</f>
        <v>#ERROR!</v>
      </c>
      <c r="P59" s="6" t="str">
        <f>SUMIFS([1]order_sku_sales_bb2_report!O:O,[1]order_sku_sales_bb2_report!H:H,C27793,[1]order_sku_sales_bb2_report!J:J,H27793)</f>
        <v>#ERROR!</v>
      </c>
      <c r="Q59" s="6" t="str">
        <f t="shared" si="1"/>
        <v>22-12-2025</v>
      </c>
      <c r="R59" s="6" t="str">
        <f>IFERROR( VLOOKUP(C27793,[1]expressOrderReport!$S:$AZ,34,0),0)</f>
        <v>#ERROR!</v>
      </c>
      <c r="S59" s="6" t="str">
        <f>ARRAY_CONSTRAIN(ARRAYFORMULA(_xludf.XLOOKUP(D27793,[1]order_Report_SA_ID_BB2.0!V:V,[1]order_Report_SA_ID_BB2.0!AM:AM,"")), 1, 1)</f>
        <v>#ERROR!</v>
      </c>
      <c r="T59" s="6" t="str">
        <f t="shared" si="2"/>
        <v>Dec'25</v>
      </c>
    </row>
    <row r="60" ht="15.75" customHeight="1">
      <c r="A60" s="5">
        <v>46013.0</v>
      </c>
      <c r="B60" s="6">
        <v>8430.0</v>
      </c>
      <c r="C60" s="6">
        <v>1.859166243E9</v>
      </c>
      <c r="D60" s="6">
        <v>1.1448287E7</v>
      </c>
      <c r="E60" s="6" t="s">
        <v>131</v>
      </c>
      <c r="F60" s="6" t="s">
        <v>132</v>
      </c>
      <c r="G60" s="6">
        <v>9.958976675E9</v>
      </c>
      <c r="H60" s="6">
        <v>4.0090893E7</v>
      </c>
      <c r="I60" s="6" t="s">
        <v>35</v>
      </c>
      <c r="J60" s="6" t="s">
        <v>21</v>
      </c>
      <c r="K60" s="6" t="s">
        <v>22</v>
      </c>
      <c r="L60" s="6">
        <v>132.0</v>
      </c>
      <c r="M60" s="5">
        <v>46013.0</v>
      </c>
      <c r="N60" s="6" t="s">
        <v>23</v>
      </c>
      <c r="O60" s="6" t="str">
        <f>SUMIFS([1]order_sku_sales_bb2_report!P:P,[1]order_sku_sales_bb2_report!H:H,C27794,[1]order_sku_sales_bb2_report!J:J,H27794)</f>
        <v>#ERROR!</v>
      </c>
      <c r="P60" s="6" t="str">
        <f>SUMIFS([1]order_sku_sales_bb2_report!O:O,[1]order_sku_sales_bb2_report!H:H,C27794,[1]order_sku_sales_bb2_report!J:J,H27794)</f>
        <v>#ERROR!</v>
      </c>
      <c r="Q60" s="6" t="str">
        <f t="shared" si="1"/>
        <v>22-12-2025</v>
      </c>
      <c r="R60" s="6" t="str">
        <f>IFERROR( VLOOKUP(C27794,[1]expressOrderReport!$S:$AZ,34,0),0)</f>
        <v>#ERROR!</v>
      </c>
      <c r="S60" s="6" t="str">
        <f>ARRAY_CONSTRAIN(ARRAYFORMULA(_xludf.XLOOKUP(D27794,[1]order_Report_SA_ID_BB2.0!V:V,[1]order_Report_SA_ID_BB2.0!AM:AM,"")), 1, 1)</f>
        <v>#ERROR!</v>
      </c>
      <c r="T60" s="6" t="str">
        <f t="shared" si="2"/>
        <v>Dec'25</v>
      </c>
    </row>
    <row r="61" ht="15.75" customHeight="1">
      <c r="A61" s="5">
        <v>46013.0</v>
      </c>
      <c r="B61" s="6">
        <v>9747.0</v>
      </c>
      <c r="C61" s="6">
        <v>1.859166256E9</v>
      </c>
      <c r="D61" s="6">
        <v>1.043608E7</v>
      </c>
      <c r="E61" s="6" t="s">
        <v>133</v>
      </c>
      <c r="F61" s="6" t="s">
        <v>134</v>
      </c>
      <c r="G61" s="6">
        <v>8.910915564E9</v>
      </c>
      <c r="H61" s="6">
        <v>4.0161616E7</v>
      </c>
      <c r="I61" s="6" t="s">
        <v>20</v>
      </c>
      <c r="J61" s="6" t="s">
        <v>21</v>
      </c>
      <c r="K61" s="6" t="s">
        <v>22</v>
      </c>
      <c r="L61" s="6">
        <v>72.0</v>
      </c>
      <c r="M61" s="5">
        <v>46013.0</v>
      </c>
      <c r="N61" s="6" t="s">
        <v>23</v>
      </c>
      <c r="O61" s="6" t="str">
        <f>SUMIFS([1]order_sku_sales_bb2_report!P:P,[1]order_sku_sales_bb2_report!H:H,C27798,[1]order_sku_sales_bb2_report!J:J,H27798)</f>
        <v>#ERROR!</v>
      </c>
      <c r="P61" s="6" t="str">
        <f>SUMIFS([1]order_sku_sales_bb2_report!O:O,[1]order_sku_sales_bb2_report!H:H,C27798,[1]order_sku_sales_bb2_report!J:J,H27798)</f>
        <v>#ERROR!</v>
      </c>
      <c r="Q61" s="6" t="str">
        <f t="shared" si="1"/>
        <v>22-12-2025</v>
      </c>
      <c r="R61" s="6" t="str">
        <f>IFERROR( VLOOKUP(C27798,[1]expressOrderReport!$S:$AZ,34,0),0)</f>
        <v>#ERROR!</v>
      </c>
      <c r="S61" s="6" t="str">
        <f>ARRAY_CONSTRAIN(ARRAYFORMULA(_xludf.XLOOKUP(D27798,[1]order_Report_SA_ID_BB2.0!V:V,[1]order_Report_SA_ID_BB2.0!AM:AM,"")), 1, 1)</f>
        <v>#ERROR!</v>
      </c>
      <c r="T61" s="6" t="str">
        <f t="shared" si="2"/>
        <v>Dec'25</v>
      </c>
    </row>
    <row r="62" ht="15.75" customHeight="1">
      <c r="A62" s="5">
        <v>46013.0</v>
      </c>
      <c r="B62" s="6">
        <v>9854.0</v>
      </c>
      <c r="C62" s="6">
        <v>1.859166256E9</v>
      </c>
      <c r="D62" s="6">
        <v>1.043608E7</v>
      </c>
      <c r="E62" s="6" t="s">
        <v>133</v>
      </c>
      <c r="F62" s="6" t="s">
        <v>134</v>
      </c>
      <c r="G62" s="6">
        <v>8.910915564E9</v>
      </c>
      <c r="H62" s="6">
        <v>4.0149832E7</v>
      </c>
      <c r="I62" s="6" t="s">
        <v>26</v>
      </c>
      <c r="J62" s="6" t="s">
        <v>21</v>
      </c>
      <c r="K62" s="6" t="s">
        <v>22</v>
      </c>
      <c r="L62" s="6">
        <v>72.0</v>
      </c>
      <c r="M62" s="5">
        <v>46013.0</v>
      </c>
      <c r="N62" s="6" t="s">
        <v>23</v>
      </c>
      <c r="O62" s="6" t="str">
        <f>SUMIFS([1]order_sku_sales_bb2_report!P:P,[1]order_sku_sales_bb2_report!H:H,C27799,[1]order_sku_sales_bb2_report!J:J,H27799)</f>
        <v>#ERROR!</v>
      </c>
      <c r="P62" s="6" t="str">
        <f>SUMIFS([1]order_sku_sales_bb2_report!O:O,[1]order_sku_sales_bb2_report!H:H,C27799,[1]order_sku_sales_bb2_report!J:J,H27799)</f>
        <v>#ERROR!</v>
      </c>
      <c r="Q62" s="6" t="str">
        <f t="shared" si="1"/>
        <v>22-12-2025</v>
      </c>
      <c r="R62" s="6" t="str">
        <f>IFERROR( VLOOKUP(C27799,[1]expressOrderReport!$S:$AZ,34,0),0)</f>
        <v>#ERROR!</v>
      </c>
      <c r="S62" s="6" t="str">
        <f>ARRAY_CONSTRAIN(ARRAYFORMULA(_xludf.XLOOKUP(D27799,[1]order_Report_SA_ID_BB2.0!V:V,[1]order_Report_SA_ID_BB2.0!AM:AM,"")), 1, 1)</f>
        <v>#ERROR!</v>
      </c>
      <c r="T62" s="6" t="str">
        <f t="shared" si="2"/>
        <v>Dec'25</v>
      </c>
    </row>
    <row r="63" ht="15.75" customHeight="1">
      <c r="A63" s="5">
        <v>46013.0</v>
      </c>
      <c r="B63" s="6">
        <v>10131.0</v>
      </c>
      <c r="C63" s="6">
        <v>1.859166256E9</v>
      </c>
      <c r="D63" s="6">
        <v>1.043608E7</v>
      </c>
      <c r="E63" s="6" t="s">
        <v>133</v>
      </c>
      <c r="F63" s="6" t="s">
        <v>134</v>
      </c>
      <c r="G63" s="6">
        <v>8.910915564E9</v>
      </c>
      <c r="H63" s="6">
        <v>4.0004522E7</v>
      </c>
      <c r="I63" s="6" t="s">
        <v>135</v>
      </c>
      <c r="J63" s="6" t="s">
        <v>21</v>
      </c>
      <c r="K63" s="6" t="s">
        <v>22</v>
      </c>
      <c r="L63" s="6">
        <v>72.0</v>
      </c>
      <c r="M63" s="5">
        <v>46013.0</v>
      </c>
      <c r="N63" s="6" t="s">
        <v>23</v>
      </c>
      <c r="O63" s="6" t="str">
        <f>SUMIFS([1]order_sku_sales_bb2_report!P:P,[1]order_sku_sales_bb2_report!H:H,C27800,[1]order_sku_sales_bb2_report!J:J,H27800)</f>
        <v>#ERROR!</v>
      </c>
      <c r="P63" s="6" t="str">
        <f>SUMIFS([1]order_sku_sales_bb2_report!O:O,[1]order_sku_sales_bb2_report!H:H,C27800,[1]order_sku_sales_bb2_report!J:J,H27800)</f>
        <v>#ERROR!</v>
      </c>
      <c r="Q63" s="6" t="str">
        <f t="shared" si="1"/>
        <v>22-12-2025</v>
      </c>
      <c r="R63" s="6" t="str">
        <f>IFERROR( VLOOKUP(C27800,[1]expressOrderReport!$S:$AZ,34,0),0)</f>
        <v>#ERROR!</v>
      </c>
      <c r="S63" s="6" t="str">
        <f>ARRAY_CONSTRAIN(ARRAYFORMULA(_xludf.XLOOKUP(D27800,[1]order_Report_SA_ID_BB2.0!V:V,[1]order_Report_SA_ID_BB2.0!AM:AM,"")), 1, 1)</f>
        <v>#ERROR!</v>
      </c>
      <c r="T63" s="6" t="str">
        <f t="shared" si="2"/>
        <v>Dec'25</v>
      </c>
    </row>
    <row r="64" ht="15.75" customHeight="1">
      <c r="A64" s="5">
        <v>46013.0</v>
      </c>
      <c r="B64" s="6">
        <v>1082.0</v>
      </c>
      <c r="C64" s="6">
        <v>1.859166266E9</v>
      </c>
      <c r="D64" s="6">
        <v>4.5882422E7</v>
      </c>
      <c r="E64" s="6" t="s">
        <v>136</v>
      </c>
      <c r="F64" s="6" t="s">
        <v>137</v>
      </c>
      <c r="G64" s="6">
        <v>9.845599725E9</v>
      </c>
      <c r="H64" s="6">
        <v>4.0149831E7</v>
      </c>
      <c r="I64" s="6" t="s">
        <v>65</v>
      </c>
      <c r="J64" s="6" t="s">
        <v>21</v>
      </c>
      <c r="K64" s="6" t="s">
        <v>22</v>
      </c>
      <c r="L64" s="6">
        <v>26.0</v>
      </c>
      <c r="M64" s="5">
        <v>46013.0</v>
      </c>
      <c r="N64" s="6" t="s">
        <v>23</v>
      </c>
      <c r="O64" s="6" t="str">
        <f>SUMIFS([1]order_sku_sales_bb2_report!P:P,[1]order_sku_sales_bb2_report!H:H,C27801,[1]order_sku_sales_bb2_report!J:J,H27801)</f>
        <v>#ERROR!</v>
      </c>
      <c r="P64" s="6" t="str">
        <f>SUMIFS([1]order_sku_sales_bb2_report!O:O,[1]order_sku_sales_bb2_report!H:H,C27801,[1]order_sku_sales_bb2_report!J:J,H27801)</f>
        <v>#ERROR!</v>
      </c>
      <c r="Q64" s="6" t="str">
        <f t="shared" si="1"/>
        <v>22-12-2025</v>
      </c>
      <c r="R64" s="6" t="str">
        <f>IFERROR( VLOOKUP(C27801,[1]expressOrderReport!$S:$AZ,34,0),0)</f>
        <v>#ERROR!</v>
      </c>
      <c r="S64" s="6" t="str">
        <f>ARRAY_CONSTRAIN(ARRAYFORMULA(_xludf.XLOOKUP(D27801,[1]order_Report_SA_ID_BB2.0!V:V,[1]order_Report_SA_ID_BB2.0!AM:AM,"")), 1, 1)</f>
        <v>#ERROR!</v>
      </c>
      <c r="T64" s="6" t="str">
        <f t="shared" si="2"/>
        <v>Dec'25</v>
      </c>
    </row>
    <row r="65" ht="15.75" customHeight="1">
      <c r="A65" s="5">
        <v>46013.0</v>
      </c>
      <c r="B65" s="6">
        <v>10428.0</v>
      </c>
      <c r="C65" s="6">
        <v>1.859166273E9</v>
      </c>
      <c r="D65" s="6">
        <v>1011216.0</v>
      </c>
      <c r="E65" s="6" t="s">
        <v>138</v>
      </c>
      <c r="F65" s="6" t="s">
        <v>139</v>
      </c>
      <c r="G65" s="6">
        <v>7.259896282E9</v>
      </c>
      <c r="H65" s="6">
        <v>4.0149833E7</v>
      </c>
      <c r="I65" s="6" t="s">
        <v>40</v>
      </c>
      <c r="J65" s="6" t="s">
        <v>21</v>
      </c>
      <c r="K65" s="6" t="s">
        <v>22</v>
      </c>
      <c r="L65" s="6">
        <v>27.0</v>
      </c>
      <c r="M65" s="5">
        <v>46013.0</v>
      </c>
      <c r="N65" s="6" t="s">
        <v>23</v>
      </c>
      <c r="O65" s="6" t="str">
        <f>SUMIFS([1]order_sku_sales_bb2_report!P:P,[1]order_sku_sales_bb2_report!H:H,C27802,[1]order_sku_sales_bb2_report!J:J,H27802)</f>
        <v>#ERROR!</v>
      </c>
      <c r="P65" s="6" t="str">
        <f>SUMIFS([1]order_sku_sales_bb2_report!O:O,[1]order_sku_sales_bb2_report!H:H,C27802,[1]order_sku_sales_bb2_report!J:J,H27802)</f>
        <v>#ERROR!</v>
      </c>
      <c r="Q65" s="6" t="str">
        <f t="shared" si="1"/>
        <v>22-12-2025</v>
      </c>
      <c r="R65" s="6" t="str">
        <f>IFERROR( VLOOKUP(C27802,[1]expressOrderReport!$S:$AZ,34,0),0)</f>
        <v>#ERROR!</v>
      </c>
      <c r="S65" s="6" t="str">
        <f>ARRAY_CONSTRAIN(ARRAYFORMULA(_xludf.XLOOKUP(D27802,[1]order_Report_SA_ID_BB2.0!V:V,[1]order_Report_SA_ID_BB2.0!AM:AM,"")), 1, 1)</f>
        <v>#ERROR!</v>
      </c>
      <c r="T65" s="6" t="str">
        <f t="shared" si="2"/>
        <v>Dec'25</v>
      </c>
    </row>
    <row r="66" ht="15.75" customHeight="1">
      <c r="A66" s="5">
        <v>46013.0</v>
      </c>
      <c r="B66" s="6">
        <v>302.0</v>
      </c>
      <c r="C66" s="6">
        <v>1.859166278E9</v>
      </c>
      <c r="D66" s="6">
        <v>4.6009394E7</v>
      </c>
      <c r="E66" s="6" t="s">
        <v>140</v>
      </c>
      <c r="F66" s="6" t="s">
        <v>141</v>
      </c>
      <c r="G66" s="6">
        <v>9.655976213E9</v>
      </c>
      <c r="H66" s="6">
        <v>4.0149833E7</v>
      </c>
      <c r="I66" s="6" t="s">
        <v>40</v>
      </c>
      <c r="J66" s="6" t="s">
        <v>21</v>
      </c>
      <c r="K66" s="6" t="s">
        <v>22</v>
      </c>
      <c r="L66" s="6">
        <v>135.0</v>
      </c>
      <c r="M66" s="5">
        <v>46013.0</v>
      </c>
      <c r="N66" s="6" t="s">
        <v>23</v>
      </c>
      <c r="O66" s="6" t="str">
        <f>SUMIFS([1]order_sku_sales_bb2_report!P:P,[1]order_sku_sales_bb2_report!H:H,C27803,[1]order_sku_sales_bb2_report!J:J,H27803)</f>
        <v>#ERROR!</v>
      </c>
      <c r="P66" s="6" t="str">
        <f>SUMIFS([1]order_sku_sales_bb2_report!O:O,[1]order_sku_sales_bb2_report!H:H,C27803,[1]order_sku_sales_bb2_report!J:J,H27803)</f>
        <v>#ERROR!</v>
      </c>
      <c r="Q66" s="6" t="str">
        <f t="shared" si="1"/>
        <v>22-12-2025</v>
      </c>
      <c r="R66" s="6" t="str">
        <f>IFERROR( VLOOKUP(C27803,[1]expressOrderReport!$S:$AZ,34,0),0)</f>
        <v>#ERROR!</v>
      </c>
      <c r="S66" s="6" t="str">
        <f>ARRAY_CONSTRAIN(ARRAYFORMULA(_xludf.XLOOKUP(D27803,[1]order_Report_SA_ID_BB2.0!V:V,[1]order_Report_SA_ID_BB2.0!AM:AM,"")), 1, 1)</f>
        <v>#ERROR!</v>
      </c>
      <c r="T66" s="6" t="str">
        <f t="shared" si="2"/>
        <v>Dec'25</v>
      </c>
    </row>
    <row r="67" ht="15.75" customHeight="1">
      <c r="A67" s="5">
        <v>46013.0</v>
      </c>
      <c r="B67" s="6">
        <v>2967.0</v>
      </c>
      <c r="C67" s="6">
        <v>1.859166285E9</v>
      </c>
      <c r="D67" s="6">
        <v>4422879.0</v>
      </c>
      <c r="E67" s="6" t="s">
        <v>142</v>
      </c>
      <c r="F67" s="6" t="s">
        <v>143</v>
      </c>
      <c r="G67" s="6">
        <v>9.066970667E9</v>
      </c>
      <c r="H67" s="6">
        <v>4.0158264E7</v>
      </c>
      <c r="I67" s="6" t="s">
        <v>26</v>
      </c>
      <c r="J67" s="6" t="s">
        <v>21</v>
      </c>
      <c r="K67" s="6" t="s">
        <v>22</v>
      </c>
      <c r="L67" s="6">
        <v>46.0</v>
      </c>
      <c r="M67" s="5">
        <v>46013.0</v>
      </c>
      <c r="N67" s="6" t="s">
        <v>23</v>
      </c>
      <c r="O67" s="6" t="str">
        <f>SUMIFS([1]order_sku_sales_bb2_report!P:P,[1]order_sku_sales_bb2_report!H:H,C27804,[1]order_sku_sales_bb2_report!J:J,H27804)</f>
        <v>#ERROR!</v>
      </c>
      <c r="P67" s="6" t="str">
        <f>SUMIFS([1]order_sku_sales_bb2_report!O:O,[1]order_sku_sales_bb2_report!H:H,C27804,[1]order_sku_sales_bb2_report!J:J,H27804)</f>
        <v>#ERROR!</v>
      </c>
      <c r="Q67" s="6" t="str">
        <f t="shared" si="1"/>
        <v>22-12-2025</v>
      </c>
      <c r="R67" s="6" t="str">
        <f>IFERROR( VLOOKUP(C27804,[1]expressOrderReport!$S:$AZ,34,0),0)</f>
        <v>#ERROR!</v>
      </c>
      <c r="S67" s="6" t="str">
        <f>ARRAY_CONSTRAIN(ARRAYFORMULA(_xludf.XLOOKUP(D27804,[1]order_Report_SA_ID_BB2.0!V:V,[1]order_Report_SA_ID_BB2.0!AM:AM,"")), 1, 1)</f>
        <v>#ERROR!</v>
      </c>
      <c r="T67" s="6" t="str">
        <f t="shared" si="2"/>
        <v>Dec'25</v>
      </c>
    </row>
    <row r="68" ht="15.75" customHeight="1">
      <c r="A68" s="5">
        <v>46013.0</v>
      </c>
      <c r="B68" s="6">
        <v>11094.0</v>
      </c>
      <c r="C68" s="6">
        <v>1.859166293E9</v>
      </c>
      <c r="D68" s="6">
        <v>3653390.0</v>
      </c>
      <c r="E68" s="6" t="s">
        <v>144</v>
      </c>
      <c r="F68" s="6" t="s">
        <v>145</v>
      </c>
      <c r="G68" s="6">
        <v>9.620993874E9</v>
      </c>
      <c r="H68" s="6">
        <v>4.0149831E7</v>
      </c>
      <c r="I68" s="6" t="s">
        <v>65</v>
      </c>
      <c r="J68" s="6" t="s">
        <v>21</v>
      </c>
      <c r="K68" s="6" t="s">
        <v>22</v>
      </c>
      <c r="L68" s="6">
        <v>52.0</v>
      </c>
      <c r="M68" s="5">
        <v>46013.0</v>
      </c>
      <c r="N68" s="6" t="s">
        <v>23</v>
      </c>
      <c r="O68" s="6" t="str">
        <f>SUMIFS([1]order_sku_sales_bb2_report!P:P,[1]order_sku_sales_bb2_report!H:H,C27805,[1]order_sku_sales_bb2_report!J:J,H27805)</f>
        <v>#ERROR!</v>
      </c>
      <c r="P68" s="6" t="str">
        <f>SUMIFS([1]order_sku_sales_bb2_report!O:O,[1]order_sku_sales_bb2_report!H:H,C27805,[1]order_sku_sales_bb2_report!J:J,H27805)</f>
        <v>#ERROR!</v>
      </c>
      <c r="Q68" s="6" t="str">
        <f t="shared" si="1"/>
        <v>22-12-2025</v>
      </c>
      <c r="R68" s="6" t="str">
        <f>IFERROR( VLOOKUP(C27805,[1]expressOrderReport!$S:$AZ,34,0),0)</f>
        <v>#ERROR!</v>
      </c>
      <c r="S68" s="6" t="str">
        <f>ARRAY_CONSTRAIN(ARRAYFORMULA(_xludf.XLOOKUP(D27805,[1]order_Report_SA_ID_BB2.0!V:V,[1]order_Report_SA_ID_BB2.0!AM:AM,"")), 1, 1)</f>
        <v>#ERROR!</v>
      </c>
      <c r="T68" s="6" t="str">
        <f t="shared" si="2"/>
        <v>Dec'25</v>
      </c>
    </row>
    <row r="69" ht="15.75" customHeight="1">
      <c r="A69" s="5">
        <v>46013.0</v>
      </c>
      <c r="B69" s="6">
        <v>4158.0</v>
      </c>
      <c r="C69" s="6">
        <v>1.859166298E9</v>
      </c>
      <c r="D69" s="6">
        <v>4670478.0</v>
      </c>
      <c r="E69" s="6" t="s">
        <v>146</v>
      </c>
      <c r="F69" s="6" t="s">
        <v>147</v>
      </c>
      <c r="G69" s="6">
        <v>9.5358802E9</v>
      </c>
      <c r="H69" s="6">
        <v>4.0148716E7</v>
      </c>
      <c r="I69" s="6" t="s">
        <v>148</v>
      </c>
      <c r="J69" s="6" t="s">
        <v>21</v>
      </c>
      <c r="K69" s="6" t="s">
        <v>22</v>
      </c>
      <c r="L69" s="6">
        <v>90.0</v>
      </c>
      <c r="M69" s="5">
        <v>46013.0</v>
      </c>
      <c r="N69" s="6" t="s">
        <v>23</v>
      </c>
      <c r="O69" s="6" t="str">
        <f>SUMIFS([1]order_sku_sales_bb2_report!P:P,[1]order_sku_sales_bb2_report!H:H,C27806,[1]order_sku_sales_bb2_report!J:J,H27806)</f>
        <v>#ERROR!</v>
      </c>
      <c r="P69" s="6" t="str">
        <f>SUMIFS([1]order_sku_sales_bb2_report!O:O,[1]order_sku_sales_bb2_report!H:H,C27806,[1]order_sku_sales_bb2_report!J:J,H27806)</f>
        <v>#ERROR!</v>
      </c>
      <c r="Q69" s="6" t="str">
        <f t="shared" si="1"/>
        <v>22-12-2025</v>
      </c>
      <c r="R69" s="6" t="str">
        <f>IFERROR( VLOOKUP(C27806,[1]expressOrderReport!$S:$AZ,34,0),0)</f>
        <v>#ERROR!</v>
      </c>
      <c r="S69" s="6" t="str">
        <f>ARRAY_CONSTRAIN(ARRAYFORMULA(_xludf.XLOOKUP(D27806,[1]order_Report_SA_ID_BB2.0!V:V,[1]order_Report_SA_ID_BB2.0!AM:AM,"")), 1, 1)</f>
        <v>#ERROR!</v>
      </c>
      <c r="T69" s="6" t="str">
        <f t="shared" si="2"/>
        <v>Dec'25</v>
      </c>
    </row>
    <row r="70" ht="15.75" customHeight="1">
      <c r="A70" s="5">
        <v>46013.0</v>
      </c>
      <c r="B70" s="6">
        <v>2410.0</v>
      </c>
      <c r="C70" s="6">
        <v>1.859166307E9</v>
      </c>
      <c r="D70" s="6">
        <v>2.6087377E7</v>
      </c>
      <c r="E70" s="6" t="s">
        <v>149</v>
      </c>
      <c r="F70" s="6" t="s">
        <v>150</v>
      </c>
      <c r="G70" s="6">
        <v>9.952521568E9</v>
      </c>
      <c r="H70" s="6">
        <v>4.0149832E7</v>
      </c>
      <c r="I70" s="6" t="s">
        <v>26</v>
      </c>
      <c r="J70" s="6" t="s">
        <v>21</v>
      </c>
      <c r="K70" s="6" t="s">
        <v>22</v>
      </c>
      <c r="L70" s="6">
        <v>48.0</v>
      </c>
      <c r="M70" s="5">
        <v>46013.0</v>
      </c>
      <c r="N70" s="6" t="s">
        <v>23</v>
      </c>
      <c r="O70" s="6" t="str">
        <f>SUMIFS([1]order_sku_sales_bb2_report!P:P,[1]order_sku_sales_bb2_report!H:H,C27807,[1]order_sku_sales_bb2_report!J:J,H27807)</f>
        <v>#ERROR!</v>
      </c>
      <c r="P70" s="6" t="str">
        <f>SUMIFS([1]order_sku_sales_bb2_report!O:O,[1]order_sku_sales_bb2_report!H:H,C27807,[1]order_sku_sales_bb2_report!J:J,H27807)</f>
        <v>#ERROR!</v>
      </c>
      <c r="Q70" s="6" t="str">
        <f t="shared" si="1"/>
        <v>22-12-2025</v>
      </c>
      <c r="R70" s="6" t="str">
        <f>IFERROR( VLOOKUP(C27807,[1]expressOrderReport!$S:$AZ,34,0),0)</f>
        <v>#ERROR!</v>
      </c>
      <c r="S70" s="6" t="str">
        <f>ARRAY_CONSTRAIN(ARRAYFORMULA(_xludf.XLOOKUP(D27807,[1]order_Report_SA_ID_BB2.0!V:V,[1]order_Report_SA_ID_BB2.0!AM:AM,"")), 1, 1)</f>
        <v>#ERROR!</v>
      </c>
      <c r="T70" s="6" t="str">
        <f t="shared" si="2"/>
        <v>Dec'25</v>
      </c>
    </row>
    <row r="71" ht="15.75" customHeight="1">
      <c r="A71" s="5">
        <v>46013.0</v>
      </c>
      <c r="B71" s="6">
        <v>5937.0</v>
      </c>
      <c r="C71" s="6">
        <v>1.859166318E9</v>
      </c>
      <c r="D71" s="6">
        <v>5249031.0</v>
      </c>
      <c r="E71" s="6" t="s">
        <v>151</v>
      </c>
      <c r="F71" s="6" t="s">
        <v>152</v>
      </c>
      <c r="G71" s="6">
        <v>9.986456052E9</v>
      </c>
      <c r="H71" s="6">
        <v>4.0149833E7</v>
      </c>
      <c r="I71" s="6" t="s">
        <v>40</v>
      </c>
      <c r="J71" s="6" t="s">
        <v>21</v>
      </c>
      <c r="K71" s="6" t="s">
        <v>22</v>
      </c>
      <c r="L71" s="6">
        <v>54.0</v>
      </c>
      <c r="M71" s="5">
        <v>46013.0</v>
      </c>
      <c r="N71" s="6" t="s">
        <v>23</v>
      </c>
      <c r="O71" s="6" t="str">
        <f>SUMIFS([1]order_sku_sales_bb2_report!P:P,[1]order_sku_sales_bb2_report!H:H,C27808,[1]order_sku_sales_bb2_report!J:J,H27808)</f>
        <v>#ERROR!</v>
      </c>
      <c r="P71" s="6" t="str">
        <f>SUMIFS([1]order_sku_sales_bb2_report!O:O,[1]order_sku_sales_bb2_report!H:H,C27808,[1]order_sku_sales_bb2_report!J:J,H27808)</f>
        <v>#ERROR!</v>
      </c>
      <c r="Q71" s="6" t="str">
        <f t="shared" si="1"/>
        <v>22-12-2025</v>
      </c>
      <c r="R71" s="6" t="str">
        <f>IFERROR( VLOOKUP(C27808,[1]expressOrderReport!$S:$AZ,34,0),0)</f>
        <v>#ERROR!</v>
      </c>
      <c r="S71" s="6" t="str">
        <f>ARRAY_CONSTRAIN(ARRAYFORMULA(_xludf.XLOOKUP(D27808,[1]order_Report_SA_ID_BB2.0!V:V,[1]order_Report_SA_ID_BB2.0!AM:AM,"")), 1, 1)</f>
        <v>#ERROR!</v>
      </c>
      <c r="T71" s="6" t="str">
        <f t="shared" si="2"/>
        <v>Dec'25</v>
      </c>
    </row>
    <row r="72" ht="15.75" customHeight="1">
      <c r="A72" s="5">
        <v>46013.0</v>
      </c>
      <c r="B72" s="6">
        <v>8450.0</v>
      </c>
      <c r="C72" s="6">
        <v>1.859166323E9</v>
      </c>
      <c r="D72" s="6">
        <v>6319072.0</v>
      </c>
      <c r="E72" s="6" t="s">
        <v>153</v>
      </c>
      <c r="F72" s="6" t="s">
        <v>154</v>
      </c>
      <c r="G72" s="6">
        <v>9.600948019E9</v>
      </c>
      <c r="H72" s="6">
        <v>4.0158264E7</v>
      </c>
      <c r="I72" s="6" t="s">
        <v>26</v>
      </c>
      <c r="J72" s="6" t="s">
        <v>21</v>
      </c>
      <c r="K72" s="6" t="s">
        <v>22</v>
      </c>
      <c r="L72" s="6">
        <v>46.0</v>
      </c>
      <c r="M72" s="5">
        <v>46013.0</v>
      </c>
      <c r="N72" s="6" t="s">
        <v>23</v>
      </c>
      <c r="O72" s="6" t="str">
        <f>SUMIFS([1]order_sku_sales_bb2_report!P:P,[1]order_sku_sales_bb2_report!H:H,C27809,[1]order_sku_sales_bb2_report!J:J,H27809)</f>
        <v>#ERROR!</v>
      </c>
      <c r="P72" s="6" t="str">
        <f>SUMIFS([1]order_sku_sales_bb2_report!O:O,[1]order_sku_sales_bb2_report!H:H,C27809,[1]order_sku_sales_bb2_report!J:J,H27809)</f>
        <v>#ERROR!</v>
      </c>
      <c r="Q72" s="6" t="str">
        <f t="shared" si="1"/>
        <v>22-12-2025</v>
      </c>
      <c r="R72" s="6" t="str">
        <f>IFERROR( VLOOKUP(C27809,[1]expressOrderReport!$S:$AZ,34,0),0)</f>
        <v>#ERROR!</v>
      </c>
      <c r="S72" s="6" t="str">
        <f>ARRAY_CONSTRAIN(ARRAYFORMULA(_xludf.XLOOKUP(D27809,[1]order_Report_SA_ID_BB2.0!V:V,[1]order_Report_SA_ID_BB2.0!AM:AM,"")), 1, 1)</f>
        <v>#ERROR!</v>
      </c>
      <c r="T72" s="6" t="str">
        <f t="shared" si="2"/>
        <v>Dec'25</v>
      </c>
    </row>
    <row r="73" ht="15.75" customHeight="1">
      <c r="A73" s="5">
        <v>46013.0</v>
      </c>
      <c r="B73" s="6">
        <v>7493.0</v>
      </c>
      <c r="C73" s="6">
        <v>1.85916633E9</v>
      </c>
      <c r="D73" s="6">
        <v>4.112055E7</v>
      </c>
      <c r="E73" s="6" t="s">
        <v>155</v>
      </c>
      <c r="F73" s="6" t="s">
        <v>156</v>
      </c>
      <c r="G73" s="6">
        <v>9.886806336E9</v>
      </c>
      <c r="H73" s="6">
        <v>4.0158264E7</v>
      </c>
      <c r="I73" s="6" t="s">
        <v>26</v>
      </c>
      <c r="J73" s="6" t="s">
        <v>21</v>
      </c>
      <c r="K73" s="6" t="s">
        <v>22</v>
      </c>
      <c r="L73" s="6">
        <v>57.54</v>
      </c>
      <c r="M73" s="5">
        <v>46013.0</v>
      </c>
      <c r="N73" s="6" t="s">
        <v>23</v>
      </c>
      <c r="O73" s="6" t="str">
        <f>SUMIFS([1]order_sku_sales_bb2_report!P:P,[1]order_sku_sales_bb2_report!H:H,C27810,[1]order_sku_sales_bb2_report!J:J,H27810)</f>
        <v>#ERROR!</v>
      </c>
      <c r="P73" s="6" t="str">
        <f>SUMIFS([1]order_sku_sales_bb2_report!O:O,[1]order_sku_sales_bb2_report!H:H,C27810,[1]order_sku_sales_bb2_report!J:J,H27810)</f>
        <v>#ERROR!</v>
      </c>
      <c r="Q73" s="6" t="str">
        <f t="shared" si="1"/>
        <v>22-12-2025</v>
      </c>
      <c r="R73" s="6" t="str">
        <f>IFERROR( VLOOKUP(C27810,[1]expressOrderReport!$S:$AZ,34,0),0)</f>
        <v>#ERROR!</v>
      </c>
      <c r="S73" s="6" t="str">
        <f>ARRAY_CONSTRAIN(ARRAYFORMULA(_xludf.XLOOKUP(D27810,[1]order_Report_SA_ID_BB2.0!V:V,[1]order_Report_SA_ID_BB2.0!AM:AM,"")), 1, 1)</f>
        <v>#ERROR!</v>
      </c>
      <c r="T73" s="6" t="str">
        <f t="shared" si="2"/>
        <v>Dec'25</v>
      </c>
    </row>
    <row r="74" ht="15.75" customHeight="1">
      <c r="A74" s="5">
        <v>46013.0</v>
      </c>
      <c r="B74" s="6">
        <v>7498.0</v>
      </c>
      <c r="C74" s="6">
        <v>1.85916633E9</v>
      </c>
      <c r="D74" s="6">
        <v>4.112055E7</v>
      </c>
      <c r="E74" s="6" t="s">
        <v>155</v>
      </c>
      <c r="F74" s="6" t="s">
        <v>156</v>
      </c>
      <c r="G74" s="6">
        <v>9.886806336E9</v>
      </c>
      <c r="H74" s="6">
        <v>4.0054183E7</v>
      </c>
      <c r="I74" s="6" t="s">
        <v>157</v>
      </c>
      <c r="J74" s="6" t="s">
        <v>21</v>
      </c>
      <c r="K74" s="6" t="s">
        <v>22</v>
      </c>
      <c r="L74" s="6">
        <v>57.54</v>
      </c>
      <c r="M74" s="5">
        <v>46013.0</v>
      </c>
      <c r="N74" s="6" t="s">
        <v>23</v>
      </c>
      <c r="O74" s="6" t="str">
        <f>SUMIFS([1]order_sku_sales_bb2_report!P:P,[1]order_sku_sales_bb2_report!H:H,C27811,[1]order_sku_sales_bb2_report!J:J,H27811)</f>
        <v>#ERROR!</v>
      </c>
      <c r="P74" s="6" t="str">
        <f>SUMIFS([1]order_sku_sales_bb2_report!O:O,[1]order_sku_sales_bb2_report!H:H,C27811,[1]order_sku_sales_bb2_report!J:J,H27811)</f>
        <v>#ERROR!</v>
      </c>
      <c r="Q74" s="6" t="str">
        <f t="shared" si="1"/>
        <v>22-12-2025</v>
      </c>
      <c r="R74" s="6" t="str">
        <f>IFERROR( VLOOKUP(C27811,[1]expressOrderReport!$S:$AZ,34,0),0)</f>
        <v>#ERROR!</v>
      </c>
      <c r="S74" s="6" t="str">
        <f>ARRAY_CONSTRAIN(ARRAYFORMULA(_xludf.XLOOKUP(D27811,[1]order_Report_SA_ID_BB2.0!V:V,[1]order_Report_SA_ID_BB2.0!AM:AM,"")), 1, 1)</f>
        <v>#ERROR!</v>
      </c>
      <c r="T74" s="6" t="str">
        <f t="shared" si="2"/>
        <v>Dec'25</v>
      </c>
    </row>
    <row r="75" ht="15.75" customHeight="1">
      <c r="A75" s="5">
        <v>46013.0</v>
      </c>
      <c r="B75" s="6">
        <v>6145.0</v>
      </c>
      <c r="C75" s="6">
        <v>1.859166341E9</v>
      </c>
      <c r="D75" s="6">
        <v>3.6760291E7</v>
      </c>
      <c r="E75" s="6" t="s">
        <v>158</v>
      </c>
      <c r="F75" s="6" t="s">
        <v>159</v>
      </c>
      <c r="G75" s="6">
        <v>8.431559551E9</v>
      </c>
      <c r="H75" s="6">
        <v>4.0149833E7</v>
      </c>
      <c r="I75" s="6" t="s">
        <v>40</v>
      </c>
      <c r="J75" s="6" t="s">
        <v>21</v>
      </c>
      <c r="K75" s="6" t="s">
        <v>22</v>
      </c>
      <c r="L75" s="6">
        <v>54.0</v>
      </c>
      <c r="M75" s="5">
        <v>46013.0</v>
      </c>
      <c r="N75" s="6" t="s">
        <v>23</v>
      </c>
      <c r="O75" s="6" t="str">
        <f>SUMIFS([1]order_sku_sales_bb2_report!P:P,[1]order_sku_sales_bb2_report!H:H,C27813,[1]order_sku_sales_bb2_report!J:J,H27813)</f>
        <v>#ERROR!</v>
      </c>
      <c r="P75" s="6" t="str">
        <f>SUMIFS([1]order_sku_sales_bb2_report!O:O,[1]order_sku_sales_bb2_report!H:H,C27813,[1]order_sku_sales_bb2_report!J:J,H27813)</f>
        <v>#ERROR!</v>
      </c>
      <c r="Q75" s="6" t="str">
        <f t="shared" si="1"/>
        <v>22-12-2025</v>
      </c>
      <c r="R75" s="6" t="str">
        <f>IFERROR( VLOOKUP(C27813,[1]expressOrderReport!$S:$AZ,34,0),0)</f>
        <v>#ERROR!</v>
      </c>
      <c r="S75" s="6" t="str">
        <f>ARRAY_CONSTRAIN(ARRAYFORMULA(_xludf.XLOOKUP(D27813,[1]order_Report_SA_ID_BB2.0!V:V,[1]order_Report_SA_ID_BB2.0!AM:AM,"")), 1, 1)</f>
        <v>#ERROR!</v>
      </c>
      <c r="T75" s="6" t="str">
        <f t="shared" si="2"/>
        <v>Dec'25</v>
      </c>
    </row>
    <row r="76" ht="15.75" customHeight="1">
      <c r="A76" s="5">
        <v>46013.0</v>
      </c>
      <c r="B76" s="6">
        <v>9088.0</v>
      </c>
      <c r="C76" s="6">
        <v>1.859166347E9</v>
      </c>
      <c r="D76" s="6">
        <v>5708239.0</v>
      </c>
      <c r="E76" s="6" t="s">
        <v>160</v>
      </c>
      <c r="F76" s="6" t="s">
        <v>161</v>
      </c>
      <c r="G76" s="6">
        <v>7.406821986E9</v>
      </c>
      <c r="H76" s="6">
        <v>4.0148716E7</v>
      </c>
      <c r="I76" s="6" t="s">
        <v>148</v>
      </c>
      <c r="J76" s="6" t="s">
        <v>21</v>
      </c>
      <c r="K76" s="6" t="s">
        <v>22</v>
      </c>
      <c r="L76" s="6">
        <v>45.0</v>
      </c>
      <c r="M76" s="5">
        <v>46013.0</v>
      </c>
      <c r="N76" s="6" t="s">
        <v>23</v>
      </c>
      <c r="O76" s="6" t="str">
        <f>SUMIFS([1]order_sku_sales_bb2_report!P:P,[1]order_sku_sales_bb2_report!H:H,C27814,[1]order_sku_sales_bb2_report!J:J,H27814)</f>
        <v>#ERROR!</v>
      </c>
      <c r="P76" s="6" t="str">
        <f>SUMIFS([1]order_sku_sales_bb2_report!O:O,[1]order_sku_sales_bb2_report!H:H,C27814,[1]order_sku_sales_bb2_report!J:J,H27814)</f>
        <v>#ERROR!</v>
      </c>
      <c r="Q76" s="6" t="str">
        <f t="shared" si="1"/>
        <v>22-12-2025</v>
      </c>
      <c r="R76" s="6" t="str">
        <f>IFERROR( VLOOKUP(C27814,[1]expressOrderReport!$S:$AZ,34,0),0)</f>
        <v>#ERROR!</v>
      </c>
      <c r="S76" s="6" t="str">
        <f>ARRAY_CONSTRAIN(ARRAYFORMULA(_xludf.XLOOKUP(D27814,[1]order_Report_SA_ID_BB2.0!V:V,[1]order_Report_SA_ID_BB2.0!AM:AM,"")), 1, 1)</f>
        <v>#ERROR!</v>
      </c>
      <c r="T76" s="6" t="str">
        <f t="shared" si="2"/>
        <v>Dec'25</v>
      </c>
    </row>
    <row r="77" ht="15.75" customHeight="1">
      <c r="A77" s="5">
        <v>46013.0</v>
      </c>
      <c r="B77" s="6">
        <v>7121.0</v>
      </c>
      <c r="C77" s="6">
        <v>1.859166353E9</v>
      </c>
      <c r="D77" s="6">
        <v>1.2178395E7</v>
      </c>
      <c r="E77" s="6" t="s">
        <v>162</v>
      </c>
      <c r="F77" s="6" t="s">
        <v>163</v>
      </c>
      <c r="G77" s="6">
        <v>9.480231611E9</v>
      </c>
      <c r="H77" s="6">
        <v>4.0149832E7</v>
      </c>
      <c r="I77" s="6" t="s">
        <v>26</v>
      </c>
      <c r="J77" s="6" t="s">
        <v>21</v>
      </c>
      <c r="K77" s="6" t="s">
        <v>22</v>
      </c>
      <c r="L77" s="6">
        <v>24.0</v>
      </c>
      <c r="M77" s="5">
        <v>46013.0</v>
      </c>
      <c r="N77" s="6" t="s">
        <v>23</v>
      </c>
      <c r="O77" s="6" t="str">
        <f>SUMIFS([1]order_sku_sales_bb2_report!P:P,[1]order_sku_sales_bb2_report!H:H,C27815,[1]order_sku_sales_bb2_report!J:J,H27815)</f>
        <v>#ERROR!</v>
      </c>
      <c r="P77" s="6" t="str">
        <f>SUMIFS([1]order_sku_sales_bb2_report!O:O,[1]order_sku_sales_bb2_report!H:H,C27815,[1]order_sku_sales_bb2_report!J:J,H27815)</f>
        <v>#ERROR!</v>
      </c>
      <c r="Q77" s="6" t="str">
        <f t="shared" si="1"/>
        <v>22-12-2025</v>
      </c>
      <c r="R77" s="6" t="str">
        <f>IFERROR( VLOOKUP(C27815,[1]expressOrderReport!$S:$AZ,34,0),0)</f>
        <v>#ERROR!</v>
      </c>
      <c r="S77" s="6" t="str">
        <f>ARRAY_CONSTRAIN(ARRAYFORMULA(_xludf.XLOOKUP(D27815,[1]order_Report_SA_ID_BB2.0!V:V,[1]order_Report_SA_ID_BB2.0!AM:AM,"")), 1, 1)</f>
        <v>#ERROR!</v>
      </c>
      <c r="T77" s="6" t="str">
        <f t="shared" si="2"/>
        <v>Dec'25</v>
      </c>
    </row>
    <row r="78" ht="15.75" customHeight="1">
      <c r="A78" s="5">
        <v>46013.0</v>
      </c>
      <c r="B78" s="6">
        <v>8208.0</v>
      </c>
      <c r="C78" s="6">
        <v>1.859166359E9</v>
      </c>
      <c r="D78" s="6">
        <v>1.4177066E7</v>
      </c>
      <c r="E78" s="6" t="s">
        <v>164</v>
      </c>
      <c r="F78" s="6" t="s">
        <v>165</v>
      </c>
      <c r="G78" s="6">
        <v>8.87023184E9</v>
      </c>
      <c r="H78" s="6">
        <v>4.0158264E7</v>
      </c>
      <c r="I78" s="6" t="s">
        <v>26</v>
      </c>
      <c r="J78" s="6" t="s">
        <v>21</v>
      </c>
      <c r="K78" s="6" t="s">
        <v>22</v>
      </c>
      <c r="L78" s="6">
        <v>70.0</v>
      </c>
      <c r="M78" s="5">
        <v>46013.0</v>
      </c>
      <c r="N78" s="6" t="s">
        <v>23</v>
      </c>
      <c r="O78" s="6" t="str">
        <f>SUMIFS([1]order_sku_sales_bb2_report!P:P,[1]order_sku_sales_bb2_report!H:H,C27816,[1]order_sku_sales_bb2_report!J:J,H27816)</f>
        <v>#ERROR!</v>
      </c>
      <c r="P78" s="6" t="str">
        <f>SUMIFS([1]order_sku_sales_bb2_report!O:O,[1]order_sku_sales_bb2_report!H:H,C27816,[1]order_sku_sales_bb2_report!J:J,H27816)</f>
        <v>#ERROR!</v>
      </c>
      <c r="Q78" s="6" t="str">
        <f t="shared" si="1"/>
        <v>22-12-2025</v>
      </c>
      <c r="R78" s="6" t="str">
        <f>IFERROR( VLOOKUP(C27816,[1]expressOrderReport!$S:$AZ,34,0),0)</f>
        <v>#ERROR!</v>
      </c>
      <c r="S78" s="6" t="str">
        <f>ARRAY_CONSTRAIN(ARRAYFORMULA(_xludf.XLOOKUP(D27816,[1]order_Report_SA_ID_BB2.0!V:V,[1]order_Report_SA_ID_BB2.0!AM:AM,"")), 1, 1)</f>
        <v>#ERROR!</v>
      </c>
      <c r="T78" s="6" t="str">
        <f t="shared" si="2"/>
        <v>Dec'25</v>
      </c>
    </row>
    <row r="79" ht="15.75" customHeight="1">
      <c r="A79" s="5">
        <v>46013.0</v>
      </c>
      <c r="B79" s="6">
        <v>8209.0</v>
      </c>
      <c r="C79" s="6">
        <v>1.859166359E9</v>
      </c>
      <c r="D79" s="6">
        <v>1.4177066E7</v>
      </c>
      <c r="E79" s="6" t="s">
        <v>164</v>
      </c>
      <c r="F79" s="6" t="s">
        <v>165</v>
      </c>
      <c r="G79" s="6">
        <v>8.87023184E9</v>
      </c>
      <c r="H79" s="6">
        <v>4.0149832E7</v>
      </c>
      <c r="I79" s="6" t="s">
        <v>26</v>
      </c>
      <c r="J79" s="6" t="s">
        <v>21</v>
      </c>
      <c r="K79" s="6" t="s">
        <v>22</v>
      </c>
      <c r="L79" s="6">
        <v>70.0</v>
      </c>
      <c r="M79" s="5">
        <v>46013.0</v>
      </c>
      <c r="N79" s="6" t="s">
        <v>23</v>
      </c>
      <c r="O79" s="6" t="str">
        <f>SUMIFS([1]order_sku_sales_bb2_report!P:P,[1]order_sku_sales_bb2_report!H:H,C27817,[1]order_sku_sales_bb2_report!J:J,H27817)</f>
        <v>#ERROR!</v>
      </c>
      <c r="P79" s="6" t="str">
        <f>SUMIFS([1]order_sku_sales_bb2_report!O:O,[1]order_sku_sales_bb2_report!H:H,C27817,[1]order_sku_sales_bb2_report!J:J,H27817)</f>
        <v>#ERROR!</v>
      </c>
      <c r="Q79" s="6" t="str">
        <f t="shared" si="1"/>
        <v>22-12-2025</v>
      </c>
      <c r="R79" s="6" t="str">
        <f>IFERROR( VLOOKUP(C27817,[1]expressOrderReport!$S:$AZ,34,0),0)</f>
        <v>#ERROR!</v>
      </c>
      <c r="S79" s="6" t="str">
        <f>ARRAY_CONSTRAIN(ARRAYFORMULA(_xludf.XLOOKUP(D27817,[1]order_Report_SA_ID_BB2.0!V:V,[1]order_Report_SA_ID_BB2.0!AM:AM,"")), 1, 1)</f>
        <v>#ERROR!</v>
      </c>
      <c r="T79" s="6" t="str">
        <f t="shared" si="2"/>
        <v>Dec'25</v>
      </c>
    </row>
    <row r="80" ht="15.75" customHeight="1">
      <c r="A80" s="5">
        <v>46013.0</v>
      </c>
      <c r="B80" s="6">
        <v>9329.0</v>
      </c>
      <c r="C80" s="6">
        <v>1.859166367E9</v>
      </c>
      <c r="D80" s="6">
        <v>5.3994188E7</v>
      </c>
      <c r="E80" s="6" t="s">
        <v>166</v>
      </c>
      <c r="F80" s="6" t="s">
        <v>167</v>
      </c>
      <c r="G80" s="6">
        <v>9.945602562E9</v>
      </c>
      <c r="H80" s="6">
        <v>4.0158264E7</v>
      </c>
      <c r="I80" s="6" t="s">
        <v>26</v>
      </c>
      <c r="J80" s="6" t="s">
        <v>21</v>
      </c>
      <c r="K80" s="6" t="s">
        <v>22</v>
      </c>
      <c r="L80" s="6">
        <v>46.0</v>
      </c>
      <c r="M80" s="5">
        <v>46013.0</v>
      </c>
      <c r="N80" s="6" t="s">
        <v>23</v>
      </c>
      <c r="O80" s="6" t="str">
        <f>SUMIFS([1]order_sku_sales_bb2_report!P:P,[1]order_sku_sales_bb2_report!H:H,C27818,[1]order_sku_sales_bb2_report!J:J,H27818)</f>
        <v>#ERROR!</v>
      </c>
      <c r="P80" s="6" t="str">
        <f>SUMIFS([1]order_sku_sales_bb2_report!O:O,[1]order_sku_sales_bb2_report!H:H,C27818,[1]order_sku_sales_bb2_report!J:J,H27818)</f>
        <v>#ERROR!</v>
      </c>
      <c r="Q80" s="6" t="str">
        <f t="shared" si="1"/>
        <v>22-12-2025</v>
      </c>
      <c r="R80" s="6" t="str">
        <f>IFERROR( VLOOKUP(C27818,[1]expressOrderReport!$S:$AZ,34,0),0)</f>
        <v>#ERROR!</v>
      </c>
      <c r="S80" s="6" t="str">
        <f>ARRAY_CONSTRAIN(ARRAYFORMULA(_xludf.XLOOKUP(D27818,[1]order_Report_SA_ID_BB2.0!V:V,[1]order_Report_SA_ID_BB2.0!AM:AM,"")), 1, 1)</f>
        <v>#ERROR!</v>
      </c>
      <c r="T80" s="6" t="str">
        <f t="shared" si="2"/>
        <v>Dec'25</v>
      </c>
    </row>
    <row r="81" ht="15.75" customHeight="1">
      <c r="A81" s="5">
        <v>46013.0</v>
      </c>
      <c r="B81" s="6">
        <v>2245.0</v>
      </c>
      <c r="C81" s="6">
        <v>1.859164776E9</v>
      </c>
      <c r="D81" s="6">
        <v>1.6369923E7</v>
      </c>
      <c r="E81" s="6" t="s">
        <v>168</v>
      </c>
      <c r="F81" s="6" t="s">
        <v>169</v>
      </c>
      <c r="G81" s="6">
        <v>7.33846213E9</v>
      </c>
      <c r="H81" s="6">
        <v>4.0147597E7</v>
      </c>
      <c r="I81" s="6" t="s">
        <v>59</v>
      </c>
      <c r="J81" s="6" t="s">
        <v>21</v>
      </c>
      <c r="K81" s="6" t="s">
        <v>22</v>
      </c>
      <c r="L81" s="6">
        <v>26.0</v>
      </c>
      <c r="M81" s="5">
        <v>46013.0</v>
      </c>
      <c r="N81" s="6" t="s">
        <v>23</v>
      </c>
      <c r="O81" s="6" t="str">
        <f>SUMIFS([1]order_sku_sales_bb2_report!P:P,[1]order_sku_sales_bb2_report!H:H,C27819,[1]order_sku_sales_bb2_report!J:J,H27819)</f>
        <v>#ERROR!</v>
      </c>
      <c r="P81" s="6" t="str">
        <f>SUMIFS([1]order_sku_sales_bb2_report!O:O,[1]order_sku_sales_bb2_report!H:H,C27819,[1]order_sku_sales_bb2_report!J:J,H27819)</f>
        <v>#ERROR!</v>
      </c>
      <c r="Q81" s="6" t="str">
        <f t="shared" si="1"/>
        <v>22-12-2025</v>
      </c>
      <c r="R81" s="6" t="str">
        <f>IFERROR( VLOOKUP(C27819,[1]expressOrderReport!$S:$AZ,34,0),0)</f>
        <v>#ERROR!</v>
      </c>
      <c r="S81" s="6" t="str">
        <f>ARRAY_CONSTRAIN(ARRAYFORMULA(_xludf.XLOOKUP(D27819,[1]order_Report_SA_ID_BB2.0!V:V,[1]order_Report_SA_ID_BB2.0!AM:AM,"")), 1, 1)</f>
        <v>#ERROR!</v>
      </c>
      <c r="T81" s="6" t="str">
        <f t="shared" si="2"/>
        <v>Dec'25</v>
      </c>
    </row>
    <row r="82" ht="15.75" customHeight="1">
      <c r="A82" s="5">
        <v>46013.0</v>
      </c>
      <c r="B82" s="6">
        <v>9482.0</v>
      </c>
      <c r="C82" s="6">
        <v>1.859164783E9</v>
      </c>
      <c r="D82" s="6">
        <v>5002610.0</v>
      </c>
      <c r="E82" s="6" t="s">
        <v>170</v>
      </c>
      <c r="F82" s="6" t="s">
        <v>171</v>
      </c>
      <c r="G82" s="6">
        <v>9.503774379E9</v>
      </c>
      <c r="H82" s="6">
        <v>4.0049915E7</v>
      </c>
      <c r="I82" s="6" t="s">
        <v>172</v>
      </c>
      <c r="J82" s="6" t="s">
        <v>21</v>
      </c>
      <c r="K82" s="6" t="s">
        <v>22</v>
      </c>
      <c r="L82" s="6">
        <v>103.6</v>
      </c>
      <c r="M82" s="5">
        <v>46013.0</v>
      </c>
      <c r="N82" s="6" t="s">
        <v>23</v>
      </c>
      <c r="O82" s="6" t="str">
        <f>SUMIFS([1]order_sku_sales_bb2_report!P:P,[1]order_sku_sales_bb2_report!H:H,C27820,[1]order_sku_sales_bb2_report!J:J,H27820)</f>
        <v>#ERROR!</v>
      </c>
      <c r="P82" s="6" t="str">
        <f>SUMIFS([1]order_sku_sales_bb2_report!O:O,[1]order_sku_sales_bb2_report!H:H,C27820,[1]order_sku_sales_bb2_report!J:J,H27820)</f>
        <v>#ERROR!</v>
      </c>
      <c r="Q82" s="6" t="str">
        <f t="shared" si="1"/>
        <v>22-12-2025</v>
      </c>
      <c r="R82" s="6" t="str">
        <f>IFERROR( VLOOKUP(C27820,[1]expressOrderReport!$S:$AZ,34,0),0)</f>
        <v>#ERROR!</v>
      </c>
      <c r="S82" s="6" t="str">
        <f>ARRAY_CONSTRAIN(ARRAYFORMULA(_xludf.XLOOKUP(D27820,[1]order_Report_SA_ID_BB2.0!V:V,[1]order_Report_SA_ID_BB2.0!AM:AM,"")), 1, 1)</f>
        <v>#ERROR!</v>
      </c>
      <c r="T82" s="6" t="str">
        <f t="shared" si="2"/>
        <v>Dec'25</v>
      </c>
    </row>
    <row r="83" ht="15.75" customHeight="1">
      <c r="A83" s="5">
        <v>46013.0</v>
      </c>
      <c r="B83" s="6">
        <v>10280.0</v>
      </c>
      <c r="C83" s="6">
        <v>1.859164783E9</v>
      </c>
      <c r="D83" s="6">
        <v>5002610.0</v>
      </c>
      <c r="E83" s="6" t="s">
        <v>170</v>
      </c>
      <c r="F83" s="6" t="s">
        <v>171</v>
      </c>
      <c r="G83" s="6">
        <v>9.503774379E9</v>
      </c>
      <c r="H83" s="6">
        <v>4.0057966E7</v>
      </c>
      <c r="I83" s="6" t="s">
        <v>173</v>
      </c>
      <c r="J83" s="6" t="s">
        <v>21</v>
      </c>
      <c r="K83" s="6" t="s">
        <v>22</v>
      </c>
      <c r="L83" s="6">
        <v>103.6</v>
      </c>
      <c r="M83" s="5">
        <v>46013.0</v>
      </c>
      <c r="N83" s="6" t="s">
        <v>23</v>
      </c>
      <c r="O83" s="6" t="str">
        <f>SUMIFS([1]order_sku_sales_bb2_report!P:P,[1]order_sku_sales_bb2_report!H:H,C27821,[1]order_sku_sales_bb2_report!J:J,H27821)</f>
        <v>#ERROR!</v>
      </c>
      <c r="P83" s="6" t="str">
        <f>SUMIFS([1]order_sku_sales_bb2_report!O:O,[1]order_sku_sales_bb2_report!H:H,C27821,[1]order_sku_sales_bb2_report!J:J,H27821)</f>
        <v>#ERROR!</v>
      </c>
      <c r="Q83" s="6" t="str">
        <f t="shared" si="1"/>
        <v>22-12-2025</v>
      </c>
      <c r="R83" s="6" t="str">
        <f>IFERROR( VLOOKUP(C27821,[1]expressOrderReport!$S:$AZ,34,0),0)</f>
        <v>#ERROR!</v>
      </c>
      <c r="S83" s="6" t="str">
        <f>ARRAY_CONSTRAIN(ARRAYFORMULA(_xludf.XLOOKUP(D27821,[1]order_Report_SA_ID_BB2.0!V:V,[1]order_Report_SA_ID_BB2.0!AM:AM,"")), 1, 1)</f>
        <v>#ERROR!</v>
      </c>
      <c r="T83" s="6" t="str">
        <f t="shared" si="2"/>
        <v>Dec'25</v>
      </c>
    </row>
    <row r="84" ht="15.75" customHeight="1">
      <c r="A84" s="5">
        <v>46013.0</v>
      </c>
      <c r="B84" s="6">
        <v>9089.0</v>
      </c>
      <c r="C84" s="6">
        <v>1.859164793E9</v>
      </c>
      <c r="D84" s="6">
        <v>7589377.0</v>
      </c>
      <c r="E84" s="6" t="s">
        <v>174</v>
      </c>
      <c r="F84" s="6" t="s">
        <v>175</v>
      </c>
      <c r="G84" s="6">
        <v>9.8457543E9</v>
      </c>
      <c r="H84" s="6">
        <v>4.0276324E7</v>
      </c>
      <c r="I84" s="6" t="s">
        <v>30</v>
      </c>
      <c r="J84" s="6" t="s">
        <v>21</v>
      </c>
      <c r="K84" s="6" t="s">
        <v>22</v>
      </c>
      <c r="L84" s="6">
        <v>117.0</v>
      </c>
      <c r="M84" s="5">
        <v>46013.0</v>
      </c>
      <c r="N84" s="6" t="s">
        <v>23</v>
      </c>
      <c r="O84" s="6" t="str">
        <f>SUMIFS([1]order_sku_sales_bb2_report!P:P,[1]order_sku_sales_bb2_report!H:H,C27823,[1]order_sku_sales_bb2_report!J:J,H27823)</f>
        <v>#ERROR!</v>
      </c>
      <c r="P84" s="6" t="str">
        <f>SUMIFS([1]order_sku_sales_bb2_report!O:O,[1]order_sku_sales_bb2_report!H:H,C27823,[1]order_sku_sales_bb2_report!J:J,H27823)</f>
        <v>#ERROR!</v>
      </c>
      <c r="Q84" s="6" t="str">
        <f t="shared" si="1"/>
        <v>22-12-2025</v>
      </c>
      <c r="R84" s="6" t="str">
        <f>IFERROR( VLOOKUP(C27823,[1]expressOrderReport!$S:$AZ,34,0),0)</f>
        <v>#ERROR!</v>
      </c>
      <c r="S84" s="6" t="str">
        <f>ARRAY_CONSTRAIN(ARRAYFORMULA(_xludf.XLOOKUP(D27823,[1]order_Report_SA_ID_BB2.0!V:V,[1]order_Report_SA_ID_BB2.0!AM:AM,"")), 1, 1)</f>
        <v>#ERROR!</v>
      </c>
      <c r="T84" s="6" t="str">
        <f t="shared" si="2"/>
        <v>Dec'25</v>
      </c>
    </row>
    <row r="85" ht="15.75" customHeight="1">
      <c r="A85" s="5">
        <v>46013.0</v>
      </c>
      <c r="B85" s="6">
        <v>9090.0</v>
      </c>
      <c r="C85" s="6">
        <v>1.859164793E9</v>
      </c>
      <c r="D85" s="6">
        <v>7589377.0</v>
      </c>
      <c r="E85" s="6" t="s">
        <v>174</v>
      </c>
      <c r="F85" s="6" t="s">
        <v>175</v>
      </c>
      <c r="G85" s="6">
        <v>9.8457543E9</v>
      </c>
      <c r="H85" s="6">
        <v>4.0147597E7</v>
      </c>
      <c r="I85" s="6" t="s">
        <v>59</v>
      </c>
      <c r="J85" s="6" t="s">
        <v>21</v>
      </c>
      <c r="K85" s="6" t="s">
        <v>22</v>
      </c>
      <c r="L85" s="6">
        <v>117.0</v>
      </c>
      <c r="M85" s="5">
        <v>46013.0</v>
      </c>
      <c r="N85" s="6" t="s">
        <v>23</v>
      </c>
      <c r="O85" s="6" t="str">
        <f>SUMIFS([1]order_sku_sales_bb2_report!P:P,[1]order_sku_sales_bb2_report!H:H,C27824,[1]order_sku_sales_bb2_report!J:J,H27824)</f>
        <v>#ERROR!</v>
      </c>
      <c r="P85" s="6" t="str">
        <f>SUMIFS([1]order_sku_sales_bb2_report!O:O,[1]order_sku_sales_bb2_report!H:H,C27824,[1]order_sku_sales_bb2_report!J:J,H27824)</f>
        <v>#ERROR!</v>
      </c>
      <c r="Q85" s="6" t="str">
        <f t="shared" si="1"/>
        <v>22-12-2025</v>
      </c>
      <c r="R85" s="6" t="str">
        <f>IFERROR( VLOOKUP(C27824,[1]expressOrderReport!$S:$AZ,34,0),0)</f>
        <v>#ERROR!</v>
      </c>
      <c r="S85" s="6" t="str">
        <f>ARRAY_CONSTRAIN(ARRAYFORMULA(_xludf.XLOOKUP(D27824,[1]order_Report_SA_ID_BB2.0!V:V,[1]order_Report_SA_ID_BB2.0!AM:AM,"")), 1, 1)</f>
        <v>#ERROR!</v>
      </c>
      <c r="T85" s="6" t="str">
        <f t="shared" si="2"/>
        <v>Dec'25</v>
      </c>
    </row>
    <row r="86" ht="15.75" customHeight="1">
      <c r="A86" s="5">
        <v>46013.0</v>
      </c>
      <c r="B86" s="6">
        <v>10104.0</v>
      </c>
      <c r="C86" s="6">
        <v>1.859164799E9</v>
      </c>
      <c r="D86" s="6">
        <v>2577367.0</v>
      </c>
      <c r="E86" s="6" t="s">
        <v>176</v>
      </c>
      <c r="F86" s="6" t="s">
        <v>177</v>
      </c>
      <c r="G86" s="6">
        <v>9.9809338E9</v>
      </c>
      <c r="H86" s="6">
        <v>4.0149833E7</v>
      </c>
      <c r="I86" s="6" t="s">
        <v>40</v>
      </c>
      <c r="J86" s="6" t="s">
        <v>21</v>
      </c>
      <c r="K86" s="6" t="s">
        <v>22</v>
      </c>
      <c r="L86" s="6">
        <v>27.0</v>
      </c>
      <c r="M86" s="5">
        <v>46013.0</v>
      </c>
      <c r="N86" s="6" t="s">
        <v>23</v>
      </c>
      <c r="O86" s="6" t="str">
        <f>SUMIFS([1]order_sku_sales_bb2_report!P:P,[1]order_sku_sales_bb2_report!H:H,C27825,[1]order_sku_sales_bb2_report!J:J,H27825)</f>
        <v>#ERROR!</v>
      </c>
      <c r="P86" s="6" t="str">
        <f>SUMIFS([1]order_sku_sales_bb2_report!O:O,[1]order_sku_sales_bb2_report!H:H,C27825,[1]order_sku_sales_bb2_report!J:J,H27825)</f>
        <v>#ERROR!</v>
      </c>
      <c r="Q86" s="6" t="str">
        <f t="shared" si="1"/>
        <v>22-12-2025</v>
      </c>
      <c r="R86" s="6" t="str">
        <f>IFERROR( VLOOKUP(C27825,[1]expressOrderReport!$S:$AZ,34,0),0)</f>
        <v>#ERROR!</v>
      </c>
      <c r="S86" s="6" t="str">
        <f>ARRAY_CONSTRAIN(ARRAYFORMULA(_xludf.XLOOKUP(D27825,[1]order_Report_SA_ID_BB2.0!V:V,[1]order_Report_SA_ID_BB2.0!AM:AM,"")), 1, 1)</f>
        <v>#ERROR!</v>
      </c>
      <c r="T86" s="6" t="str">
        <f t="shared" si="2"/>
        <v>Dec'25</v>
      </c>
    </row>
    <row r="87" ht="15.75" customHeight="1">
      <c r="A87" s="5">
        <v>46013.0</v>
      </c>
      <c r="B87" s="6">
        <v>3818.0</v>
      </c>
      <c r="C87" s="6">
        <v>1.859164807E9</v>
      </c>
      <c r="D87" s="6">
        <v>658414.0</v>
      </c>
      <c r="E87" s="6" t="s">
        <v>178</v>
      </c>
      <c r="F87" s="6" t="s">
        <v>179</v>
      </c>
      <c r="G87" s="6">
        <v>7.022277782E9</v>
      </c>
      <c r="H87" s="6">
        <v>4.0047739E7</v>
      </c>
      <c r="I87" s="6" t="s">
        <v>180</v>
      </c>
      <c r="J87" s="6" t="s">
        <v>21</v>
      </c>
      <c r="K87" s="6" t="s">
        <v>22</v>
      </c>
      <c r="L87" s="6">
        <v>158.0</v>
      </c>
      <c r="M87" s="5">
        <v>46013.0</v>
      </c>
      <c r="N87" s="6" t="s">
        <v>23</v>
      </c>
      <c r="O87" s="6" t="str">
        <f>SUMIFS([1]order_sku_sales_bb2_report!P:P,[1]order_sku_sales_bb2_report!H:H,C27826,[1]order_sku_sales_bb2_report!J:J,H27826)</f>
        <v>#ERROR!</v>
      </c>
      <c r="P87" s="6" t="str">
        <f>SUMIFS([1]order_sku_sales_bb2_report!O:O,[1]order_sku_sales_bb2_report!H:H,C27826,[1]order_sku_sales_bb2_report!J:J,H27826)</f>
        <v>#ERROR!</v>
      </c>
      <c r="Q87" s="6" t="str">
        <f t="shared" si="1"/>
        <v>22-12-2025</v>
      </c>
      <c r="R87" s="6" t="str">
        <f>IFERROR( VLOOKUP(C27826,[1]expressOrderReport!$S:$AZ,34,0),0)</f>
        <v>#ERROR!</v>
      </c>
      <c r="S87" s="6" t="str">
        <f>ARRAY_CONSTRAIN(ARRAYFORMULA(_xludf.XLOOKUP(D27826,[1]order_Report_SA_ID_BB2.0!V:V,[1]order_Report_SA_ID_BB2.0!AM:AM,"")), 1, 1)</f>
        <v>#ERROR!</v>
      </c>
      <c r="T87" s="6" t="str">
        <f t="shared" si="2"/>
        <v>Dec'25</v>
      </c>
    </row>
    <row r="88" ht="15.75" customHeight="1">
      <c r="A88" s="5">
        <v>46013.0</v>
      </c>
      <c r="B88" s="6">
        <v>4159.0</v>
      </c>
      <c r="C88" s="6">
        <v>1.859164807E9</v>
      </c>
      <c r="D88" s="6">
        <v>658414.0</v>
      </c>
      <c r="E88" s="6" t="s">
        <v>178</v>
      </c>
      <c r="F88" s="6" t="s">
        <v>179</v>
      </c>
      <c r="G88" s="6">
        <v>7.022277782E9</v>
      </c>
      <c r="H88" s="6">
        <v>4.0148716E7</v>
      </c>
      <c r="I88" s="6" t="s">
        <v>148</v>
      </c>
      <c r="J88" s="6" t="s">
        <v>21</v>
      </c>
      <c r="K88" s="6" t="s">
        <v>22</v>
      </c>
      <c r="L88" s="6">
        <v>158.0</v>
      </c>
      <c r="M88" s="5">
        <v>46013.0</v>
      </c>
      <c r="N88" s="6" t="s">
        <v>23</v>
      </c>
      <c r="O88" s="6" t="str">
        <f>SUMIFS([1]order_sku_sales_bb2_report!P:P,[1]order_sku_sales_bb2_report!H:H,C27827,[1]order_sku_sales_bb2_report!J:J,H27827)</f>
        <v>#ERROR!</v>
      </c>
      <c r="P88" s="6" t="str">
        <f>SUMIFS([1]order_sku_sales_bb2_report!O:O,[1]order_sku_sales_bb2_report!H:H,C27827,[1]order_sku_sales_bb2_report!J:J,H27827)</f>
        <v>#ERROR!</v>
      </c>
      <c r="Q88" s="6" t="str">
        <f t="shared" si="1"/>
        <v>22-12-2025</v>
      </c>
      <c r="R88" s="6" t="str">
        <f>IFERROR( VLOOKUP(C27827,[1]expressOrderReport!$S:$AZ,34,0),0)</f>
        <v>#ERROR!</v>
      </c>
      <c r="S88" s="6" t="str">
        <f>ARRAY_CONSTRAIN(ARRAYFORMULA(_xludf.XLOOKUP(D27827,[1]order_Report_SA_ID_BB2.0!V:V,[1]order_Report_SA_ID_BB2.0!AM:AM,"")), 1, 1)</f>
        <v>#ERROR!</v>
      </c>
      <c r="T88" s="6" t="str">
        <f t="shared" si="2"/>
        <v>Dec'25</v>
      </c>
    </row>
    <row r="89" ht="15.75" customHeight="1">
      <c r="A89" s="5">
        <v>46013.0</v>
      </c>
      <c r="B89" s="6">
        <v>5910.0</v>
      </c>
      <c r="C89" s="6">
        <v>1.859164818E9</v>
      </c>
      <c r="D89" s="6">
        <v>2474082.0</v>
      </c>
      <c r="E89" s="6" t="s">
        <v>181</v>
      </c>
      <c r="F89" s="6" t="s">
        <v>182</v>
      </c>
      <c r="G89" s="6">
        <v>9.831085331E9</v>
      </c>
      <c r="H89" s="6">
        <v>4.0148714E7</v>
      </c>
      <c r="I89" s="6" t="s">
        <v>183</v>
      </c>
      <c r="J89" s="6" t="s">
        <v>21</v>
      </c>
      <c r="K89" s="6" t="s">
        <v>22</v>
      </c>
      <c r="L89" s="6">
        <v>47.0</v>
      </c>
      <c r="M89" s="5">
        <v>46013.0</v>
      </c>
      <c r="N89" s="6" t="s">
        <v>23</v>
      </c>
      <c r="O89" s="6" t="str">
        <f>SUMIFS([1]order_sku_sales_bb2_report!P:P,[1]order_sku_sales_bb2_report!H:H,C27828,[1]order_sku_sales_bb2_report!J:J,H27828)</f>
        <v>#ERROR!</v>
      </c>
      <c r="P89" s="6" t="str">
        <f>SUMIFS([1]order_sku_sales_bb2_report!O:O,[1]order_sku_sales_bb2_report!H:H,C27828,[1]order_sku_sales_bb2_report!J:J,H27828)</f>
        <v>#ERROR!</v>
      </c>
      <c r="Q89" s="6" t="str">
        <f t="shared" si="1"/>
        <v>22-12-2025</v>
      </c>
      <c r="R89" s="6" t="str">
        <f>IFERROR( VLOOKUP(C27828,[1]expressOrderReport!$S:$AZ,34,0),0)</f>
        <v>#ERROR!</v>
      </c>
      <c r="S89" s="6" t="str">
        <f>ARRAY_CONSTRAIN(ARRAYFORMULA(_xludf.XLOOKUP(D27828,[1]order_Report_SA_ID_BB2.0!V:V,[1]order_Report_SA_ID_BB2.0!AM:AM,"")), 1, 1)</f>
        <v>#ERROR!</v>
      </c>
      <c r="T89" s="6" t="str">
        <f t="shared" si="2"/>
        <v>Dec'25</v>
      </c>
    </row>
    <row r="90" ht="15.75" customHeight="1">
      <c r="A90" s="5">
        <v>46013.0</v>
      </c>
      <c r="B90" s="6">
        <v>8996.0</v>
      </c>
      <c r="C90" s="6">
        <v>1.859164823E9</v>
      </c>
      <c r="D90" s="6">
        <v>2897974.0</v>
      </c>
      <c r="E90" s="6" t="s">
        <v>184</v>
      </c>
      <c r="F90" s="6" t="s">
        <v>185</v>
      </c>
      <c r="G90" s="6">
        <v>7.799061E9</v>
      </c>
      <c r="H90" s="6">
        <v>4.0149832E7</v>
      </c>
      <c r="I90" s="6" t="s">
        <v>26</v>
      </c>
      <c r="J90" s="6" t="s">
        <v>21</v>
      </c>
      <c r="K90" s="6" t="s">
        <v>22</v>
      </c>
      <c r="L90" s="6">
        <v>24.0</v>
      </c>
      <c r="M90" s="5">
        <v>46013.0</v>
      </c>
      <c r="N90" s="6" t="s">
        <v>23</v>
      </c>
      <c r="O90" s="6" t="str">
        <f>SUMIFS([1]order_sku_sales_bb2_report!P:P,[1]order_sku_sales_bb2_report!H:H,C27829,[1]order_sku_sales_bb2_report!J:J,H27829)</f>
        <v>#ERROR!</v>
      </c>
      <c r="P90" s="6" t="str">
        <f>SUMIFS([1]order_sku_sales_bb2_report!O:O,[1]order_sku_sales_bb2_report!H:H,C27829,[1]order_sku_sales_bb2_report!J:J,H27829)</f>
        <v>#ERROR!</v>
      </c>
      <c r="Q90" s="6" t="str">
        <f t="shared" si="1"/>
        <v>22-12-2025</v>
      </c>
      <c r="R90" s="6" t="str">
        <f>IFERROR( VLOOKUP(C27829,[1]expressOrderReport!$S:$AZ,34,0),0)</f>
        <v>#ERROR!</v>
      </c>
      <c r="S90" s="6" t="str">
        <f>ARRAY_CONSTRAIN(ARRAYFORMULA(_xludf.XLOOKUP(D27829,[1]order_Report_SA_ID_BB2.0!V:V,[1]order_Report_SA_ID_BB2.0!AM:AM,"")), 1, 1)</f>
        <v>#ERROR!</v>
      </c>
      <c r="T90" s="6" t="str">
        <f t="shared" si="2"/>
        <v>Dec'25</v>
      </c>
    </row>
    <row r="91" ht="15.75" customHeight="1">
      <c r="A91" s="5">
        <v>46013.0</v>
      </c>
      <c r="B91" s="6">
        <v>8327.0</v>
      </c>
      <c r="C91" s="6">
        <v>1.859164832E9</v>
      </c>
      <c r="D91" s="6">
        <v>2488937.0</v>
      </c>
      <c r="E91" s="6" t="s">
        <v>186</v>
      </c>
      <c r="F91" s="6" t="s">
        <v>187</v>
      </c>
      <c r="G91" s="6">
        <v>8.105805986E9</v>
      </c>
      <c r="H91" s="6">
        <v>4.0149834E7</v>
      </c>
      <c r="I91" s="6" t="s">
        <v>40</v>
      </c>
      <c r="J91" s="6" t="s">
        <v>21</v>
      </c>
      <c r="K91" s="6" t="s">
        <v>22</v>
      </c>
      <c r="L91" s="6">
        <v>52.0</v>
      </c>
      <c r="M91" s="5">
        <v>46013.0</v>
      </c>
      <c r="N91" s="6" t="s">
        <v>23</v>
      </c>
      <c r="O91" s="6" t="str">
        <f>SUMIFS([1]order_sku_sales_bb2_report!P:P,[1]order_sku_sales_bb2_report!H:H,C27830,[1]order_sku_sales_bb2_report!J:J,H27830)</f>
        <v>#ERROR!</v>
      </c>
      <c r="P91" s="6" t="str">
        <f>SUMIFS([1]order_sku_sales_bb2_report!O:O,[1]order_sku_sales_bb2_report!H:H,C27830,[1]order_sku_sales_bb2_report!J:J,H27830)</f>
        <v>#ERROR!</v>
      </c>
      <c r="Q91" s="6" t="str">
        <f t="shared" si="1"/>
        <v>22-12-2025</v>
      </c>
      <c r="R91" s="6" t="str">
        <f>IFERROR( VLOOKUP(C27830,[1]expressOrderReport!$S:$AZ,34,0),0)</f>
        <v>#ERROR!</v>
      </c>
      <c r="S91" s="6" t="str">
        <f>ARRAY_CONSTRAIN(ARRAYFORMULA(_xludf.XLOOKUP(D27830,[1]order_Report_SA_ID_BB2.0!V:V,[1]order_Report_SA_ID_BB2.0!AM:AM,"")), 1, 1)</f>
        <v>#ERROR!</v>
      </c>
      <c r="T91" s="6" t="str">
        <f t="shared" si="2"/>
        <v>Dec'25</v>
      </c>
    </row>
    <row r="92" ht="15.75" customHeight="1">
      <c r="A92" s="5">
        <v>46013.0</v>
      </c>
      <c r="B92" s="6">
        <v>1992.0</v>
      </c>
      <c r="C92" s="6">
        <v>1.859164843E9</v>
      </c>
      <c r="D92" s="6">
        <v>4764817.0</v>
      </c>
      <c r="E92" s="6" t="s">
        <v>188</v>
      </c>
      <c r="F92" s="6" t="s">
        <v>189</v>
      </c>
      <c r="G92" s="6">
        <v>8.884741061E9</v>
      </c>
      <c r="H92" s="6">
        <v>4.0148716E7</v>
      </c>
      <c r="I92" s="6" t="s">
        <v>148</v>
      </c>
      <c r="J92" s="6" t="s">
        <v>21</v>
      </c>
      <c r="K92" s="6" t="s">
        <v>22</v>
      </c>
      <c r="L92" s="6">
        <v>45.0</v>
      </c>
      <c r="M92" s="5">
        <v>46013.0</v>
      </c>
      <c r="N92" s="6" t="s">
        <v>23</v>
      </c>
      <c r="O92" s="6" t="str">
        <f>SUMIFS([1]order_sku_sales_bb2_report!P:P,[1]order_sku_sales_bb2_report!H:H,C27831,[1]order_sku_sales_bb2_report!J:J,H27831)</f>
        <v>#ERROR!</v>
      </c>
      <c r="P92" s="6" t="str">
        <f>SUMIFS([1]order_sku_sales_bb2_report!O:O,[1]order_sku_sales_bb2_report!H:H,C27831,[1]order_sku_sales_bb2_report!J:J,H27831)</f>
        <v>#ERROR!</v>
      </c>
      <c r="Q92" s="6" t="str">
        <f t="shared" si="1"/>
        <v>22-12-2025</v>
      </c>
      <c r="R92" s="6" t="str">
        <f>IFERROR( VLOOKUP(C27831,[1]expressOrderReport!$S:$AZ,34,0),0)</f>
        <v>#ERROR!</v>
      </c>
      <c r="S92" s="6" t="str">
        <f>ARRAY_CONSTRAIN(ARRAYFORMULA(_xludf.XLOOKUP(D27831,[1]order_Report_SA_ID_BB2.0!V:V,[1]order_Report_SA_ID_BB2.0!AM:AM,"")), 1, 1)</f>
        <v>#ERROR!</v>
      </c>
      <c r="T92" s="6" t="str">
        <f t="shared" si="2"/>
        <v>Dec'25</v>
      </c>
    </row>
    <row r="93" ht="15.75" customHeight="1">
      <c r="A93" s="5">
        <v>46013.0</v>
      </c>
      <c r="B93" s="6">
        <v>2990.0</v>
      </c>
      <c r="C93" s="6">
        <v>1.859164855E9</v>
      </c>
      <c r="D93" s="6">
        <v>504331.0</v>
      </c>
      <c r="E93" s="6" t="s">
        <v>190</v>
      </c>
      <c r="F93" s="6" t="s">
        <v>191</v>
      </c>
      <c r="G93" s="6">
        <v>7.406759866E9</v>
      </c>
      <c r="H93" s="6">
        <v>4.0149833E7</v>
      </c>
      <c r="I93" s="6" t="s">
        <v>40</v>
      </c>
      <c r="J93" s="6" t="s">
        <v>21</v>
      </c>
      <c r="K93" s="6" t="s">
        <v>22</v>
      </c>
      <c r="L93" s="6">
        <v>27.0</v>
      </c>
      <c r="M93" s="5">
        <v>46013.0</v>
      </c>
      <c r="N93" s="6" t="s">
        <v>23</v>
      </c>
      <c r="O93" s="6" t="str">
        <f>SUMIFS([1]order_sku_sales_bb2_report!P:P,[1]order_sku_sales_bb2_report!H:H,C27832,[1]order_sku_sales_bb2_report!J:J,H27832)</f>
        <v>#ERROR!</v>
      </c>
      <c r="P93" s="6" t="str">
        <f>SUMIFS([1]order_sku_sales_bb2_report!O:O,[1]order_sku_sales_bb2_report!H:H,C27832,[1]order_sku_sales_bb2_report!J:J,H27832)</f>
        <v>#ERROR!</v>
      </c>
      <c r="Q93" s="6" t="str">
        <f t="shared" si="1"/>
        <v>22-12-2025</v>
      </c>
      <c r="R93" s="6" t="str">
        <f>IFERROR( VLOOKUP(C27832,[1]expressOrderReport!$S:$AZ,34,0),0)</f>
        <v>#ERROR!</v>
      </c>
      <c r="S93" s="6" t="str">
        <f>ARRAY_CONSTRAIN(ARRAYFORMULA(_xludf.XLOOKUP(D27832,[1]order_Report_SA_ID_BB2.0!V:V,[1]order_Report_SA_ID_BB2.0!AM:AM,"")), 1, 1)</f>
        <v>#ERROR!</v>
      </c>
      <c r="T93" s="6" t="str">
        <f t="shared" si="2"/>
        <v>Dec'25</v>
      </c>
    </row>
    <row r="94" ht="15.75" customHeight="1">
      <c r="A94" s="5">
        <v>46013.0</v>
      </c>
      <c r="B94" s="6">
        <v>8225.0</v>
      </c>
      <c r="C94" s="6">
        <v>1.859164862E9</v>
      </c>
      <c r="D94" s="6">
        <v>1722250.0</v>
      </c>
      <c r="E94" s="6" t="s">
        <v>192</v>
      </c>
      <c r="F94" s="6" t="s">
        <v>193</v>
      </c>
      <c r="G94" s="6">
        <v>8.939667182E9</v>
      </c>
      <c r="H94" s="6">
        <v>4.0158264E7</v>
      </c>
      <c r="I94" s="6" t="s">
        <v>26</v>
      </c>
      <c r="J94" s="6" t="s">
        <v>21</v>
      </c>
      <c r="K94" s="6" t="s">
        <v>22</v>
      </c>
      <c r="L94" s="6">
        <v>46.0</v>
      </c>
      <c r="M94" s="5">
        <v>46013.0</v>
      </c>
      <c r="N94" s="6" t="s">
        <v>23</v>
      </c>
      <c r="O94" s="6" t="str">
        <f>SUMIFS([1]order_sku_sales_bb2_report!P:P,[1]order_sku_sales_bb2_report!H:H,C27833,[1]order_sku_sales_bb2_report!J:J,H27833)</f>
        <v>#ERROR!</v>
      </c>
      <c r="P94" s="6" t="str">
        <f>SUMIFS([1]order_sku_sales_bb2_report!O:O,[1]order_sku_sales_bb2_report!H:H,C27833,[1]order_sku_sales_bb2_report!J:J,H27833)</f>
        <v>#ERROR!</v>
      </c>
      <c r="Q94" s="6" t="str">
        <f t="shared" si="1"/>
        <v>22-12-2025</v>
      </c>
      <c r="R94" s="6" t="str">
        <f>IFERROR( VLOOKUP(C27833,[1]expressOrderReport!$S:$AZ,34,0),0)</f>
        <v>#ERROR!</v>
      </c>
      <c r="S94" s="6" t="str">
        <f>ARRAY_CONSTRAIN(ARRAYFORMULA(_xludf.XLOOKUP(D27833,[1]order_Report_SA_ID_BB2.0!V:V,[1]order_Report_SA_ID_BB2.0!AM:AM,"")), 1, 1)</f>
        <v>#ERROR!</v>
      </c>
      <c r="T94" s="6" t="str">
        <f t="shared" si="2"/>
        <v>Dec'25</v>
      </c>
    </row>
    <row r="95" ht="15.75" customHeight="1">
      <c r="A95" s="5">
        <v>46013.0</v>
      </c>
      <c r="B95" s="6">
        <v>10833.0</v>
      </c>
      <c r="C95" s="6">
        <v>1.859164862E9</v>
      </c>
      <c r="D95" s="6">
        <v>1722250.0</v>
      </c>
      <c r="E95" s="6" t="s">
        <v>192</v>
      </c>
      <c r="F95" s="6" t="s">
        <v>193</v>
      </c>
      <c r="G95" s="6">
        <v>8.939667182E9</v>
      </c>
      <c r="H95" s="6">
        <v>4.0272798E7</v>
      </c>
      <c r="I95" s="6" t="s">
        <v>113</v>
      </c>
      <c r="J95" s="6" t="s">
        <v>21</v>
      </c>
      <c r="K95" s="6" t="s">
        <v>22</v>
      </c>
      <c r="L95" s="6">
        <v>46.0</v>
      </c>
      <c r="M95" s="5">
        <v>46013.0</v>
      </c>
      <c r="N95" s="6" t="s">
        <v>23</v>
      </c>
      <c r="O95" s="6" t="str">
        <f>SUMIFS([1]order_sku_sales_bb2_report!P:P,[1]order_sku_sales_bb2_report!H:H,C27834,[1]order_sku_sales_bb2_report!J:J,H27834)</f>
        <v>#ERROR!</v>
      </c>
      <c r="P95" s="6" t="str">
        <f>SUMIFS([1]order_sku_sales_bb2_report!O:O,[1]order_sku_sales_bb2_report!H:H,C27834,[1]order_sku_sales_bb2_report!J:J,H27834)</f>
        <v>#ERROR!</v>
      </c>
      <c r="Q95" s="6" t="str">
        <f t="shared" si="1"/>
        <v>22-12-2025</v>
      </c>
      <c r="R95" s="6" t="str">
        <f>IFERROR( VLOOKUP(C27834,[1]expressOrderReport!$S:$AZ,34,0),0)</f>
        <v>#ERROR!</v>
      </c>
      <c r="S95" s="6" t="str">
        <f>ARRAY_CONSTRAIN(ARRAYFORMULA(_xludf.XLOOKUP(D27834,[1]order_Report_SA_ID_BB2.0!V:V,[1]order_Report_SA_ID_BB2.0!AM:AM,"")), 1, 1)</f>
        <v>#ERROR!</v>
      </c>
      <c r="T95" s="6" t="str">
        <f t="shared" si="2"/>
        <v>Dec'25</v>
      </c>
    </row>
    <row r="96" ht="15.75" customHeight="1">
      <c r="A96" s="5">
        <v>46013.0</v>
      </c>
      <c r="B96" s="6">
        <v>2754.0</v>
      </c>
      <c r="C96" s="6">
        <v>1.859164874E9</v>
      </c>
      <c r="D96" s="6">
        <v>1224725.0</v>
      </c>
      <c r="E96" s="6" t="s">
        <v>194</v>
      </c>
      <c r="F96" s="6" t="s">
        <v>195</v>
      </c>
      <c r="G96" s="6">
        <v>7.893416611E9</v>
      </c>
      <c r="H96" s="6">
        <v>4.0147597E7</v>
      </c>
      <c r="I96" s="6" t="s">
        <v>59</v>
      </c>
      <c r="J96" s="6" t="s">
        <v>21</v>
      </c>
      <c r="K96" s="6" t="s">
        <v>22</v>
      </c>
      <c r="L96" s="6">
        <v>52.0</v>
      </c>
      <c r="M96" s="5">
        <v>46013.0</v>
      </c>
      <c r="N96" s="6" t="s">
        <v>23</v>
      </c>
      <c r="O96" s="6" t="str">
        <f>SUMIFS([1]order_sku_sales_bb2_report!P:P,[1]order_sku_sales_bb2_report!H:H,C27835,[1]order_sku_sales_bb2_report!J:J,H27835)</f>
        <v>#ERROR!</v>
      </c>
      <c r="P96" s="6" t="str">
        <f>SUMIFS([1]order_sku_sales_bb2_report!O:O,[1]order_sku_sales_bb2_report!H:H,C27835,[1]order_sku_sales_bb2_report!J:J,H27835)</f>
        <v>#ERROR!</v>
      </c>
      <c r="Q96" s="6" t="str">
        <f t="shared" si="1"/>
        <v>22-12-2025</v>
      </c>
      <c r="R96" s="6" t="str">
        <f>IFERROR( VLOOKUP(C27835,[1]expressOrderReport!$S:$AZ,34,0),0)</f>
        <v>#ERROR!</v>
      </c>
      <c r="S96" s="6" t="str">
        <f>ARRAY_CONSTRAIN(ARRAYFORMULA(_xludf.XLOOKUP(D27835,[1]order_Report_SA_ID_BB2.0!V:V,[1]order_Report_SA_ID_BB2.0!AM:AM,"")), 1, 1)</f>
        <v>#ERROR!</v>
      </c>
      <c r="T96" s="6" t="str">
        <f t="shared" si="2"/>
        <v>Dec'25</v>
      </c>
    </row>
    <row r="97" ht="15.75" customHeight="1">
      <c r="A97" s="5">
        <v>46013.0</v>
      </c>
      <c r="B97" s="6">
        <v>7564.0</v>
      </c>
      <c r="C97" s="6">
        <v>1.85916488E9</v>
      </c>
      <c r="D97" s="6">
        <v>5661486.0</v>
      </c>
      <c r="E97" s="6" t="s">
        <v>196</v>
      </c>
      <c r="F97" s="6" t="s">
        <v>197</v>
      </c>
      <c r="G97" s="6">
        <v>9.650398411E9</v>
      </c>
      <c r="H97" s="6">
        <v>4.0161616E7</v>
      </c>
      <c r="I97" s="6" t="s">
        <v>20</v>
      </c>
      <c r="J97" s="6" t="s">
        <v>21</v>
      </c>
      <c r="K97" s="6" t="s">
        <v>22</v>
      </c>
      <c r="L97" s="6">
        <v>140.0</v>
      </c>
      <c r="M97" s="5">
        <v>46013.0</v>
      </c>
      <c r="N97" s="6" t="s">
        <v>23</v>
      </c>
      <c r="O97" s="6" t="str">
        <f>SUMIFS([1]order_sku_sales_bb2_report!P:P,[1]order_sku_sales_bb2_report!H:H,C27836,[1]order_sku_sales_bb2_report!J:J,H27836)</f>
        <v>#ERROR!</v>
      </c>
      <c r="P97" s="6" t="str">
        <f>SUMIFS([1]order_sku_sales_bb2_report!O:O,[1]order_sku_sales_bb2_report!H:H,C27836,[1]order_sku_sales_bb2_report!J:J,H27836)</f>
        <v>#ERROR!</v>
      </c>
      <c r="Q97" s="6" t="str">
        <f t="shared" si="1"/>
        <v>22-12-2025</v>
      </c>
      <c r="R97" s="6" t="str">
        <f>IFERROR( VLOOKUP(C27836,[1]expressOrderReport!$S:$AZ,34,0),0)</f>
        <v>#ERROR!</v>
      </c>
      <c r="S97" s="6" t="str">
        <f>ARRAY_CONSTRAIN(ARRAYFORMULA(_xludf.XLOOKUP(D27836,[1]order_Report_SA_ID_BB2.0!V:V,[1]order_Report_SA_ID_BB2.0!AM:AM,"")), 1, 1)</f>
        <v>#ERROR!</v>
      </c>
      <c r="T97" s="6" t="str">
        <f t="shared" si="2"/>
        <v>Dec'25</v>
      </c>
    </row>
    <row r="98" ht="15.75" customHeight="1">
      <c r="A98" s="5">
        <v>46013.0</v>
      </c>
      <c r="B98" s="6">
        <v>7688.0</v>
      </c>
      <c r="C98" s="6">
        <v>1.859164888E9</v>
      </c>
      <c r="D98" s="6">
        <v>8200702.0</v>
      </c>
      <c r="E98" s="6" t="s">
        <v>198</v>
      </c>
      <c r="F98" s="6" t="s">
        <v>199</v>
      </c>
      <c r="G98" s="6">
        <v>9.845115807E9</v>
      </c>
      <c r="H98" s="6">
        <v>4.0149833E7</v>
      </c>
      <c r="I98" s="6" t="s">
        <v>40</v>
      </c>
      <c r="J98" s="6" t="s">
        <v>21</v>
      </c>
      <c r="K98" s="6" t="s">
        <v>22</v>
      </c>
      <c r="L98" s="6">
        <v>27.0</v>
      </c>
      <c r="M98" s="5">
        <v>46013.0</v>
      </c>
      <c r="N98" s="6" t="s">
        <v>23</v>
      </c>
      <c r="O98" s="6" t="str">
        <f>SUMIFS([1]order_sku_sales_bb2_report!P:P,[1]order_sku_sales_bb2_report!H:H,C27837,[1]order_sku_sales_bb2_report!J:J,H27837)</f>
        <v>#ERROR!</v>
      </c>
      <c r="P98" s="6" t="str">
        <f>SUMIFS([1]order_sku_sales_bb2_report!O:O,[1]order_sku_sales_bb2_report!H:H,C27837,[1]order_sku_sales_bb2_report!J:J,H27837)</f>
        <v>#ERROR!</v>
      </c>
      <c r="Q98" s="6" t="str">
        <f t="shared" si="1"/>
        <v>22-12-2025</v>
      </c>
      <c r="R98" s="6" t="str">
        <f>IFERROR( VLOOKUP(C27837,[1]expressOrderReport!$S:$AZ,34,0),0)</f>
        <v>#ERROR!</v>
      </c>
      <c r="S98" s="6" t="str">
        <f>ARRAY_CONSTRAIN(ARRAYFORMULA(_xludf.XLOOKUP(D27837,[1]order_Report_SA_ID_BB2.0!V:V,[1]order_Report_SA_ID_BB2.0!AM:AM,"")), 1, 1)</f>
        <v>#ERROR!</v>
      </c>
      <c r="T98" s="6" t="str">
        <f t="shared" si="2"/>
        <v>Dec'25</v>
      </c>
    </row>
    <row r="99" ht="15.75" customHeight="1">
      <c r="A99" s="5">
        <v>46013.0</v>
      </c>
      <c r="B99" s="6">
        <v>11111.0</v>
      </c>
      <c r="C99" s="6">
        <v>1.859164898E9</v>
      </c>
      <c r="D99" s="6">
        <v>7439156.0</v>
      </c>
      <c r="E99" s="6" t="s">
        <v>200</v>
      </c>
      <c r="F99" s="6" t="s">
        <v>201</v>
      </c>
      <c r="G99" s="6">
        <v>8.33702288E9</v>
      </c>
      <c r="H99" s="6">
        <v>4.0161616E7</v>
      </c>
      <c r="I99" s="6" t="s">
        <v>20</v>
      </c>
      <c r="J99" s="6" t="s">
        <v>21</v>
      </c>
      <c r="K99" s="6" t="s">
        <v>22</v>
      </c>
      <c r="L99" s="6">
        <v>28.0</v>
      </c>
      <c r="M99" s="5">
        <v>46013.0</v>
      </c>
      <c r="N99" s="6" t="s">
        <v>23</v>
      </c>
      <c r="O99" s="6" t="str">
        <f>SUMIFS([1]order_sku_sales_bb2_report!P:P,[1]order_sku_sales_bb2_report!H:H,C27838,[1]order_sku_sales_bb2_report!J:J,H27838)</f>
        <v>#ERROR!</v>
      </c>
      <c r="P99" s="6" t="str">
        <f>SUMIFS([1]order_sku_sales_bb2_report!O:O,[1]order_sku_sales_bb2_report!H:H,C27838,[1]order_sku_sales_bb2_report!J:J,H27838)</f>
        <v>#ERROR!</v>
      </c>
      <c r="Q99" s="6" t="str">
        <f t="shared" si="1"/>
        <v>22-12-2025</v>
      </c>
      <c r="R99" s="6" t="str">
        <f>IFERROR( VLOOKUP(C27838,[1]expressOrderReport!$S:$AZ,34,0),0)</f>
        <v>#ERROR!</v>
      </c>
      <c r="S99" s="6" t="str">
        <f>ARRAY_CONSTRAIN(ARRAYFORMULA(_xludf.XLOOKUP(D27838,[1]order_Report_SA_ID_BB2.0!V:V,[1]order_Report_SA_ID_BB2.0!AM:AM,"")), 1, 1)</f>
        <v>#ERROR!</v>
      </c>
      <c r="T99" s="6" t="str">
        <f t="shared" si="2"/>
        <v>Dec'25</v>
      </c>
    </row>
    <row r="100" ht="15.75" customHeight="1">
      <c r="A100" s="5">
        <v>46013.0</v>
      </c>
      <c r="B100" s="6">
        <v>3824.0</v>
      </c>
      <c r="C100" s="6">
        <v>1.859164906E9</v>
      </c>
      <c r="D100" s="6">
        <v>7751792.0</v>
      </c>
      <c r="E100" s="6" t="s">
        <v>202</v>
      </c>
      <c r="F100" s="6" t="s">
        <v>203</v>
      </c>
      <c r="G100" s="6">
        <v>9.97844421E9</v>
      </c>
      <c r="H100" s="6">
        <v>4.0149833E7</v>
      </c>
      <c r="I100" s="6" t="s">
        <v>40</v>
      </c>
      <c r="J100" s="6" t="s">
        <v>21</v>
      </c>
      <c r="K100" s="6" t="s">
        <v>22</v>
      </c>
      <c r="L100" s="6">
        <v>27.0</v>
      </c>
      <c r="M100" s="5">
        <v>46013.0</v>
      </c>
      <c r="N100" s="6" t="s">
        <v>23</v>
      </c>
      <c r="O100" s="6" t="str">
        <f>SUMIFS([1]order_sku_sales_bb2_report!P:P,[1]order_sku_sales_bb2_report!H:H,C27839,[1]order_sku_sales_bb2_report!J:J,H27839)</f>
        <v>#ERROR!</v>
      </c>
      <c r="P100" s="6" t="str">
        <f>SUMIFS([1]order_sku_sales_bb2_report!O:O,[1]order_sku_sales_bb2_report!H:H,C27839,[1]order_sku_sales_bb2_report!J:J,H27839)</f>
        <v>#ERROR!</v>
      </c>
      <c r="Q100" s="6" t="str">
        <f t="shared" si="1"/>
        <v>22-12-2025</v>
      </c>
      <c r="R100" s="6" t="str">
        <f>IFERROR( VLOOKUP(C27839,[1]expressOrderReport!$S:$AZ,34,0),0)</f>
        <v>#ERROR!</v>
      </c>
      <c r="S100" s="6" t="str">
        <f>ARRAY_CONSTRAIN(ARRAYFORMULA(_xludf.XLOOKUP(D27839,[1]order_Report_SA_ID_BB2.0!V:V,[1]order_Report_SA_ID_BB2.0!AM:AM,"")), 1, 1)</f>
        <v>#ERROR!</v>
      </c>
      <c r="T100" s="6" t="str">
        <f t="shared" si="2"/>
        <v>Dec'25</v>
      </c>
    </row>
    <row r="101" ht="15.75" customHeight="1">
      <c r="A101" s="5">
        <v>46013.0</v>
      </c>
      <c r="B101" s="6">
        <v>9835.0</v>
      </c>
      <c r="C101" s="6">
        <v>1.859164917E9</v>
      </c>
      <c r="D101" s="6">
        <v>1.8587103E7</v>
      </c>
      <c r="E101" s="6" t="s">
        <v>204</v>
      </c>
      <c r="F101" s="6" t="s">
        <v>205</v>
      </c>
      <c r="G101" s="6">
        <v>9.654990057E9</v>
      </c>
      <c r="H101" s="6">
        <v>4.0147597E7</v>
      </c>
      <c r="I101" s="6" t="s">
        <v>59</v>
      </c>
      <c r="J101" s="6" t="s">
        <v>21</v>
      </c>
      <c r="K101" s="6" t="s">
        <v>22</v>
      </c>
      <c r="L101" s="6">
        <v>52.0</v>
      </c>
      <c r="M101" s="5">
        <v>46013.0</v>
      </c>
      <c r="N101" s="6" t="s">
        <v>23</v>
      </c>
      <c r="O101" s="6" t="str">
        <f>SUMIFS([1]order_sku_sales_bb2_report!P:P,[1]order_sku_sales_bb2_report!H:H,C27840,[1]order_sku_sales_bb2_report!J:J,H27840)</f>
        <v>#ERROR!</v>
      </c>
      <c r="P101" s="6" t="str">
        <f>SUMIFS([1]order_sku_sales_bb2_report!O:O,[1]order_sku_sales_bb2_report!H:H,C27840,[1]order_sku_sales_bb2_report!J:J,H27840)</f>
        <v>#ERROR!</v>
      </c>
      <c r="Q101" s="6" t="str">
        <f t="shared" si="1"/>
        <v>22-12-2025</v>
      </c>
      <c r="R101" s="6" t="str">
        <f>IFERROR( VLOOKUP(C27840,[1]expressOrderReport!$S:$AZ,34,0),0)</f>
        <v>#ERROR!</v>
      </c>
      <c r="S101" s="6" t="str">
        <f>ARRAY_CONSTRAIN(ARRAYFORMULA(_xludf.XLOOKUP(D27840,[1]order_Report_SA_ID_BB2.0!V:V,[1]order_Report_SA_ID_BB2.0!AM:AM,"")), 1, 1)</f>
        <v>#ERROR!</v>
      </c>
      <c r="T101" s="6" t="str">
        <f t="shared" si="2"/>
        <v>Dec'25</v>
      </c>
    </row>
    <row r="102" ht="15.75" customHeight="1">
      <c r="A102" s="5">
        <v>46013.0</v>
      </c>
      <c r="B102" s="6">
        <v>5762.0</v>
      </c>
      <c r="C102" s="6">
        <v>1.85916493E9</v>
      </c>
      <c r="D102" s="6">
        <v>4.7144042E7</v>
      </c>
      <c r="E102" s="6" t="s">
        <v>206</v>
      </c>
      <c r="F102" s="6" t="s">
        <v>207</v>
      </c>
      <c r="G102" s="6">
        <v>8.377867708E9</v>
      </c>
      <c r="H102" s="6">
        <v>4.0149834E7</v>
      </c>
      <c r="I102" s="6" t="s">
        <v>40</v>
      </c>
      <c r="J102" s="6" t="s">
        <v>21</v>
      </c>
      <c r="K102" s="6" t="s">
        <v>22</v>
      </c>
      <c r="L102" s="6">
        <v>79.0</v>
      </c>
      <c r="M102" s="5">
        <v>46013.0</v>
      </c>
      <c r="N102" s="6" t="s">
        <v>23</v>
      </c>
      <c r="O102" s="6" t="str">
        <f>SUMIFS([1]order_sku_sales_bb2_report!P:P,[1]order_sku_sales_bb2_report!H:H,C27841,[1]order_sku_sales_bb2_report!J:J,H27841)</f>
        <v>#ERROR!</v>
      </c>
      <c r="P102" s="6" t="str">
        <f>SUMIFS([1]order_sku_sales_bb2_report!O:O,[1]order_sku_sales_bb2_report!H:H,C27841,[1]order_sku_sales_bb2_report!J:J,H27841)</f>
        <v>#ERROR!</v>
      </c>
      <c r="Q102" s="6" t="str">
        <f t="shared" si="1"/>
        <v>22-12-2025</v>
      </c>
      <c r="R102" s="6" t="str">
        <f>IFERROR( VLOOKUP(C27841,[1]expressOrderReport!$S:$AZ,34,0),0)</f>
        <v>#ERROR!</v>
      </c>
      <c r="S102" s="6" t="str">
        <f>ARRAY_CONSTRAIN(ARRAYFORMULA(_xludf.XLOOKUP(D27841,[1]order_Report_SA_ID_BB2.0!V:V,[1]order_Report_SA_ID_BB2.0!AM:AM,"")), 1, 1)</f>
        <v>#ERROR!</v>
      </c>
      <c r="T102" s="6" t="str">
        <f t="shared" si="2"/>
        <v>Dec'25</v>
      </c>
    </row>
    <row r="103" ht="15.75" customHeight="1">
      <c r="A103" s="5">
        <v>46013.0</v>
      </c>
      <c r="B103" s="6">
        <v>6034.0</v>
      </c>
      <c r="C103" s="6">
        <v>1.85916493E9</v>
      </c>
      <c r="D103" s="6">
        <v>4.7144042E7</v>
      </c>
      <c r="E103" s="6" t="s">
        <v>206</v>
      </c>
      <c r="F103" s="6" t="s">
        <v>207</v>
      </c>
      <c r="G103" s="6">
        <v>8.377867708E9</v>
      </c>
      <c r="H103" s="6">
        <v>4.0149833E7</v>
      </c>
      <c r="I103" s="6" t="s">
        <v>40</v>
      </c>
      <c r="J103" s="6" t="s">
        <v>21</v>
      </c>
      <c r="K103" s="6" t="s">
        <v>22</v>
      </c>
      <c r="L103" s="6">
        <v>79.0</v>
      </c>
      <c r="M103" s="5">
        <v>46013.0</v>
      </c>
      <c r="N103" s="6" t="s">
        <v>23</v>
      </c>
      <c r="O103" s="6" t="str">
        <f>SUMIFS([1]order_sku_sales_bb2_report!P:P,[1]order_sku_sales_bb2_report!H:H,C27842,[1]order_sku_sales_bb2_report!J:J,H27842)</f>
        <v>#ERROR!</v>
      </c>
      <c r="P103" s="6" t="str">
        <f>SUMIFS([1]order_sku_sales_bb2_report!O:O,[1]order_sku_sales_bb2_report!H:H,C27842,[1]order_sku_sales_bb2_report!J:J,H27842)</f>
        <v>#ERROR!</v>
      </c>
      <c r="Q103" s="6" t="str">
        <f t="shared" si="1"/>
        <v>22-12-2025</v>
      </c>
      <c r="R103" s="6" t="str">
        <f>IFERROR( VLOOKUP(C27842,[1]expressOrderReport!$S:$AZ,34,0),0)</f>
        <v>#ERROR!</v>
      </c>
      <c r="S103" s="6" t="str">
        <f>ARRAY_CONSTRAIN(ARRAYFORMULA(_xludf.XLOOKUP(D27842,[1]order_Report_SA_ID_BB2.0!V:V,[1]order_Report_SA_ID_BB2.0!AM:AM,"")), 1, 1)</f>
        <v>#ERROR!</v>
      </c>
      <c r="T103" s="6" t="str">
        <f t="shared" si="2"/>
        <v>Dec'25</v>
      </c>
    </row>
    <row r="104" ht="15.75" customHeight="1">
      <c r="A104" s="5">
        <v>46013.0</v>
      </c>
      <c r="B104" s="6">
        <v>6613.0</v>
      </c>
      <c r="C104" s="6">
        <v>1.859164937E9</v>
      </c>
      <c r="D104" s="6">
        <v>6294846.0</v>
      </c>
      <c r="E104" s="6" t="s">
        <v>208</v>
      </c>
      <c r="F104" s="6" t="s">
        <v>209</v>
      </c>
      <c r="G104" s="6">
        <v>9.958989761E9</v>
      </c>
      <c r="H104" s="6">
        <v>4.0090893E7</v>
      </c>
      <c r="I104" s="6" t="s">
        <v>35</v>
      </c>
      <c r="J104" s="6" t="s">
        <v>21</v>
      </c>
      <c r="K104" s="6" t="s">
        <v>22</v>
      </c>
      <c r="L104" s="6">
        <v>132.0</v>
      </c>
      <c r="M104" s="5">
        <v>46013.0</v>
      </c>
      <c r="N104" s="6" t="s">
        <v>23</v>
      </c>
      <c r="O104" s="6" t="str">
        <f>SUMIFS([1]order_sku_sales_bb2_report!P:P,[1]order_sku_sales_bb2_report!H:H,C27843,[1]order_sku_sales_bb2_report!J:J,H27843)</f>
        <v>#ERROR!</v>
      </c>
      <c r="P104" s="6" t="str">
        <f>SUMIFS([1]order_sku_sales_bb2_report!O:O,[1]order_sku_sales_bb2_report!H:H,C27843,[1]order_sku_sales_bb2_report!J:J,H27843)</f>
        <v>#ERROR!</v>
      </c>
      <c r="Q104" s="6" t="str">
        <f t="shared" si="1"/>
        <v>22-12-2025</v>
      </c>
      <c r="R104" s="6" t="str">
        <f>IFERROR( VLOOKUP(C27843,[1]expressOrderReport!$S:$AZ,34,0),0)</f>
        <v>#ERROR!</v>
      </c>
      <c r="S104" s="6" t="str">
        <f>ARRAY_CONSTRAIN(ARRAYFORMULA(_xludf.XLOOKUP(D27843,[1]order_Report_SA_ID_BB2.0!V:V,[1]order_Report_SA_ID_BB2.0!AM:AM,"")), 1, 1)</f>
        <v>#ERROR!</v>
      </c>
      <c r="T104" s="6" t="str">
        <f t="shared" si="2"/>
        <v>Dec'25</v>
      </c>
    </row>
    <row r="105" ht="15.75" customHeight="1">
      <c r="A105" s="5">
        <v>46013.0</v>
      </c>
      <c r="B105" s="6">
        <v>9675.0</v>
      </c>
      <c r="C105" s="6">
        <v>1.859164955E9</v>
      </c>
      <c r="D105" s="6">
        <v>1816133.0</v>
      </c>
      <c r="E105" s="6" t="s">
        <v>210</v>
      </c>
      <c r="F105" s="6" t="s">
        <v>211</v>
      </c>
      <c r="G105" s="6">
        <v>9.686380808E9</v>
      </c>
      <c r="H105" s="6">
        <v>4.0149832E7</v>
      </c>
      <c r="I105" s="6" t="s">
        <v>26</v>
      </c>
      <c r="J105" s="6" t="s">
        <v>21</v>
      </c>
      <c r="K105" s="6" t="s">
        <v>22</v>
      </c>
      <c r="L105" s="6">
        <v>48.0</v>
      </c>
      <c r="M105" s="5">
        <v>46013.0</v>
      </c>
      <c r="N105" s="6" t="s">
        <v>23</v>
      </c>
      <c r="O105" s="6" t="str">
        <f>SUMIFS([1]order_sku_sales_bb2_report!P:P,[1]order_sku_sales_bb2_report!H:H,C27844,[1]order_sku_sales_bb2_report!J:J,H27844)</f>
        <v>#ERROR!</v>
      </c>
      <c r="P105" s="6" t="str">
        <f>SUMIFS([1]order_sku_sales_bb2_report!O:O,[1]order_sku_sales_bb2_report!H:H,C27844,[1]order_sku_sales_bb2_report!J:J,H27844)</f>
        <v>#ERROR!</v>
      </c>
      <c r="Q105" s="6" t="str">
        <f t="shared" si="1"/>
        <v>22-12-2025</v>
      </c>
      <c r="R105" s="6" t="str">
        <f>IFERROR( VLOOKUP(C27844,[1]expressOrderReport!$S:$AZ,34,0),0)</f>
        <v>#ERROR!</v>
      </c>
      <c r="S105" s="6" t="str">
        <f>ARRAY_CONSTRAIN(ARRAYFORMULA(_xludf.XLOOKUP(D27844,[1]order_Report_SA_ID_BB2.0!V:V,[1]order_Report_SA_ID_BB2.0!AM:AM,"")), 1, 1)</f>
        <v>#ERROR!</v>
      </c>
      <c r="T105" s="6" t="str">
        <f t="shared" si="2"/>
        <v>Dec'25</v>
      </c>
    </row>
    <row r="106" ht="15.75" customHeight="1">
      <c r="A106" s="5">
        <v>46013.0</v>
      </c>
      <c r="B106" s="6">
        <v>1139.0</v>
      </c>
      <c r="C106" s="6">
        <v>1.859164969E9</v>
      </c>
      <c r="D106" s="6">
        <v>1.5130873E7</v>
      </c>
      <c r="E106" s="6" t="s">
        <v>212</v>
      </c>
      <c r="F106" s="6" t="s">
        <v>213</v>
      </c>
      <c r="G106" s="6">
        <v>7.760845476E9</v>
      </c>
      <c r="H106" s="6">
        <v>4.0149831E7</v>
      </c>
      <c r="I106" s="6" t="s">
        <v>65</v>
      </c>
      <c r="J106" s="6" t="s">
        <v>21</v>
      </c>
      <c r="K106" s="6" t="s">
        <v>22</v>
      </c>
      <c r="L106" s="6">
        <v>52.0</v>
      </c>
      <c r="M106" s="5">
        <v>46013.0</v>
      </c>
      <c r="N106" s="6" t="s">
        <v>23</v>
      </c>
      <c r="O106" s="6" t="str">
        <f>SUMIFS([1]order_sku_sales_bb2_report!P:P,[1]order_sku_sales_bb2_report!H:H,C27845,[1]order_sku_sales_bb2_report!J:J,H27845)</f>
        <v>#ERROR!</v>
      </c>
      <c r="P106" s="6" t="str">
        <f>SUMIFS([1]order_sku_sales_bb2_report!O:O,[1]order_sku_sales_bb2_report!H:H,C27845,[1]order_sku_sales_bb2_report!J:J,H27845)</f>
        <v>#ERROR!</v>
      </c>
      <c r="Q106" s="6" t="str">
        <f t="shared" si="1"/>
        <v>22-12-2025</v>
      </c>
      <c r="R106" s="6" t="str">
        <f>IFERROR( VLOOKUP(C27845,[1]expressOrderReport!$S:$AZ,34,0),0)</f>
        <v>#ERROR!</v>
      </c>
      <c r="S106" s="6" t="str">
        <f>ARRAY_CONSTRAIN(ARRAYFORMULA(_xludf.XLOOKUP(D27845,[1]order_Report_SA_ID_BB2.0!V:V,[1]order_Report_SA_ID_BB2.0!AM:AM,"")), 1, 1)</f>
        <v>#ERROR!</v>
      </c>
      <c r="T106" s="6" t="str">
        <f t="shared" si="2"/>
        <v>Dec'25</v>
      </c>
    </row>
    <row r="107" ht="15.75" customHeight="1">
      <c r="A107" s="5">
        <v>46013.0</v>
      </c>
      <c r="B107" s="6">
        <v>8260.0</v>
      </c>
      <c r="C107" s="6">
        <v>1.859164981E9</v>
      </c>
      <c r="D107" s="6">
        <v>320092.0</v>
      </c>
      <c r="E107" s="6" t="s">
        <v>214</v>
      </c>
      <c r="F107" s="6" t="s">
        <v>215</v>
      </c>
      <c r="G107" s="6">
        <v>8.884541505E9</v>
      </c>
      <c r="H107" s="6">
        <v>4.0149832E7</v>
      </c>
      <c r="I107" s="6" t="s">
        <v>26</v>
      </c>
      <c r="J107" s="6" t="s">
        <v>21</v>
      </c>
      <c r="K107" s="6" t="s">
        <v>22</v>
      </c>
      <c r="L107" s="6">
        <v>96.0</v>
      </c>
      <c r="M107" s="5">
        <v>46013.0</v>
      </c>
      <c r="N107" s="6" t="s">
        <v>23</v>
      </c>
      <c r="O107" s="6" t="str">
        <f>SUMIFS([1]order_sku_sales_bb2_report!P:P,[1]order_sku_sales_bb2_report!H:H,C27846,[1]order_sku_sales_bb2_report!J:J,H27846)</f>
        <v>#ERROR!</v>
      </c>
      <c r="P107" s="6" t="str">
        <f>SUMIFS([1]order_sku_sales_bb2_report!O:O,[1]order_sku_sales_bb2_report!H:H,C27846,[1]order_sku_sales_bb2_report!J:J,H27846)</f>
        <v>#ERROR!</v>
      </c>
      <c r="Q107" s="6" t="str">
        <f t="shared" si="1"/>
        <v>22-12-2025</v>
      </c>
      <c r="R107" s="6" t="str">
        <f>IFERROR( VLOOKUP(C27846,[1]expressOrderReport!$S:$AZ,34,0),0)</f>
        <v>#ERROR!</v>
      </c>
      <c r="S107" s="6" t="str">
        <f>ARRAY_CONSTRAIN(ARRAYFORMULA(_xludf.XLOOKUP(D27846,[1]order_Report_SA_ID_BB2.0!V:V,[1]order_Report_SA_ID_BB2.0!AM:AM,"")), 1, 1)</f>
        <v>#ERROR!</v>
      </c>
      <c r="T107" s="6" t="str">
        <f t="shared" si="2"/>
        <v>Dec'25</v>
      </c>
    </row>
    <row r="108" ht="15.75" customHeight="1">
      <c r="A108" s="5">
        <v>46013.0</v>
      </c>
      <c r="B108" s="6">
        <v>11315.0</v>
      </c>
      <c r="C108" s="6">
        <v>1.859164997E9</v>
      </c>
      <c r="D108" s="6">
        <v>7396014.0</v>
      </c>
      <c r="E108" s="6" t="s">
        <v>216</v>
      </c>
      <c r="F108" s="6" t="s">
        <v>217</v>
      </c>
      <c r="G108" s="6">
        <v>9.611622667E9</v>
      </c>
      <c r="H108" s="6">
        <v>4.0054183E7</v>
      </c>
      <c r="I108" s="6" t="s">
        <v>157</v>
      </c>
      <c r="J108" s="6" t="s">
        <v>21</v>
      </c>
      <c r="K108" s="6" t="s">
        <v>22</v>
      </c>
      <c r="L108" s="6">
        <v>11.76</v>
      </c>
      <c r="M108" s="5">
        <v>46013.0</v>
      </c>
      <c r="N108" s="6" t="s">
        <v>23</v>
      </c>
      <c r="O108" s="6" t="str">
        <f>SUMIFS([1]order_sku_sales_bb2_report!P:P,[1]order_sku_sales_bb2_report!H:H,C27847,[1]order_sku_sales_bb2_report!J:J,H27847)</f>
        <v>#ERROR!</v>
      </c>
      <c r="P108" s="6" t="str">
        <f>SUMIFS([1]order_sku_sales_bb2_report!O:O,[1]order_sku_sales_bb2_report!H:H,C27847,[1]order_sku_sales_bb2_report!J:J,H27847)</f>
        <v>#ERROR!</v>
      </c>
      <c r="Q108" s="6" t="str">
        <f t="shared" si="1"/>
        <v>22-12-2025</v>
      </c>
      <c r="R108" s="6" t="str">
        <f>IFERROR( VLOOKUP(C27847,[1]expressOrderReport!$S:$AZ,34,0),0)</f>
        <v>#ERROR!</v>
      </c>
      <c r="S108" s="6" t="str">
        <f>ARRAY_CONSTRAIN(ARRAYFORMULA(_xludf.XLOOKUP(D27847,[1]order_Report_SA_ID_BB2.0!V:V,[1]order_Report_SA_ID_BB2.0!AM:AM,"")), 1, 1)</f>
        <v>#ERROR!</v>
      </c>
      <c r="T108" s="6" t="str">
        <f t="shared" si="2"/>
        <v>Dec'25</v>
      </c>
    </row>
    <row r="109" ht="15.75" customHeight="1">
      <c r="A109" s="5">
        <v>46013.0</v>
      </c>
      <c r="B109" s="6">
        <v>10200.0</v>
      </c>
      <c r="C109" s="6">
        <v>1.859165003E9</v>
      </c>
      <c r="D109" s="6">
        <v>4.6044237E7</v>
      </c>
      <c r="E109" s="6" t="s">
        <v>218</v>
      </c>
      <c r="F109" s="6" t="s">
        <v>219</v>
      </c>
      <c r="G109" s="6">
        <v>6.264032585E9</v>
      </c>
      <c r="H109" s="6">
        <v>4.0149832E7</v>
      </c>
      <c r="I109" s="6" t="s">
        <v>26</v>
      </c>
      <c r="J109" s="6" t="s">
        <v>21</v>
      </c>
      <c r="K109" s="6" t="s">
        <v>22</v>
      </c>
      <c r="L109" s="6">
        <v>24.0</v>
      </c>
      <c r="M109" s="5">
        <v>46013.0</v>
      </c>
      <c r="N109" s="6" t="s">
        <v>23</v>
      </c>
      <c r="O109" s="6" t="str">
        <f>SUMIFS([1]order_sku_sales_bb2_report!P:P,[1]order_sku_sales_bb2_report!H:H,C27848,[1]order_sku_sales_bb2_report!J:J,H27848)</f>
        <v>#ERROR!</v>
      </c>
      <c r="P109" s="6" t="str">
        <f>SUMIFS([1]order_sku_sales_bb2_report!O:O,[1]order_sku_sales_bb2_report!H:H,C27848,[1]order_sku_sales_bb2_report!J:J,H27848)</f>
        <v>#ERROR!</v>
      </c>
      <c r="Q109" s="6" t="str">
        <f t="shared" si="1"/>
        <v>22-12-2025</v>
      </c>
      <c r="R109" s="6" t="str">
        <f>IFERROR( VLOOKUP(C27848,[1]expressOrderReport!$S:$AZ,34,0),0)</f>
        <v>#ERROR!</v>
      </c>
      <c r="S109" s="6" t="str">
        <f>ARRAY_CONSTRAIN(ARRAYFORMULA(_xludf.XLOOKUP(D27848,[1]order_Report_SA_ID_BB2.0!V:V,[1]order_Report_SA_ID_BB2.0!AM:AM,"")), 1, 1)</f>
        <v>#ERROR!</v>
      </c>
      <c r="T109" s="6" t="str">
        <f t="shared" si="2"/>
        <v>Dec'25</v>
      </c>
    </row>
    <row r="110" ht="15.75" customHeight="1">
      <c r="A110" s="5">
        <v>46013.0</v>
      </c>
      <c r="B110" s="6">
        <v>1836.0</v>
      </c>
      <c r="C110" s="6">
        <v>1.85916501E9</v>
      </c>
      <c r="D110" s="6">
        <v>2250747.0</v>
      </c>
      <c r="E110" s="6" t="s">
        <v>220</v>
      </c>
      <c r="F110" s="6" t="s">
        <v>221</v>
      </c>
      <c r="G110" s="6">
        <v>7.799450278E9</v>
      </c>
      <c r="H110" s="6">
        <v>4.0161616E7</v>
      </c>
      <c r="I110" s="6" t="s">
        <v>20</v>
      </c>
      <c r="J110" s="6" t="s">
        <v>21</v>
      </c>
      <c r="K110" s="6" t="s">
        <v>22</v>
      </c>
      <c r="L110" s="6">
        <v>56.0</v>
      </c>
      <c r="M110" s="5">
        <v>46013.0</v>
      </c>
      <c r="N110" s="6" t="s">
        <v>23</v>
      </c>
      <c r="O110" s="6" t="str">
        <f>SUMIFS([1]order_sku_sales_bb2_report!P:P,[1]order_sku_sales_bb2_report!H:H,C27849,[1]order_sku_sales_bb2_report!J:J,H27849)</f>
        <v>#ERROR!</v>
      </c>
      <c r="P110" s="6" t="str">
        <f>SUMIFS([1]order_sku_sales_bb2_report!O:O,[1]order_sku_sales_bb2_report!H:H,C27849,[1]order_sku_sales_bb2_report!J:J,H27849)</f>
        <v>#ERROR!</v>
      </c>
      <c r="Q110" s="6" t="str">
        <f t="shared" si="1"/>
        <v>22-12-2025</v>
      </c>
      <c r="R110" s="6" t="str">
        <f>IFERROR( VLOOKUP(C27849,[1]expressOrderReport!$S:$AZ,34,0),0)</f>
        <v>#ERROR!</v>
      </c>
      <c r="S110" s="6" t="str">
        <f>ARRAY_CONSTRAIN(ARRAYFORMULA(_xludf.XLOOKUP(D27849,[1]order_Report_SA_ID_BB2.0!V:V,[1]order_Report_SA_ID_BB2.0!AM:AM,"")), 1, 1)</f>
        <v>#ERROR!</v>
      </c>
      <c r="T110" s="6" t="str">
        <f t="shared" si="2"/>
        <v>Dec'25</v>
      </c>
    </row>
    <row r="111" ht="15.75" customHeight="1">
      <c r="A111" s="5">
        <v>46013.0</v>
      </c>
      <c r="B111" s="6">
        <v>7201.0</v>
      </c>
      <c r="C111" s="6">
        <v>1.859165016E9</v>
      </c>
      <c r="D111" s="6">
        <v>2866687.0</v>
      </c>
      <c r="E111" s="6" t="s">
        <v>222</v>
      </c>
      <c r="F111" s="6" t="s">
        <v>223</v>
      </c>
      <c r="G111" s="6">
        <v>8.073582852E9</v>
      </c>
      <c r="H111" s="6">
        <v>4.0158264E7</v>
      </c>
      <c r="I111" s="6" t="s">
        <v>26</v>
      </c>
      <c r="J111" s="6" t="s">
        <v>21</v>
      </c>
      <c r="K111" s="6" t="s">
        <v>22</v>
      </c>
      <c r="L111" s="6">
        <v>46.0</v>
      </c>
      <c r="M111" s="5">
        <v>46013.0</v>
      </c>
      <c r="N111" s="6" t="s">
        <v>23</v>
      </c>
      <c r="O111" s="6" t="str">
        <f>SUMIFS([1]order_sku_sales_bb2_report!P:P,[1]order_sku_sales_bb2_report!H:H,C27850,[1]order_sku_sales_bb2_report!J:J,H27850)</f>
        <v>#ERROR!</v>
      </c>
      <c r="P111" s="6" t="str">
        <f>SUMIFS([1]order_sku_sales_bb2_report!O:O,[1]order_sku_sales_bb2_report!H:H,C27850,[1]order_sku_sales_bb2_report!J:J,H27850)</f>
        <v>#ERROR!</v>
      </c>
      <c r="Q111" s="6" t="str">
        <f t="shared" si="1"/>
        <v>22-12-2025</v>
      </c>
      <c r="R111" s="6" t="str">
        <f>IFERROR( VLOOKUP(C27850,[1]expressOrderReport!$S:$AZ,34,0),0)</f>
        <v>#ERROR!</v>
      </c>
      <c r="S111" s="6" t="str">
        <f>ARRAY_CONSTRAIN(ARRAYFORMULA(_xludf.XLOOKUP(D27850,[1]order_Report_SA_ID_BB2.0!V:V,[1]order_Report_SA_ID_BB2.0!AM:AM,"")), 1, 1)</f>
        <v>#ERROR!</v>
      </c>
      <c r="T111" s="6" t="str">
        <f t="shared" si="2"/>
        <v>Dec'25</v>
      </c>
    </row>
    <row r="112" ht="15.75" customHeight="1">
      <c r="A112" s="5">
        <v>46013.0</v>
      </c>
      <c r="B112" s="6">
        <v>3079.0</v>
      </c>
      <c r="C112" s="6">
        <v>1.859165027E9</v>
      </c>
      <c r="D112" s="6">
        <v>9218051.0</v>
      </c>
      <c r="E112" s="6" t="s">
        <v>224</v>
      </c>
      <c r="F112" s="6" t="s">
        <v>225</v>
      </c>
      <c r="G112" s="6">
        <v>9.957575848E9</v>
      </c>
      <c r="H112" s="6">
        <v>4.0148717E7</v>
      </c>
      <c r="I112" s="6" t="s">
        <v>226</v>
      </c>
      <c r="J112" s="6" t="s">
        <v>21</v>
      </c>
      <c r="K112" s="6" t="s">
        <v>22</v>
      </c>
      <c r="L112" s="6">
        <v>53.0</v>
      </c>
      <c r="M112" s="5">
        <v>46013.0</v>
      </c>
      <c r="N112" s="6" t="s">
        <v>23</v>
      </c>
      <c r="O112" s="6" t="str">
        <f>SUMIFS([1]order_sku_sales_bb2_report!P:P,[1]order_sku_sales_bb2_report!H:H,C27852,[1]order_sku_sales_bb2_report!J:J,H27852)</f>
        <v>#ERROR!</v>
      </c>
      <c r="P112" s="6" t="str">
        <f>SUMIFS([1]order_sku_sales_bb2_report!O:O,[1]order_sku_sales_bb2_report!H:H,C27852,[1]order_sku_sales_bb2_report!J:J,H27852)</f>
        <v>#ERROR!</v>
      </c>
      <c r="Q112" s="6" t="str">
        <f t="shared" si="1"/>
        <v>22-12-2025</v>
      </c>
      <c r="R112" s="6" t="str">
        <f>IFERROR( VLOOKUP(C27852,[1]expressOrderReport!$S:$AZ,34,0),0)</f>
        <v>#ERROR!</v>
      </c>
      <c r="S112" s="6" t="str">
        <f>ARRAY_CONSTRAIN(ARRAYFORMULA(_xludf.XLOOKUP(D27852,[1]order_Report_SA_ID_BB2.0!V:V,[1]order_Report_SA_ID_BB2.0!AM:AM,"")), 1, 1)</f>
        <v>#ERROR!</v>
      </c>
      <c r="T112" s="6" t="str">
        <f t="shared" si="2"/>
        <v>Dec'25</v>
      </c>
    </row>
    <row r="113" ht="15.75" customHeight="1">
      <c r="A113" s="5">
        <v>46013.0</v>
      </c>
      <c r="B113" s="6">
        <v>8116.0</v>
      </c>
      <c r="C113" s="6">
        <v>1.859165037E9</v>
      </c>
      <c r="D113" s="6">
        <v>628524.0</v>
      </c>
      <c r="E113" s="6" t="s">
        <v>227</v>
      </c>
      <c r="F113" s="6" t="s">
        <v>228</v>
      </c>
      <c r="G113" s="6">
        <v>9.620454628E9</v>
      </c>
      <c r="H113" s="6">
        <v>4.0148716E7</v>
      </c>
      <c r="I113" s="6" t="s">
        <v>148</v>
      </c>
      <c r="J113" s="6" t="s">
        <v>21</v>
      </c>
      <c r="K113" s="6" t="s">
        <v>22</v>
      </c>
      <c r="L113" s="6">
        <v>60.0</v>
      </c>
      <c r="M113" s="5">
        <v>46013.0</v>
      </c>
      <c r="N113" s="6" t="s">
        <v>23</v>
      </c>
      <c r="O113" s="6" t="str">
        <f>SUMIFS([1]order_sku_sales_bb2_report!P:P,[1]order_sku_sales_bb2_report!H:H,C27853,[1]order_sku_sales_bb2_report!J:J,H27853)</f>
        <v>#ERROR!</v>
      </c>
      <c r="P113" s="6" t="str">
        <f>SUMIFS([1]order_sku_sales_bb2_report!O:O,[1]order_sku_sales_bb2_report!H:H,C27853,[1]order_sku_sales_bb2_report!J:J,H27853)</f>
        <v>#ERROR!</v>
      </c>
      <c r="Q113" s="6" t="str">
        <f t="shared" si="1"/>
        <v>22-12-2025</v>
      </c>
      <c r="R113" s="6" t="str">
        <f>IFERROR( VLOOKUP(C27853,[1]expressOrderReport!$S:$AZ,34,0),0)</f>
        <v>#ERROR!</v>
      </c>
      <c r="S113" s="6" t="str">
        <f>ARRAY_CONSTRAIN(ARRAYFORMULA(_xludf.XLOOKUP(D27853,[1]order_Report_SA_ID_BB2.0!V:V,[1]order_Report_SA_ID_BB2.0!AM:AM,"")), 1, 1)</f>
        <v>#ERROR!</v>
      </c>
      <c r="T113" s="6" t="str">
        <f t="shared" si="2"/>
        <v>Dec'25</v>
      </c>
    </row>
    <row r="114" ht="15.75" customHeight="1">
      <c r="A114" s="5">
        <v>46013.0</v>
      </c>
      <c r="B114" s="6">
        <v>9743.0</v>
      </c>
      <c r="C114" s="6">
        <v>1.859165037E9</v>
      </c>
      <c r="D114" s="6">
        <v>628524.0</v>
      </c>
      <c r="E114" s="6" t="s">
        <v>227</v>
      </c>
      <c r="F114" s="6" t="s">
        <v>228</v>
      </c>
      <c r="G114" s="6">
        <v>9.620454628E9</v>
      </c>
      <c r="H114" s="6">
        <v>3.0010298E7</v>
      </c>
      <c r="I114" s="6" t="s">
        <v>229</v>
      </c>
      <c r="J114" s="6" t="s">
        <v>21</v>
      </c>
      <c r="K114" s="6" t="s">
        <v>22</v>
      </c>
      <c r="L114" s="6">
        <v>60.0</v>
      </c>
      <c r="M114" s="5">
        <v>46013.0</v>
      </c>
      <c r="N114" s="6" t="s">
        <v>23</v>
      </c>
      <c r="O114" s="6" t="str">
        <f>SUMIFS([1]order_sku_sales_bb2_report!P:P,[1]order_sku_sales_bb2_report!H:H,C27854,[1]order_sku_sales_bb2_report!J:J,H27854)</f>
        <v>#ERROR!</v>
      </c>
      <c r="P114" s="6" t="str">
        <f>SUMIFS([1]order_sku_sales_bb2_report!O:O,[1]order_sku_sales_bb2_report!H:H,C27854,[1]order_sku_sales_bb2_report!J:J,H27854)</f>
        <v>#ERROR!</v>
      </c>
      <c r="Q114" s="6" t="str">
        <f t="shared" si="1"/>
        <v>22-12-2025</v>
      </c>
      <c r="R114" s="6" t="str">
        <f>IFERROR( VLOOKUP(C27854,[1]expressOrderReport!$S:$AZ,34,0),0)</f>
        <v>#ERROR!</v>
      </c>
      <c r="S114" s="6" t="str">
        <f>ARRAY_CONSTRAIN(ARRAYFORMULA(_xludf.XLOOKUP(D27854,[1]order_Report_SA_ID_BB2.0!V:V,[1]order_Report_SA_ID_BB2.0!AM:AM,"")), 1, 1)</f>
        <v>#ERROR!</v>
      </c>
      <c r="T114" s="6" t="str">
        <f t="shared" si="2"/>
        <v>Dec'25</v>
      </c>
    </row>
    <row r="115" ht="15.75" customHeight="1">
      <c r="A115" s="5">
        <v>46013.0</v>
      </c>
      <c r="B115" s="6">
        <v>10951.0</v>
      </c>
      <c r="C115" s="6">
        <v>1.859165037E9</v>
      </c>
      <c r="D115" s="6">
        <v>628524.0</v>
      </c>
      <c r="E115" s="6" t="s">
        <v>227</v>
      </c>
      <c r="F115" s="6" t="s">
        <v>228</v>
      </c>
      <c r="G115" s="6">
        <v>9.620454628E9</v>
      </c>
      <c r="H115" s="6">
        <v>258324.0</v>
      </c>
      <c r="I115" s="6" t="s">
        <v>96</v>
      </c>
      <c r="J115" s="6" t="s">
        <v>21</v>
      </c>
      <c r="K115" s="6" t="s">
        <v>22</v>
      </c>
      <c r="L115" s="6">
        <v>60.0</v>
      </c>
      <c r="M115" s="5">
        <v>46013.0</v>
      </c>
      <c r="N115" s="6" t="s">
        <v>23</v>
      </c>
      <c r="O115" s="6" t="str">
        <f>SUMIFS([1]order_sku_sales_bb2_report!P:P,[1]order_sku_sales_bb2_report!H:H,C27855,[1]order_sku_sales_bb2_report!J:J,H27855)</f>
        <v>#ERROR!</v>
      </c>
      <c r="P115" s="6" t="str">
        <f>SUMIFS([1]order_sku_sales_bb2_report!O:O,[1]order_sku_sales_bb2_report!H:H,C27855,[1]order_sku_sales_bb2_report!J:J,H27855)</f>
        <v>#ERROR!</v>
      </c>
      <c r="Q115" s="6" t="str">
        <f t="shared" si="1"/>
        <v>22-12-2025</v>
      </c>
      <c r="R115" s="6" t="str">
        <f>IFERROR( VLOOKUP(C27855,[1]expressOrderReport!$S:$AZ,34,0),0)</f>
        <v>#ERROR!</v>
      </c>
      <c r="S115" s="6" t="str">
        <f>ARRAY_CONSTRAIN(ARRAYFORMULA(_xludf.XLOOKUP(D27855,[1]order_Report_SA_ID_BB2.0!V:V,[1]order_Report_SA_ID_BB2.0!AM:AM,"")), 1, 1)</f>
        <v>#ERROR!</v>
      </c>
      <c r="T115" s="6" t="str">
        <f t="shared" si="2"/>
        <v>Dec'25</v>
      </c>
    </row>
    <row r="116" ht="15.75" customHeight="1">
      <c r="A116" s="5">
        <v>46013.0</v>
      </c>
      <c r="B116" s="6">
        <v>10143.0</v>
      </c>
      <c r="C116" s="6">
        <v>1.859165048E9</v>
      </c>
      <c r="D116" s="6">
        <v>8872373.0</v>
      </c>
      <c r="E116" s="6" t="s">
        <v>230</v>
      </c>
      <c r="F116" s="6" t="s">
        <v>231</v>
      </c>
      <c r="G116" s="6">
        <v>9.884132409E9</v>
      </c>
      <c r="H116" s="6">
        <v>4.0090894E7</v>
      </c>
      <c r="I116" s="6" t="s">
        <v>62</v>
      </c>
      <c r="J116" s="6" t="s">
        <v>21</v>
      </c>
      <c r="K116" s="6" t="s">
        <v>22</v>
      </c>
      <c r="L116" s="6">
        <v>56.0</v>
      </c>
      <c r="M116" s="5">
        <v>46013.0</v>
      </c>
      <c r="N116" s="6" t="s">
        <v>23</v>
      </c>
      <c r="O116" s="6" t="str">
        <f>SUMIFS([1]order_sku_sales_bb2_report!P:P,[1]order_sku_sales_bb2_report!H:H,C27856,[1]order_sku_sales_bb2_report!J:J,H27856)</f>
        <v>#ERROR!</v>
      </c>
      <c r="P116" s="6" t="str">
        <f>SUMIFS([1]order_sku_sales_bb2_report!O:O,[1]order_sku_sales_bb2_report!H:H,C27856,[1]order_sku_sales_bb2_report!J:J,H27856)</f>
        <v>#ERROR!</v>
      </c>
      <c r="Q116" s="6" t="str">
        <f t="shared" si="1"/>
        <v>22-12-2025</v>
      </c>
      <c r="R116" s="6" t="str">
        <f>IFERROR( VLOOKUP(C27856,[1]expressOrderReport!$S:$AZ,34,0),0)</f>
        <v>#ERROR!</v>
      </c>
      <c r="S116" s="6" t="str">
        <f>ARRAY_CONSTRAIN(ARRAYFORMULA(_xludf.XLOOKUP(D27856,[1]order_Report_SA_ID_BB2.0!V:V,[1]order_Report_SA_ID_BB2.0!AM:AM,"")), 1, 1)</f>
        <v>#ERROR!</v>
      </c>
      <c r="T116" s="6" t="str">
        <f t="shared" si="2"/>
        <v>Dec'25</v>
      </c>
    </row>
    <row r="117" ht="15.75" customHeight="1">
      <c r="A117" s="5">
        <v>46013.0</v>
      </c>
      <c r="B117" s="6">
        <v>11900.0</v>
      </c>
      <c r="C117" s="6">
        <v>1.859165059E9</v>
      </c>
      <c r="D117" s="6">
        <v>4629572.0</v>
      </c>
      <c r="E117" s="6" t="s">
        <v>232</v>
      </c>
      <c r="F117" s="6" t="s">
        <v>233</v>
      </c>
      <c r="G117" s="6">
        <v>7.757009454E9</v>
      </c>
      <c r="H117" s="6">
        <v>4.0149834E7</v>
      </c>
      <c r="I117" s="6" t="s">
        <v>40</v>
      </c>
      <c r="J117" s="6" t="s">
        <v>21</v>
      </c>
      <c r="K117" s="6" t="s">
        <v>22</v>
      </c>
      <c r="L117" s="6">
        <v>104.0</v>
      </c>
      <c r="M117" s="5">
        <v>46013.0</v>
      </c>
      <c r="N117" s="6" t="s">
        <v>23</v>
      </c>
      <c r="O117" s="6" t="str">
        <f>SUMIFS([1]order_sku_sales_bb2_report!P:P,[1]order_sku_sales_bb2_report!H:H,C27857,[1]order_sku_sales_bb2_report!J:J,H27857)</f>
        <v>#ERROR!</v>
      </c>
      <c r="P117" s="6" t="str">
        <f>SUMIFS([1]order_sku_sales_bb2_report!O:O,[1]order_sku_sales_bb2_report!H:H,C27857,[1]order_sku_sales_bb2_report!J:J,H27857)</f>
        <v>#ERROR!</v>
      </c>
      <c r="Q117" s="6" t="str">
        <f t="shared" si="1"/>
        <v>22-12-2025</v>
      </c>
      <c r="R117" s="6" t="str">
        <f>IFERROR( VLOOKUP(C27857,[1]expressOrderReport!$S:$AZ,34,0),0)</f>
        <v>#ERROR!</v>
      </c>
      <c r="S117" s="6" t="str">
        <f>ARRAY_CONSTRAIN(ARRAYFORMULA(_xludf.XLOOKUP(D27857,[1]order_Report_SA_ID_BB2.0!V:V,[1]order_Report_SA_ID_BB2.0!AM:AM,"")), 1, 1)</f>
        <v>#ERROR!</v>
      </c>
      <c r="T117" s="6" t="str">
        <f t="shared" si="2"/>
        <v>Dec'25</v>
      </c>
    </row>
    <row r="118" ht="15.75" customHeight="1">
      <c r="A118" s="5">
        <v>46013.0</v>
      </c>
      <c r="B118" s="6">
        <v>6088.0</v>
      </c>
      <c r="C118" s="6">
        <v>1.859164696E9</v>
      </c>
      <c r="D118" s="6">
        <v>1.6147127E7</v>
      </c>
      <c r="E118" s="6" t="s">
        <v>234</v>
      </c>
      <c r="F118" s="6" t="s">
        <v>235</v>
      </c>
      <c r="G118" s="6">
        <v>8.105011007E9</v>
      </c>
      <c r="H118" s="6">
        <v>4.0158264E7</v>
      </c>
      <c r="I118" s="6" t="s">
        <v>26</v>
      </c>
      <c r="J118" s="6" t="s">
        <v>21</v>
      </c>
      <c r="K118" s="6" t="s">
        <v>22</v>
      </c>
      <c r="L118" s="6">
        <v>46.0</v>
      </c>
      <c r="M118" s="5">
        <v>46013.0</v>
      </c>
      <c r="N118" s="6" t="s">
        <v>23</v>
      </c>
      <c r="O118" s="6" t="str">
        <f>SUMIFS([1]order_sku_sales_bb2_report!P:P,[1]order_sku_sales_bb2_report!H:H,C27858,[1]order_sku_sales_bb2_report!J:J,H27858)</f>
        <v>#ERROR!</v>
      </c>
      <c r="P118" s="6" t="str">
        <f>SUMIFS([1]order_sku_sales_bb2_report!O:O,[1]order_sku_sales_bb2_report!H:H,C27858,[1]order_sku_sales_bb2_report!J:J,H27858)</f>
        <v>#ERROR!</v>
      </c>
      <c r="Q118" s="6" t="str">
        <f t="shared" si="1"/>
        <v>22-12-2025</v>
      </c>
      <c r="R118" s="6" t="str">
        <f>IFERROR( VLOOKUP(C27858,[1]expressOrderReport!$S:$AZ,34,0),0)</f>
        <v>#ERROR!</v>
      </c>
      <c r="S118" s="6" t="str">
        <f>ARRAY_CONSTRAIN(ARRAYFORMULA(_xludf.XLOOKUP(D27858,[1]order_Report_SA_ID_BB2.0!V:V,[1]order_Report_SA_ID_BB2.0!AM:AM,"")), 1, 1)</f>
        <v>#ERROR!</v>
      </c>
      <c r="T118" s="6" t="str">
        <f t="shared" si="2"/>
        <v>Dec'25</v>
      </c>
    </row>
    <row r="119" ht="15.75" customHeight="1">
      <c r="A119" s="5">
        <v>46013.0</v>
      </c>
      <c r="B119" s="6">
        <v>9362.0</v>
      </c>
      <c r="C119" s="6">
        <v>1.859164702E9</v>
      </c>
      <c r="D119" s="6">
        <v>310011.0</v>
      </c>
      <c r="E119" s="6" t="s">
        <v>236</v>
      </c>
      <c r="F119" s="6" t="s">
        <v>237</v>
      </c>
      <c r="G119" s="6">
        <v>8.095260647E9</v>
      </c>
      <c r="H119" s="6">
        <v>4.0149831E7</v>
      </c>
      <c r="I119" s="6" t="s">
        <v>65</v>
      </c>
      <c r="J119" s="6" t="s">
        <v>21</v>
      </c>
      <c r="K119" s="6" t="s">
        <v>22</v>
      </c>
      <c r="L119" s="6">
        <v>78.0</v>
      </c>
      <c r="M119" s="5">
        <v>46013.0</v>
      </c>
      <c r="N119" s="6" t="s">
        <v>23</v>
      </c>
      <c r="O119" s="6" t="str">
        <f>SUMIFS([1]order_sku_sales_bb2_report!P:P,[1]order_sku_sales_bb2_report!H:H,C27859,[1]order_sku_sales_bb2_report!J:J,H27859)</f>
        <v>#ERROR!</v>
      </c>
      <c r="P119" s="6" t="str">
        <f>SUMIFS([1]order_sku_sales_bb2_report!O:O,[1]order_sku_sales_bb2_report!H:H,C27859,[1]order_sku_sales_bb2_report!J:J,H27859)</f>
        <v>#ERROR!</v>
      </c>
      <c r="Q119" s="6" t="str">
        <f t="shared" si="1"/>
        <v>22-12-2025</v>
      </c>
      <c r="R119" s="6" t="str">
        <f>IFERROR( VLOOKUP(C27859,[1]expressOrderReport!$S:$AZ,34,0),0)</f>
        <v>#ERROR!</v>
      </c>
      <c r="S119" s="6" t="str">
        <f>ARRAY_CONSTRAIN(ARRAYFORMULA(_xludf.XLOOKUP(D27859,[1]order_Report_SA_ID_BB2.0!V:V,[1]order_Report_SA_ID_BB2.0!AM:AM,"")), 1, 1)</f>
        <v>#ERROR!</v>
      </c>
      <c r="T119" s="6" t="str">
        <f t="shared" si="2"/>
        <v>Dec'25</v>
      </c>
    </row>
    <row r="120" ht="15.75" customHeight="1">
      <c r="A120" s="5">
        <v>46013.0</v>
      </c>
      <c r="B120" s="6">
        <v>7664.0</v>
      </c>
      <c r="C120" s="6">
        <v>1.859164709E9</v>
      </c>
      <c r="D120" s="6">
        <v>369345.0</v>
      </c>
      <c r="E120" s="6" t="s">
        <v>238</v>
      </c>
      <c r="F120" s="6" t="s">
        <v>239</v>
      </c>
      <c r="G120" s="6">
        <v>8.971948948E9</v>
      </c>
      <c r="H120" s="6">
        <v>4.0149834E7</v>
      </c>
      <c r="I120" s="6" t="s">
        <v>40</v>
      </c>
      <c r="J120" s="6" t="s">
        <v>21</v>
      </c>
      <c r="K120" s="6" t="s">
        <v>22</v>
      </c>
      <c r="L120" s="6">
        <v>52.0</v>
      </c>
      <c r="M120" s="5">
        <v>46013.0</v>
      </c>
      <c r="N120" s="6" t="s">
        <v>23</v>
      </c>
      <c r="O120" s="6" t="str">
        <f>SUMIFS([1]order_sku_sales_bb2_report!P:P,[1]order_sku_sales_bb2_report!H:H,C27860,[1]order_sku_sales_bb2_report!J:J,H27860)</f>
        <v>#ERROR!</v>
      </c>
      <c r="P120" s="6" t="str">
        <f>SUMIFS([1]order_sku_sales_bb2_report!O:O,[1]order_sku_sales_bb2_report!H:H,C27860,[1]order_sku_sales_bb2_report!J:J,H27860)</f>
        <v>#ERROR!</v>
      </c>
      <c r="Q120" s="6" t="str">
        <f t="shared" si="1"/>
        <v>22-12-2025</v>
      </c>
      <c r="R120" s="6" t="str">
        <f>IFERROR( VLOOKUP(C27860,[1]expressOrderReport!$S:$AZ,34,0),0)</f>
        <v>#ERROR!</v>
      </c>
      <c r="S120" s="6" t="str">
        <f>ARRAY_CONSTRAIN(ARRAYFORMULA(_xludf.XLOOKUP(D27860,[1]order_Report_SA_ID_BB2.0!V:V,[1]order_Report_SA_ID_BB2.0!AM:AM,"")), 1, 1)</f>
        <v>#ERROR!</v>
      </c>
      <c r="T120" s="6" t="str">
        <f t="shared" si="2"/>
        <v>Dec'25</v>
      </c>
    </row>
    <row r="121" ht="15.75" customHeight="1">
      <c r="A121" s="5">
        <v>46013.0</v>
      </c>
      <c r="B121" s="6">
        <v>9364.0</v>
      </c>
      <c r="C121" s="6">
        <v>1.859164711E9</v>
      </c>
      <c r="D121" s="6">
        <v>1.1898049E7</v>
      </c>
      <c r="E121" s="6" t="s">
        <v>240</v>
      </c>
      <c r="F121" s="6" t="s">
        <v>241</v>
      </c>
      <c r="G121" s="6">
        <v>9.550079837E9</v>
      </c>
      <c r="H121" s="6">
        <v>4.0147597E7</v>
      </c>
      <c r="I121" s="6" t="s">
        <v>59</v>
      </c>
      <c r="J121" s="6" t="s">
        <v>21</v>
      </c>
      <c r="K121" s="6" t="s">
        <v>22</v>
      </c>
      <c r="L121" s="6">
        <v>26.0</v>
      </c>
      <c r="M121" s="5">
        <v>46013.0</v>
      </c>
      <c r="N121" s="6" t="s">
        <v>23</v>
      </c>
      <c r="O121" s="6" t="str">
        <f>SUMIFS([1]order_sku_sales_bb2_report!P:P,[1]order_sku_sales_bb2_report!H:H,C27861,[1]order_sku_sales_bb2_report!J:J,H27861)</f>
        <v>#ERROR!</v>
      </c>
      <c r="P121" s="6" t="str">
        <f>SUMIFS([1]order_sku_sales_bb2_report!O:O,[1]order_sku_sales_bb2_report!H:H,C27861,[1]order_sku_sales_bb2_report!J:J,H27861)</f>
        <v>#ERROR!</v>
      </c>
      <c r="Q121" s="6" t="str">
        <f t="shared" si="1"/>
        <v>22-12-2025</v>
      </c>
      <c r="R121" s="6" t="str">
        <f>IFERROR( VLOOKUP(C27861,[1]expressOrderReport!$S:$AZ,34,0),0)</f>
        <v>#ERROR!</v>
      </c>
      <c r="S121" s="6" t="str">
        <f>ARRAY_CONSTRAIN(ARRAYFORMULA(_xludf.XLOOKUP(D27861,[1]order_Report_SA_ID_BB2.0!V:V,[1]order_Report_SA_ID_BB2.0!AM:AM,"")), 1, 1)</f>
        <v>#ERROR!</v>
      </c>
      <c r="T121" s="6" t="str">
        <f t="shared" si="2"/>
        <v>Dec'25</v>
      </c>
    </row>
    <row r="122" ht="15.75" customHeight="1">
      <c r="A122" s="5">
        <v>46013.0</v>
      </c>
      <c r="B122" s="6">
        <v>6485.0</v>
      </c>
      <c r="C122" s="6">
        <v>1.859164716E9</v>
      </c>
      <c r="D122" s="6">
        <v>2.305192E7</v>
      </c>
      <c r="E122" s="6" t="s">
        <v>242</v>
      </c>
      <c r="F122" s="6" t="s">
        <v>243</v>
      </c>
      <c r="G122" s="6">
        <v>8.762805244E9</v>
      </c>
      <c r="H122" s="6">
        <v>4.0161616E7</v>
      </c>
      <c r="I122" s="6" t="s">
        <v>20</v>
      </c>
      <c r="J122" s="6" t="s">
        <v>21</v>
      </c>
      <c r="K122" s="6" t="s">
        <v>22</v>
      </c>
      <c r="L122" s="6">
        <v>84.0</v>
      </c>
      <c r="M122" s="5">
        <v>46013.0</v>
      </c>
      <c r="N122" s="6" t="s">
        <v>23</v>
      </c>
      <c r="O122" s="6" t="str">
        <f>SUMIFS([1]order_sku_sales_bb2_report!P:P,[1]order_sku_sales_bb2_report!H:H,C27862,[1]order_sku_sales_bb2_report!J:J,H27862)</f>
        <v>#ERROR!</v>
      </c>
      <c r="P122" s="6" t="str">
        <f>SUMIFS([1]order_sku_sales_bb2_report!O:O,[1]order_sku_sales_bb2_report!H:H,C27862,[1]order_sku_sales_bb2_report!J:J,H27862)</f>
        <v>#ERROR!</v>
      </c>
      <c r="Q122" s="6" t="str">
        <f t="shared" si="1"/>
        <v>22-12-2025</v>
      </c>
      <c r="R122" s="6" t="str">
        <f>IFERROR( VLOOKUP(C27862,[1]expressOrderReport!$S:$AZ,34,0),0)</f>
        <v>#ERROR!</v>
      </c>
      <c r="S122" s="6" t="str">
        <f>ARRAY_CONSTRAIN(ARRAYFORMULA(_xludf.XLOOKUP(D27862,[1]order_Report_SA_ID_BB2.0!V:V,[1]order_Report_SA_ID_BB2.0!AM:AM,"")), 1, 1)</f>
        <v>#ERROR!</v>
      </c>
      <c r="T122" s="6" t="str">
        <f t="shared" si="2"/>
        <v>Dec'25</v>
      </c>
    </row>
    <row r="123" ht="15.75" customHeight="1">
      <c r="A123" s="5">
        <v>46013.0</v>
      </c>
      <c r="B123" s="6">
        <v>2307.0</v>
      </c>
      <c r="C123" s="6">
        <v>1.859164725E9</v>
      </c>
      <c r="D123" s="6">
        <v>2.3124956E7</v>
      </c>
      <c r="E123" s="6" t="s">
        <v>244</v>
      </c>
      <c r="F123" s="6" t="s">
        <v>245</v>
      </c>
      <c r="G123" s="6">
        <v>9.632246954E9</v>
      </c>
      <c r="H123" s="6">
        <v>4.0149833E7</v>
      </c>
      <c r="I123" s="6" t="s">
        <v>40</v>
      </c>
      <c r="J123" s="6" t="s">
        <v>21</v>
      </c>
      <c r="K123" s="6" t="s">
        <v>22</v>
      </c>
      <c r="L123" s="6">
        <v>27.0</v>
      </c>
      <c r="M123" s="5">
        <v>46013.0</v>
      </c>
      <c r="N123" s="6" t="s">
        <v>23</v>
      </c>
      <c r="O123" s="6" t="str">
        <f>SUMIFS([1]order_sku_sales_bb2_report!P:P,[1]order_sku_sales_bb2_report!H:H,C27863,[1]order_sku_sales_bb2_report!J:J,H27863)</f>
        <v>#ERROR!</v>
      </c>
      <c r="P123" s="6" t="str">
        <f>SUMIFS([1]order_sku_sales_bb2_report!O:O,[1]order_sku_sales_bb2_report!H:H,C27863,[1]order_sku_sales_bb2_report!J:J,H27863)</f>
        <v>#ERROR!</v>
      </c>
      <c r="Q123" s="6" t="str">
        <f t="shared" si="1"/>
        <v>22-12-2025</v>
      </c>
      <c r="R123" s="6" t="str">
        <f>IFERROR( VLOOKUP(C27863,[1]expressOrderReport!$S:$AZ,34,0),0)</f>
        <v>#ERROR!</v>
      </c>
      <c r="S123" s="6" t="str">
        <f>ARRAY_CONSTRAIN(ARRAYFORMULA(_xludf.XLOOKUP(D27863,[1]order_Report_SA_ID_BB2.0!V:V,[1]order_Report_SA_ID_BB2.0!AM:AM,"")), 1, 1)</f>
        <v>#ERROR!</v>
      </c>
      <c r="T123" s="6" t="str">
        <f t="shared" si="2"/>
        <v>Dec'25</v>
      </c>
    </row>
    <row r="124" ht="15.75" customHeight="1">
      <c r="A124" s="5">
        <v>46013.0</v>
      </c>
      <c r="B124" s="6">
        <v>1162.0</v>
      </c>
      <c r="C124" s="6">
        <v>1.859164731E9</v>
      </c>
      <c r="D124" s="6">
        <v>1.3013766E7</v>
      </c>
      <c r="E124" s="6" t="s">
        <v>246</v>
      </c>
      <c r="F124" s="6" t="s">
        <v>247</v>
      </c>
      <c r="G124" s="6">
        <v>9.886178625E9</v>
      </c>
      <c r="H124" s="6">
        <v>4.0149832E7</v>
      </c>
      <c r="I124" s="6" t="s">
        <v>26</v>
      </c>
      <c r="J124" s="6" t="s">
        <v>21</v>
      </c>
      <c r="K124" s="6" t="s">
        <v>22</v>
      </c>
      <c r="L124" s="6">
        <v>48.0</v>
      </c>
      <c r="M124" s="5">
        <v>46013.0</v>
      </c>
      <c r="N124" s="6" t="s">
        <v>23</v>
      </c>
      <c r="O124" s="6" t="str">
        <f>SUMIFS([1]order_sku_sales_bb2_report!P:P,[1]order_sku_sales_bb2_report!H:H,C27864,[1]order_sku_sales_bb2_report!J:J,H27864)</f>
        <v>#ERROR!</v>
      </c>
      <c r="P124" s="6" t="str">
        <f>SUMIFS([1]order_sku_sales_bb2_report!O:O,[1]order_sku_sales_bb2_report!H:H,C27864,[1]order_sku_sales_bb2_report!J:J,H27864)</f>
        <v>#ERROR!</v>
      </c>
      <c r="Q124" s="6" t="str">
        <f t="shared" si="1"/>
        <v>22-12-2025</v>
      </c>
      <c r="R124" s="6" t="str">
        <f>IFERROR( VLOOKUP(C27864,[1]expressOrderReport!$S:$AZ,34,0),0)</f>
        <v>#ERROR!</v>
      </c>
      <c r="S124" s="6" t="str">
        <f>ARRAY_CONSTRAIN(ARRAYFORMULA(_xludf.XLOOKUP(D27864,[1]order_Report_SA_ID_BB2.0!V:V,[1]order_Report_SA_ID_BB2.0!AM:AM,"")), 1, 1)</f>
        <v>#ERROR!</v>
      </c>
      <c r="T124" s="6" t="str">
        <f t="shared" si="2"/>
        <v>Dec'25</v>
      </c>
    </row>
    <row r="125" ht="15.75" customHeight="1">
      <c r="A125" s="5">
        <v>46013.0</v>
      </c>
      <c r="B125" s="6">
        <v>1404.0</v>
      </c>
      <c r="C125" s="6">
        <v>1.859164736E9</v>
      </c>
      <c r="D125" s="6">
        <v>7227677.0</v>
      </c>
      <c r="E125" s="6" t="s">
        <v>248</v>
      </c>
      <c r="F125" s="6" t="s">
        <v>249</v>
      </c>
      <c r="G125" s="6">
        <v>9.440512801E9</v>
      </c>
      <c r="H125" s="6">
        <v>4.0161616E7</v>
      </c>
      <c r="I125" s="6" t="s">
        <v>20</v>
      </c>
      <c r="J125" s="6" t="s">
        <v>21</v>
      </c>
      <c r="K125" s="6" t="s">
        <v>22</v>
      </c>
      <c r="L125" s="6">
        <v>81.0</v>
      </c>
      <c r="M125" s="5">
        <v>46013.0</v>
      </c>
      <c r="N125" s="6" t="s">
        <v>23</v>
      </c>
      <c r="O125" s="6" t="str">
        <f>SUMIFS([1]order_sku_sales_bb2_report!P:P,[1]order_sku_sales_bb2_report!H:H,C27865,[1]order_sku_sales_bb2_report!J:J,H27865)</f>
        <v>#ERROR!</v>
      </c>
      <c r="P125" s="6" t="str">
        <f>SUMIFS([1]order_sku_sales_bb2_report!O:O,[1]order_sku_sales_bb2_report!H:H,C27865,[1]order_sku_sales_bb2_report!J:J,H27865)</f>
        <v>#ERROR!</v>
      </c>
      <c r="Q125" s="6" t="str">
        <f t="shared" si="1"/>
        <v>22-12-2025</v>
      </c>
      <c r="R125" s="6" t="str">
        <f>IFERROR( VLOOKUP(C27865,[1]expressOrderReport!$S:$AZ,34,0),0)</f>
        <v>#ERROR!</v>
      </c>
      <c r="S125" s="6" t="str">
        <f>ARRAY_CONSTRAIN(ARRAYFORMULA(_xludf.XLOOKUP(D27865,[1]order_Report_SA_ID_BB2.0!V:V,[1]order_Report_SA_ID_BB2.0!AM:AM,"")), 1, 1)</f>
        <v>#ERROR!</v>
      </c>
      <c r="T125" s="6" t="str">
        <f t="shared" si="2"/>
        <v>Dec'25</v>
      </c>
    </row>
    <row r="126" ht="15.75" customHeight="1">
      <c r="A126" s="5">
        <v>46013.0</v>
      </c>
      <c r="B126" s="6">
        <v>1405.0</v>
      </c>
      <c r="C126" s="6">
        <v>1.859164736E9</v>
      </c>
      <c r="D126" s="6">
        <v>7227677.0</v>
      </c>
      <c r="E126" s="6" t="s">
        <v>248</v>
      </c>
      <c r="F126" s="6" t="s">
        <v>249</v>
      </c>
      <c r="G126" s="6">
        <v>9.440512801E9</v>
      </c>
      <c r="H126" s="6">
        <v>4.0332424E7</v>
      </c>
      <c r="I126" s="6" t="s">
        <v>110</v>
      </c>
      <c r="J126" s="6" t="s">
        <v>21</v>
      </c>
      <c r="K126" s="6" t="s">
        <v>22</v>
      </c>
      <c r="L126" s="6">
        <v>81.0</v>
      </c>
      <c r="M126" s="5">
        <v>46013.0</v>
      </c>
      <c r="N126" s="6" t="s">
        <v>23</v>
      </c>
      <c r="O126" s="6" t="str">
        <f>SUMIFS([1]order_sku_sales_bb2_report!P:P,[1]order_sku_sales_bb2_report!H:H,C27866,[1]order_sku_sales_bb2_report!J:J,H27866)</f>
        <v>#ERROR!</v>
      </c>
      <c r="P126" s="6" t="str">
        <f>SUMIFS([1]order_sku_sales_bb2_report!O:O,[1]order_sku_sales_bb2_report!H:H,C27866,[1]order_sku_sales_bb2_report!J:J,H27866)</f>
        <v>#ERROR!</v>
      </c>
      <c r="Q126" s="6" t="str">
        <f t="shared" si="1"/>
        <v>22-12-2025</v>
      </c>
      <c r="R126" s="6" t="str">
        <f>IFERROR( VLOOKUP(C27866,[1]expressOrderReport!$S:$AZ,34,0),0)</f>
        <v>#ERROR!</v>
      </c>
      <c r="S126" s="6" t="str">
        <f>ARRAY_CONSTRAIN(ARRAYFORMULA(_xludf.XLOOKUP(D27866,[1]order_Report_SA_ID_BB2.0!V:V,[1]order_Report_SA_ID_BB2.0!AM:AM,"")), 1, 1)</f>
        <v>#ERROR!</v>
      </c>
      <c r="T126" s="6" t="str">
        <f t="shared" si="2"/>
        <v>Dec'25</v>
      </c>
    </row>
    <row r="127" ht="15.75" customHeight="1">
      <c r="A127" s="5">
        <v>46013.0</v>
      </c>
      <c r="B127" s="6">
        <v>11805.0</v>
      </c>
      <c r="C127" s="6">
        <v>1.85916474E9</v>
      </c>
      <c r="D127" s="6">
        <v>505210.0</v>
      </c>
      <c r="E127" s="6" t="s">
        <v>250</v>
      </c>
      <c r="F127" s="6" t="s">
        <v>251</v>
      </c>
      <c r="G127" s="6">
        <v>9.731312708E9</v>
      </c>
      <c r="H127" s="6">
        <v>4.0161616E7</v>
      </c>
      <c r="I127" s="6" t="s">
        <v>20</v>
      </c>
      <c r="J127" s="6" t="s">
        <v>21</v>
      </c>
      <c r="K127" s="6" t="s">
        <v>22</v>
      </c>
      <c r="L127" s="6">
        <v>56.0</v>
      </c>
      <c r="M127" s="5">
        <v>46013.0</v>
      </c>
      <c r="N127" s="6" t="s">
        <v>23</v>
      </c>
      <c r="O127" s="6" t="str">
        <f>SUMIFS([1]order_sku_sales_bb2_report!P:P,[1]order_sku_sales_bb2_report!H:H,C27867,[1]order_sku_sales_bb2_report!J:J,H27867)</f>
        <v>#ERROR!</v>
      </c>
      <c r="P127" s="6" t="str">
        <f>SUMIFS([1]order_sku_sales_bb2_report!O:O,[1]order_sku_sales_bb2_report!H:H,C27867,[1]order_sku_sales_bb2_report!J:J,H27867)</f>
        <v>#ERROR!</v>
      </c>
      <c r="Q127" s="6" t="str">
        <f t="shared" si="1"/>
        <v>22-12-2025</v>
      </c>
      <c r="R127" s="6" t="str">
        <f>IFERROR( VLOOKUP(C27867,[1]expressOrderReport!$S:$AZ,34,0),0)</f>
        <v>#ERROR!</v>
      </c>
      <c r="S127" s="6" t="str">
        <f>ARRAY_CONSTRAIN(ARRAYFORMULA(_xludf.XLOOKUP(D27867,[1]order_Report_SA_ID_BB2.0!V:V,[1]order_Report_SA_ID_BB2.0!AM:AM,"")), 1, 1)</f>
        <v>#ERROR!</v>
      </c>
      <c r="T127" s="6" t="str">
        <f t="shared" si="2"/>
        <v>Dec'25</v>
      </c>
    </row>
    <row r="128" ht="15.75" customHeight="1">
      <c r="A128" s="5">
        <v>46013.0</v>
      </c>
      <c r="B128" s="6">
        <v>1110.0</v>
      </c>
      <c r="C128" s="6">
        <v>1.859164748E9</v>
      </c>
      <c r="D128" s="6">
        <v>1.8599908E7</v>
      </c>
      <c r="E128" s="6" t="s">
        <v>252</v>
      </c>
      <c r="F128" s="6" t="s">
        <v>253</v>
      </c>
      <c r="G128" s="6">
        <v>8.220006734E9</v>
      </c>
      <c r="H128" s="6">
        <v>4.014983E7</v>
      </c>
      <c r="I128" s="6" t="s">
        <v>30</v>
      </c>
      <c r="J128" s="6" t="s">
        <v>21</v>
      </c>
      <c r="K128" s="6" t="s">
        <v>22</v>
      </c>
      <c r="L128" s="6">
        <v>107.0</v>
      </c>
      <c r="M128" s="5">
        <v>46013.0</v>
      </c>
      <c r="N128" s="6" t="s">
        <v>23</v>
      </c>
      <c r="O128" s="6" t="str">
        <f>SUMIFS([1]order_sku_sales_bb2_report!P:P,[1]order_sku_sales_bb2_report!H:H,C27868,[1]order_sku_sales_bb2_report!J:J,H27868)</f>
        <v>#ERROR!</v>
      </c>
      <c r="P128" s="6" t="str">
        <f>SUMIFS([1]order_sku_sales_bb2_report!O:O,[1]order_sku_sales_bb2_report!H:H,C27868,[1]order_sku_sales_bb2_report!J:J,H27868)</f>
        <v>#ERROR!</v>
      </c>
      <c r="Q128" s="6" t="str">
        <f t="shared" si="1"/>
        <v>22-12-2025</v>
      </c>
      <c r="R128" s="6" t="str">
        <f>IFERROR( VLOOKUP(C27868,[1]expressOrderReport!$S:$AZ,34,0),0)</f>
        <v>#ERROR!</v>
      </c>
      <c r="S128" s="6" t="str">
        <f>ARRAY_CONSTRAIN(ARRAYFORMULA(_xludf.XLOOKUP(D27868,[1]order_Report_SA_ID_BB2.0!V:V,[1]order_Report_SA_ID_BB2.0!AM:AM,"")), 1, 1)</f>
        <v>#ERROR!</v>
      </c>
      <c r="T128" s="6" t="str">
        <f t="shared" si="2"/>
        <v>Dec'25</v>
      </c>
    </row>
    <row r="129" ht="15.75" customHeight="1">
      <c r="A129" s="5">
        <v>46013.0</v>
      </c>
      <c r="B129" s="6">
        <v>1111.0</v>
      </c>
      <c r="C129" s="6">
        <v>1.859164748E9</v>
      </c>
      <c r="D129" s="6">
        <v>1.8599908E7</v>
      </c>
      <c r="E129" s="6" t="s">
        <v>252</v>
      </c>
      <c r="F129" s="6" t="s">
        <v>253</v>
      </c>
      <c r="G129" s="6">
        <v>8.220006734E9</v>
      </c>
      <c r="H129" s="6">
        <v>4.0149834E7</v>
      </c>
      <c r="I129" s="6" t="s">
        <v>40</v>
      </c>
      <c r="J129" s="6" t="s">
        <v>21</v>
      </c>
      <c r="K129" s="6" t="s">
        <v>22</v>
      </c>
      <c r="L129" s="6">
        <v>107.0</v>
      </c>
      <c r="M129" s="5">
        <v>46013.0</v>
      </c>
      <c r="N129" s="6" t="s">
        <v>23</v>
      </c>
      <c r="O129" s="6" t="str">
        <f>SUMIFS([1]order_sku_sales_bb2_report!P:P,[1]order_sku_sales_bb2_report!H:H,C27869,[1]order_sku_sales_bb2_report!J:J,H27869)</f>
        <v>#ERROR!</v>
      </c>
      <c r="P129" s="6" t="str">
        <f>SUMIFS([1]order_sku_sales_bb2_report!O:O,[1]order_sku_sales_bb2_report!H:H,C27869,[1]order_sku_sales_bb2_report!J:J,H27869)</f>
        <v>#ERROR!</v>
      </c>
      <c r="Q129" s="6" t="str">
        <f t="shared" si="1"/>
        <v>22-12-2025</v>
      </c>
      <c r="R129" s="6" t="str">
        <f>IFERROR( VLOOKUP(C27869,[1]expressOrderReport!$S:$AZ,34,0),0)</f>
        <v>#ERROR!</v>
      </c>
      <c r="S129" s="6" t="str">
        <f>ARRAY_CONSTRAIN(ARRAYFORMULA(_xludf.XLOOKUP(D27869,[1]order_Report_SA_ID_BB2.0!V:V,[1]order_Report_SA_ID_BB2.0!AM:AM,"")), 1, 1)</f>
        <v>#ERROR!</v>
      </c>
      <c r="T129" s="6" t="str">
        <f t="shared" si="2"/>
        <v>Dec'25</v>
      </c>
    </row>
    <row r="130" ht="15.75" customHeight="1">
      <c r="A130" s="5">
        <v>46013.0</v>
      </c>
      <c r="B130" s="6">
        <v>1114.0</v>
      </c>
      <c r="C130" s="6">
        <v>1.859164748E9</v>
      </c>
      <c r="D130" s="6">
        <v>1.8599908E7</v>
      </c>
      <c r="E130" s="6" t="s">
        <v>252</v>
      </c>
      <c r="F130" s="6" t="s">
        <v>253</v>
      </c>
      <c r="G130" s="6">
        <v>8.220006734E9</v>
      </c>
      <c r="H130" s="6">
        <v>4.0149833E7</v>
      </c>
      <c r="I130" s="6" t="s">
        <v>40</v>
      </c>
      <c r="J130" s="6" t="s">
        <v>21</v>
      </c>
      <c r="K130" s="6" t="s">
        <v>22</v>
      </c>
      <c r="L130" s="6">
        <v>107.0</v>
      </c>
      <c r="M130" s="5">
        <v>46013.0</v>
      </c>
      <c r="N130" s="6" t="s">
        <v>23</v>
      </c>
      <c r="O130" s="6" t="str">
        <f>SUMIFS([1]order_sku_sales_bb2_report!P:P,[1]order_sku_sales_bb2_report!H:H,C27870,[1]order_sku_sales_bb2_report!J:J,H27870)</f>
        <v>#ERROR!</v>
      </c>
      <c r="P130" s="6" t="str">
        <f>SUMIFS([1]order_sku_sales_bb2_report!O:O,[1]order_sku_sales_bb2_report!H:H,C27870,[1]order_sku_sales_bb2_report!J:J,H27870)</f>
        <v>#ERROR!</v>
      </c>
      <c r="Q130" s="6" t="str">
        <f t="shared" si="1"/>
        <v>22-12-2025</v>
      </c>
      <c r="R130" s="6" t="str">
        <f>IFERROR( VLOOKUP(C27870,[1]expressOrderReport!$S:$AZ,34,0),0)</f>
        <v>#ERROR!</v>
      </c>
      <c r="S130" s="6" t="str">
        <f>ARRAY_CONSTRAIN(ARRAYFORMULA(_xludf.XLOOKUP(D27870,[1]order_Report_SA_ID_BB2.0!V:V,[1]order_Report_SA_ID_BB2.0!AM:AM,"")), 1, 1)</f>
        <v>#ERROR!</v>
      </c>
      <c r="T130" s="6" t="str">
        <f t="shared" si="2"/>
        <v>Dec'25</v>
      </c>
    </row>
    <row r="131" ht="15.75" customHeight="1">
      <c r="A131" s="5">
        <v>46013.0</v>
      </c>
      <c r="B131" s="6">
        <v>10716.0</v>
      </c>
      <c r="C131" s="6">
        <v>1.859164757E9</v>
      </c>
      <c r="D131" s="6">
        <v>6027819.0</v>
      </c>
      <c r="E131" s="6" t="s">
        <v>254</v>
      </c>
      <c r="F131" s="6" t="s">
        <v>255</v>
      </c>
      <c r="G131" s="6">
        <v>8.148461465E9</v>
      </c>
      <c r="H131" s="6">
        <v>4.0149832E7</v>
      </c>
      <c r="I131" s="6" t="s">
        <v>26</v>
      </c>
      <c r="J131" s="6" t="s">
        <v>21</v>
      </c>
      <c r="K131" s="6" t="s">
        <v>22</v>
      </c>
      <c r="L131" s="6">
        <v>24.0</v>
      </c>
      <c r="M131" s="5">
        <v>46013.0</v>
      </c>
      <c r="N131" s="6" t="s">
        <v>23</v>
      </c>
      <c r="O131" s="6" t="str">
        <f>SUMIFS([1]order_sku_sales_bb2_report!P:P,[1]order_sku_sales_bb2_report!H:H,C27871,[1]order_sku_sales_bb2_report!J:J,H27871)</f>
        <v>#ERROR!</v>
      </c>
      <c r="P131" s="6" t="str">
        <f>SUMIFS([1]order_sku_sales_bb2_report!O:O,[1]order_sku_sales_bb2_report!H:H,C27871,[1]order_sku_sales_bb2_report!J:J,H27871)</f>
        <v>#ERROR!</v>
      </c>
      <c r="Q131" s="6" t="str">
        <f t="shared" si="1"/>
        <v>22-12-2025</v>
      </c>
      <c r="R131" s="6" t="str">
        <f>IFERROR( VLOOKUP(C27871,[1]expressOrderReport!$S:$AZ,34,0),0)</f>
        <v>#ERROR!</v>
      </c>
      <c r="S131" s="6" t="str">
        <f>ARRAY_CONSTRAIN(ARRAYFORMULA(_xludf.XLOOKUP(D27871,[1]order_Report_SA_ID_BB2.0!V:V,[1]order_Report_SA_ID_BB2.0!AM:AM,"")), 1, 1)</f>
        <v>#ERROR!</v>
      </c>
      <c r="T131" s="6" t="str">
        <f t="shared" si="2"/>
        <v>Dec'25</v>
      </c>
    </row>
    <row r="132" ht="15.75" customHeight="1">
      <c r="A132" s="5">
        <v>46013.0</v>
      </c>
      <c r="B132" s="6">
        <v>5418.0</v>
      </c>
      <c r="C132" s="6">
        <v>1.859164765E9</v>
      </c>
      <c r="D132" s="6">
        <v>4367391.0</v>
      </c>
      <c r="E132" s="6" t="s">
        <v>256</v>
      </c>
      <c r="F132" s="6" t="s">
        <v>257</v>
      </c>
      <c r="G132" s="6">
        <v>9.894065762E9</v>
      </c>
      <c r="H132" s="6">
        <v>4.0149834E7</v>
      </c>
      <c r="I132" s="6" t="s">
        <v>40</v>
      </c>
      <c r="J132" s="6" t="s">
        <v>21</v>
      </c>
      <c r="K132" s="6" t="s">
        <v>22</v>
      </c>
      <c r="L132" s="6">
        <v>132.0</v>
      </c>
      <c r="M132" s="5">
        <v>46013.0</v>
      </c>
      <c r="N132" s="6" t="s">
        <v>23</v>
      </c>
      <c r="O132" s="6" t="str">
        <f>SUMIFS([1]order_sku_sales_bb2_report!P:P,[1]order_sku_sales_bb2_report!H:H,C27872,[1]order_sku_sales_bb2_report!J:J,H27872)</f>
        <v>#ERROR!</v>
      </c>
      <c r="P132" s="6" t="str">
        <f>SUMIFS([1]order_sku_sales_bb2_report!O:O,[1]order_sku_sales_bb2_report!H:H,C27872,[1]order_sku_sales_bb2_report!J:J,H27872)</f>
        <v>#ERROR!</v>
      </c>
      <c r="Q132" s="6" t="str">
        <f t="shared" si="1"/>
        <v>22-12-2025</v>
      </c>
      <c r="R132" s="6" t="str">
        <f>IFERROR( VLOOKUP(C27872,[1]expressOrderReport!$S:$AZ,34,0),0)</f>
        <v>#ERROR!</v>
      </c>
      <c r="S132" s="6" t="str">
        <f>ARRAY_CONSTRAIN(ARRAYFORMULA(_xludf.XLOOKUP(D27872,[1]order_Report_SA_ID_BB2.0!V:V,[1]order_Report_SA_ID_BB2.0!AM:AM,"")), 1, 1)</f>
        <v>#ERROR!</v>
      </c>
      <c r="T132" s="6" t="str">
        <f t="shared" si="2"/>
        <v>Dec'25</v>
      </c>
    </row>
    <row r="133" ht="15.75" customHeight="1">
      <c r="A133" s="5">
        <v>46013.0</v>
      </c>
      <c r="B133" s="6">
        <v>5421.0</v>
      </c>
      <c r="C133" s="6">
        <v>1.859164765E9</v>
      </c>
      <c r="D133" s="6">
        <v>4367391.0</v>
      </c>
      <c r="E133" s="6" t="s">
        <v>256</v>
      </c>
      <c r="F133" s="6" t="s">
        <v>257</v>
      </c>
      <c r="G133" s="6">
        <v>9.894065762E9</v>
      </c>
      <c r="H133" s="6">
        <v>4.0075139E7</v>
      </c>
      <c r="I133" s="6" t="s">
        <v>258</v>
      </c>
      <c r="J133" s="6" t="s">
        <v>21</v>
      </c>
      <c r="K133" s="6" t="s">
        <v>22</v>
      </c>
      <c r="L133" s="6">
        <v>132.0</v>
      </c>
      <c r="M133" s="5">
        <v>46013.0</v>
      </c>
      <c r="N133" s="6" t="s">
        <v>23</v>
      </c>
      <c r="O133" s="6" t="str">
        <f>SUMIFS([1]order_sku_sales_bb2_report!P:P,[1]order_sku_sales_bb2_report!H:H,C27873,[1]order_sku_sales_bb2_report!J:J,H27873)</f>
        <v>#ERROR!</v>
      </c>
      <c r="P133" s="6" t="str">
        <f>SUMIFS([1]order_sku_sales_bb2_report!O:O,[1]order_sku_sales_bb2_report!H:H,C27873,[1]order_sku_sales_bb2_report!J:J,H27873)</f>
        <v>#ERROR!</v>
      </c>
      <c r="Q133" s="6" t="str">
        <f t="shared" si="1"/>
        <v>22-12-2025</v>
      </c>
      <c r="R133" s="6" t="str">
        <f>IFERROR( VLOOKUP(C27873,[1]expressOrderReport!$S:$AZ,34,0),0)</f>
        <v>#ERROR!</v>
      </c>
      <c r="S133" s="6" t="str">
        <f>ARRAY_CONSTRAIN(ARRAYFORMULA(_xludf.XLOOKUP(D27873,[1]order_Report_SA_ID_BB2.0!V:V,[1]order_Report_SA_ID_BB2.0!AM:AM,"")), 1, 1)</f>
        <v>#ERROR!</v>
      </c>
      <c r="T133" s="6" t="str">
        <f t="shared" si="2"/>
        <v>Dec'25</v>
      </c>
    </row>
    <row r="134" ht="15.75" customHeight="1">
      <c r="A134" s="5">
        <v>46013.0</v>
      </c>
      <c r="B134" s="6">
        <v>5422.0</v>
      </c>
      <c r="C134" s="6">
        <v>1.859164765E9</v>
      </c>
      <c r="D134" s="6">
        <v>4367391.0</v>
      </c>
      <c r="E134" s="6" t="s">
        <v>256</v>
      </c>
      <c r="F134" s="6" t="s">
        <v>257</v>
      </c>
      <c r="G134" s="6">
        <v>9.894065762E9</v>
      </c>
      <c r="H134" s="6">
        <v>4.0194547E7</v>
      </c>
      <c r="I134" s="6" t="s">
        <v>259</v>
      </c>
      <c r="J134" s="6" t="s">
        <v>21</v>
      </c>
      <c r="K134" s="6" t="s">
        <v>27</v>
      </c>
      <c r="L134" s="6">
        <v>132.0</v>
      </c>
      <c r="M134" s="5">
        <v>46013.0</v>
      </c>
      <c r="N134" s="6" t="s">
        <v>23</v>
      </c>
      <c r="O134" s="6" t="str">
        <f>SUMIFS([1]order_sku_sales_bb2_report!P:P,[1]order_sku_sales_bb2_report!H:H,C27874,[1]order_sku_sales_bb2_report!J:J,H27874)</f>
        <v>#ERROR!</v>
      </c>
      <c r="P134" s="6" t="str">
        <f>SUMIFS([1]order_sku_sales_bb2_report!O:O,[1]order_sku_sales_bb2_report!H:H,C27874,[1]order_sku_sales_bb2_report!J:J,H27874)</f>
        <v>#ERROR!</v>
      </c>
      <c r="Q134" s="6" t="str">
        <f t="shared" si="1"/>
        <v>22-12-2025</v>
      </c>
      <c r="R134" s="6" t="str">
        <f>IFERROR( VLOOKUP(C27874,[1]expressOrderReport!$S:$AZ,34,0),0)</f>
        <v>#ERROR!</v>
      </c>
      <c r="S134" s="6" t="str">
        <f>ARRAY_CONSTRAIN(ARRAYFORMULA(_xludf.XLOOKUP(D27874,[1]order_Report_SA_ID_BB2.0!V:V,[1]order_Report_SA_ID_BB2.0!AM:AM,"")), 1, 1)</f>
        <v>#ERROR!</v>
      </c>
      <c r="T134" s="6" t="str">
        <f t="shared" si="2"/>
        <v>Dec'25</v>
      </c>
    </row>
    <row r="135" ht="15.75" customHeight="1">
      <c r="A135" s="5">
        <v>46013.0</v>
      </c>
      <c r="B135" s="6">
        <v>9160.0</v>
      </c>
      <c r="C135" s="6">
        <v>1.859165875E9</v>
      </c>
      <c r="D135" s="6">
        <v>1289102.0</v>
      </c>
      <c r="E135" s="6" t="s">
        <v>260</v>
      </c>
      <c r="F135" s="6" t="s">
        <v>261</v>
      </c>
      <c r="G135" s="6">
        <v>9.900211998E9</v>
      </c>
      <c r="H135" s="6">
        <v>4.0198739E7</v>
      </c>
      <c r="I135" s="6" t="s">
        <v>103</v>
      </c>
      <c r="J135" s="6" t="s">
        <v>21</v>
      </c>
      <c r="K135" s="6" t="s">
        <v>22</v>
      </c>
      <c r="L135" s="6">
        <v>56.0</v>
      </c>
      <c r="M135" s="5">
        <v>46013.0</v>
      </c>
      <c r="N135" s="6" t="s">
        <v>23</v>
      </c>
      <c r="O135" s="6" t="str">
        <f>SUMIFS([1]order_sku_sales_bb2_report!P:P,[1]order_sku_sales_bb2_report!H:H,C27875,[1]order_sku_sales_bb2_report!J:J,H27875)</f>
        <v>#ERROR!</v>
      </c>
      <c r="P135" s="6" t="str">
        <f>SUMIFS([1]order_sku_sales_bb2_report!O:O,[1]order_sku_sales_bb2_report!H:H,C27875,[1]order_sku_sales_bb2_report!J:J,H27875)</f>
        <v>#ERROR!</v>
      </c>
      <c r="Q135" s="6" t="str">
        <f t="shared" si="1"/>
        <v>22-12-2025</v>
      </c>
      <c r="R135" s="6" t="str">
        <f>IFERROR( VLOOKUP(C27875,[1]expressOrderReport!$S:$AZ,34,0),0)</f>
        <v>#ERROR!</v>
      </c>
      <c r="S135" s="6" t="str">
        <f>ARRAY_CONSTRAIN(ARRAYFORMULA(_xludf.XLOOKUP(D27875,[1]order_Report_SA_ID_BB2.0!V:V,[1]order_Report_SA_ID_BB2.0!AM:AM,"")), 1, 1)</f>
        <v>#ERROR!</v>
      </c>
      <c r="T135" s="6" t="str">
        <f t="shared" si="2"/>
        <v>Dec'25</v>
      </c>
    </row>
    <row r="136" ht="15.75" customHeight="1">
      <c r="A136" s="5">
        <v>46013.0</v>
      </c>
      <c r="B136" s="6">
        <v>9161.0</v>
      </c>
      <c r="C136" s="6">
        <v>1.859165875E9</v>
      </c>
      <c r="D136" s="6">
        <v>1289102.0</v>
      </c>
      <c r="E136" s="6" t="s">
        <v>260</v>
      </c>
      <c r="F136" s="6" t="s">
        <v>261</v>
      </c>
      <c r="G136" s="6">
        <v>9.900211998E9</v>
      </c>
      <c r="H136" s="6">
        <v>4.014983E7</v>
      </c>
      <c r="I136" s="6" t="s">
        <v>30</v>
      </c>
      <c r="J136" s="6" t="s">
        <v>21</v>
      </c>
      <c r="K136" s="6" t="s">
        <v>22</v>
      </c>
      <c r="L136" s="6">
        <v>56.0</v>
      </c>
      <c r="M136" s="5">
        <v>46013.0</v>
      </c>
      <c r="N136" s="6" t="s">
        <v>23</v>
      </c>
      <c r="O136" s="6" t="str">
        <f>SUMIFS([1]order_sku_sales_bb2_report!P:P,[1]order_sku_sales_bb2_report!H:H,C27876,[1]order_sku_sales_bb2_report!J:J,H27876)</f>
        <v>#ERROR!</v>
      </c>
      <c r="P136" s="6" t="str">
        <f>SUMIFS([1]order_sku_sales_bb2_report!O:O,[1]order_sku_sales_bb2_report!H:H,C27876,[1]order_sku_sales_bb2_report!J:J,H27876)</f>
        <v>#ERROR!</v>
      </c>
      <c r="Q136" s="6" t="str">
        <f t="shared" si="1"/>
        <v>22-12-2025</v>
      </c>
      <c r="R136" s="6" t="str">
        <f>IFERROR( VLOOKUP(C27876,[1]expressOrderReport!$S:$AZ,34,0),0)</f>
        <v>#ERROR!</v>
      </c>
      <c r="S136" s="6" t="str">
        <f>ARRAY_CONSTRAIN(ARRAYFORMULA(_xludf.XLOOKUP(D27876,[1]order_Report_SA_ID_BB2.0!V:V,[1]order_Report_SA_ID_BB2.0!AM:AM,"")), 1, 1)</f>
        <v>#ERROR!</v>
      </c>
      <c r="T136" s="6" t="str">
        <f t="shared" si="2"/>
        <v>Dec'25</v>
      </c>
    </row>
    <row r="137" ht="15.75" customHeight="1">
      <c r="A137" s="5">
        <v>46013.0</v>
      </c>
      <c r="B137" s="6">
        <v>757.0</v>
      </c>
      <c r="C137" s="6">
        <v>1.859165888E9</v>
      </c>
      <c r="D137" s="6">
        <v>373490.0</v>
      </c>
      <c r="E137" s="6" t="s">
        <v>262</v>
      </c>
      <c r="F137" s="6" t="s">
        <v>263</v>
      </c>
      <c r="G137" s="6">
        <v>7.204086511E9</v>
      </c>
      <c r="H137" s="6">
        <v>4.0148714E7</v>
      </c>
      <c r="I137" s="6" t="s">
        <v>183</v>
      </c>
      <c r="J137" s="6" t="s">
        <v>21</v>
      </c>
      <c r="K137" s="6" t="s">
        <v>22</v>
      </c>
      <c r="L137" s="6">
        <v>120.0</v>
      </c>
      <c r="M137" s="5">
        <v>46013.0</v>
      </c>
      <c r="N137" s="6" t="s">
        <v>23</v>
      </c>
      <c r="O137" s="6" t="str">
        <f>SUMIFS([1]order_sku_sales_bb2_report!P:P,[1]order_sku_sales_bb2_report!H:H,C27877,[1]order_sku_sales_bb2_report!J:J,H27877)</f>
        <v>#ERROR!</v>
      </c>
      <c r="P137" s="6" t="str">
        <f>SUMIFS([1]order_sku_sales_bb2_report!O:O,[1]order_sku_sales_bb2_report!H:H,C27877,[1]order_sku_sales_bb2_report!J:J,H27877)</f>
        <v>#ERROR!</v>
      </c>
      <c r="Q137" s="6" t="str">
        <f t="shared" si="1"/>
        <v>22-12-2025</v>
      </c>
      <c r="R137" s="6" t="str">
        <f>IFERROR( VLOOKUP(C27877,[1]expressOrderReport!$S:$AZ,34,0),0)</f>
        <v>#ERROR!</v>
      </c>
      <c r="S137" s="6" t="str">
        <f>ARRAY_CONSTRAIN(ARRAYFORMULA(_xludf.XLOOKUP(D27877,[1]order_Report_SA_ID_BB2.0!V:V,[1]order_Report_SA_ID_BB2.0!AM:AM,"")), 1, 1)</f>
        <v>#ERROR!</v>
      </c>
      <c r="T137" s="6" t="str">
        <f t="shared" si="2"/>
        <v>Dec'25</v>
      </c>
    </row>
    <row r="138" ht="15.75" customHeight="1">
      <c r="A138" s="5">
        <v>46013.0</v>
      </c>
      <c r="B138" s="6">
        <v>759.0</v>
      </c>
      <c r="C138" s="6">
        <v>1.859165888E9</v>
      </c>
      <c r="D138" s="6">
        <v>373490.0</v>
      </c>
      <c r="E138" s="6" t="s">
        <v>262</v>
      </c>
      <c r="F138" s="6" t="s">
        <v>263</v>
      </c>
      <c r="G138" s="6">
        <v>7.204086511E9</v>
      </c>
      <c r="H138" s="6">
        <v>4.0158264E7</v>
      </c>
      <c r="I138" s="6" t="s">
        <v>26</v>
      </c>
      <c r="J138" s="6" t="s">
        <v>21</v>
      </c>
      <c r="K138" s="6" t="s">
        <v>22</v>
      </c>
      <c r="L138" s="6">
        <v>120.0</v>
      </c>
      <c r="M138" s="5">
        <v>46013.0</v>
      </c>
      <c r="N138" s="6" t="s">
        <v>23</v>
      </c>
      <c r="O138" s="6" t="str">
        <f>SUMIFS([1]order_sku_sales_bb2_report!P:P,[1]order_sku_sales_bb2_report!H:H,C27878,[1]order_sku_sales_bb2_report!J:J,H27878)</f>
        <v>#ERROR!</v>
      </c>
      <c r="P138" s="6" t="str">
        <f>SUMIFS([1]order_sku_sales_bb2_report!O:O,[1]order_sku_sales_bb2_report!H:H,C27878,[1]order_sku_sales_bb2_report!J:J,H27878)</f>
        <v>#ERROR!</v>
      </c>
      <c r="Q138" s="6" t="str">
        <f t="shared" si="1"/>
        <v>22-12-2025</v>
      </c>
      <c r="R138" s="6" t="str">
        <f>IFERROR( VLOOKUP(C27878,[1]expressOrderReport!$S:$AZ,34,0),0)</f>
        <v>#ERROR!</v>
      </c>
      <c r="S138" s="6" t="str">
        <f>ARRAY_CONSTRAIN(ARRAYFORMULA(_xludf.XLOOKUP(D27878,[1]order_Report_SA_ID_BB2.0!V:V,[1]order_Report_SA_ID_BB2.0!AM:AM,"")), 1, 1)</f>
        <v>#ERROR!</v>
      </c>
      <c r="T138" s="6" t="str">
        <f t="shared" si="2"/>
        <v>Dec'25</v>
      </c>
    </row>
    <row r="139" ht="15.75" customHeight="1">
      <c r="A139" s="5">
        <v>46013.0</v>
      </c>
      <c r="B139" s="6">
        <v>10080.0</v>
      </c>
      <c r="C139" s="6">
        <v>1.859165888E9</v>
      </c>
      <c r="D139" s="6">
        <v>373490.0</v>
      </c>
      <c r="E139" s="6" t="s">
        <v>262</v>
      </c>
      <c r="F139" s="6" t="s">
        <v>263</v>
      </c>
      <c r="G139" s="6">
        <v>7.204086511E9</v>
      </c>
      <c r="H139" s="6">
        <v>4.0149833E7</v>
      </c>
      <c r="I139" s="6" t="s">
        <v>40</v>
      </c>
      <c r="J139" s="6" t="s">
        <v>21</v>
      </c>
      <c r="K139" s="6" t="s">
        <v>22</v>
      </c>
      <c r="L139" s="6">
        <v>120.0</v>
      </c>
      <c r="M139" s="5">
        <v>46013.0</v>
      </c>
      <c r="N139" s="6" t="s">
        <v>23</v>
      </c>
      <c r="O139" s="6" t="str">
        <f>SUMIFS([1]order_sku_sales_bb2_report!P:P,[1]order_sku_sales_bb2_report!H:H,C27879,[1]order_sku_sales_bb2_report!J:J,H27879)</f>
        <v>#ERROR!</v>
      </c>
      <c r="P139" s="6" t="str">
        <f>SUMIFS([1]order_sku_sales_bb2_report!O:O,[1]order_sku_sales_bb2_report!H:H,C27879,[1]order_sku_sales_bb2_report!J:J,H27879)</f>
        <v>#ERROR!</v>
      </c>
      <c r="Q139" s="6" t="str">
        <f t="shared" si="1"/>
        <v>22-12-2025</v>
      </c>
      <c r="R139" s="6" t="str">
        <f>IFERROR( VLOOKUP(C27879,[1]expressOrderReport!$S:$AZ,34,0),0)</f>
        <v>#ERROR!</v>
      </c>
      <c r="S139" s="6" t="str">
        <f>ARRAY_CONSTRAIN(ARRAYFORMULA(_xludf.XLOOKUP(D27879,[1]order_Report_SA_ID_BB2.0!V:V,[1]order_Report_SA_ID_BB2.0!AM:AM,"")), 1, 1)</f>
        <v>#ERROR!</v>
      </c>
      <c r="T139" s="6" t="str">
        <f t="shared" si="2"/>
        <v>Dec'25</v>
      </c>
    </row>
    <row r="140" ht="15.75" customHeight="1">
      <c r="A140" s="5">
        <v>46013.0</v>
      </c>
      <c r="B140" s="6">
        <v>6245.0</v>
      </c>
      <c r="C140" s="6">
        <v>1.859165895E9</v>
      </c>
      <c r="D140" s="6">
        <v>1.1346621E7</v>
      </c>
      <c r="E140" s="6" t="s">
        <v>264</v>
      </c>
      <c r="F140" s="6" t="s">
        <v>265</v>
      </c>
      <c r="G140" s="6">
        <v>8.348828117E9</v>
      </c>
      <c r="H140" s="6">
        <v>4.0149832E7</v>
      </c>
      <c r="I140" s="6" t="s">
        <v>26</v>
      </c>
      <c r="J140" s="6" t="s">
        <v>21</v>
      </c>
      <c r="K140" s="6" t="s">
        <v>22</v>
      </c>
      <c r="L140" s="6">
        <v>24.0</v>
      </c>
      <c r="M140" s="5">
        <v>46013.0</v>
      </c>
      <c r="N140" s="6" t="s">
        <v>23</v>
      </c>
      <c r="O140" s="6" t="str">
        <f>SUMIFS([1]order_sku_sales_bb2_report!P:P,[1]order_sku_sales_bb2_report!H:H,C27880,[1]order_sku_sales_bb2_report!J:J,H27880)</f>
        <v>#ERROR!</v>
      </c>
      <c r="P140" s="6" t="str">
        <f>SUMIFS([1]order_sku_sales_bb2_report!O:O,[1]order_sku_sales_bb2_report!H:H,C27880,[1]order_sku_sales_bb2_report!J:J,H27880)</f>
        <v>#ERROR!</v>
      </c>
      <c r="Q140" s="6" t="str">
        <f t="shared" si="1"/>
        <v>22-12-2025</v>
      </c>
      <c r="R140" s="6" t="str">
        <f>IFERROR( VLOOKUP(C27880,[1]expressOrderReport!$S:$AZ,34,0),0)</f>
        <v>#ERROR!</v>
      </c>
      <c r="S140" s="6" t="str">
        <f>ARRAY_CONSTRAIN(ARRAYFORMULA(_xludf.XLOOKUP(D27880,[1]order_Report_SA_ID_BB2.0!V:V,[1]order_Report_SA_ID_BB2.0!AM:AM,"")), 1, 1)</f>
        <v>#ERROR!</v>
      </c>
      <c r="T140" s="6" t="str">
        <f t="shared" si="2"/>
        <v>Dec'25</v>
      </c>
    </row>
    <row r="141" ht="15.75" customHeight="1">
      <c r="A141" s="5">
        <v>46013.0</v>
      </c>
      <c r="B141" s="6">
        <v>3042.0</v>
      </c>
      <c r="C141" s="6">
        <v>1.859165906E9</v>
      </c>
      <c r="D141" s="6">
        <v>6143841.0</v>
      </c>
      <c r="E141" s="6" t="s">
        <v>266</v>
      </c>
      <c r="F141" s="6" t="s">
        <v>267</v>
      </c>
      <c r="G141" s="6">
        <v>7.204744875E9</v>
      </c>
      <c r="H141" s="6">
        <v>4.0161616E7</v>
      </c>
      <c r="I141" s="6" t="s">
        <v>20</v>
      </c>
      <c r="J141" s="6" t="s">
        <v>21</v>
      </c>
      <c r="K141" s="6" t="s">
        <v>22</v>
      </c>
      <c r="L141" s="6">
        <v>28.0</v>
      </c>
      <c r="M141" s="5">
        <v>46013.0</v>
      </c>
      <c r="N141" s="6" t="s">
        <v>23</v>
      </c>
      <c r="O141" s="6" t="str">
        <f>SUMIFS([1]order_sku_sales_bb2_report!P:P,[1]order_sku_sales_bb2_report!H:H,C27881,[1]order_sku_sales_bb2_report!J:J,H27881)</f>
        <v>#ERROR!</v>
      </c>
      <c r="P141" s="6" t="str">
        <f>SUMIFS([1]order_sku_sales_bb2_report!O:O,[1]order_sku_sales_bb2_report!H:H,C27881,[1]order_sku_sales_bb2_report!J:J,H27881)</f>
        <v>#ERROR!</v>
      </c>
      <c r="Q141" s="6" t="str">
        <f t="shared" si="1"/>
        <v>22-12-2025</v>
      </c>
      <c r="R141" s="6" t="str">
        <f>IFERROR( VLOOKUP(C27881,[1]expressOrderReport!$S:$AZ,34,0),0)</f>
        <v>#ERROR!</v>
      </c>
      <c r="S141" s="6" t="str">
        <f>ARRAY_CONSTRAIN(ARRAYFORMULA(_xludf.XLOOKUP(D27881,[1]order_Report_SA_ID_BB2.0!V:V,[1]order_Report_SA_ID_BB2.0!AM:AM,"")), 1, 1)</f>
        <v>#ERROR!</v>
      </c>
      <c r="T141" s="6" t="str">
        <f t="shared" si="2"/>
        <v>Dec'25</v>
      </c>
    </row>
    <row r="142" ht="15.75" customHeight="1">
      <c r="A142" s="5">
        <v>46013.0</v>
      </c>
      <c r="B142" s="6">
        <v>3132.0</v>
      </c>
      <c r="C142" s="6">
        <v>1.85916592E9</v>
      </c>
      <c r="D142" s="6">
        <v>1501110.0</v>
      </c>
      <c r="E142" s="6" t="s">
        <v>268</v>
      </c>
      <c r="F142" s="6" t="s">
        <v>269</v>
      </c>
      <c r="G142" s="6">
        <v>9.686444509E9</v>
      </c>
      <c r="H142" s="6">
        <v>4.0149832E7</v>
      </c>
      <c r="I142" s="6" t="s">
        <v>26</v>
      </c>
      <c r="J142" s="6" t="s">
        <v>21</v>
      </c>
      <c r="K142" s="6" t="s">
        <v>22</v>
      </c>
      <c r="L142" s="6">
        <v>24.0</v>
      </c>
      <c r="M142" s="5">
        <v>46013.0</v>
      </c>
      <c r="N142" s="6" t="s">
        <v>23</v>
      </c>
      <c r="O142" s="6" t="str">
        <f>SUMIFS([1]order_sku_sales_bb2_report!P:P,[1]order_sku_sales_bb2_report!H:H,C27882,[1]order_sku_sales_bb2_report!J:J,H27882)</f>
        <v>#ERROR!</v>
      </c>
      <c r="P142" s="6" t="str">
        <f>SUMIFS([1]order_sku_sales_bb2_report!O:O,[1]order_sku_sales_bb2_report!H:H,C27882,[1]order_sku_sales_bb2_report!J:J,H27882)</f>
        <v>#ERROR!</v>
      </c>
      <c r="Q142" s="6" t="str">
        <f t="shared" si="1"/>
        <v>22-12-2025</v>
      </c>
      <c r="R142" s="6" t="str">
        <f>IFERROR( VLOOKUP(C27882,[1]expressOrderReport!$S:$AZ,34,0),0)</f>
        <v>#ERROR!</v>
      </c>
      <c r="S142" s="6" t="str">
        <f>ARRAY_CONSTRAIN(ARRAYFORMULA(_xludf.XLOOKUP(D27882,[1]order_Report_SA_ID_BB2.0!V:V,[1]order_Report_SA_ID_BB2.0!AM:AM,"")), 1, 1)</f>
        <v>#ERROR!</v>
      </c>
      <c r="T142" s="6" t="str">
        <f t="shared" si="2"/>
        <v>Dec'25</v>
      </c>
    </row>
    <row r="143" ht="15.75" customHeight="1">
      <c r="A143" s="5">
        <v>46013.0</v>
      </c>
      <c r="B143" s="6">
        <v>11768.0</v>
      </c>
      <c r="C143" s="6">
        <v>1.85916593E9</v>
      </c>
      <c r="D143" s="6">
        <v>8299309.0</v>
      </c>
      <c r="E143" s="6" t="s">
        <v>270</v>
      </c>
      <c r="F143" s="6" t="s">
        <v>271</v>
      </c>
      <c r="G143" s="6">
        <v>8.008124564E9</v>
      </c>
      <c r="H143" s="6">
        <v>4.0147597E7</v>
      </c>
      <c r="I143" s="6" t="s">
        <v>59</v>
      </c>
      <c r="J143" s="6" t="s">
        <v>21</v>
      </c>
      <c r="K143" s="6" t="s">
        <v>22</v>
      </c>
      <c r="L143" s="6">
        <v>52.0</v>
      </c>
      <c r="M143" s="5">
        <v>46013.0</v>
      </c>
      <c r="N143" s="6" t="s">
        <v>23</v>
      </c>
      <c r="O143" s="6" t="str">
        <f>SUMIFS([1]order_sku_sales_bb2_report!P:P,[1]order_sku_sales_bb2_report!H:H,C27883,[1]order_sku_sales_bb2_report!J:J,H27883)</f>
        <v>#ERROR!</v>
      </c>
      <c r="P143" s="6" t="str">
        <f>SUMIFS([1]order_sku_sales_bb2_report!O:O,[1]order_sku_sales_bb2_report!H:H,C27883,[1]order_sku_sales_bb2_report!J:J,H27883)</f>
        <v>#ERROR!</v>
      </c>
      <c r="Q143" s="6" t="str">
        <f t="shared" si="1"/>
        <v>22-12-2025</v>
      </c>
      <c r="R143" s="6" t="str">
        <f>IFERROR( VLOOKUP(C27883,[1]expressOrderReport!$S:$AZ,34,0),0)</f>
        <v>#ERROR!</v>
      </c>
      <c r="S143" s="6" t="str">
        <f>ARRAY_CONSTRAIN(ARRAYFORMULA(_xludf.XLOOKUP(D27883,[1]order_Report_SA_ID_BB2.0!V:V,[1]order_Report_SA_ID_BB2.0!AM:AM,"")), 1, 1)</f>
        <v>#ERROR!</v>
      </c>
      <c r="T143" s="6" t="str">
        <f t="shared" si="2"/>
        <v>Dec'25</v>
      </c>
    </row>
    <row r="144" ht="15.75" customHeight="1">
      <c r="A144" s="5">
        <v>46013.0</v>
      </c>
      <c r="B144" s="6">
        <v>9950.0</v>
      </c>
      <c r="C144" s="6">
        <v>1.859165935E9</v>
      </c>
      <c r="D144" s="6">
        <v>3853106.0</v>
      </c>
      <c r="E144" s="6" t="s">
        <v>272</v>
      </c>
      <c r="F144" s="6" t="s">
        <v>273</v>
      </c>
      <c r="G144" s="6">
        <v>9.427958664E9</v>
      </c>
      <c r="H144" s="6">
        <v>4.0090893E7</v>
      </c>
      <c r="I144" s="6" t="s">
        <v>35</v>
      </c>
      <c r="J144" s="6" t="s">
        <v>21</v>
      </c>
      <c r="K144" s="6" t="s">
        <v>22</v>
      </c>
      <c r="L144" s="6">
        <v>33.0</v>
      </c>
      <c r="M144" s="5">
        <v>46013.0</v>
      </c>
      <c r="N144" s="6" t="s">
        <v>23</v>
      </c>
      <c r="O144" s="6" t="str">
        <f>SUMIFS([1]order_sku_sales_bb2_report!P:P,[1]order_sku_sales_bb2_report!H:H,C27884,[1]order_sku_sales_bb2_report!J:J,H27884)</f>
        <v>#ERROR!</v>
      </c>
      <c r="P144" s="6" t="str">
        <f>SUMIFS([1]order_sku_sales_bb2_report!O:O,[1]order_sku_sales_bb2_report!H:H,C27884,[1]order_sku_sales_bb2_report!J:J,H27884)</f>
        <v>#ERROR!</v>
      </c>
      <c r="Q144" s="6" t="str">
        <f t="shared" si="1"/>
        <v>22-12-2025</v>
      </c>
      <c r="R144" s="6" t="str">
        <f>IFERROR( VLOOKUP(C27884,[1]expressOrderReport!$S:$AZ,34,0),0)</f>
        <v>#ERROR!</v>
      </c>
      <c r="S144" s="6" t="str">
        <f>ARRAY_CONSTRAIN(ARRAYFORMULA(_xludf.XLOOKUP(D27884,[1]order_Report_SA_ID_BB2.0!V:V,[1]order_Report_SA_ID_BB2.0!AM:AM,"")), 1, 1)</f>
        <v>#ERROR!</v>
      </c>
      <c r="T144" s="6" t="str">
        <f t="shared" si="2"/>
        <v>Dec'25</v>
      </c>
    </row>
    <row r="145" ht="15.75" customHeight="1">
      <c r="A145" s="5">
        <v>46013.0</v>
      </c>
      <c r="B145" s="6">
        <v>1839.0</v>
      </c>
      <c r="C145" s="6">
        <v>1.859165943E9</v>
      </c>
      <c r="D145" s="6">
        <v>4833602.0</v>
      </c>
      <c r="E145" s="6" t="s">
        <v>274</v>
      </c>
      <c r="F145" s="6" t="s">
        <v>275</v>
      </c>
      <c r="G145" s="6">
        <v>9.606533002E9</v>
      </c>
      <c r="H145" s="6">
        <v>4.0147601E7</v>
      </c>
      <c r="I145" s="6" t="s">
        <v>276</v>
      </c>
      <c r="J145" s="6" t="s">
        <v>21</v>
      </c>
      <c r="K145" s="6" t="s">
        <v>22</v>
      </c>
      <c r="L145" s="6">
        <v>28.0</v>
      </c>
      <c r="M145" s="5">
        <v>46013.0</v>
      </c>
      <c r="N145" s="6" t="s">
        <v>23</v>
      </c>
      <c r="O145" s="6" t="str">
        <f>SUMIFS([1]order_sku_sales_bb2_report!P:P,[1]order_sku_sales_bb2_report!H:H,C27885,[1]order_sku_sales_bb2_report!J:J,H27885)</f>
        <v>#ERROR!</v>
      </c>
      <c r="P145" s="6" t="str">
        <f>SUMIFS([1]order_sku_sales_bb2_report!O:O,[1]order_sku_sales_bb2_report!H:H,C27885,[1]order_sku_sales_bb2_report!J:J,H27885)</f>
        <v>#ERROR!</v>
      </c>
      <c r="Q145" s="6" t="str">
        <f t="shared" si="1"/>
        <v>22-12-2025</v>
      </c>
      <c r="R145" s="6" t="str">
        <f>IFERROR( VLOOKUP(C27885,[1]expressOrderReport!$S:$AZ,34,0),0)</f>
        <v>#ERROR!</v>
      </c>
      <c r="S145" s="6" t="str">
        <f>ARRAY_CONSTRAIN(ARRAYFORMULA(_xludf.XLOOKUP(D27885,[1]order_Report_SA_ID_BB2.0!V:V,[1]order_Report_SA_ID_BB2.0!AM:AM,"")), 1, 1)</f>
        <v>#ERROR!</v>
      </c>
      <c r="T145" s="6" t="str">
        <f t="shared" si="2"/>
        <v>Dec'25</v>
      </c>
    </row>
    <row r="146" ht="15.75" customHeight="1">
      <c r="A146" s="5">
        <v>46013.0</v>
      </c>
      <c r="B146" s="6">
        <v>11264.0</v>
      </c>
      <c r="C146" s="6">
        <v>1.859165953E9</v>
      </c>
      <c r="D146" s="6">
        <v>2.4045861E7</v>
      </c>
      <c r="E146" s="6" t="s">
        <v>277</v>
      </c>
      <c r="F146" s="6" t="s">
        <v>278</v>
      </c>
      <c r="G146" s="6">
        <v>7.572010036E9</v>
      </c>
      <c r="H146" s="6">
        <v>4.0149833E7</v>
      </c>
      <c r="I146" s="6" t="s">
        <v>40</v>
      </c>
      <c r="J146" s="6" t="s">
        <v>21</v>
      </c>
      <c r="K146" s="6" t="s">
        <v>22</v>
      </c>
      <c r="L146" s="6">
        <v>81.0</v>
      </c>
      <c r="M146" s="5">
        <v>46013.0</v>
      </c>
      <c r="N146" s="6" t="s">
        <v>23</v>
      </c>
      <c r="O146" s="6" t="str">
        <f>SUMIFS([1]order_sku_sales_bb2_report!P:P,[1]order_sku_sales_bb2_report!H:H,C27886,[1]order_sku_sales_bb2_report!J:J,H27886)</f>
        <v>#ERROR!</v>
      </c>
      <c r="P146" s="6" t="str">
        <f>SUMIFS([1]order_sku_sales_bb2_report!O:O,[1]order_sku_sales_bb2_report!H:H,C27886,[1]order_sku_sales_bb2_report!J:J,H27886)</f>
        <v>#ERROR!</v>
      </c>
      <c r="Q146" s="6" t="str">
        <f t="shared" si="1"/>
        <v>22-12-2025</v>
      </c>
      <c r="R146" s="6" t="str">
        <f>IFERROR( VLOOKUP(C27886,[1]expressOrderReport!$S:$AZ,34,0),0)</f>
        <v>#ERROR!</v>
      </c>
      <c r="S146" s="6" t="str">
        <f>ARRAY_CONSTRAIN(ARRAYFORMULA(_xludf.XLOOKUP(D27886,[1]order_Report_SA_ID_BB2.0!V:V,[1]order_Report_SA_ID_BB2.0!AM:AM,"")), 1, 1)</f>
        <v>#ERROR!</v>
      </c>
      <c r="T146" s="6" t="str">
        <f t="shared" si="2"/>
        <v>Dec'25</v>
      </c>
    </row>
    <row r="147" ht="15.75" customHeight="1">
      <c r="A147" s="5">
        <v>46013.0</v>
      </c>
      <c r="B147" s="6">
        <v>5371.0</v>
      </c>
      <c r="C147" s="6">
        <v>1.859165965E9</v>
      </c>
      <c r="D147" s="6">
        <v>2.0275019E7</v>
      </c>
      <c r="E147" s="6" t="s">
        <v>279</v>
      </c>
      <c r="F147" s="6" t="s">
        <v>280</v>
      </c>
      <c r="G147" s="6">
        <v>9.845343823E9</v>
      </c>
      <c r="H147" s="6">
        <v>4.0149834E7</v>
      </c>
      <c r="I147" s="6" t="s">
        <v>40</v>
      </c>
      <c r="J147" s="6" t="s">
        <v>21</v>
      </c>
      <c r="K147" s="6" t="s">
        <v>22</v>
      </c>
      <c r="L147" s="6">
        <v>176.45</v>
      </c>
      <c r="M147" s="5">
        <v>46013.0</v>
      </c>
      <c r="N147" s="6" t="s">
        <v>23</v>
      </c>
      <c r="O147" s="6" t="str">
        <f>SUMIFS([1]order_sku_sales_bb2_report!P:P,[1]order_sku_sales_bb2_report!H:H,C27887,[1]order_sku_sales_bb2_report!J:J,H27887)</f>
        <v>#ERROR!</v>
      </c>
      <c r="P147" s="6" t="str">
        <f>SUMIFS([1]order_sku_sales_bb2_report!O:O,[1]order_sku_sales_bb2_report!H:H,C27887,[1]order_sku_sales_bb2_report!J:J,H27887)</f>
        <v>#ERROR!</v>
      </c>
      <c r="Q147" s="6" t="str">
        <f t="shared" si="1"/>
        <v>22-12-2025</v>
      </c>
      <c r="R147" s="6" t="str">
        <f>IFERROR( VLOOKUP(C27887,[1]expressOrderReport!$S:$AZ,34,0),0)</f>
        <v>#ERROR!</v>
      </c>
      <c r="S147" s="6" t="str">
        <f>ARRAY_CONSTRAIN(ARRAYFORMULA(_xludf.XLOOKUP(D27887,[1]order_Report_SA_ID_BB2.0!V:V,[1]order_Report_SA_ID_BB2.0!AM:AM,"")), 1, 1)</f>
        <v>#ERROR!</v>
      </c>
      <c r="T147" s="6" t="str">
        <f t="shared" si="2"/>
        <v>Dec'25</v>
      </c>
    </row>
    <row r="148" ht="15.75" customHeight="1">
      <c r="A148" s="5">
        <v>46013.0</v>
      </c>
      <c r="B148" s="6">
        <v>5372.0</v>
      </c>
      <c r="C148" s="6">
        <v>1.859165965E9</v>
      </c>
      <c r="D148" s="6">
        <v>2.0275019E7</v>
      </c>
      <c r="E148" s="6" t="s">
        <v>279</v>
      </c>
      <c r="F148" s="6" t="s">
        <v>280</v>
      </c>
      <c r="G148" s="6">
        <v>9.845343823E9</v>
      </c>
      <c r="H148" s="6">
        <v>4.0019272E7</v>
      </c>
      <c r="I148" s="6" t="s">
        <v>281</v>
      </c>
      <c r="J148" s="6" t="s">
        <v>21</v>
      </c>
      <c r="K148" s="6" t="s">
        <v>22</v>
      </c>
      <c r="L148" s="6">
        <v>176.45</v>
      </c>
      <c r="M148" s="5">
        <v>46013.0</v>
      </c>
      <c r="N148" s="6" t="s">
        <v>23</v>
      </c>
      <c r="O148" s="6" t="str">
        <f>SUMIFS([1]order_sku_sales_bb2_report!P:P,[1]order_sku_sales_bb2_report!H:H,C27888,[1]order_sku_sales_bb2_report!J:J,H27888)</f>
        <v>#ERROR!</v>
      </c>
      <c r="P148" s="6" t="str">
        <f>SUMIFS([1]order_sku_sales_bb2_report!O:O,[1]order_sku_sales_bb2_report!H:H,C27888,[1]order_sku_sales_bb2_report!J:J,H27888)</f>
        <v>#ERROR!</v>
      </c>
      <c r="Q148" s="6" t="str">
        <f t="shared" si="1"/>
        <v>22-12-2025</v>
      </c>
      <c r="R148" s="6" t="str">
        <f>IFERROR( VLOOKUP(C27888,[1]expressOrderReport!$S:$AZ,34,0),0)</f>
        <v>#ERROR!</v>
      </c>
      <c r="S148" s="6" t="str">
        <f>ARRAY_CONSTRAIN(ARRAYFORMULA(_xludf.XLOOKUP(D27888,[1]order_Report_SA_ID_BB2.0!V:V,[1]order_Report_SA_ID_BB2.0!AM:AM,"")), 1, 1)</f>
        <v>#ERROR!</v>
      </c>
      <c r="T148" s="6" t="str">
        <f t="shared" si="2"/>
        <v>Dec'25</v>
      </c>
    </row>
    <row r="149" ht="15.75" customHeight="1">
      <c r="A149" s="5">
        <v>46013.0</v>
      </c>
      <c r="B149" s="6">
        <v>5373.0</v>
      </c>
      <c r="C149" s="6">
        <v>1.859165965E9</v>
      </c>
      <c r="D149" s="6">
        <v>2.0275019E7</v>
      </c>
      <c r="E149" s="6" t="s">
        <v>279</v>
      </c>
      <c r="F149" s="6" t="s">
        <v>280</v>
      </c>
      <c r="G149" s="6">
        <v>9.845343823E9</v>
      </c>
      <c r="H149" s="6">
        <v>4.0047739E7</v>
      </c>
      <c r="I149" s="6" t="s">
        <v>180</v>
      </c>
      <c r="J149" s="6" t="s">
        <v>21</v>
      </c>
      <c r="K149" s="6" t="s">
        <v>22</v>
      </c>
      <c r="L149" s="6">
        <v>176.45</v>
      </c>
      <c r="M149" s="5">
        <v>46013.0</v>
      </c>
      <c r="N149" s="6" t="s">
        <v>23</v>
      </c>
      <c r="O149" s="6" t="str">
        <f>SUMIFS([1]order_sku_sales_bb2_report!P:P,[1]order_sku_sales_bb2_report!H:H,C27889,[1]order_sku_sales_bb2_report!J:J,H27889)</f>
        <v>#ERROR!</v>
      </c>
      <c r="P149" s="6" t="str">
        <f>SUMIFS([1]order_sku_sales_bb2_report!O:O,[1]order_sku_sales_bb2_report!H:H,C27889,[1]order_sku_sales_bb2_report!J:J,H27889)</f>
        <v>#ERROR!</v>
      </c>
      <c r="Q149" s="6" t="str">
        <f t="shared" si="1"/>
        <v>22-12-2025</v>
      </c>
      <c r="R149" s="6" t="str">
        <f>IFERROR( VLOOKUP(C27889,[1]expressOrderReport!$S:$AZ,34,0),0)</f>
        <v>#ERROR!</v>
      </c>
      <c r="S149" s="6" t="str">
        <f>ARRAY_CONSTRAIN(ARRAYFORMULA(_xludf.XLOOKUP(D27889,[1]order_Report_SA_ID_BB2.0!V:V,[1]order_Report_SA_ID_BB2.0!AM:AM,"")), 1, 1)</f>
        <v>#ERROR!</v>
      </c>
      <c r="T149" s="6" t="str">
        <f t="shared" si="2"/>
        <v>Dec'25</v>
      </c>
    </row>
    <row r="150" ht="15.75" customHeight="1">
      <c r="A150" s="5">
        <v>46013.0</v>
      </c>
      <c r="B150" s="6">
        <v>11708.0</v>
      </c>
      <c r="C150" s="6">
        <v>1.859165986E9</v>
      </c>
      <c r="D150" s="6">
        <v>338179.0</v>
      </c>
      <c r="E150" s="6" t="s">
        <v>282</v>
      </c>
      <c r="F150" s="6" t="s">
        <v>283</v>
      </c>
      <c r="G150" s="6">
        <v>9.972498489E9</v>
      </c>
      <c r="H150" s="6">
        <v>1.000027E7</v>
      </c>
      <c r="I150" s="6" t="s">
        <v>284</v>
      </c>
      <c r="J150" s="6" t="s">
        <v>21</v>
      </c>
      <c r="K150" s="6" t="s">
        <v>22</v>
      </c>
      <c r="L150" s="6">
        <v>212.34</v>
      </c>
      <c r="M150" s="5">
        <v>46013.0</v>
      </c>
      <c r="N150" s="6" t="s">
        <v>23</v>
      </c>
      <c r="O150" s="6" t="str">
        <f>SUMIFS([1]order_sku_sales_bb2_report!P:P,[1]order_sku_sales_bb2_report!H:H,C27890,[1]order_sku_sales_bb2_report!J:J,H27890)</f>
        <v>#ERROR!</v>
      </c>
      <c r="P150" s="6" t="str">
        <f>SUMIFS([1]order_sku_sales_bb2_report!O:O,[1]order_sku_sales_bb2_report!H:H,C27890,[1]order_sku_sales_bb2_report!J:J,H27890)</f>
        <v>#ERROR!</v>
      </c>
      <c r="Q150" s="6" t="str">
        <f t="shared" si="1"/>
        <v>22-12-2025</v>
      </c>
      <c r="R150" s="6" t="str">
        <f>IFERROR( VLOOKUP(C27890,[1]expressOrderReport!$S:$AZ,34,0),0)</f>
        <v>#ERROR!</v>
      </c>
      <c r="S150" s="6" t="str">
        <f>ARRAY_CONSTRAIN(ARRAYFORMULA(_xludf.XLOOKUP(D27890,[1]order_Report_SA_ID_BB2.0!V:V,[1]order_Report_SA_ID_BB2.0!AM:AM,"")), 1, 1)</f>
        <v>#ERROR!</v>
      </c>
      <c r="T150" s="6" t="str">
        <f t="shared" si="2"/>
        <v>Dec'25</v>
      </c>
    </row>
    <row r="151" ht="15.75" customHeight="1">
      <c r="A151" s="5">
        <v>46013.0</v>
      </c>
      <c r="B151" s="6">
        <v>11709.0</v>
      </c>
      <c r="C151" s="6">
        <v>1.859165986E9</v>
      </c>
      <c r="D151" s="6">
        <v>338179.0</v>
      </c>
      <c r="E151" s="6" t="s">
        <v>282</v>
      </c>
      <c r="F151" s="6" t="s">
        <v>283</v>
      </c>
      <c r="G151" s="6">
        <v>9.972498489E9</v>
      </c>
      <c r="H151" s="6">
        <v>1.0000097E7</v>
      </c>
      <c r="I151" s="6" t="s">
        <v>285</v>
      </c>
      <c r="J151" s="6" t="s">
        <v>21</v>
      </c>
      <c r="K151" s="6" t="s">
        <v>22</v>
      </c>
      <c r="L151" s="6">
        <v>212.34</v>
      </c>
      <c r="M151" s="5">
        <v>46013.0</v>
      </c>
      <c r="N151" s="6" t="s">
        <v>23</v>
      </c>
      <c r="O151" s="6" t="str">
        <f>SUMIFS([1]order_sku_sales_bb2_report!P:P,[1]order_sku_sales_bb2_report!H:H,C27891,[1]order_sku_sales_bb2_report!J:J,H27891)</f>
        <v>#ERROR!</v>
      </c>
      <c r="P151" s="6" t="str">
        <f>SUMIFS([1]order_sku_sales_bb2_report!O:O,[1]order_sku_sales_bb2_report!H:H,C27891,[1]order_sku_sales_bb2_report!J:J,H27891)</f>
        <v>#ERROR!</v>
      </c>
      <c r="Q151" s="6" t="str">
        <f t="shared" si="1"/>
        <v>22-12-2025</v>
      </c>
      <c r="R151" s="6" t="str">
        <f>IFERROR( VLOOKUP(C27891,[1]expressOrderReport!$S:$AZ,34,0),0)</f>
        <v>#ERROR!</v>
      </c>
      <c r="S151" s="6" t="str">
        <f>ARRAY_CONSTRAIN(ARRAYFORMULA(_xludf.XLOOKUP(D27891,[1]order_Report_SA_ID_BB2.0!V:V,[1]order_Report_SA_ID_BB2.0!AM:AM,"")), 1, 1)</f>
        <v>#ERROR!</v>
      </c>
      <c r="T151" s="6" t="str">
        <f t="shared" si="2"/>
        <v>Dec'25</v>
      </c>
    </row>
    <row r="152" ht="15.75" customHeight="1">
      <c r="A152" s="5">
        <v>46013.0</v>
      </c>
      <c r="B152" s="6">
        <v>11714.0</v>
      </c>
      <c r="C152" s="6">
        <v>1.859165986E9</v>
      </c>
      <c r="D152" s="6">
        <v>338179.0</v>
      </c>
      <c r="E152" s="6" t="s">
        <v>282</v>
      </c>
      <c r="F152" s="6" t="s">
        <v>283</v>
      </c>
      <c r="G152" s="6">
        <v>9.972498489E9</v>
      </c>
      <c r="H152" s="6">
        <v>1.0000112E7</v>
      </c>
      <c r="I152" s="6" t="s">
        <v>286</v>
      </c>
      <c r="J152" s="6" t="s">
        <v>21</v>
      </c>
      <c r="K152" s="6" t="s">
        <v>22</v>
      </c>
      <c r="L152" s="6">
        <v>212.34</v>
      </c>
      <c r="M152" s="5">
        <v>46013.0</v>
      </c>
      <c r="N152" s="6" t="s">
        <v>23</v>
      </c>
      <c r="O152" s="6" t="str">
        <f>SUMIFS([1]order_sku_sales_bb2_report!P:P,[1]order_sku_sales_bb2_report!H:H,C27892,[1]order_sku_sales_bb2_report!J:J,H27892)</f>
        <v>#ERROR!</v>
      </c>
      <c r="P152" s="6" t="str">
        <f>SUMIFS([1]order_sku_sales_bb2_report!O:O,[1]order_sku_sales_bb2_report!H:H,C27892,[1]order_sku_sales_bb2_report!J:J,H27892)</f>
        <v>#ERROR!</v>
      </c>
      <c r="Q152" s="6" t="str">
        <f t="shared" si="1"/>
        <v>22-12-2025</v>
      </c>
      <c r="R152" s="6" t="str">
        <f>IFERROR( VLOOKUP(C27892,[1]expressOrderReport!$S:$AZ,34,0),0)</f>
        <v>#ERROR!</v>
      </c>
      <c r="S152" s="6" t="str">
        <f>ARRAY_CONSTRAIN(ARRAYFORMULA(_xludf.XLOOKUP(D27892,[1]order_Report_SA_ID_BB2.0!V:V,[1]order_Report_SA_ID_BB2.0!AM:AM,"")), 1, 1)</f>
        <v>#ERROR!</v>
      </c>
      <c r="T152" s="6" t="str">
        <f t="shared" si="2"/>
        <v>Dec'25</v>
      </c>
    </row>
    <row r="153" ht="15.75" customHeight="1">
      <c r="A153" s="5">
        <v>46013.0</v>
      </c>
      <c r="B153" s="6">
        <v>11716.0</v>
      </c>
      <c r="C153" s="6">
        <v>1.859165986E9</v>
      </c>
      <c r="D153" s="6">
        <v>338179.0</v>
      </c>
      <c r="E153" s="6" t="s">
        <v>282</v>
      </c>
      <c r="F153" s="6" t="s">
        <v>283</v>
      </c>
      <c r="G153" s="6">
        <v>9.972498489E9</v>
      </c>
      <c r="H153" s="6">
        <v>1.0000159E7</v>
      </c>
      <c r="I153" s="6" t="s">
        <v>287</v>
      </c>
      <c r="J153" s="6" t="s">
        <v>21</v>
      </c>
      <c r="K153" s="6" t="s">
        <v>27</v>
      </c>
      <c r="L153" s="6">
        <v>212.34</v>
      </c>
      <c r="M153" s="5">
        <v>46013.0</v>
      </c>
      <c r="N153" s="6" t="s">
        <v>23</v>
      </c>
      <c r="O153" s="6" t="str">
        <f>SUMIFS([1]order_sku_sales_bb2_report!P:P,[1]order_sku_sales_bb2_report!H:H,C27893,[1]order_sku_sales_bb2_report!J:J,H27893)</f>
        <v>#ERROR!</v>
      </c>
      <c r="P153" s="6" t="str">
        <f>SUMIFS([1]order_sku_sales_bb2_report!O:O,[1]order_sku_sales_bb2_report!H:H,C27893,[1]order_sku_sales_bb2_report!J:J,H27893)</f>
        <v>#ERROR!</v>
      </c>
      <c r="Q153" s="6" t="str">
        <f t="shared" si="1"/>
        <v>22-12-2025</v>
      </c>
      <c r="R153" s="6" t="str">
        <f>IFERROR( VLOOKUP(C27893,[1]expressOrderReport!$S:$AZ,34,0),0)</f>
        <v>#ERROR!</v>
      </c>
      <c r="S153" s="6" t="str">
        <f>ARRAY_CONSTRAIN(ARRAYFORMULA(_xludf.XLOOKUP(D27893,[1]order_Report_SA_ID_BB2.0!V:V,[1]order_Report_SA_ID_BB2.0!AM:AM,"")), 1, 1)</f>
        <v>#ERROR!</v>
      </c>
      <c r="T153" s="6" t="str">
        <f t="shared" si="2"/>
        <v>Dec'25</v>
      </c>
    </row>
    <row r="154" ht="15.75" customHeight="1">
      <c r="A154" s="5">
        <v>46013.0</v>
      </c>
      <c r="B154" s="6">
        <v>11719.0</v>
      </c>
      <c r="C154" s="6">
        <v>1.859165986E9</v>
      </c>
      <c r="D154" s="6">
        <v>338179.0</v>
      </c>
      <c r="E154" s="6" t="s">
        <v>282</v>
      </c>
      <c r="F154" s="6" t="s">
        <v>283</v>
      </c>
      <c r="G154" s="6">
        <v>9.972498489E9</v>
      </c>
      <c r="H154" s="6">
        <v>4.0148717E7</v>
      </c>
      <c r="I154" s="6" t="s">
        <v>226</v>
      </c>
      <c r="J154" s="6" t="s">
        <v>21</v>
      </c>
      <c r="K154" s="6" t="s">
        <v>22</v>
      </c>
      <c r="L154" s="6">
        <v>212.34</v>
      </c>
      <c r="M154" s="5">
        <v>46013.0</v>
      </c>
      <c r="N154" s="6" t="s">
        <v>23</v>
      </c>
      <c r="O154" s="6" t="str">
        <f>SUMIFS([1]order_sku_sales_bb2_report!P:P,[1]order_sku_sales_bb2_report!H:H,C27894,[1]order_sku_sales_bb2_report!J:J,H27894)</f>
        <v>#ERROR!</v>
      </c>
      <c r="P154" s="6" t="str">
        <f>SUMIFS([1]order_sku_sales_bb2_report!O:O,[1]order_sku_sales_bb2_report!H:H,C27894,[1]order_sku_sales_bb2_report!J:J,H27894)</f>
        <v>#ERROR!</v>
      </c>
      <c r="Q154" s="6" t="str">
        <f t="shared" si="1"/>
        <v>22-12-2025</v>
      </c>
      <c r="R154" s="6" t="str">
        <f>IFERROR( VLOOKUP(C27894,[1]expressOrderReport!$S:$AZ,34,0),0)</f>
        <v>#ERROR!</v>
      </c>
      <c r="S154" s="6" t="str">
        <f>ARRAY_CONSTRAIN(ARRAYFORMULA(_xludf.XLOOKUP(D27894,[1]order_Report_SA_ID_BB2.0!V:V,[1]order_Report_SA_ID_BB2.0!AM:AM,"")), 1, 1)</f>
        <v>#ERROR!</v>
      </c>
      <c r="T154" s="6" t="str">
        <f t="shared" si="2"/>
        <v>Dec'25</v>
      </c>
    </row>
    <row r="155" ht="15.75" customHeight="1">
      <c r="A155" s="5">
        <v>46013.0</v>
      </c>
      <c r="B155" s="6">
        <v>11729.0</v>
      </c>
      <c r="C155" s="6">
        <v>1.859165986E9</v>
      </c>
      <c r="D155" s="6">
        <v>338179.0</v>
      </c>
      <c r="E155" s="6" t="s">
        <v>282</v>
      </c>
      <c r="F155" s="6" t="s">
        <v>283</v>
      </c>
      <c r="G155" s="6">
        <v>9.972498489E9</v>
      </c>
      <c r="H155" s="6">
        <v>4.0219224E7</v>
      </c>
      <c r="I155" s="6" t="s">
        <v>288</v>
      </c>
      <c r="J155" s="6" t="s">
        <v>21</v>
      </c>
      <c r="K155" s="6" t="s">
        <v>22</v>
      </c>
      <c r="L155" s="6">
        <v>212.34</v>
      </c>
      <c r="M155" s="5">
        <v>46013.0</v>
      </c>
      <c r="N155" s="6" t="s">
        <v>23</v>
      </c>
      <c r="O155" s="6" t="str">
        <f>SUMIFS([1]order_sku_sales_bb2_report!P:P,[1]order_sku_sales_bb2_report!H:H,C27895,[1]order_sku_sales_bb2_report!J:J,H27895)</f>
        <v>#ERROR!</v>
      </c>
      <c r="P155" s="6" t="str">
        <f>SUMIFS([1]order_sku_sales_bb2_report!O:O,[1]order_sku_sales_bb2_report!H:H,C27895,[1]order_sku_sales_bb2_report!J:J,H27895)</f>
        <v>#ERROR!</v>
      </c>
      <c r="Q155" s="6" t="str">
        <f t="shared" si="1"/>
        <v>22-12-2025</v>
      </c>
      <c r="R155" s="6" t="str">
        <f>IFERROR( VLOOKUP(C27895,[1]expressOrderReport!$S:$AZ,34,0),0)</f>
        <v>#ERROR!</v>
      </c>
      <c r="S155" s="6" t="str">
        <f>ARRAY_CONSTRAIN(ARRAYFORMULA(_xludf.XLOOKUP(D27895,[1]order_Report_SA_ID_BB2.0!V:V,[1]order_Report_SA_ID_BB2.0!AM:AM,"")), 1, 1)</f>
        <v>#ERROR!</v>
      </c>
      <c r="T155" s="6" t="str">
        <f t="shared" si="2"/>
        <v>Dec'25</v>
      </c>
    </row>
    <row r="156" ht="15.75" customHeight="1">
      <c r="A156" s="5">
        <v>46013.0</v>
      </c>
      <c r="B156" s="6">
        <v>11732.0</v>
      </c>
      <c r="C156" s="6">
        <v>1.859165986E9</v>
      </c>
      <c r="D156" s="6">
        <v>338179.0</v>
      </c>
      <c r="E156" s="6" t="s">
        <v>282</v>
      </c>
      <c r="F156" s="6" t="s">
        <v>283</v>
      </c>
      <c r="G156" s="6">
        <v>9.972498489E9</v>
      </c>
      <c r="H156" s="6">
        <v>4.0057966E7</v>
      </c>
      <c r="I156" s="6" t="s">
        <v>173</v>
      </c>
      <c r="J156" s="6" t="s">
        <v>21</v>
      </c>
      <c r="K156" s="6" t="s">
        <v>22</v>
      </c>
      <c r="L156" s="6">
        <v>212.34</v>
      </c>
      <c r="M156" s="5">
        <v>46013.0</v>
      </c>
      <c r="N156" s="6" t="s">
        <v>23</v>
      </c>
      <c r="O156" s="6" t="str">
        <f>SUMIFS([1]order_sku_sales_bb2_report!P:P,[1]order_sku_sales_bb2_report!H:H,C27896,[1]order_sku_sales_bb2_report!J:J,H27896)</f>
        <v>#ERROR!</v>
      </c>
      <c r="P156" s="6" t="str">
        <f>SUMIFS([1]order_sku_sales_bb2_report!O:O,[1]order_sku_sales_bb2_report!H:H,C27896,[1]order_sku_sales_bb2_report!J:J,H27896)</f>
        <v>#ERROR!</v>
      </c>
      <c r="Q156" s="6" t="str">
        <f t="shared" si="1"/>
        <v>22-12-2025</v>
      </c>
      <c r="R156" s="6" t="str">
        <f>IFERROR( VLOOKUP(C27896,[1]expressOrderReport!$S:$AZ,34,0),0)</f>
        <v>#ERROR!</v>
      </c>
      <c r="S156" s="6" t="str">
        <f>ARRAY_CONSTRAIN(ARRAYFORMULA(_xludf.XLOOKUP(D27896,[1]order_Report_SA_ID_BB2.0!V:V,[1]order_Report_SA_ID_BB2.0!AM:AM,"")), 1, 1)</f>
        <v>#ERROR!</v>
      </c>
      <c r="T156" s="6" t="str">
        <f t="shared" si="2"/>
        <v>Dec'25</v>
      </c>
    </row>
    <row r="157" ht="15.75" customHeight="1">
      <c r="A157" s="5">
        <v>46013.0</v>
      </c>
      <c r="B157" s="6">
        <v>11736.0</v>
      </c>
      <c r="C157" s="6">
        <v>1.859165986E9</v>
      </c>
      <c r="D157" s="6">
        <v>338179.0</v>
      </c>
      <c r="E157" s="6" t="s">
        <v>282</v>
      </c>
      <c r="F157" s="6" t="s">
        <v>283</v>
      </c>
      <c r="G157" s="6">
        <v>9.972498489E9</v>
      </c>
      <c r="H157" s="6">
        <v>5.0000555E7</v>
      </c>
      <c r="I157" s="6" t="s">
        <v>289</v>
      </c>
      <c r="J157" s="6" t="s">
        <v>21</v>
      </c>
      <c r="K157" s="6" t="s">
        <v>22</v>
      </c>
      <c r="L157" s="6">
        <v>212.34</v>
      </c>
      <c r="M157" s="5">
        <v>46013.0</v>
      </c>
      <c r="N157" s="6" t="s">
        <v>23</v>
      </c>
      <c r="O157" s="6" t="str">
        <f>SUMIFS([1]order_sku_sales_bb2_report!P:P,[1]order_sku_sales_bb2_report!H:H,C27897,[1]order_sku_sales_bb2_report!J:J,H27897)</f>
        <v>#ERROR!</v>
      </c>
      <c r="P157" s="6" t="str">
        <f>SUMIFS([1]order_sku_sales_bb2_report!O:O,[1]order_sku_sales_bb2_report!H:H,C27897,[1]order_sku_sales_bb2_report!J:J,H27897)</f>
        <v>#ERROR!</v>
      </c>
      <c r="Q157" s="6" t="str">
        <f t="shared" si="1"/>
        <v>22-12-2025</v>
      </c>
      <c r="R157" s="6" t="str">
        <f>IFERROR( VLOOKUP(C27897,[1]expressOrderReport!$S:$AZ,34,0),0)</f>
        <v>#ERROR!</v>
      </c>
      <c r="S157" s="6" t="str">
        <f>ARRAY_CONSTRAIN(ARRAYFORMULA(_xludf.XLOOKUP(D27897,[1]order_Report_SA_ID_BB2.0!V:V,[1]order_Report_SA_ID_BB2.0!AM:AM,"")), 1, 1)</f>
        <v>#ERROR!</v>
      </c>
      <c r="T157" s="6" t="str">
        <f t="shared" si="2"/>
        <v>Dec'25</v>
      </c>
    </row>
    <row r="158" ht="15.75" customHeight="1">
      <c r="A158" s="5">
        <v>46013.0</v>
      </c>
      <c r="B158" s="6">
        <v>3156.0</v>
      </c>
      <c r="C158" s="6">
        <v>1.859166E9</v>
      </c>
      <c r="D158" s="6">
        <v>9749460.0</v>
      </c>
      <c r="E158" s="6" t="s">
        <v>290</v>
      </c>
      <c r="F158" s="6" t="s">
        <v>291</v>
      </c>
      <c r="G158" s="6">
        <v>9.131909941E9</v>
      </c>
      <c r="H158" s="6">
        <v>4.0149832E7</v>
      </c>
      <c r="I158" s="6" t="s">
        <v>26</v>
      </c>
      <c r="J158" s="6" t="s">
        <v>21</v>
      </c>
      <c r="K158" s="6" t="s">
        <v>22</v>
      </c>
      <c r="L158" s="6">
        <v>79.38</v>
      </c>
      <c r="M158" s="5">
        <v>46013.0</v>
      </c>
      <c r="N158" s="6" t="s">
        <v>23</v>
      </c>
      <c r="O158" s="6" t="str">
        <f>SUMIFS([1]order_sku_sales_bb2_report!P:P,[1]order_sku_sales_bb2_report!H:H,C27898,[1]order_sku_sales_bb2_report!J:J,H27898)</f>
        <v>#ERROR!</v>
      </c>
      <c r="P158" s="6" t="str">
        <f>SUMIFS([1]order_sku_sales_bb2_report!O:O,[1]order_sku_sales_bb2_report!H:H,C27898,[1]order_sku_sales_bb2_report!J:J,H27898)</f>
        <v>#ERROR!</v>
      </c>
      <c r="Q158" s="6" t="str">
        <f t="shared" si="1"/>
        <v>22-12-2025</v>
      </c>
      <c r="R158" s="6" t="str">
        <f>IFERROR( VLOOKUP(C27898,[1]expressOrderReport!$S:$AZ,34,0),0)</f>
        <v>#ERROR!</v>
      </c>
      <c r="S158" s="6" t="str">
        <f>ARRAY_CONSTRAIN(ARRAYFORMULA(_xludf.XLOOKUP(D27898,[1]order_Report_SA_ID_BB2.0!V:V,[1]order_Report_SA_ID_BB2.0!AM:AM,"")), 1, 1)</f>
        <v>#ERROR!</v>
      </c>
      <c r="T158" s="6" t="str">
        <f t="shared" si="2"/>
        <v>Dec'25</v>
      </c>
    </row>
    <row r="159" ht="15.75" customHeight="1">
      <c r="A159" s="5">
        <v>46013.0</v>
      </c>
      <c r="B159" s="6">
        <v>5017.0</v>
      </c>
      <c r="C159" s="6">
        <v>1.859166E9</v>
      </c>
      <c r="D159" s="6">
        <v>9749460.0</v>
      </c>
      <c r="E159" s="6" t="s">
        <v>290</v>
      </c>
      <c r="F159" s="6" t="s">
        <v>291</v>
      </c>
      <c r="G159" s="6">
        <v>9.131909941E9</v>
      </c>
      <c r="H159" s="6">
        <v>1.0000037E7</v>
      </c>
      <c r="I159" s="6" t="s">
        <v>292</v>
      </c>
      <c r="J159" s="6" t="s">
        <v>21</v>
      </c>
      <c r="K159" s="6" t="s">
        <v>22</v>
      </c>
      <c r="L159" s="6">
        <v>79.38</v>
      </c>
      <c r="M159" s="5">
        <v>46013.0</v>
      </c>
      <c r="N159" s="6" t="s">
        <v>23</v>
      </c>
      <c r="O159" s="6" t="str">
        <f>SUMIFS([1]order_sku_sales_bb2_report!P:P,[1]order_sku_sales_bb2_report!H:H,C27899,[1]order_sku_sales_bb2_report!J:J,H27899)</f>
        <v>#ERROR!</v>
      </c>
      <c r="P159" s="6" t="str">
        <f>SUMIFS([1]order_sku_sales_bb2_report!O:O,[1]order_sku_sales_bb2_report!H:H,C27899,[1]order_sku_sales_bb2_report!J:J,H27899)</f>
        <v>#ERROR!</v>
      </c>
      <c r="Q159" s="6" t="str">
        <f t="shared" si="1"/>
        <v>22-12-2025</v>
      </c>
      <c r="R159" s="6" t="str">
        <f>IFERROR( VLOOKUP(C27899,[1]expressOrderReport!$S:$AZ,34,0),0)</f>
        <v>#ERROR!</v>
      </c>
      <c r="S159" s="6" t="str">
        <f>ARRAY_CONSTRAIN(ARRAYFORMULA(_xludf.XLOOKUP(D27899,[1]order_Report_SA_ID_BB2.0!V:V,[1]order_Report_SA_ID_BB2.0!AM:AM,"")), 1, 1)</f>
        <v>#ERROR!</v>
      </c>
      <c r="T159" s="6" t="str">
        <f t="shared" si="2"/>
        <v>Dec'25</v>
      </c>
    </row>
    <row r="160" ht="15.75" customHeight="1">
      <c r="A160" s="5">
        <v>46013.0</v>
      </c>
      <c r="B160" s="6">
        <v>11081.0</v>
      </c>
      <c r="C160" s="6">
        <v>1.859166012E9</v>
      </c>
      <c r="D160" s="6">
        <v>2.4197999E7</v>
      </c>
      <c r="E160" s="6" t="s">
        <v>293</v>
      </c>
      <c r="F160" s="6" t="s">
        <v>294</v>
      </c>
      <c r="G160" s="6">
        <v>7.428137157E9</v>
      </c>
      <c r="H160" s="6">
        <v>4.0057966E7</v>
      </c>
      <c r="I160" s="6" t="s">
        <v>173</v>
      </c>
      <c r="J160" s="6" t="s">
        <v>21</v>
      </c>
      <c r="K160" s="6" t="s">
        <v>22</v>
      </c>
      <c r="L160" s="6">
        <v>53.6</v>
      </c>
      <c r="M160" s="5">
        <v>46013.0</v>
      </c>
      <c r="N160" s="6" t="s">
        <v>23</v>
      </c>
      <c r="O160" s="6" t="str">
        <f>SUMIFS([1]order_sku_sales_bb2_report!P:P,[1]order_sku_sales_bb2_report!H:H,C27900,[1]order_sku_sales_bb2_report!J:J,H27900)</f>
        <v>#ERROR!</v>
      </c>
      <c r="P160" s="6" t="str">
        <f>SUMIFS([1]order_sku_sales_bb2_report!O:O,[1]order_sku_sales_bb2_report!H:H,C27900,[1]order_sku_sales_bb2_report!J:J,H27900)</f>
        <v>#ERROR!</v>
      </c>
      <c r="Q160" s="6" t="str">
        <f t="shared" si="1"/>
        <v>22-12-2025</v>
      </c>
      <c r="R160" s="6" t="str">
        <f>IFERROR( VLOOKUP(C27900,[1]expressOrderReport!$S:$AZ,34,0),0)</f>
        <v>#ERROR!</v>
      </c>
      <c r="S160" s="6" t="str">
        <f>ARRAY_CONSTRAIN(ARRAYFORMULA(_xludf.XLOOKUP(D27900,[1]order_Report_SA_ID_BB2.0!V:V,[1]order_Report_SA_ID_BB2.0!AM:AM,"")), 1, 1)</f>
        <v>#ERROR!</v>
      </c>
      <c r="T160" s="6" t="str">
        <f t="shared" si="2"/>
        <v>Dec'25</v>
      </c>
    </row>
    <row r="161" ht="15.75" customHeight="1">
      <c r="A161" s="5">
        <v>46013.0</v>
      </c>
      <c r="B161" s="6">
        <v>1901.0</v>
      </c>
      <c r="C161" s="6">
        <v>1.859166031E9</v>
      </c>
      <c r="D161" s="6">
        <v>158328.0</v>
      </c>
      <c r="E161" s="6" t="s">
        <v>295</v>
      </c>
      <c r="F161" s="6" t="s">
        <v>296</v>
      </c>
      <c r="G161" s="6">
        <v>9.740811004E9</v>
      </c>
      <c r="H161" s="6">
        <v>4.017939E7</v>
      </c>
      <c r="I161" s="6" t="s">
        <v>297</v>
      </c>
      <c r="J161" s="6" t="s">
        <v>21</v>
      </c>
      <c r="K161" s="6" t="s">
        <v>22</v>
      </c>
      <c r="L161" s="6">
        <v>82.34</v>
      </c>
      <c r="M161" s="5">
        <v>46013.0</v>
      </c>
      <c r="N161" s="6" t="s">
        <v>23</v>
      </c>
      <c r="O161" s="6" t="str">
        <f>SUMIFS([1]order_sku_sales_bb2_report!P:P,[1]order_sku_sales_bb2_report!H:H,C27902,[1]order_sku_sales_bb2_report!J:J,H27902)</f>
        <v>#ERROR!</v>
      </c>
      <c r="P161" s="6" t="str">
        <f>SUMIFS([1]order_sku_sales_bb2_report!O:O,[1]order_sku_sales_bb2_report!H:H,C27902,[1]order_sku_sales_bb2_report!J:J,H27902)</f>
        <v>#ERROR!</v>
      </c>
      <c r="Q161" s="6" t="str">
        <f t="shared" si="1"/>
        <v>22-12-2025</v>
      </c>
      <c r="R161" s="6" t="str">
        <f>IFERROR( VLOOKUP(C27902,[1]expressOrderReport!$S:$AZ,34,0),0)</f>
        <v>#ERROR!</v>
      </c>
      <c r="S161" s="6" t="str">
        <f>ARRAY_CONSTRAIN(ARRAYFORMULA(_xludf.XLOOKUP(D27902,[1]order_Report_SA_ID_BB2.0!V:V,[1]order_Report_SA_ID_BB2.0!AM:AM,"")), 1, 1)</f>
        <v>#ERROR!</v>
      </c>
      <c r="T161" s="6" t="str">
        <f t="shared" si="2"/>
        <v>Dec'25</v>
      </c>
    </row>
    <row r="162" ht="15.75" customHeight="1">
      <c r="A162" s="5">
        <v>46013.0</v>
      </c>
      <c r="B162" s="6">
        <v>1926.0</v>
      </c>
      <c r="C162" s="6">
        <v>1.859166031E9</v>
      </c>
      <c r="D162" s="6">
        <v>158328.0</v>
      </c>
      <c r="E162" s="6" t="s">
        <v>295</v>
      </c>
      <c r="F162" s="6" t="s">
        <v>296</v>
      </c>
      <c r="G162" s="6">
        <v>9.740811004E9</v>
      </c>
      <c r="H162" s="6">
        <v>4.0149832E7</v>
      </c>
      <c r="I162" s="6" t="s">
        <v>26</v>
      </c>
      <c r="J162" s="6" t="s">
        <v>21</v>
      </c>
      <c r="K162" s="6" t="s">
        <v>22</v>
      </c>
      <c r="L162" s="6">
        <v>82.34</v>
      </c>
      <c r="M162" s="5">
        <v>46013.0</v>
      </c>
      <c r="N162" s="6" t="s">
        <v>23</v>
      </c>
      <c r="O162" s="6" t="str">
        <f>SUMIFS([1]order_sku_sales_bb2_report!P:P,[1]order_sku_sales_bb2_report!H:H,C27903,[1]order_sku_sales_bb2_report!J:J,H27903)</f>
        <v>#ERROR!</v>
      </c>
      <c r="P162" s="6" t="str">
        <f>SUMIFS([1]order_sku_sales_bb2_report!O:O,[1]order_sku_sales_bb2_report!H:H,C27903,[1]order_sku_sales_bb2_report!J:J,H27903)</f>
        <v>#ERROR!</v>
      </c>
      <c r="Q162" s="6" t="str">
        <f t="shared" si="1"/>
        <v>22-12-2025</v>
      </c>
      <c r="R162" s="6" t="str">
        <f>IFERROR( VLOOKUP(C27903,[1]expressOrderReport!$S:$AZ,34,0),0)</f>
        <v>#ERROR!</v>
      </c>
      <c r="S162" s="6" t="str">
        <f>ARRAY_CONSTRAIN(ARRAYFORMULA(_xludf.XLOOKUP(D27903,[1]order_Report_SA_ID_BB2.0!V:V,[1]order_Report_SA_ID_BB2.0!AM:AM,"")), 1, 1)</f>
        <v>#ERROR!</v>
      </c>
      <c r="T162" s="6" t="str">
        <f t="shared" si="2"/>
        <v>Dec'25</v>
      </c>
    </row>
    <row r="163" ht="15.75" customHeight="1">
      <c r="A163" s="5">
        <v>46013.0</v>
      </c>
      <c r="B163" s="6">
        <v>10755.0</v>
      </c>
      <c r="C163" s="6">
        <v>1.859166057E9</v>
      </c>
      <c r="D163" s="6">
        <v>6997638.0</v>
      </c>
      <c r="E163" s="6" t="s">
        <v>298</v>
      </c>
      <c r="F163" s="6" t="s">
        <v>299</v>
      </c>
      <c r="G163" s="6">
        <v>8.892839409E9</v>
      </c>
      <c r="H163" s="6">
        <v>4.0154334E7</v>
      </c>
      <c r="I163" s="6" t="s">
        <v>300</v>
      </c>
      <c r="J163" s="6" t="s">
        <v>21</v>
      </c>
      <c r="K163" s="6" t="s">
        <v>22</v>
      </c>
      <c r="L163" s="6">
        <v>96.0</v>
      </c>
      <c r="M163" s="5">
        <v>46013.0</v>
      </c>
      <c r="N163" s="6" t="s">
        <v>23</v>
      </c>
      <c r="O163" s="6" t="str">
        <f>SUMIFS([1]order_sku_sales_bb2_report!P:P,[1]order_sku_sales_bb2_report!H:H,C27906,[1]order_sku_sales_bb2_report!J:J,H27906)</f>
        <v>#ERROR!</v>
      </c>
      <c r="P163" s="6" t="str">
        <f>SUMIFS([1]order_sku_sales_bb2_report!O:O,[1]order_sku_sales_bb2_report!H:H,C27906,[1]order_sku_sales_bb2_report!J:J,H27906)</f>
        <v>#ERROR!</v>
      </c>
      <c r="Q163" s="6" t="str">
        <f t="shared" si="1"/>
        <v>22-12-2025</v>
      </c>
      <c r="R163" s="6" t="str">
        <f>IFERROR( VLOOKUP(C27906,[1]expressOrderReport!$S:$AZ,34,0),0)</f>
        <v>#ERROR!</v>
      </c>
      <c r="S163" s="6" t="str">
        <f>ARRAY_CONSTRAIN(ARRAYFORMULA(_xludf.XLOOKUP(D27906,[1]order_Report_SA_ID_BB2.0!V:V,[1]order_Report_SA_ID_BB2.0!AM:AM,"")), 1, 1)</f>
        <v>#ERROR!</v>
      </c>
      <c r="T163" s="6" t="str">
        <f t="shared" si="2"/>
        <v>Dec'25</v>
      </c>
    </row>
    <row r="164" ht="15.75" customHeight="1">
      <c r="A164" s="5">
        <v>46013.0</v>
      </c>
      <c r="B164" s="6">
        <v>3514.0</v>
      </c>
      <c r="C164" s="6">
        <v>1.859166061E9</v>
      </c>
      <c r="D164" s="6">
        <v>789801.0</v>
      </c>
      <c r="E164" s="6" t="s">
        <v>301</v>
      </c>
      <c r="F164" s="6" t="s">
        <v>302</v>
      </c>
      <c r="G164" s="6">
        <v>9.611107858E9</v>
      </c>
      <c r="H164" s="6">
        <v>4.0149831E7</v>
      </c>
      <c r="I164" s="6" t="s">
        <v>65</v>
      </c>
      <c r="J164" s="6" t="s">
        <v>21</v>
      </c>
      <c r="K164" s="6" t="s">
        <v>22</v>
      </c>
      <c r="L164" s="6">
        <v>52.0</v>
      </c>
      <c r="M164" s="5">
        <v>46013.0</v>
      </c>
      <c r="N164" s="6" t="s">
        <v>23</v>
      </c>
      <c r="O164" s="6" t="str">
        <f>SUMIFS([1]order_sku_sales_bb2_report!P:P,[1]order_sku_sales_bb2_report!H:H,C27907,[1]order_sku_sales_bb2_report!J:J,H27907)</f>
        <v>#ERROR!</v>
      </c>
      <c r="P164" s="6" t="str">
        <f>SUMIFS([1]order_sku_sales_bb2_report!O:O,[1]order_sku_sales_bb2_report!H:H,C27907,[1]order_sku_sales_bb2_report!J:J,H27907)</f>
        <v>#ERROR!</v>
      </c>
      <c r="Q164" s="6" t="str">
        <f t="shared" si="1"/>
        <v>22-12-2025</v>
      </c>
      <c r="R164" s="6" t="str">
        <f>IFERROR( VLOOKUP(C27907,[1]expressOrderReport!$S:$AZ,34,0),0)</f>
        <v>#ERROR!</v>
      </c>
      <c r="S164" s="6" t="str">
        <f>ARRAY_CONSTRAIN(ARRAYFORMULA(_xludf.XLOOKUP(D27907,[1]order_Report_SA_ID_BB2.0!V:V,[1]order_Report_SA_ID_BB2.0!AM:AM,"")), 1, 1)</f>
        <v>#ERROR!</v>
      </c>
      <c r="T164" s="6" t="str">
        <f t="shared" si="2"/>
        <v>Dec'25</v>
      </c>
    </row>
    <row r="165" ht="15.75" customHeight="1">
      <c r="A165" s="5">
        <v>46013.0</v>
      </c>
      <c r="B165" s="6">
        <v>10521.0</v>
      </c>
      <c r="C165" s="6">
        <v>1.859166068E9</v>
      </c>
      <c r="D165" s="6">
        <v>2.4482303E7</v>
      </c>
      <c r="E165" s="6" t="s">
        <v>303</v>
      </c>
      <c r="F165" s="6" t="s">
        <v>304</v>
      </c>
      <c r="G165" s="6">
        <v>9.620580201E9</v>
      </c>
      <c r="H165" s="6">
        <v>4.0149833E7</v>
      </c>
      <c r="I165" s="6" t="s">
        <v>40</v>
      </c>
      <c r="J165" s="6" t="s">
        <v>21</v>
      </c>
      <c r="K165" s="6" t="s">
        <v>22</v>
      </c>
      <c r="L165" s="6">
        <v>27.0</v>
      </c>
      <c r="M165" s="5">
        <v>46013.0</v>
      </c>
      <c r="N165" s="6" t="s">
        <v>23</v>
      </c>
      <c r="O165" s="6" t="str">
        <f>SUMIFS([1]order_sku_sales_bb2_report!P:P,[1]order_sku_sales_bb2_report!H:H,C27908,[1]order_sku_sales_bb2_report!J:J,H27908)</f>
        <v>#ERROR!</v>
      </c>
      <c r="P165" s="6" t="str">
        <f>SUMIFS([1]order_sku_sales_bb2_report!O:O,[1]order_sku_sales_bb2_report!H:H,C27908,[1]order_sku_sales_bb2_report!J:J,H27908)</f>
        <v>#ERROR!</v>
      </c>
      <c r="Q165" s="6" t="str">
        <f t="shared" si="1"/>
        <v>22-12-2025</v>
      </c>
      <c r="R165" s="6" t="str">
        <f>IFERROR( VLOOKUP(C27908,[1]expressOrderReport!$S:$AZ,34,0),0)</f>
        <v>#ERROR!</v>
      </c>
      <c r="S165" s="6" t="str">
        <f>ARRAY_CONSTRAIN(ARRAYFORMULA(_xludf.XLOOKUP(D27908,[1]order_Report_SA_ID_BB2.0!V:V,[1]order_Report_SA_ID_BB2.0!AM:AM,"")), 1, 1)</f>
        <v>#ERROR!</v>
      </c>
      <c r="T165" s="6" t="str">
        <f t="shared" si="2"/>
        <v>Dec'25</v>
      </c>
    </row>
    <row r="166" ht="15.75" customHeight="1">
      <c r="A166" s="5">
        <v>46013.0</v>
      </c>
      <c r="B166" s="6">
        <v>8271.0</v>
      </c>
      <c r="C166" s="6">
        <v>1.859166072E9</v>
      </c>
      <c r="D166" s="6">
        <v>9045177.0</v>
      </c>
      <c r="E166" s="6" t="s">
        <v>305</v>
      </c>
      <c r="F166" s="6" t="s">
        <v>306</v>
      </c>
      <c r="G166" s="6">
        <v>8.197323344E9</v>
      </c>
      <c r="H166" s="6">
        <v>4.0161616E7</v>
      </c>
      <c r="I166" s="6" t="s">
        <v>20</v>
      </c>
      <c r="J166" s="6" t="s">
        <v>21</v>
      </c>
      <c r="K166" s="6" t="s">
        <v>22</v>
      </c>
      <c r="L166" s="6">
        <v>84.0</v>
      </c>
      <c r="M166" s="5">
        <v>46013.0</v>
      </c>
      <c r="N166" s="6" t="s">
        <v>23</v>
      </c>
      <c r="O166" s="6" t="str">
        <f>SUMIFS([1]order_sku_sales_bb2_report!P:P,[1]order_sku_sales_bb2_report!H:H,C27909,[1]order_sku_sales_bb2_report!J:J,H27909)</f>
        <v>#ERROR!</v>
      </c>
      <c r="P166" s="6" t="str">
        <f>SUMIFS([1]order_sku_sales_bb2_report!O:O,[1]order_sku_sales_bb2_report!H:H,C27909,[1]order_sku_sales_bb2_report!J:J,H27909)</f>
        <v>#ERROR!</v>
      </c>
      <c r="Q166" s="6" t="str">
        <f t="shared" si="1"/>
        <v>22-12-2025</v>
      </c>
      <c r="R166" s="6" t="str">
        <f>IFERROR( VLOOKUP(C27909,[1]expressOrderReport!$S:$AZ,34,0),0)</f>
        <v>#ERROR!</v>
      </c>
      <c r="S166" s="6" t="str">
        <f>ARRAY_CONSTRAIN(ARRAYFORMULA(_xludf.XLOOKUP(D27909,[1]order_Report_SA_ID_BB2.0!V:V,[1]order_Report_SA_ID_BB2.0!AM:AM,"")), 1, 1)</f>
        <v>#ERROR!</v>
      </c>
      <c r="T166" s="6" t="str">
        <f t="shared" si="2"/>
        <v>Dec'25</v>
      </c>
    </row>
    <row r="167" ht="15.75" customHeight="1">
      <c r="A167" s="5">
        <v>46013.0</v>
      </c>
      <c r="B167" s="6">
        <v>6128.0</v>
      </c>
      <c r="C167" s="6">
        <v>1.85916608E9</v>
      </c>
      <c r="D167" s="6">
        <v>2.4495534E7</v>
      </c>
      <c r="E167" s="6" t="s">
        <v>307</v>
      </c>
      <c r="F167" s="6" t="s">
        <v>308</v>
      </c>
      <c r="G167" s="6">
        <v>9.243195382E9</v>
      </c>
      <c r="H167" s="6">
        <v>4.0158264E7</v>
      </c>
      <c r="I167" s="6" t="s">
        <v>26</v>
      </c>
      <c r="J167" s="6" t="s">
        <v>21</v>
      </c>
      <c r="K167" s="6" t="s">
        <v>22</v>
      </c>
      <c r="L167" s="6">
        <v>46.0</v>
      </c>
      <c r="M167" s="5">
        <v>46013.0</v>
      </c>
      <c r="N167" s="6" t="s">
        <v>23</v>
      </c>
      <c r="O167" s="6" t="str">
        <f>SUMIFS([1]order_sku_sales_bb2_report!P:P,[1]order_sku_sales_bb2_report!H:H,C27910,[1]order_sku_sales_bb2_report!J:J,H27910)</f>
        <v>#ERROR!</v>
      </c>
      <c r="P167" s="6" t="str">
        <f>SUMIFS([1]order_sku_sales_bb2_report!O:O,[1]order_sku_sales_bb2_report!H:H,C27910,[1]order_sku_sales_bb2_report!J:J,H27910)</f>
        <v>#ERROR!</v>
      </c>
      <c r="Q167" s="6" t="str">
        <f t="shared" si="1"/>
        <v>22-12-2025</v>
      </c>
      <c r="R167" s="6" t="str">
        <f>IFERROR( VLOOKUP(C27910,[1]expressOrderReport!$S:$AZ,34,0),0)</f>
        <v>#ERROR!</v>
      </c>
      <c r="S167" s="6" t="str">
        <f>ARRAY_CONSTRAIN(ARRAYFORMULA(_xludf.XLOOKUP(D27910,[1]order_Report_SA_ID_BB2.0!V:V,[1]order_Report_SA_ID_BB2.0!AM:AM,"")), 1, 1)</f>
        <v>#ERROR!</v>
      </c>
      <c r="T167" s="6" t="str">
        <f t="shared" si="2"/>
        <v>Dec'25</v>
      </c>
    </row>
    <row r="168" ht="15.75" customHeight="1">
      <c r="A168" s="5">
        <v>46013.0</v>
      </c>
      <c r="B168" s="6">
        <v>4345.0</v>
      </c>
      <c r="C168" s="6">
        <v>1.859166088E9</v>
      </c>
      <c r="D168" s="6">
        <v>7539492.0</v>
      </c>
      <c r="E168" s="6" t="s">
        <v>309</v>
      </c>
      <c r="F168" s="6" t="s">
        <v>310</v>
      </c>
      <c r="G168" s="6">
        <v>9.923913892E9</v>
      </c>
      <c r="H168" s="6">
        <v>4.0149832E7</v>
      </c>
      <c r="I168" s="6" t="s">
        <v>26</v>
      </c>
      <c r="J168" s="6" t="s">
        <v>21</v>
      </c>
      <c r="K168" s="6" t="s">
        <v>22</v>
      </c>
      <c r="L168" s="6">
        <v>24.0</v>
      </c>
      <c r="M168" s="5">
        <v>46013.0</v>
      </c>
      <c r="N168" s="6" t="s">
        <v>23</v>
      </c>
      <c r="O168" s="6" t="str">
        <f>SUMIFS([1]order_sku_sales_bb2_report!P:P,[1]order_sku_sales_bb2_report!H:H,C27911,[1]order_sku_sales_bb2_report!J:J,H27911)</f>
        <v>#ERROR!</v>
      </c>
      <c r="P168" s="6" t="str">
        <f>SUMIFS([1]order_sku_sales_bb2_report!O:O,[1]order_sku_sales_bb2_report!H:H,C27911,[1]order_sku_sales_bb2_report!J:J,H27911)</f>
        <v>#ERROR!</v>
      </c>
      <c r="Q168" s="6" t="str">
        <f t="shared" si="1"/>
        <v>22-12-2025</v>
      </c>
      <c r="R168" s="6" t="str">
        <f>IFERROR( VLOOKUP(C27911,[1]expressOrderReport!$S:$AZ,34,0),0)</f>
        <v>#ERROR!</v>
      </c>
      <c r="S168" s="6" t="str">
        <f>ARRAY_CONSTRAIN(ARRAYFORMULA(_xludf.XLOOKUP(D27911,[1]order_Report_SA_ID_BB2.0!V:V,[1]order_Report_SA_ID_BB2.0!AM:AM,"")), 1, 1)</f>
        <v>#ERROR!</v>
      </c>
      <c r="T168" s="6" t="str">
        <f t="shared" si="2"/>
        <v>Dec'25</v>
      </c>
    </row>
    <row r="169" ht="15.75" customHeight="1">
      <c r="A169" s="5">
        <v>46013.0</v>
      </c>
      <c r="B169" s="6">
        <v>1401.0</v>
      </c>
      <c r="C169" s="6">
        <v>1.859166096E9</v>
      </c>
      <c r="D169" s="6">
        <v>2.2635444E7</v>
      </c>
      <c r="E169" s="6" t="s">
        <v>311</v>
      </c>
      <c r="F169" s="6" t="s">
        <v>312</v>
      </c>
      <c r="G169" s="6">
        <v>9.108582684E9</v>
      </c>
      <c r="H169" s="6">
        <v>4.0158264E7</v>
      </c>
      <c r="I169" s="6" t="s">
        <v>26</v>
      </c>
      <c r="J169" s="6" t="s">
        <v>21</v>
      </c>
      <c r="K169" s="6" t="s">
        <v>22</v>
      </c>
      <c r="L169" s="6">
        <v>46.0</v>
      </c>
      <c r="M169" s="5">
        <v>46013.0</v>
      </c>
      <c r="N169" s="6" t="s">
        <v>23</v>
      </c>
      <c r="O169" s="6" t="str">
        <f>SUMIFS([1]order_sku_sales_bb2_report!P:P,[1]order_sku_sales_bb2_report!H:H,C27912,[1]order_sku_sales_bb2_report!J:J,H27912)</f>
        <v>#ERROR!</v>
      </c>
      <c r="P169" s="6" t="str">
        <f>SUMIFS([1]order_sku_sales_bb2_report!O:O,[1]order_sku_sales_bb2_report!H:H,C27912,[1]order_sku_sales_bb2_report!J:J,H27912)</f>
        <v>#ERROR!</v>
      </c>
      <c r="Q169" s="6" t="str">
        <f t="shared" si="1"/>
        <v>22-12-2025</v>
      </c>
      <c r="R169" s="6" t="str">
        <f>IFERROR( VLOOKUP(C27912,[1]expressOrderReport!$S:$AZ,34,0),0)</f>
        <v>#ERROR!</v>
      </c>
      <c r="S169" s="6" t="str">
        <f>ARRAY_CONSTRAIN(ARRAYFORMULA(_xludf.XLOOKUP(D27912,[1]order_Report_SA_ID_BB2.0!V:V,[1]order_Report_SA_ID_BB2.0!AM:AM,"")), 1, 1)</f>
        <v>#ERROR!</v>
      </c>
      <c r="T169" s="6" t="str">
        <f t="shared" si="2"/>
        <v>Dec'25</v>
      </c>
    </row>
    <row r="170" ht="15.75" customHeight="1">
      <c r="A170" s="5">
        <v>46013.0</v>
      </c>
      <c r="B170" s="6">
        <v>11030.0</v>
      </c>
      <c r="C170" s="6">
        <v>1.859166102E9</v>
      </c>
      <c r="D170" s="6">
        <v>2.471955E7</v>
      </c>
      <c r="E170" s="6" t="s">
        <v>313</v>
      </c>
      <c r="F170" s="6" t="s">
        <v>314</v>
      </c>
      <c r="G170" s="6">
        <v>9.054069416E9</v>
      </c>
      <c r="H170" s="6">
        <v>4.0154334E7</v>
      </c>
      <c r="I170" s="6" t="s">
        <v>300</v>
      </c>
      <c r="J170" s="6" t="s">
        <v>21</v>
      </c>
      <c r="K170" s="6" t="s">
        <v>22</v>
      </c>
      <c r="L170" s="6">
        <v>48.0</v>
      </c>
      <c r="M170" s="5">
        <v>46013.0</v>
      </c>
      <c r="N170" s="6" t="s">
        <v>23</v>
      </c>
      <c r="O170" s="6" t="str">
        <f>SUMIFS([1]order_sku_sales_bb2_report!P:P,[1]order_sku_sales_bb2_report!H:H,C27913,[1]order_sku_sales_bb2_report!J:J,H27913)</f>
        <v>#ERROR!</v>
      </c>
      <c r="P170" s="6" t="str">
        <f>SUMIFS([1]order_sku_sales_bb2_report!O:O,[1]order_sku_sales_bb2_report!H:H,C27913,[1]order_sku_sales_bb2_report!J:J,H27913)</f>
        <v>#ERROR!</v>
      </c>
      <c r="Q170" s="6" t="str">
        <f t="shared" si="1"/>
        <v>22-12-2025</v>
      </c>
      <c r="R170" s="6" t="str">
        <f>IFERROR( VLOOKUP(C27913,[1]expressOrderReport!$S:$AZ,34,0),0)</f>
        <v>#ERROR!</v>
      </c>
      <c r="S170" s="6" t="str">
        <f>ARRAY_CONSTRAIN(ARRAYFORMULA(_xludf.XLOOKUP(D27913,[1]order_Report_SA_ID_BB2.0!V:V,[1]order_Report_SA_ID_BB2.0!AM:AM,"")), 1, 1)</f>
        <v>#ERROR!</v>
      </c>
      <c r="T170" s="6" t="str">
        <f t="shared" si="2"/>
        <v>Dec'25</v>
      </c>
    </row>
    <row r="171" ht="15.75" customHeight="1">
      <c r="A171" s="5">
        <v>46013.0</v>
      </c>
      <c r="B171" s="6">
        <v>9625.0</v>
      </c>
      <c r="C171" s="6">
        <v>1.859166107E9</v>
      </c>
      <c r="D171" s="6">
        <v>1771879.0</v>
      </c>
      <c r="E171" s="6" t="s">
        <v>315</v>
      </c>
      <c r="F171" s="6" t="s">
        <v>316</v>
      </c>
      <c r="G171" s="6">
        <v>9.779939656E9</v>
      </c>
      <c r="H171" s="6">
        <v>4.0147597E7</v>
      </c>
      <c r="I171" s="6" t="s">
        <v>59</v>
      </c>
      <c r="J171" s="6" t="s">
        <v>21</v>
      </c>
      <c r="K171" s="6" t="s">
        <v>22</v>
      </c>
      <c r="L171" s="6">
        <v>26.0</v>
      </c>
      <c r="M171" s="5">
        <v>46013.0</v>
      </c>
      <c r="N171" s="6" t="s">
        <v>23</v>
      </c>
      <c r="O171" s="6" t="str">
        <f>SUMIFS([1]order_sku_sales_bb2_report!P:P,[1]order_sku_sales_bb2_report!H:H,C27914,[1]order_sku_sales_bb2_report!J:J,H27914)</f>
        <v>#ERROR!</v>
      </c>
      <c r="P171" s="6" t="str">
        <f>SUMIFS([1]order_sku_sales_bb2_report!O:O,[1]order_sku_sales_bb2_report!H:H,C27914,[1]order_sku_sales_bb2_report!J:J,H27914)</f>
        <v>#ERROR!</v>
      </c>
      <c r="Q171" s="6" t="str">
        <f t="shared" si="1"/>
        <v>22-12-2025</v>
      </c>
      <c r="R171" s="6" t="str">
        <f>IFERROR( VLOOKUP(C27914,[1]expressOrderReport!$S:$AZ,34,0),0)</f>
        <v>#ERROR!</v>
      </c>
      <c r="S171" s="6" t="str">
        <f>ARRAY_CONSTRAIN(ARRAYFORMULA(_xludf.XLOOKUP(D27914,[1]order_Report_SA_ID_BB2.0!V:V,[1]order_Report_SA_ID_BB2.0!AM:AM,"")), 1, 1)</f>
        <v>#ERROR!</v>
      </c>
      <c r="T171" s="6" t="str">
        <f t="shared" si="2"/>
        <v>Dec'25</v>
      </c>
    </row>
    <row r="172" ht="15.75" customHeight="1">
      <c r="A172" s="5">
        <v>46013.0</v>
      </c>
      <c r="B172" s="6">
        <v>8322.0</v>
      </c>
      <c r="C172" s="6">
        <v>1.859166115E9</v>
      </c>
      <c r="D172" s="6">
        <v>2.2644763E7</v>
      </c>
      <c r="E172" s="6" t="s">
        <v>317</v>
      </c>
      <c r="F172" s="6" t="s">
        <v>318</v>
      </c>
      <c r="G172" s="6">
        <v>9.968313824E9</v>
      </c>
      <c r="H172" s="6">
        <v>4.014983E7</v>
      </c>
      <c r="I172" s="6" t="s">
        <v>30</v>
      </c>
      <c r="J172" s="6" t="s">
        <v>21</v>
      </c>
      <c r="K172" s="6" t="s">
        <v>22</v>
      </c>
      <c r="L172" s="6">
        <v>148.0</v>
      </c>
      <c r="M172" s="5">
        <v>46013.0</v>
      </c>
      <c r="N172" s="6" t="s">
        <v>23</v>
      </c>
      <c r="O172" s="6" t="str">
        <f>SUMIFS([1]order_sku_sales_bb2_report!P:P,[1]order_sku_sales_bb2_report!H:H,C27915,[1]order_sku_sales_bb2_report!J:J,H27915)</f>
        <v>#ERROR!</v>
      </c>
      <c r="P172" s="6" t="str">
        <f>SUMIFS([1]order_sku_sales_bb2_report!O:O,[1]order_sku_sales_bb2_report!H:H,C27915,[1]order_sku_sales_bb2_report!J:J,H27915)</f>
        <v>#ERROR!</v>
      </c>
      <c r="Q172" s="6" t="str">
        <f t="shared" si="1"/>
        <v>22-12-2025</v>
      </c>
      <c r="R172" s="6" t="str">
        <f>IFERROR( VLOOKUP(C27915,[1]expressOrderReport!$S:$AZ,34,0),0)</f>
        <v>#ERROR!</v>
      </c>
      <c r="S172" s="6" t="str">
        <f>ARRAY_CONSTRAIN(ARRAYFORMULA(_xludf.XLOOKUP(D27915,[1]order_Report_SA_ID_BB2.0!V:V,[1]order_Report_SA_ID_BB2.0!AM:AM,"")), 1, 1)</f>
        <v>#ERROR!</v>
      </c>
      <c r="T172" s="6" t="str">
        <f t="shared" si="2"/>
        <v>Dec'25</v>
      </c>
    </row>
    <row r="173" ht="15.75" customHeight="1">
      <c r="A173" s="5">
        <v>46013.0</v>
      </c>
      <c r="B173" s="6">
        <v>8323.0</v>
      </c>
      <c r="C173" s="6">
        <v>1.859166115E9</v>
      </c>
      <c r="D173" s="6">
        <v>2.2644763E7</v>
      </c>
      <c r="E173" s="6" t="s">
        <v>317</v>
      </c>
      <c r="F173" s="6" t="s">
        <v>318</v>
      </c>
      <c r="G173" s="6">
        <v>9.968313824E9</v>
      </c>
      <c r="H173" s="6">
        <v>4.0158264E7</v>
      </c>
      <c r="I173" s="6" t="s">
        <v>26</v>
      </c>
      <c r="J173" s="6" t="s">
        <v>21</v>
      </c>
      <c r="K173" s="6" t="s">
        <v>22</v>
      </c>
      <c r="L173" s="6">
        <v>148.0</v>
      </c>
      <c r="M173" s="5">
        <v>46013.0</v>
      </c>
      <c r="N173" s="6" t="s">
        <v>23</v>
      </c>
      <c r="O173" s="6" t="str">
        <f>SUMIFS([1]order_sku_sales_bb2_report!P:P,[1]order_sku_sales_bb2_report!H:H,C27916,[1]order_sku_sales_bb2_report!J:J,H27916)</f>
        <v>#ERROR!</v>
      </c>
      <c r="P173" s="6" t="str">
        <f>SUMIFS([1]order_sku_sales_bb2_report!O:O,[1]order_sku_sales_bb2_report!H:H,C27916,[1]order_sku_sales_bb2_report!J:J,H27916)</f>
        <v>#ERROR!</v>
      </c>
      <c r="Q173" s="6" t="str">
        <f t="shared" si="1"/>
        <v>22-12-2025</v>
      </c>
      <c r="R173" s="6" t="str">
        <f>IFERROR( VLOOKUP(C27916,[1]expressOrderReport!$S:$AZ,34,0),0)</f>
        <v>#ERROR!</v>
      </c>
      <c r="S173" s="6" t="str">
        <f>ARRAY_CONSTRAIN(ARRAYFORMULA(_xludf.XLOOKUP(D27916,[1]order_Report_SA_ID_BB2.0!V:V,[1]order_Report_SA_ID_BB2.0!AM:AM,"")), 1, 1)</f>
        <v>#ERROR!</v>
      </c>
      <c r="T173" s="6" t="str">
        <f t="shared" si="2"/>
        <v>Dec'25</v>
      </c>
    </row>
    <row r="174" ht="15.75" customHeight="1">
      <c r="A174" s="5">
        <v>46013.0</v>
      </c>
      <c r="B174" s="6">
        <v>11795.0</v>
      </c>
      <c r="C174" s="6">
        <v>1.859166123E9</v>
      </c>
      <c r="D174" s="6">
        <v>542454.0</v>
      </c>
      <c r="E174" s="6" t="s">
        <v>319</v>
      </c>
      <c r="F174" s="6" t="s">
        <v>320</v>
      </c>
      <c r="G174" s="6">
        <v>9.740481645E9</v>
      </c>
      <c r="H174" s="6">
        <v>4.0149834E7</v>
      </c>
      <c r="I174" s="6" t="s">
        <v>40</v>
      </c>
      <c r="J174" s="6" t="s">
        <v>21</v>
      </c>
      <c r="K174" s="6" t="s">
        <v>22</v>
      </c>
      <c r="L174" s="6">
        <v>79.0</v>
      </c>
      <c r="M174" s="5">
        <v>46013.0</v>
      </c>
      <c r="N174" s="6" t="s">
        <v>23</v>
      </c>
      <c r="O174" s="6" t="str">
        <f>SUMIFS([1]order_sku_sales_bb2_report!P:P,[1]order_sku_sales_bb2_report!H:H,C27917,[1]order_sku_sales_bb2_report!J:J,H27917)</f>
        <v>#ERROR!</v>
      </c>
      <c r="P174" s="6" t="str">
        <f>SUMIFS([1]order_sku_sales_bb2_report!O:O,[1]order_sku_sales_bb2_report!H:H,C27917,[1]order_sku_sales_bb2_report!J:J,H27917)</f>
        <v>#ERROR!</v>
      </c>
      <c r="Q174" s="6" t="str">
        <f t="shared" si="1"/>
        <v>22-12-2025</v>
      </c>
      <c r="R174" s="6" t="str">
        <f>IFERROR( VLOOKUP(C27917,[1]expressOrderReport!$S:$AZ,34,0),0)</f>
        <v>#ERROR!</v>
      </c>
      <c r="S174" s="6" t="str">
        <f>ARRAY_CONSTRAIN(ARRAYFORMULA(_xludf.XLOOKUP(D27917,[1]order_Report_SA_ID_BB2.0!V:V,[1]order_Report_SA_ID_BB2.0!AM:AM,"")), 1, 1)</f>
        <v>#ERROR!</v>
      </c>
      <c r="T174" s="6" t="str">
        <f t="shared" si="2"/>
        <v>Dec'25</v>
      </c>
    </row>
    <row r="175" ht="15.75" customHeight="1">
      <c r="A175" s="5">
        <v>46013.0</v>
      </c>
      <c r="B175" s="6">
        <v>11796.0</v>
      </c>
      <c r="C175" s="6">
        <v>1.859166123E9</v>
      </c>
      <c r="D175" s="6">
        <v>542454.0</v>
      </c>
      <c r="E175" s="6" t="s">
        <v>319</v>
      </c>
      <c r="F175" s="6" t="s">
        <v>320</v>
      </c>
      <c r="G175" s="6">
        <v>9.740481645E9</v>
      </c>
      <c r="H175" s="6">
        <v>4.0149833E7</v>
      </c>
      <c r="I175" s="6" t="s">
        <v>40</v>
      </c>
      <c r="J175" s="6" t="s">
        <v>21</v>
      </c>
      <c r="K175" s="6" t="s">
        <v>22</v>
      </c>
      <c r="L175" s="6">
        <v>79.0</v>
      </c>
      <c r="M175" s="5">
        <v>46013.0</v>
      </c>
      <c r="N175" s="6" t="s">
        <v>23</v>
      </c>
      <c r="O175" s="6" t="str">
        <f>SUMIFS([1]order_sku_sales_bb2_report!P:P,[1]order_sku_sales_bb2_report!H:H,C27918,[1]order_sku_sales_bb2_report!J:J,H27918)</f>
        <v>#ERROR!</v>
      </c>
      <c r="P175" s="6" t="str">
        <f>SUMIFS([1]order_sku_sales_bb2_report!O:O,[1]order_sku_sales_bb2_report!H:H,C27918,[1]order_sku_sales_bb2_report!J:J,H27918)</f>
        <v>#ERROR!</v>
      </c>
      <c r="Q175" s="6" t="str">
        <f t="shared" si="1"/>
        <v>22-12-2025</v>
      </c>
      <c r="R175" s="6" t="str">
        <f>IFERROR( VLOOKUP(C27918,[1]expressOrderReport!$S:$AZ,34,0),0)</f>
        <v>#ERROR!</v>
      </c>
      <c r="S175" s="6" t="str">
        <f>ARRAY_CONSTRAIN(ARRAYFORMULA(_xludf.XLOOKUP(D27918,[1]order_Report_SA_ID_BB2.0!V:V,[1]order_Report_SA_ID_BB2.0!AM:AM,"")), 1, 1)</f>
        <v>#ERROR!</v>
      </c>
      <c r="T175" s="6" t="str">
        <f t="shared" si="2"/>
        <v>Dec'25</v>
      </c>
    </row>
    <row r="176" ht="15.75" customHeight="1">
      <c r="A176" s="5">
        <v>46013.0</v>
      </c>
      <c r="B176" s="6">
        <v>4412.0</v>
      </c>
      <c r="C176" s="6">
        <v>1.85916613E9</v>
      </c>
      <c r="D176" s="6">
        <v>2.5372019E7</v>
      </c>
      <c r="E176" s="6" t="s">
        <v>321</v>
      </c>
      <c r="F176" s="6" t="s">
        <v>322</v>
      </c>
      <c r="G176" s="6">
        <v>9.845747461E9</v>
      </c>
      <c r="H176" s="6">
        <v>4.0149833E7</v>
      </c>
      <c r="I176" s="6" t="s">
        <v>40</v>
      </c>
      <c r="J176" s="6" t="s">
        <v>21</v>
      </c>
      <c r="K176" s="6" t="s">
        <v>22</v>
      </c>
      <c r="L176" s="6">
        <v>54.0</v>
      </c>
      <c r="M176" s="5">
        <v>46013.0</v>
      </c>
      <c r="N176" s="6" t="s">
        <v>23</v>
      </c>
      <c r="O176" s="6" t="str">
        <f>SUMIFS([1]order_sku_sales_bb2_report!P:P,[1]order_sku_sales_bb2_report!H:H,C27919,[1]order_sku_sales_bb2_report!J:J,H27919)</f>
        <v>#ERROR!</v>
      </c>
      <c r="P176" s="6" t="str">
        <f>SUMIFS([1]order_sku_sales_bb2_report!O:O,[1]order_sku_sales_bb2_report!H:H,C27919,[1]order_sku_sales_bb2_report!J:J,H27919)</f>
        <v>#ERROR!</v>
      </c>
      <c r="Q176" s="6" t="str">
        <f t="shared" si="1"/>
        <v>22-12-2025</v>
      </c>
      <c r="R176" s="6" t="str">
        <f>IFERROR( VLOOKUP(C27919,[1]expressOrderReport!$S:$AZ,34,0),0)</f>
        <v>#ERROR!</v>
      </c>
      <c r="S176" s="6" t="str">
        <f>ARRAY_CONSTRAIN(ARRAYFORMULA(_xludf.XLOOKUP(D27919,[1]order_Report_SA_ID_BB2.0!V:V,[1]order_Report_SA_ID_BB2.0!AM:AM,"")), 1, 1)</f>
        <v>#ERROR!</v>
      </c>
      <c r="T176" s="6" t="str">
        <f t="shared" si="2"/>
        <v>Dec'25</v>
      </c>
    </row>
    <row r="177" ht="15.75" customHeight="1">
      <c r="A177" s="5">
        <v>46013.0</v>
      </c>
      <c r="B177" s="6">
        <v>4857.0</v>
      </c>
      <c r="C177" s="6">
        <v>1.859166136E9</v>
      </c>
      <c r="D177" s="6">
        <v>2.5596829E7</v>
      </c>
      <c r="E177" s="6" t="s">
        <v>323</v>
      </c>
      <c r="F177" s="6" t="s">
        <v>324</v>
      </c>
      <c r="G177" s="6">
        <v>9.643437883E9</v>
      </c>
      <c r="H177" s="6">
        <v>4.0090893E7</v>
      </c>
      <c r="I177" s="6" t="s">
        <v>35</v>
      </c>
      <c r="J177" s="6" t="s">
        <v>21</v>
      </c>
      <c r="K177" s="6" t="s">
        <v>22</v>
      </c>
      <c r="L177" s="6">
        <v>66.0</v>
      </c>
      <c r="M177" s="5">
        <v>46013.0</v>
      </c>
      <c r="N177" s="6" t="s">
        <v>23</v>
      </c>
      <c r="O177" s="6" t="str">
        <f>SUMIFS([1]order_sku_sales_bb2_report!P:P,[1]order_sku_sales_bb2_report!H:H,C27920,[1]order_sku_sales_bb2_report!J:J,H27920)</f>
        <v>#ERROR!</v>
      </c>
      <c r="P177" s="6" t="str">
        <f>SUMIFS([1]order_sku_sales_bb2_report!O:O,[1]order_sku_sales_bb2_report!H:H,C27920,[1]order_sku_sales_bb2_report!J:J,H27920)</f>
        <v>#ERROR!</v>
      </c>
      <c r="Q177" s="6" t="str">
        <f t="shared" si="1"/>
        <v>22-12-2025</v>
      </c>
      <c r="R177" s="6" t="str">
        <f>IFERROR( VLOOKUP(C27920,[1]expressOrderReport!$S:$AZ,34,0),0)</f>
        <v>#ERROR!</v>
      </c>
      <c r="S177" s="6" t="str">
        <f>ARRAY_CONSTRAIN(ARRAYFORMULA(_xludf.XLOOKUP(D27920,[1]order_Report_SA_ID_BB2.0!V:V,[1]order_Report_SA_ID_BB2.0!AM:AM,"")), 1, 1)</f>
        <v>#ERROR!</v>
      </c>
      <c r="T177" s="6" t="str">
        <f t="shared" si="2"/>
        <v>Dec'25</v>
      </c>
    </row>
    <row r="178" ht="15.75" customHeight="1">
      <c r="A178" s="5">
        <v>46013.0</v>
      </c>
      <c r="B178" s="6">
        <v>6671.0</v>
      </c>
      <c r="C178" s="6">
        <v>1.859166142E9</v>
      </c>
      <c r="D178" s="6">
        <v>2.2701478E7</v>
      </c>
      <c r="E178" s="6" t="s">
        <v>325</v>
      </c>
      <c r="F178" s="6" t="s">
        <v>326</v>
      </c>
      <c r="G178" s="6">
        <v>9.900133759E9</v>
      </c>
      <c r="H178" s="6">
        <v>4.0149832E7</v>
      </c>
      <c r="I178" s="6" t="s">
        <v>26</v>
      </c>
      <c r="J178" s="6" t="s">
        <v>21</v>
      </c>
      <c r="K178" s="6" t="s">
        <v>22</v>
      </c>
      <c r="L178" s="6">
        <v>24.0</v>
      </c>
      <c r="M178" s="5">
        <v>46013.0</v>
      </c>
      <c r="N178" s="6" t="s">
        <v>23</v>
      </c>
      <c r="O178" s="6" t="str">
        <f>SUMIFS([1]order_sku_sales_bb2_report!P:P,[1]order_sku_sales_bb2_report!H:H,C27921,[1]order_sku_sales_bb2_report!J:J,H27921)</f>
        <v>#ERROR!</v>
      </c>
      <c r="P178" s="6" t="str">
        <f>SUMIFS([1]order_sku_sales_bb2_report!O:O,[1]order_sku_sales_bb2_report!H:H,C27921,[1]order_sku_sales_bb2_report!J:J,H27921)</f>
        <v>#ERROR!</v>
      </c>
      <c r="Q178" s="6" t="str">
        <f t="shared" si="1"/>
        <v>22-12-2025</v>
      </c>
      <c r="R178" s="6" t="str">
        <f>IFERROR( VLOOKUP(C27921,[1]expressOrderReport!$S:$AZ,34,0),0)</f>
        <v>#ERROR!</v>
      </c>
      <c r="S178" s="6" t="str">
        <f>ARRAY_CONSTRAIN(ARRAYFORMULA(_xludf.XLOOKUP(D27921,[1]order_Report_SA_ID_BB2.0!V:V,[1]order_Report_SA_ID_BB2.0!AM:AM,"")), 1, 1)</f>
        <v>#ERROR!</v>
      </c>
      <c r="T178" s="6" t="str">
        <f t="shared" si="2"/>
        <v>Dec'25</v>
      </c>
    </row>
    <row r="179" ht="15.75" customHeight="1">
      <c r="A179" s="5">
        <v>46013.0</v>
      </c>
      <c r="B179" s="6">
        <v>5640.0</v>
      </c>
      <c r="C179" s="6">
        <v>1.859166148E9</v>
      </c>
      <c r="D179" s="6">
        <v>2.5787838E7</v>
      </c>
      <c r="E179" s="6" t="s">
        <v>327</v>
      </c>
      <c r="F179" s="6" t="s">
        <v>328</v>
      </c>
      <c r="G179" s="6">
        <v>8.762146512E9</v>
      </c>
      <c r="H179" s="6">
        <v>4.0149834E7</v>
      </c>
      <c r="I179" s="6" t="s">
        <v>40</v>
      </c>
      <c r="J179" s="6" t="s">
        <v>21</v>
      </c>
      <c r="K179" s="6" t="s">
        <v>22</v>
      </c>
      <c r="L179" s="6">
        <v>52.0</v>
      </c>
      <c r="M179" s="5">
        <v>46013.0</v>
      </c>
      <c r="N179" s="6" t="s">
        <v>23</v>
      </c>
      <c r="O179" s="6" t="str">
        <f>SUMIFS([1]order_sku_sales_bb2_report!P:P,[1]order_sku_sales_bb2_report!H:H,C27922,[1]order_sku_sales_bb2_report!J:J,H27922)</f>
        <v>#ERROR!</v>
      </c>
      <c r="P179" s="6" t="str">
        <f>SUMIFS([1]order_sku_sales_bb2_report!O:O,[1]order_sku_sales_bb2_report!H:H,C27922,[1]order_sku_sales_bb2_report!J:J,H27922)</f>
        <v>#ERROR!</v>
      </c>
      <c r="Q179" s="6" t="str">
        <f t="shared" si="1"/>
        <v>22-12-2025</v>
      </c>
      <c r="R179" s="6" t="str">
        <f>IFERROR( VLOOKUP(C27922,[1]expressOrderReport!$S:$AZ,34,0),0)</f>
        <v>#ERROR!</v>
      </c>
      <c r="S179" s="6" t="str">
        <f>ARRAY_CONSTRAIN(ARRAYFORMULA(_xludf.XLOOKUP(D27922,[1]order_Report_SA_ID_BB2.0!V:V,[1]order_Report_SA_ID_BB2.0!AM:AM,"")), 1, 1)</f>
        <v>#ERROR!</v>
      </c>
      <c r="T179" s="6" t="str">
        <f t="shared" si="2"/>
        <v>Dec'25</v>
      </c>
    </row>
    <row r="180" ht="15.75" customHeight="1">
      <c r="A180" s="5">
        <v>46013.0</v>
      </c>
      <c r="B180" s="6">
        <v>8334.0</v>
      </c>
      <c r="C180" s="6">
        <v>1.859166157E9</v>
      </c>
      <c r="D180" s="6">
        <v>1.9670361E7</v>
      </c>
      <c r="E180" s="6" t="s">
        <v>329</v>
      </c>
      <c r="F180" s="6" t="s">
        <v>330</v>
      </c>
      <c r="G180" s="6">
        <v>8.668412699E9</v>
      </c>
      <c r="H180" s="6">
        <v>4.0149833E7</v>
      </c>
      <c r="I180" s="6" t="s">
        <v>40</v>
      </c>
      <c r="J180" s="6" t="s">
        <v>21</v>
      </c>
      <c r="K180" s="6" t="s">
        <v>22</v>
      </c>
      <c r="L180" s="6">
        <v>27.0</v>
      </c>
      <c r="M180" s="5">
        <v>46013.0</v>
      </c>
      <c r="N180" s="6" t="s">
        <v>23</v>
      </c>
      <c r="O180" s="6" t="str">
        <f>SUMIFS([1]order_sku_sales_bb2_report!P:P,[1]order_sku_sales_bb2_report!H:H,C27923,[1]order_sku_sales_bb2_report!J:J,H27923)</f>
        <v>#ERROR!</v>
      </c>
      <c r="P180" s="6" t="str">
        <f>SUMIFS([1]order_sku_sales_bb2_report!O:O,[1]order_sku_sales_bb2_report!H:H,C27923,[1]order_sku_sales_bb2_report!J:J,H27923)</f>
        <v>#ERROR!</v>
      </c>
      <c r="Q180" s="6" t="str">
        <f t="shared" si="1"/>
        <v>22-12-2025</v>
      </c>
      <c r="R180" s="6" t="str">
        <f>IFERROR( VLOOKUP(C27923,[1]expressOrderReport!$S:$AZ,34,0),0)</f>
        <v>#ERROR!</v>
      </c>
      <c r="S180" s="6" t="str">
        <f>ARRAY_CONSTRAIN(ARRAYFORMULA(_xludf.XLOOKUP(D27923,[1]order_Report_SA_ID_BB2.0!V:V,[1]order_Report_SA_ID_BB2.0!AM:AM,"")), 1, 1)</f>
        <v>#ERROR!</v>
      </c>
      <c r="T180" s="6" t="str">
        <f t="shared" si="2"/>
        <v>Dec'25</v>
      </c>
    </row>
    <row r="181" ht="15.75" customHeight="1">
      <c r="A181" s="5">
        <v>46013.0</v>
      </c>
      <c r="B181" s="6">
        <v>3177.0</v>
      </c>
      <c r="C181" s="6">
        <v>1.859166164E9</v>
      </c>
      <c r="D181" s="6">
        <v>2.6221215E7</v>
      </c>
      <c r="E181" s="6" t="s">
        <v>331</v>
      </c>
      <c r="F181" s="6" t="s">
        <v>332</v>
      </c>
      <c r="G181" s="6">
        <v>8.152878529E9</v>
      </c>
      <c r="H181" s="6">
        <v>4.0054183E7</v>
      </c>
      <c r="I181" s="6" t="s">
        <v>157</v>
      </c>
      <c r="J181" s="6" t="s">
        <v>21</v>
      </c>
      <c r="K181" s="6" t="s">
        <v>22</v>
      </c>
      <c r="L181" s="6">
        <v>95.54</v>
      </c>
      <c r="M181" s="5">
        <v>46013.0</v>
      </c>
      <c r="N181" s="6" t="s">
        <v>23</v>
      </c>
      <c r="O181" s="6" t="str">
        <f>SUMIFS([1]order_sku_sales_bb2_report!P:P,[1]order_sku_sales_bb2_report!H:H,C27924,[1]order_sku_sales_bb2_report!J:J,H27924)</f>
        <v>#ERROR!</v>
      </c>
      <c r="P181" s="6" t="str">
        <f>SUMIFS([1]order_sku_sales_bb2_report!O:O,[1]order_sku_sales_bb2_report!H:H,C27924,[1]order_sku_sales_bb2_report!J:J,H27924)</f>
        <v>#ERROR!</v>
      </c>
      <c r="Q181" s="6" t="str">
        <f t="shared" si="1"/>
        <v>22-12-2025</v>
      </c>
      <c r="R181" s="6" t="str">
        <f>IFERROR( VLOOKUP(C27924,[1]expressOrderReport!$S:$AZ,34,0),0)</f>
        <v>#ERROR!</v>
      </c>
      <c r="S181" s="6" t="str">
        <f>ARRAY_CONSTRAIN(ARRAYFORMULA(_xludf.XLOOKUP(D27924,[1]order_Report_SA_ID_BB2.0!V:V,[1]order_Report_SA_ID_BB2.0!AM:AM,"")), 1, 1)</f>
        <v>#ERROR!</v>
      </c>
      <c r="T181" s="6" t="str">
        <f t="shared" si="2"/>
        <v>Dec'25</v>
      </c>
    </row>
    <row r="182" ht="15.75" customHeight="1">
      <c r="A182" s="5">
        <v>46013.0</v>
      </c>
      <c r="B182" s="6">
        <v>3181.0</v>
      </c>
      <c r="C182" s="6">
        <v>1.859166164E9</v>
      </c>
      <c r="D182" s="6">
        <v>2.6221215E7</v>
      </c>
      <c r="E182" s="6" t="s">
        <v>331</v>
      </c>
      <c r="F182" s="6" t="s">
        <v>332</v>
      </c>
      <c r="G182" s="6">
        <v>8.152878529E9</v>
      </c>
      <c r="H182" s="6">
        <v>4.0161616E7</v>
      </c>
      <c r="I182" s="6" t="s">
        <v>20</v>
      </c>
      <c r="J182" s="6" t="s">
        <v>21</v>
      </c>
      <c r="K182" s="6" t="s">
        <v>22</v>
      </c>
      <c r="L182" s="6">
        <v>95.54</v>
      </c>
      <c r="M182" s="5">
        <v>46013.0</v>
      </c>
      <c r="N182" s="6" t="s">
        <v>23</v>
      </c>
      <c r="O182" s="6" t="str">
        <f>SUMIFS([1]order_sku_sales_bb2_report!P:P,[1]order_sku_sales_bb2_report!H:H,C27925,[1]order_sku_sales_bb2_report!J:J,H27925)</f>
        <v>#ERROR!</v>
      </c>
      <c r="P182" s="6" t="str">
        <f>SUMIFS([1]order_sku_sales_bb2_report!O:O,[1]order_sku_sales_bb2_report!H:H,C27925,[1]order_sku_sales_bb2_report!J:J,H27925)</f>
        <v>#ERROR!</v>
      </c>
      <c r="Q182" s="6" t="str">
        <f t="shared" si="1"/>
        <v>22-12-2025</v>
      </c>
      <c r="R182" s="6" t="str">
        <f>IFERROR( VLOOKUP(C27925,[1]expressOrderReport!$S:$AZ,34,0),0)</f>
        <v>#ERROR!</v>
      </c>
      <c r="S182" s="6" t="str">
        <f>ARRAY_CONSTRAIN(ARRAYFORMULA(_xludf.XLOOKUP(D27925,[1]order_Report_SA_ID_BB2.0!V:V,[1]order_Report_SA_ID_BB2.0!AM:AM,"")), 1, 1)</f>
        <v>#ERROR!</v>
      </c>
      <c r="T182" s="6" t="str">
        <f t="shared" si="2"/>
        <v>Dec'25</v>
      </c>
    </row>
    <row r="183" ht="15.75" customHeight="1">
      <c r="A183" s="5">
        <v>46013.0</v>
      </c>
      <c r="B183" s="6">
        <v>3190.0</v>
      </c>
      <c r="C183" s="6">
        <v>1.859166173E9</v>
      </c>
      <c r="D183" s="6">
        <v>476913.0</v>
      </c>
      <c r="E183" s="6" t="s">
        <v>333</v>
      </c>
      <c r="F183" s="6" t="s">
        <v>334</v>
      </c>
      <c r="G183" s="6">
        <v>8.884238585E9</v>
      </c>
      <c r="H183" s="6">
        <v>4.0149833E7</v>
      </c>
      <c r="I183" s="6" t="s">
        <v>40</v>
      </c>
      <c r="J183" s="6" t="s">
        <v>21</v>
      </c>
      <c r="K183" s="6" t="s">
        <v>22</v>
      </c>
      <c r="L183" s="6">
        <v>27.0</v>
      </c>
      <c r="M183" s="5">
        <v>46013.0</v>
      </c>
      <c r="N183" s="6" t="s">
        <v>23</v>
      </c>
      <c r="O183" s="6" t="str">
        <f>SUMIFS([1]order_sku_sales_bb2_report!P:P,[1]order_sku_sales_bb2_report!H:H,C27926,[1]order_sku_sales_bb2_report!J:J,H27926)</f>
        <v>#ERROR!</v>
      </c>
      <c r="P183" s="6" t="str">
        <f>SUMIFS([1]order_sku_sales_bb2_report!O:O,[1]order_sku_sales_bb2_report!H:H,C27926,[1]order_sku_sales_bb2_report!J:J,H27926)</f>
        <v>#ERROR!</v>
      </c>
      <c r="Q183" s="6" t="str">
        <f t="shared" si="1"/>
        <v>22-12-2025</v>
      </c>
      <c r="R183" s="6" t="str">
        <f>IFERROR( VLOOKUP(C27926,[1]expressOrderReport!$S:$AZ,34,0),0)</f>
        <v>#ERROR!</v>
      </c>
      <c r="S183" s="6" t="str">
        <f>ARRAY_CONSTRAIN(ARRAYFORMULA(_xludf.XLOOKUP(D27926,[1]order_Report_SA_ID_BB2.0!V:V,[1]order_Report_SA_ID_BB2.0!AM:AM,"")), 1, 1)</f>
        <v>#ERROR!</v>
      </c>
      <c r="T183" s="6" t="str">
        <f t="shared" si="2"/>
        <v>Dec'25</v>
      </c>
    </row>
    <row r="184" ht="15.75" customHeight="1">
      <c r="A184" s="5">
        <v>46013.0</v>
      </c>
      <c r="B184" s="6">
        <v>4814.0</v>
      </c>
      <c r="C184" s="6">
        <v>1.859166184E9</v>
      </c>
      <c r="D184" s="6">
        <v>3910542.0</v>
      </c>
      <c r="E184" s="6" t="s">
        <v>335</v>
      </c>
      <c r="F184" s="6" t="s">
        <v>336</v>
      </c>
      <c r="G184" s="6">
        <v>7.769975889E9</v>
      </c>
      <c r="H184" s="6">
        <v>4.0149834E7</v>
      </c>
      <c r="I184" s="6" t="s">
        <v>40</v>
      </c>
      <c r="J184" s="6" t="s">
        <v>21</v>
      </c>
      <c r="K184" s="6" t="s">
        <v>22</v>
      </c>
      <c r="L184" s="6">
        <v>79.0</v>
      </c>
      <c r="M184" s="5">
        <v>46013.0</v>
      </c>
      <c r="N184" s="6" t="s">
        <v>23</v>
      </c>
      <c r="O184" s="6" t="str">
        <f>SUMIFS([1]order_sku_sales_bb2_report!P:P,[1]order_sku_sales_bb2_report!H:H,C27927,[1]order_sku_sales_bb2_report!J:J,H27927)</f>
        <v>#ERROR!</v>
      </c>
      <c r="P184" s="6" t="str">
        <f>SUMIFS([1]order_sku_sales_bb2_report!O:O,[1]order_sku_sales_bb2_report!H:H,C27927,[1]order_sku_sales_bb2_report!J:J,H27927)</f>
        <v>#ERROR!</v>
      </c>
      <c r="Q184" s="6" t="str">
        <f t="shared" si="1"/>
        <v>22-12-2025</v>
      </c>
      <c r="R184" s="6" t="str">
        <f>IFERROR( VLOOKUP(C27927,[1]expressOrderReport!$S:$AZ,34,0),0)</f>
        <v>#ERROR!</v>
      </c>
      <c r="S184" s="6" t="str">
        <f>ARRAY_CONSTRAIN(ARRAYFORMULA(_xludf.XLOOKUP(D27927,[1]order_Report_SA_ID_BB2.0!V:V,[1]order_Report_SA_ID_BB2.0!AM:AM,"")), 1, 1)</f>
        <v>#ERROR!</v>
      </c>
      <c r="T184" s="6" t="str">
        <f t="shared" si="2"/>
        <v>Dec'25</v>
      </c>
    </row>
    <row r="185" ht="15.75" customHeight="1">
      <c r="A185" s="5">
        <v>46013.0</v>
      </c>
      <c r="B185" s="6">
        <v>4815.0</v>
      </c>
      <c r="C185" s="6">
        <v>1.859166184E9</v>
      </c>
      <c r="D185" s="6">
        <v>3910542.0</v>
      </c>
      <c r="E185" s="6" t="s">
        <v>335</v>
      </c>
      <c r="F185" s="6" t="s">
        <v>336</v>
      </c>
      <c r="G185" s="6">
        <v>7.769975889E9</v>
      </c>
      <c r="H185" s="6">
        <v>4.0149833E7</v>
      </c>
      <c r="I185" s="6" t="s">
        <v>40</v>
      </c>
      <c r="J185" s="6" t="s">
        <v>21</v>
      </c>
      <c r="K185" s="6" t="s">
        <v>22</v>
      </c>
      <c r="L185" s="6">
        <v>79.0</v>
      </c>
      <c r="M185" s="5">
        <v>46013.0</v>
      </c>
      <c r="N185" s="6" t="s">
        <v>23</v>
      </c>
      <c r="O185" s="6" t="str">
        <f>SUMIFS([1]order_sku_sales_bb2_report!P:P,[1]order_sku_sales_bb2_report!H:H,C27928,[1]order_sku_sales_bb2_report!J:J,H27928)</f>
        <v>#ERROR!</v>
      </c>
      <c r="P185" s="6" t="str">
        <f>SUMIFS([1]order_sku_sales_bb2_report!O:O,[1]order_sku_sales_bb2_report!H:H,C27928,[1]order_sku_sales_bb2_report!J:J,H27928)</f>
        <v>#ERROR!</v>
      </c>
      <c r="Q185" s="6" t="str">
        <f t="shared" si="1"/>
        <v>22-12-2025</v>
      </c>
      <c r="R185" s="6" t="str">
        <f>IFERROR( VLOOKUP(C27928,[1]expressOrderReport!$S:$AZ,34,0),0)</f>
        <v>#ERROR!</v>
      </c>
      <c r="S185" s="6" t="str">
        <f>ARRAY_CONSTRAIN(ARRAYFORMULA(_xludf.XLOOKUP(D27928,[1]order_Report_SA_ID_BB2.0!V:V,[1]order_Report_SA_ID_BB2.0!AM:AM,"")), 1, 1)</f>
        <v>#ERROR!</v>
      </c>
      <c r="T185" s="6" t="str">
        <f t="shared" si="2"/>
        <v>Dec'25</v>
      </c>
    </row>
    <row r="186" ht="15.75" customHeight="1">
      <c r="A186" s="5">
        <v>46013.0</v>
      </c>
      <c r="B186" s="6">
        <v>11780.0</v>
      </c>
      <c r="C186" s="6">
        <v>1.859166191E9</v>
      </c>
      <c r="D186" s="6">
        <v>2101316.0</v>
      </c>
      <c r="E186" s="6" t="s">
        <v>337</v>
      </c>
      <c r="F186" s="6" t="s">
        <v>338</v>
      </c>
      <c r="G186" s="6">
        <v>8.087398999E9</v>
      </c>
      <c r="H186" s="6">
        <v>4.0154334E7</v>
      </c>
      <c r="I186" s="6" t="s">
        <v>300</v>
      </c>
      <c r="J186" s="6" t="s">
        <v>21</v>
      </c>
      <c r="K186" s="6" t="s">
        <v>22</v>
      </c>
      <c r="L186" s="6">
        <v>72.0</v>
      </c>
      <c r="M186" s="5">
        <v>46013.0</v>
      </c>
      <c r="N186" s="6" t="s">
        <v>23</v>
      </c>
      <c r="O186" s="6" t="str">
        <f>SUMIFS([1]order_sku_sales_bb2_report!P:P,[1]order_sku_sales_bb2_report!H:H,C27929,[1]order_sku_sales_bb2_report!J:J,H27929)</f>
        <v>#ERROR!</v>
      </c>
      <c r="P186" s="6" t="str">
        <f>SUMIFS([1]order_sku_sales_bb2_report!O:O,[1]order_sku_sales_bb2_report!H:H,C27929,[1]order_sku_sales_bb2_report!J:J,H27929)</f>
        <v>#ERROR!</v>
      </c>
      <c r="Q186" s="6" t="str">
        <f t="shared" si="1"/>
        <v>22-12-2025</v>
      </c>
      <c r="R186" s="6" t="str">
        <f>IFERROR( VLOOKUP(C27929,[1]expressOrderReport!$S:$AZ,34,0),0)</f>
        <v>#ERROR!</v>
      </c>
      <c r="S186" s="6" t="str">
        <f>ARRAY_CONSTRAIN(ARRAYFORMULA(_xludf.XLOOKUP(D27929,[1]order_Report_SA_ID_BB2.0!V:V,[1]order_Report_SA_ID_BB2.0!AM:AM,"")), 1, 1)</f>
        <v>#ERROR!</v>
      </c>
      <c r="T186" s="6" t="str">
        <f t="shared" si="2"/>
        <v>Dec'25</v>
      </c>
    </row>
    <row r="187" ht="15.75" customHeight="1">
      <c r="A187" s="5">
        <v>46013.0</v>
      </c>
      <c r="B187" s="6">
        <v>11781.0</v>
      </c>
      <c r="C187" s="6">
        <v>1.859166191E9</v>
      </c>
      <c r="D187" s="6">
        <v>2101316.0</v>
      </c>
      <c r="E187" s="6" t="s">
        <v>337</v>
      </c>
      <c r="F187" s="6" t="s">
        <v>338</v>
      </c>
      <c r="G187" s="6">
        <v>8.087398999E9</v>
      </c>
      <c r="H187" s="6">
        <v>4.0149832E7</v>
      </c>
      <c r="I187" s="6" t="s">
        <v>26</v>
      </c>
      <c r="J187" s="6" t="s">
        <v>21</v>
      </c>
      <c r="K187" s="6" t="s">
        <v>22</v>
      </c>
      <c r="L187" s="6">
        <v>72.0</v>
      </c>
      <c r="M187" s="5">
        <v>46013.0</v>
      </c>
      <c r="N187" s="6" t="s">
        <v>23</v>
      </c>
      <c r="O187" s="6" t="str">
        <f>SUMIFS([1]order_sku_sales_bb2_report!P:P,[1]order_sku_sales_bb2_report!H:H,C27930,[1]order_sku_sales_bb2_report!J:J,H27930)</f>
        <v>#ERROR!</v>
      </c>
      <c r="P187" s="6" t="str">
        <f>SUMIFS([1]order_sku_sales_bb2_report!O:O,[1]order_sku_sales_bb2_report!H:H,C27930,[1]order_sku_sales_bb2_report!J:J,H27930)</f>
        <v>#ERROR!</v>
      </c>
      <c r="Q187" s="6" t="str">
        <f t="shared" si="1"/>
        <v>22-12-2025</v>
      </c>
      <c r="R187" s="6" t="str">
        <f>IFERROR( VLOOKUP(C27930,[1]expressOrderReport!$S:$AZ,34,0),0)</f>
        <v>#ERROR!</v>
      </c>
      <c r="S187" s="6" t="str">
        <f>ARRAY_CONSTRAIN(ARRAYFORMULA(_xludf.XLOOKUP(D27930,[1]order_Report_SA_ID_BB2.0!V:V,[1]order_Report_SA_ID_BB2.0!AM:AM,"")), 1, 1)</f>
        <v>#ERROR!</v>
      </c>
      <c r="T187" s="6" t="str">
        <f t="shared" si="2"/>
        <v>Dec'25</v>
      </c>
    </row>
    <row r="188" ht="15.75" customHeight="1">
      <c r="A188" s="5">
        <v>46013.0</v>
      </c>
      <c r="B188" s="6">
        <v>9203.0</v>
      </c>
      <c r="C188" s="6">
        <v>1.859166202E9</v>
      </c>
      <c r="D188" s="6">
        <v>6680463.0</v>
      </c>
      <c r="E188" s="6" t="s">
        <v>339</v>
      </c>
      <c r="F188" s="6" t="s">
        <v>340</v>
      </c>
      <c r="G188" s="6">
        <v>9.619836198E9</v>
      </c>
      <c r="H188" s="6">
        <v>4.0149832E7</v>
      </c>
      <c r="I188" s="6" t="s">
        <v>26</v>
      </c>
      <c r="J188" s="6" t="s">
        <v>21</v>
      </c>
      <c r="K188" s="6" t="s">
        <v>22</v>
      </c>
      <c r="L188" s="6">
        <v>195.6</v>
      </c>
      <c r="M188" s="5">
        <v>46013.0</v>
      </c>
      <c r="N188" s="6" t="s">
        <v>23</v>
      </c>
      <c r="O188" s="6" t="str">
        <f>SUMIFS([1]order_sku_sales_bb2_report!P:P,[1]order_sku_sales_bb2_report!H:H,C27931,[1]order_sku_sales_bb2_report!J:J,H27931)</f>
        <v>#ERROR!</v>
      </c>
      <c r="P188" s="6" t="str">
        <f>SUMIFS([1]order_sku_sales_bb2_report!O:O,[1]order_sku_sales_bb2_report!H:H,C27931,[1]order_sku_sales_bb2_report!J:J,H27931)</f>
        <v>#ERROR!</v>
      </c>
      <c r="Q188" s="6" t="str">
        <f t="shared" si="1"/>
        <v>22-12-2025</v>
      </c>
      <c r="R188" s="6" t="str">
        <f>IFERROR( VLOOKUP(C27931,[1]expressOrderReport!$S:$AZ,34,0),0)</f>
        <v>#ERROR!</v>
      </c>
      <c r="S188" s="6" t="str">
        <f>ARRAY_CONSTRAIN(ARRAYFORMULA(_xludf.XLOOKUP(D27931,[1]order_Report_SA_ID_BB2.0!V:V,[1]order_Report_SA_ID_BB2.0!AM:AM,"")), 1, 1)</f>
        <v>#ERROR!</v>
      </c>
      <c r="T188" s="6" t="str">
        <f t="shared" si="2"/>
        <v>Dec'25</v>
      </c>
    </row>
    <row r="189" ht="15.75" customHeight="1">
      <c r="A189" s="5">
        <v>46013.0</v>
      </c>
      <c r="B189" s="6">
        <v>9204.0</v>
      </c>
      <c r="C189" s="6">
        <v>1.859166202E9</v>
      </c>
      <c r="D189" s="6">
        <v>6680463.0</v>
      </c>
      <c r="E189" s="6" t="s">
        <v>339</v>
      </c>
      <c r="F189" s="6" t="s">
        <v>340</v>
      </c>
      <c r="G189" s="6">
        <v>9.619836198E9</v>
      </c>
      <c r="H189" s="6">
        <v>4.0057966E7</v>
      </c>
      <c r="I189" s="6" t="s">
        <v>173</v>
      </c>
      <c r="J189" s="6" t="s">
        <v>21</v>
      </c>
      <c r="K189" s="6" t="s">
        <v>22</v>
      </c>
      <c r="L189" s="6">
        <v>195.6</v>
      </c>
      <c r="M189" s="5">
        <v>46013.0</v>
      </c>
      <c r="N189" s="6" t="s">
        <v>23</v>
      </c>
      <c r="O189" s="6" t="str">
        <f>SUMIFS([1]order_sku_sales_bb2_report!P:P,[1]order_sku_sales_bb2_report!H:H,C27932,[1]order_sku_sales_bb2_report!J:J,H27932)</f>
        <v>#ERROR!</v>
      </c>
      <c r="P189" s="6" t="str">
        <f>SUMIFS([1]order_sku_sales_bb2_report!O:O,[1]order_sku_sales_bb2_report!H:H,C27932,[1]order_sku_sales_bb2_report!J:J,H27932)</f>
        <v>#ERROR!</v>
      </c>
      <c r="Q189" s="6" t="str">
        <f t="shared" si="1"/>
        <v>22-12-2025</v>
      </c>
      <c r="R189" s="6" t="str">
        <f>IFERROR( VLOOKUP(C27932,[1]expressOrderReport!$S:$AZ,34,0),0)</f>
        <v>#ERROR!</v>
      </c>
      <c r="S189" s="6" t="str">
        <f>ARRAY_CONSTRAIN(ARRAYFORMULA(_xludf.XLOOKUP(D27932,[1]order_Report_SA_ID_BB2.0!V:V,[1]order_Report_SA_ID_BB2.0!AM:AM,"")), 1, 1)</f>
        <v>#ERROR!</v>
      </c>
      <c r="T189" s="6" t="str">
        <f t="shared" si="2"/>
        <v>Dec'25</v>
      </c>
    </row>
    <row r="190" ht="15.75" customHeight="1">
      <c r="A190" s="5">
        <v>46013.0</v>
      </c>
      <c r="B190" s="6">
        <v>9205.0</v>
      </c>
      <c r="C190" s="6">
        <v>1.859166202E9</v>
      </c>
      <c r="D190" s="6">
        <v>6680463.0</v>
      </c>
      <c r="E190" s="6" t="s">
        <v>339</v>
      </c>
      <c r="F190" s="6" t="s">
        <v>340</v>
      </c>
      <c r="G190" s="6">
        <v>9.619836198E9</v>
      </c>
      <c r="H190" s="6">
        <v>4.014872E7</v>
      </c>
      <c r="I190" s="6" t="s">
        <v>341</v>
      </c>
      <c r="J190" s="6" t="s">
        <v>21</v>
      </c>
      <c r="K190" s="6" t="s">
        <v>22</v>
      </c>
      <c r="L190" s="6">
        <v>195.6</v>
      </c>
      <c r="M190" s="5">
        <v>46013.0</v>
      </c>
      <c r="N190" s="6" t="s">
        <v>23</v>
      </c>
      <c r="O190" s="6" t="str">
        <f>SUMIFS([1]order_sku_sales_bb2_report!P:P,[1]order_sku_sales_bb2_report!H:H,C27933,[1]order_sku_sales_bb2_report!J:J,H27933)</f>
        <v>#ERROR!</v>
      </c>
      <c r="P190" s="6" t="str">
        <f>SUMIFS([1]order_sku_sales_bb2_report!O:O,[1]order_sku_sales_bb2_report!H:H,C27933,[1]order_sku_sales_bb2_report!J:J,H27933)</f>
        <v>#ERROR!</v>
      </c>
      <c r="Q190" s="6" t="str">
        <f t="shared" si="1"/>
        <v>22-12-2025</v>
      </c>
      <c r="R190" s="6" t="str">
        <f>IFERROR( VLOOKUP(C27933,[1]expressOrderReport!$S:$AZ,34,0),0)</f>
        <v>#ERROR!</v>
      </c>
      <c r="S190" s="6" t="str">
        <f>ARRAY_CONSTRAIN(ARRAYFORMULA(_xludf.XLOOKUP(D27933,[1]order_Report_SA_ID_BB2.0!V:V,[1]order_Report_SA_ID_BB2.0!AM:AM,"")), 1, 1)</f>
        <v>#ERROR!</v>
      </c>
      <c r="T190" s="6" t="str">
        <f t="shared" si="2"/>
        <v>Dec'25</v>
      </c>
    </row>
    <row r="191" ht="15.75" customHeight="1">
      <c r="A191" s="5">
        <v>46013.0</v>
      </c>
      <c r="B191" s="6">
        <v>8903.0</v>
      </c>
      <c r="C191" s="6">
        <v>1.859166207E9</v>
      </c>
      <c r="D191" s="6">
        <v>2.5567307E7</v>
      </c>
      <c r="E191" s="6" t="s">
        <v>342</v>
      </c>
      <c r="F191" s="6" t="s">
        <v>343</v>
      </c>
      <c r="G191" s="6">
        <v>8.903661708E9</v>
      </c>
      <c r="H191" s="6">
        <v>4.016372E7</v>
      </c>
      <c r="I191" s="6" t="s">
        <v>72</v>
      </c>
      <c r="J191" s="6" t="s">
        <v>21</v>
      </c>
      <c r="K191" s="6" t="s">
        <v>22</v>
      </c>
      <c r="L191" s="6">
        <v>39.9</v>
      </c>
      <c r="M191" s="5">
        <v>46013.0</v>
      </c>
      <c r="N191" s="6" t="s">
        <v>23</v>
      </c>
      <c r="O191" s="6" t="str">
        <f>SUMIFS([1]order_sku_sales_bb2_report!P:P,[1]order_sku_sales_bb2_report!H:H,C27934,[1]order_sku_sales_bb2_report!J:J,H27934)</f>
        <v>#ERROR!</v>
      </c>
      <c r="P191" s="6" t="str">
        <f>SUMIFS([1]order_sku_sales_bb2_report!O:O,[1]order_sku_sales_bb2_report!H:H,C27934,[1]order_sku_sales_bb2_report!J:J,H27934)</f>
        <v>#ERROR!</v>
      </c>
      <c r="Q191" s="6" t="str">
        <f t="shared" si="1"/>
        <v>22-12-2025</v>
      </c>
      <c r="R191" s="6" t="str">
        <f>IFERROR( VLOOKUP(C27934,[1]expressOrderReport!$S:$AZ,34,0),0)</f>
        <v>#ERROR!</v>
      </c>
      <c r="S191" s="6" t="str">
        <f>ARRAY_CONSTRAIN(ARRAYFORMULA(_xludf.XLOOKUP(D27934,[1]order_Report_SA_ID_BB2.0!V:V,[1]order_Report_SA_ID_BB2.0!AM:AM,"")), 1, 1)</f>
        <v>#ERROR!</v>
      </c>
      <c r="T191" s="6" t="str">
        <f t="shared" si="2"/>
        <v>Dec'25</v>
      </c>
    </row>
    <row r="192" ht="15.75" customHeight="1">
      <c r="A192" s="5">
        <v>46013.0</v>
      </c>
      <c r="B192" s="6">
        <v>11782.0</v>
      </c>
      <c r="C192" s="6">
        <v>1.85916621E9</v>
      </c>
      <c r="D192" s="6">
        <v>5440318.0</v>
      </c>
      <c r="E192" s="6" t="s">
        <v>344</v>
      </c>
      <c r="F192" s="6" t="s">
        <v>345</v>
      </c>
      <c r="G192" s="6">
        <v>9.949575859E9</v>
      </c>
      <c r="H192" s="6">
        <v>4.0161616E7</v>
      </c>
      <c r="I192" s="6" t="s">
        <v>20</v>
      </c>
      <c r="J192" s="6" t="s">
        <v>21</v>
      </c>
      <c r="K192" s="6" t="s">
        <v>22</v>
      </c>
      <c r="L192" s="6">
        <v>56.0</v>
      </c>
      <c r="M192" s="5">
        <v>46013.0</v>
      </c>
      <c r="N192" s="6" t="s">
        <v>23</v>
      </c>
      <c r="O192" s="6" t="str">
        <f>SUMIFS([1]order_sku_sales_bb2_report!P:P,[1]order_sku_sales_bb2_report!H:H,C27935,[1]order_sku_sales_bb2_report!J:J,H27935)</f>
        <v>#ERROR!</v>
      </c>
      <c r="P192" s="6" t="str">
        <f>SUMIFS([1]order_sku_sales_bb2_report!O:O,[1]order_sku_sales_bb2_report!H:H,C27935,[1]order_sku_sales_bb2_report!J:J,H27935)</f>
        <v>#ERROR!</v>
      </c>
      <c r="Q192" s="6" t="str">
        <f t="shared" si="1"/>
        <v>22-12-2025</v>
      </c>
      <c r="R192" s="6" t="str">
        <f>IFERROR( VLOOKUP(C27935,[1]expressOrderReport!$S:$AZ,34,0),0)</f>
        <v>#ERROR!</v>
      </c>
      <c r="S192" s="6" t="str">
        <f>ARRAY_CONSTRAIN(ARRAYFORMULA(_xludf.XLOOKUP(D27935,[1]order_Report_SA_ID_BB2.0!V:V,[1]order_Report_SA_ID_BB2.0!AM:AM,"")), 1, 1)</f>
        <v>#ERROR!</v>
      </c>
      <c r="T192" s="6" t="str">
        <f t="shared" si="2"/>
        <v>Dec'25</v>
      </c>
    </row>
    <row r="193" ht="15.75" customHeight="1">
      <c r="A193" s="5">
        <v>46013.0</v>
      </c>
      <c r="B193" s="6">
        <v>1607.0</v>
      </c>
      <c r="C193" s="6">
        <v>1.859166216E9</v>
      </c>
      <c r="D193" s="6">
        <v>2.7085552E7</v>
      </c>
      <c r="E193" s="6" t="s">
        <v>346</v>
      </c>
      <c r="F193" s="6" t="s">
        <v>347</v>
      </c>
      <c r="G193" s="6">
        <v>9.57179427E9</v>
      </c>
      <c r="H193" s="6">
        <v>4.0149832E7</v>
      </c>
      <c r="I193" s="6" t="s">
        <v>26</v>
      </c>
      <c r="J193" s="6" t="s">
        <v>21</v>
      </c>
      <c r="K193" s="6" t="s">
        <v>27</v>
      </c>
      <c r="L193" s="6">
        <v>24.0</v>
      </c>
      <c r="M193" s="5">
        <v>46013.0</v>
      </c>
      <c r="N193" s="6" t="s">
        <v>23</v>
      </c>
      <c r="O193" s="6" t="str">
        <f>SUMIFS([1]order_sku_sales_bb2_report!P:P,[1]order_sku_sales_bb2_report!H:H,C27936,[1]order_sku_sales_bb2_report!J:J,H27936)</f>
        <v>#ERROR!</v>
      </c>
      <c r="P193" s="6" t="str">
        <f>SUMIFS([1]order_sku_sales_bb2_report!O:O,[1]order_sku_sales_bb2_report!H:H,C27936,[1]order_sku_sales_bb2_report!J:J,H27936)</f>
        <v>#ERROR!</v>
      </c>
      <c r="Q193" s="6" t="str">
        <f t="shared" si="1"/>
        <v>22-12-2025</v>
      </c>
      <c r="R193" s="6" t="str">
        <f>IFERROR( VLOOKUP(C27936,[1]expressOrderReport!$S:$AZ,34,0),0)</f>
        <v>#ERROR!</v>
      </c>
      <c r="S193" s="6" t="str">
        <f>ARRAY_CONSTRAIN(ARRAYFORMULA(_xludf.XLOOKUP(D27936,[1]order_Report_SA_ID_BB2.0!V:V,[1]order_Report_SA_ID_BB2.0!AM:AM,"")), 1, 1)</f>
        <v>#ERROR!</v>
      </c>
      <c r="T193" s="6" t="str">
        <f t="shared" si="2"/>
        <v>Dec'25</v>
      </c>
    </row>
    <row r="194" ht="15.75" customHeight="1">
      <c r="A194" s="5">
        <v>46013.0</v>
      </c>
      <c r="B194" s="6">
        <v>1842.0</v>
      </c>
      <c r="C194" s="6">
        <v>1.859166225E9</v>
      </c>
      <c r="D194" s="6">
        <v>8598618.0</v>
      </c>
      <c r="E194" s="6" t="s">
        <v>348</v>
      </c>
      <c r="F194" s="6" t="s">
        <v>349</v>
      </c>
      <c r="G194" s="6">
        <v>9.880716465E9</v>
      </c>
      <c r="H194" s="6">
        <v>4.0147597E7</v>
      </c>
      <c r="I194" s="6" t="s">
        <v>59</v>
      </c>
      <c r="J194" s="6" t="s">
        <v>21</v>
      </c>
      <c r="K194" s="6" t="s">
        <v>22</v>
      </c>
      <c r="L194" s="6">
        <v>54.0</v>
      </c>
      <c r="M194" s="5">
        <v>46013.0</v>
      </c>
      <c r="N194" s="6" t="s">
        <v>23</v>
      </c>
      <c r="O194" s="6" t="str">
        <f>SUMIFS([1]order_sku_sales_bb2_report!P:P,[1]order_sku_sales_bb2_report!H:H,C27937,[1]order_sku_sales_bb2_report!J:J,H27937)</f>
        <v>#ERROR!</v>
      </c>
      <c r="P194" s="6" t="str">
        <f>SUMIFS([1]order_sku_sales_bb2_report!O:O,[1]order_sku_sales_bb2_report!H:H,C27937,[1]order_sku_sales_bb2_report!J:J,H27937)</f>
        <v>#ERROR!</v>
      </c>
      <c r="Q194" s="6" t="str">
        <f t="shared" si="1"/>
        <v>22-12-2025</v>
      </c>
      <c r="R194" s="6" t="str">
        <f>IFERROR( VLOOKUP(C27937,[1]expressOrderReport!$S:$AZ,34,0),0)</f>
        <v>#ERROR!</v>
      </c>
      <c r="S194" s="6" t="str">
        <f>ARRAY_CONSTRAIN(ARRAYFORMULA(_xludf.XLOOKUP(D27937,[1]order_Report_SA_ID_BB2.0!V:V,[1]order_Report_SA_ID_BB2.0!AM:AM,"")), 1, 1)</f>
        <v>#ERROR!</v>
      </c>
      <c r="T194" s="6" t="str">
        <f t="shared" si="2"/>
        <v>Dec'25</v>
      </c>
    </row>
    <row r="195" ht="15.75" customHeight="1">
      <c r="A195" s="5">
        <v>46013.0</v>
      </c>
      <c r="B195" s="6">
        <v>1843.0</v>
      </c>
      <c r="C195" s="6">
        <v>1.859166225E9</v>
      </c>
      <c r="D195" s="6">
        <v>8598618.0</v>
      </c>
      <c r="E195" s="6" t="s">
        <v>348</v>
      </c>
      <c r="F195" s="6" t="s">
        <v>349</v>
      </c>
      <c r="G195" s="6">
        <v>9.880716465E9</v>
      </c>
      <c r="H195" s="6">
        <v>4.0226709E7</v>
      </c>
      <c r="I195" s="6" t="s">
        <v>350</v>
      </c>
      <c r="J195" s="6" t="s">
        <v>21</v>
      </c>
      <c r="K195" s="6" t="s">
        <v>22</v>
      </c>
      <c r="L195" s="6">
        <v>54.0</v>
      </c>
      <c r="M195" s="5">
        <v>46013.0</v>
      </c>
      <c r="N195" s="6" t="s">
        <v>23</v>
      </c>
      <c r="O195" s="6" t="str">
        <f>SUMIFS([1]order_sku_sales_bb2_report!P:P,[1]order_sku_sales_bb2_report!H:H,C27938,[1]order_sku_sales_bb2_report!J:J,H27938)</f>
        <v>#ERROR!</v>
      </c>
      <c r="P195" s="6" t="str">
        <f>SUMIFS([1]order_sku_sales_bb2_report!O:O,[1]order_sku_sales_bb2_report!H:H,C27938,[1]order_sku_sales_bb2_report!J:J,H27938)</f>
        <v>#ERROR!</v>
      </c>
      <c r="Q195" s="6" t="str">
        <f t="shared" si="1"/>
        <v>22-12-2025</v>
      </c>
      <c r="R195" s="6" t="str">
        <f>IFERROR( VLOOKUP(C27938,[1]expressOrderReport!$S:$AZ,34,0),0)</f>
        <v>#ERROR!</v>
      </c>
      <c r="S195" s="6" t="str">
        <f>ARRAY_CONSTRAIN(ARRAYFORMULA(_xludf.XLOOKUP(D27938,[1]order_Report_SA_ID_BB2.0!V:V,[1]order_Report_SA_ID_BB2.0!AM:AM,"")), 1, 1)</f>
        <v>#ERROR!</v>
      </c>
      <c r="T195" s="6" t="str">
        <f t="shared" si="2"/>
        <v>Dec'25</v>
      </c>
    </row>
    <row r="196" ht="15.75" customHeight="1">
      <c r="A196" s="5">
        <v>46013.0</v>
      </c>
      <c r="B196" s="6">
        <v>4831.0</v>
      </c>
      <c r="C196" s="6">
        <v>1.859166225E9</v>
      </c>
      <c r="D196" s="6">
        <v>8598618.0</v>
      </c>
      <c r="E196" s="6" t="s">
        <v>348</v>
      </c>
      <c r="F196" s="6" t="s">
        <v>349</v>
      </c>
      <c r="G196" s="6">
        <v>9.880716465E9</v>
      </c>
      <c r="H196" s="6">
        <v>4.0090894E7</v>
      </c>
      <c r="I196" s="6" t="s">
        <v>62</v>
      </c>
      <c r="J196" s="6" t="s">
        <v>21</v>
      </c>
      <c r="K196" s="6" t="s">
        <v>22</v>
      </c>
      <c r="L196" s="6">
        <v>54.0</v>
      </c>
      <c r="M196" s="5">
        <v>46013.0</v>
      </c>
      <c r="N196" s="6" t="s">
        <v>23</v>
      </c>
      <c r="O196" s="6" t="str">
        <f>SUMIFS([1]order_sku_sales_bb2_report!P:P,[1]order_sku_sales_bb2_report!H:H,C27939,[1]order_sku_sales_bb2_report!J:J,H27939)</f>
        <v>#ERROR!</v>
      </c>
      <c r="P196" s="6" t="str">
        <f>SUMIFS([1]order_sku_sales_bb2_report!O:O,[1]order_sku_sales_bb2_report!H:H,C27939,[1]order_sku_sales_bb2_report!J:J,H27939)</f>
        <v>#ERROR!</v>
      </c>
      <c r="Q196" s="6" t="str">
        <f t="shared" si="1"/>
        <v>22-12-2025</v>
      </c>
      <c r="R196" s="6" t="str">
        <f>IFERROR( VLOOKUP(C27939,[1]expressOrderReport!$S:$AZ,34,0),0)</f>
        <v>#ERROR!</v>
      </c>
      <c r="S196" s="6" t="str">
        <f>ARRAY_CONSTRAIN(ARRAYFORMULA(_xludf.XLOOKUP(D27939,[1]order_Report_SA_ID_BB2.0!V:V,[1]order_Report_SA_ID_BB2.0!AM:AM,"")), 1, 1)</f>
        <v>#ERROR!</v>
      </c>
      <c r="T196" s="6" t="str">
        <f t="shared" si="2"/>
        <v>Dec'25</v>
      </c>
    </row>
    <row r="197" ht="15.75" customHeight="1">
      <c r="A197" s="5">
        <v>46013.0</v>
      </c>
      <c r="B197" s="6">
        <v>4621.0</v>
      </c>
      <c r="C197" s="6">
        <v>1.859166235E9</v>
      </c>
      <c r="D197" s="6">
        <v>1.5741971E7</v>
      </c>
      <c r="E197" s="6" t="s">
        <v>351</v>
      </c>
      <c r="F197" s="6" t="s">
        <v>352</v>
      </c>
      <c r="G197" s="6">
        <v>7.406654855E9</v>
      </c>
      <c r="H197" s="6">
        <v>4.0149833E7</v>
      </c>
      <c r="I197" s="6" t="s">
        <v>40</v>
      </c>
      <c r="J197" s="6" t="s">
        <v>21</v>
      </c>
      <c r="K197" s="6" t="s">
        <v>22</v>
      </c>
      <c r="L197" s="6">
        <v>80.0</v>
      </c>
      <c r="M197" s="5">
        <v>46013.0</v>
      </c>
      <c r="N197" s="6" t="s">
        <v>23</v>
      </c>
      <c r="O197" s="6" t="str">
        <f>SUMIFS([1]order_sku_sales_bb2_report!P:P,[1]order_sku_sales_bb2_report!H:H,C27940,[1]order_sku_sales_bb2_report!J:J,H27940)</f>
        <v>#ERROR!</v>
      </c>
      <c r="P197" s="6" t="str">
        <f>SUMIFS([1]order_sku_sales_bb2_report!O:O,[1]order_sku_sales_bb2_report!H:H,C27940,[1]order_sku_sales_bb2_report!J:J,H27940)</f>
        <v>#ERROR!</v>
      </c>
      <c r="Q197" s="6" t="str">
        <f t="shared" si="1"/>
        <v>22-12-2025</v>
      </c>
      <c r="R197" s="6" t="str">
        <f>IFERROR( VLOOKUP(C27940,[1]expressOrderReport!$S:$AZ,34,0),0)</f>
        <v>#ERROR!</v>
      </c>
      <c r="S197" s="6" t="str">
        <f>ARRAY_CONSTRAIN(ARRAYFORMULA(_xludf.XLOOKUP(D27940,[1]order_Report_SA_ID_BB2.0!V:V,[1]order_Report_SA_ID_BB2.0!AM:AM,"")), 1, 1)</f>
        <v>#ERROR!</v>
      </c>
      <c r="T197" s="6" t="str">
        <f t="shared" si="2"/>
        <v>Dec'25</v>
      </c>
    </row>
    <row r="198" ht="15.75" customHeight="1">
      <c r="A198" s="5">
        <v>46013.0</v>
      </c>
      <c r="B198" s="6">
        <v>10024.0</v>
      </c>
      <c r="C198" s="6">
        <v>1.859166235E9</v>
      </c>
      <c r="D198" s="6">
        <v>1.5741971E7</v>
      </c>
      <c r="E198" s="6" t="s">
        <v>351</v>
      </c>
      <c r="F198" s="6" t="s">
        <v>352</v>
      </c>
      <c r="G198" s="6">
        <v>7.406654855E9</v>
      </c>
      <c r="H198" s="6">
        <v>4.0148717E7</v>
      </c>
      <c r="I198" s="6" t="s">
        <v>226</v>
      </c>
      <c r="J198" s="6" t="s">
        <v>21</v>
      </c>
      <c r="K198" s="6" t="s">
        <v>22</v>
      </c>
      <c r="L198" s="6">
        <v>80.0</v>
      </c>
      <c r="M198" s="5">
        <v>46013.0</v>
      </c>
      <c r="N198" s="6" t="s">
        <v>23</v>
      </c>
      <c r="O198" s="6" t="str">
        <f>SUMIFS([1]order_sku_sales_bb2_report!P:P,[1]order_sku_sales_bb2_report!H:H,C27941,[1]order_sku_sales_bb2_report!J:J,H27941)</f>
        <v>#ERROR!</v>
      </c>
      <c r="P198" s="6" t="str">
        <f>SUMIFS([1]order_sku_sales_bb2_report!O:O,[1]order_sku_sales_bb2_report!H:H,C27941,[1]order_sku_sales_bb2_report!J:J,H27941)</f>
        <v>#ERROR!</v>
      </c>
      <c r="Q198" s="6" t="str">
        <f t="shared" si="1"/>
        <v>22-12-2025</v>
      </c>
      <c r="R198" s="6" t="str">
        <f>IFERROR( VLOOKUP(C27941,[1]expressOrderReport!$S:$AZ,34,0),0)</f>
        <v>#ERROR!</v>
      </c>
      <c r="S198" s="6" t="str">
        <f>ARRAY_CONSTRAIN(ARRAYFORMULA(_xludf.XLOOKUP(D27941,[1]order_Report_SA_ID_BB2.0!V:V,[1]order_Report_SA_ID_BB2.0!AM:AM,"")), 1, 1)</f>
        <v>#ERROR!</v>
      </c>
      <c r="T198" s="6" t="str">
        <f t="shared" si="2"/>
        <v>Dec'25</v>
      </c>
    </row>
    <row r="199" ht="15.75" customHeight="1">
      <c r="A199" s="5">
        <v>46013.0</v>
      </c>
      <c r="B199" s="6">
        <v>2109.0</v>
      </c>
      <c r="C199" s="6">
        <v>1.859166244E9</v>
      </c>
      <c r="D199" s="6">
        <v>2.7476258E7</v>
      </c>
      <c r="E199" s="6" t="s">
        <v>353</v>
      </c>
      <c r="F199" s="6" t="s">
        <v>354</v>
      </c>
      <c r="G199" s="6">
        <v>9.739686278E9</v>
      </c>
      <c r="H199" s="6">
        <v>4.0149834E7</v>
      </c>
      <c r="I199" s="6" t="s">
        <v>40</v>
      </c>
      <c r="J199" s="6" t="s">
        <v>21</v>
      </c>
      <c r="K199" s="6" t="s">
        <v>22</v>
      </c>
      <c r="L199" s="6">
        <v>86.0</v>
      </c>
      <c r="M199" s="5">
        <v>46013.0</v>
      </c>
      <c r="N199" s="6" t="s">
        <v>23</v>
      </c>
      <c r="O199" s="6" t="str">
        <f>SUMIFS([1]order_sku_sales_bb2_report!P:P,[1]order_sku_sales_bb2_report!H:H,C27942,[1]order_sku_sales_bb2_report!J:J,H27942)</f>
        <v>#ERROR!</v>
      </c>
      <c r="P199" s="6" t="str">
        <f>SUMIFS([1]order_sku_sales_bb2_report!O:O,[1]order_sku_sales_bb2_report!H:H,C27942,[1]order_sku_sales_bb2_report!J:J,H27942)</f>
        <v>#ERROR!</v>
      </c>
      <c r="Q199" s="6" t="str">
        <f t="shared" si="1"/>
        <v>22-12-2025</v>
      </c>
      <c r="R199" s="6" t="str">
        <f>IFERROR( VLOOKUP(C27942,[1]expressOrderReport!$S:$AZ,34,0),0)</f>
        <v>#ERROR!</v>
      </c>
      <c r="S199" s="6" t="str">
        <f>ARRAY_CONSTRAIN(ARRAYFORMULA(_xludf.XLOOKUP(D27942,[1]order_Report_SA_ID_BB2.0!V:V,[1]order_Report_SA_ID_BB2.0!AM:AM,"")), 1, 1)</f>
        <v>#ERROR!</v>
      </c>
      <c r="T199" s="6" t="str">
        <f t="shared" si="2"/>
        <v>Dec'25</v>
      </c>
    </row>
    <row r="200" ht="15.75" customHeight="1">
      <c r="A200" s="5">
        <v>46013.0</v>
      </c>
      <c r="B200" s="6">
        <v>2110.0</v>
      </c>
      <c r="C200" s="6">
        <v>1.859166244E9</v>
      </c>
      <c r="D200" s="6">
        <v>2.7476258E7</v>
      </c>
      <c r="E200" s="6" t="s">
        <v>353</v>
      </c>
      <c r="F200" s="6" t="s">
        <v>354</v>
      </c>
      <c r="G200" s="6">
        <v>9.739686278E9</v>
      </c>
      <c r="H200" s="6">
        <v>4.0149829E7</v>
      </c>
      <c r="I200" s="6" t="s">
        <v>355</v>
      </c>
      <c r="J200" s="6" t="s">
        <v>21</v>
      </c>
      <c r="K200" s="6" t="s">
        <v>22</v>
      </c>
      <c r="L200" s="6">
        <v>86.0</v>
      </c>
      <c r="M200" s="5">
        <v>46013.0</v>
      </c>
      <c r="N200" s="6" t="s">
        <v>23</v>
      </c>
      <c r="O200" s="6" t="str">
        <f>SUMIFS([1]order_sku_sales_bb2_report!P:P,[1]order_sku_sales_bb2_report!H:H,C27943,[1]order_sku_sales_bb2_report!J:J,H27943)</f>
        <v>#ERROR!</v>
      </c>
      <c r="P200" s="6" t="str">
        <f>SUMIFS([1]order_sku_sales_bb2_report!O:O,[1]order_sku_sales_bb2_report!H:H,C27943,[1]order_sku_sales_bb2_report!J:J,H27943)</f>
        <v>#ERROR!</v>
      </c>
      <c r="Q200" s="6" t="str">
        <f t="shared" si="1"/>
        <v>22-12-2025</v>
      </c>
      <c r="R200" s="6" t="str">
        <f>IFERROR( VLOOKUP(C27943,[1]expressOrderReport!$S:$AZ,34,0),0)</f>
        <v>#ERROR!</v>
      </c>
      <c r="S200" s="6" t="str">
        <f>ARRAY_CONSTRAIN(ARRAYFORMULA(_xludf.XLOOKUP(D27943,[1]order_Report_SA_ID_BB2.0!V:V,[1]order_Report_SA_ID_BB2.0!AM:AM,"")), 1, 1)</f>
        <v>#ERROR!</v>
      </c>
      <c r="T200" s="6" t="str">
        <f t="shared" si="2"/>
        <v>Dec'25</v>
      </c>
    </row>
    <row r="201" ht="15.75" customHeight="1">
      <c r="A201" s="5">
        <v>46013.0</v>
      </c>
      <c r="B201" s="6">
        <v>7906.0</v>
      </c>
      <c r="C201" s="6">
        <v>1.859166253E9</v>
      </c>
      <c r="D201" s="6">
        <v>2.7495454E7</v>
      </c>
      <c r="E201" s="6" t="s">
        <v>356</v>
      </c>
      <c r="F201" s="6" t="s">
        <v>357</v>
      </c>
      <c r="G201" s="6">
        <v>9.902977886E9</v>
      </c>
      <c r="H201" s="6">
        <v>4.0190717E7</v>
      </c>
      <c r="I201" s="6" t="s">
        <v>358</v>
      </c>
      <c r="J201" s="6" t="s">
        <v>21</v>
      </c>
      <c r="K201" s="6" t="s">
        <v>22</v>
      </c>
      <c r="L201" s="6">
        <v>110.5</v>
      </c>
      <c r="M201" s="5">
        <v>46013.0</v>
      </c>
      <c r="N201" s="6" t="s">
        <v>23</v>
      </c>
      <c r="O201" s="6" t="str">
        <f>SUMIFS([1]order_sku_sales_bb2_report!P:P,[1]order_sku_sales_bb2_report!H:H,C27944,[1]order_sku_sales_bb2_report!J:J,H27944)</f>
        <v>#ERROR!</v>
      </c>
      <c r="P201" s="6" t="str">
        <f>SUMIFS([1]order_sku_sales_bb2_report!O:O,[1]order_sku_sales_bb2_report!H:H,C27944,[1]order_sku_sales_bb2_report!J:J,H27944)</f>
        <v>#ERROR!</v>
      </c>
      <c r="Q201" s="6" t="str">
        <f t="shared" si="1"/>
        <v>22-12-2025</v>
      </c>
      <c r="R201" s="6" t="str">
        <f>IFERROR( VLOOKUP(C27944,[1]expressOrderReport!$S:$AZ,34,0),0)</f>
        <v>#ERROR!</v>
      </c>
      <c r="S201" s="6" t="str">
        <f>ARRAY_CONSTRAIN(ARRAYFORMULA(_xludf.XLOOKUP(D27944,[1]order_Report_SA_ID_BB2.0!V:V,[1]order_Report_SA_ID_BB2.0!AM:AM,"")), 1, 1)</f>
        <v>#ERROR!</v>
      </c>
      <c r="T201" s="6" t="str">
        <f t="shared" si="2"/>
        <v>Dec'25</v>
      </c>
    </row>
    <row r="202" ht="15.75" customHeight="1">
      <c r="A202" s="5">
        <v>46013.0</v>
      </c>
      <c r="B202" s="6">
        <v>4818.0</v>
      </c>
      <c r="C202" s="6">
        <v>1.859166262E9</v>
      </c>
      <c r="D202" s="6">
        <v>1.6382129E7</v>
      </c>
      <c r="E202" s="6" t="s">
        <v>359</v>
      </c>
      <c r="F202" s="6" t="s">
        <v>360</v>
      </c>
      <c r="G202" s="6">
        <v>9.769688772E9</v>
      </c>
      <c r="H202" s="6">
        <v>4.0332425E7</v>
      </c>
      <c r="I202" s="6" t="s">
        <v>110</v>
      </c>
      <c r="J202" s="6" t="s">
        <v>21</v>
      </c>
      <c r="K202" s="6" t="s">
        <v>27</v>
      </c>
      <c r="L202" s="6">
        <v>50.0</v>
      </c>
      <c r="M202" s="5">
        <v>46013.0</v>
      </c>
      <c r="N202" s="6" t="s">
        <v>23</v>
      </c>
      <c r="O202" s="6" t="str">
        <f>SUMIFS([1]order_sku_sales_bb2_report!P:P,[1]order_sku_sales_bb2_report!H:H,C27945,[1]order_sku_sales_bb2_report!J:J,H27945)</f>
        <v>#ERROR!</v>
      </c>
      <c r="P202" s="6" t="str">
        <f>SUMIFS([1]order_sku_sales_bb2_report!O:O,[1]order_sku_sales_bb2_report!H:H,C27945,[1]order_sku_sales_bb2_report!J:J,H27945)</f>
        <v>#ERROR!</v>
      </c>
      <c r="Q202" s="6" t="str">
        <f t="shared" si="1"/>
        <v>22-12-2025</v>
      </c>
      <c r="R202" s="6" t="str">
        <f>IFERROR( VLOOKUP(C27945,[1]expressOrderReport!$S:$AZ,34,0),0)</f>
        <v>#ERROR!</v>
      </c>
      <c r="S202" s="6" t="str">
        <f>ARRAY_CONSTRAIN(ARRAYFORMULA(_xludf.XLOOKUP(D27945,[1]order_Report_SA_ID_BB2.0!V:V,[1]order_Report_SA_ID_BB2.0!AM:AM,"")), 1, 1)</f>
        <v>#ERROR!</v>
      </c>
      <c r="T202" s="6" t="str">
        <f t="shared" si="2"/>
        <v>Dec'25</v>
      </c>
    </row>
    <row r="203" ht="15.75" customHeight="1">
      <c r="A203" s="5">
        <v>46013.0</v>
      </c>
      <c r="B203" s="6">
        <v>6273.0</v>
      </c>
      <c r="C203" s="6">
        <v>1.859166272E9</v>
      </c>
      <c r="D203" s="6">
        <v>2.7523928E7</v>
      </c>
      <c r="E203" s="6" t="s">
        <v>361</v>
      </c>
      <c r="F203" s="6" t="s">
        <v>362</v>
      </c>
      <c r="G203" s="6">
        <v>8.106438999E9</v>
      </c>
      <c r="H203" s="6">
        <v>4.0147618E7</v>
      </c>
      <c r="I203" s="6" t="s">
        <v>180</v>
      </c>
      <c r="J203" s="6" t="s">
        <v>21</v>
      </c>
      <c r="K203" s="6" t="s">
        <v>22</v>
      </c>
      <c r="L203" s="6">
        <v>34.0</v>
      </c>
      <c r="M203" s="5">
        <v>46013.0</v>
      </c>
      <c r="N203" s="6" t="s">
        <v>23</v>
      </c>
      <c r="O203" s="6" t="str">
        <f>SUMIFS([1]order_sku_sales_bb2_report!P:P,[1]order_sku_sales_bb2_report!H:H,C27946,[1]order_sku_sales_bb2_report!J:J,H27946)</f>
        <v>#ERROR!</v>
      </c>
      <c r="P203" s="6" t="str">
        <f>SUMIFS([1]order_sku_sales_bb2_report!O:O,[1]order_sku_sales_bb2_report!H:H,C27946,[1]order_sku_sales_bb2_report!J:J,H27946)</f>
        <v>#ERROR!</v>
      </c>
      <c r="Q203" s="6" t="str">
        <f t="shared" si="1"/>
        <v>22-12-2025</v>
      </c>
      <c r="R203" s="6" t="str">
        <f>IFERROR( VLOOKUP(C27946,[1]expressOrderReport!$S:$AZ,34,0),0)</f>
        <v>#ERROR!</v>
      </c>
      <c r="S203" s="6" t="str">
        <f>ARRAY_CONSTRAIN(ARRAYFORMULA(_xludf.XLOOKUP(D27946,[1]order_Report_SA_ID_BB2.0!V:V,[1]order_Report_SA_ID_BB2.0!AM:AM,"")), 1, 1)</f>
        <v>#ERROR!</v>
      </c>
      <c r="T203" s="6" t="str">
        <f t="shared" si="2"/>
        <v>Dec'25</v>
      </c>
    </row>
    <row r="204" ht="15.75" customHeight="1">
      <c r="A204" s="5">
        <v>46013.0</v>
      </c>
      <c r="B204" s="6">
        <v>7626.0</v>
      </c>
      <c r="C204" s="6">
        <v>1.859166275E9</v>
      </c>
      <c r="D204" s="6">
        <v>1504923.0</v>
      </c>
      <c r="E204" s="6" t="s">
        <v>363</v>
      </c>
      <c r="F204" s="6" t="s">
        <v>364</v>
      </c>
      <c r="G204" s="6">
        <v>9.986168979E9</v>
      </c>
      <c r="H204" s="6">
        <v>4.0149832E7</v>
      </c>
      <c r="I204" s="6" t="s">
        <v>26</v>
      </c>
      <c r="J204" s="6" t="s">
        <v>21</v>
      </c>
      <c r="K204" s="6" t="s">
        <v>22</v>
      </c>
      <c r="L204" s="6">
        <v>24.0</v>
      </c>
      <c r="M204" s="5">
        <v>46013.0</v>
      </c>
      <c r="N204" s="6" t="s">
        <v>23</v>
      </c>
      <c r="O204" s="6" t="str">
        <f>SUMIFS([1]order_sku_sales_bb2_report!P:P,[1]order_sku_sales_bb2_report!H:H,C27947,[1]order_sku_sales_bb2_report!J:J,H27947)</f>
        <v>#ERROR!</v>
      </c>
      <c r="P204" s="6" t="str">
        <f>SUMIFS([1]order_sku_sales_bb2_report!O:O,[1]order_sku_sales_bb2_report!H:H,C27947,[1]order_sku_sales_bb2_report!J:J,H27947)</f>
        <v>#ERROR!</v>
      </c>
      <c r="Q204" s="6" t="str">
        <f t="shared" si="1"/>
        <v>22-12-2025</v>
      </c>
      <c r="R204" s="6" t="str">
        <f>IFERROR( VLOOKUP(C27947,[1]expressOrderReport!$S:$AZ,34,0),0)</f>
        <v>#ERROR!</v>
      </c>
      <c r="S204" s="6" t="str">
        <f>ARRAY_CONSTRAIN(ARRAYFORMULA(_xludf.XLOOKUP(D27947,[1]order_Report_SA_ID_BB2.0!V:V,[1]order_Report_SA_ID_BB2.0!AM:AM,"")), 1, 1)</f>
        <v>#ERROR!</v>
      </c>
      <c r="T204" s="6" t="str">
        <f t="shared" si="2"/>
        <v>Dec'25</v>
      </c>
    </row>
    <row r="205" ht="15.75" customHeight="1">
      <c r="A205" s="5">
        <v>46013.0</v>
      </c>
      <c r="B205" s="6">
        <v>7453.0</v>
      </c>
      <c r="C205" s="6">
        <v>1.859166283E9</v>
      </c>
      <c r="D205" s="6">
        <v>2428997.0</v>
      </c>
      <c r="E205" s="6" t="s">
        <v>365</v>
      </c>
      <c r="F205" s="6" t="s">
        <v>366</v>
      </c>
      <c r="G205" s="6">
        <v>9.880370048E9</v>
      </c>
      <c r="H205" s="6">
        <v>4.0149831E7</v>
      </c>
      <c r="I205" s="6" t="s">
        <v>65</v>
      </c>
      <c r="J205" s="6" t="s">
        <v>21</v>
      </c>
      <c r="K205" s="6" t="s">
        <v>22</v>
      </c>
      <c r="L205" s="6">
        <v>78.0</v>
      </c>
      <c r="M205" s="5">
        <v>46013.0</v>
      </c>
      <c r="N205" s="6" t="s">
        <v>23</v>
      </c>
      <c r="O205" s="6" t="str">
        <f>SUMIFS([1]order_sku_sales_bb2_report!P:P,[1]order_sku_sales_bb2_report!H:H,C27948,[1]order_sku_sales_bb2_report!J:J,H27948)</f>
        <v>#ERROR!</v>
      </c>
      <c r="P205" s="6" t="str">
        <f>SUMIFS([1]order_sku_sales_bb2_report!O:O,[1]order_sku_sales_bb2_report!H:H,C27948,[1]order_sku_sales_bb2_report!J:J,H27948)</f>
        <v>#ERROR!</v>
      </c>
      <c r="Q205" s="6" t="str">
        <f t="shared" si="1"/>
        <v>22-12-2025</v>
      </c>
      <c r="R205" s="6" t="str">
        <f>IFERROR( VLOOKUP(C27948,[1]expressOrderReport!$S:$AZ,34,0),0)</f>
        <v>#ERROR!</v>
      </c>
      <c r="S205" s="6" t="str">
        <f>ARRAY_CONSTRAIN(ARRAYFORMULA(_xludf.XLOOKUP(D27948,[1]order_Report_SA_ID_BB2.0!V:V,[1]order_Report_SA_ID_BB2.0!AM:AM,"")), 1, 1)</f>
        <v>#ERROR!</v>
      </c>
      <c r="T205" s="6" t="str">
        <f t="shared" si="2"/>
        <v>Dec'25</v>
      </c>
    </row>
    <row r="206" ht="15.75" customHeight="1">
      <c r="A206" s="5">
        <v>46013.0</v>
      </c>
      <c r="B206" s="6">
        <v>5793.0</v>
      </c>
      <c r="C206" s="6">
        <v>1.85916629E9</v>
      </c>
      <c r="D206" s="6">
        <v>3583724.0</v>
      </c>
      <c r="E206" s="6" t="s">
        <v>367</v>
      </c>
      <c r="F206" s="6" t="s">
        <v>368</v>
      </c>
      <c r="G206" s="6">
        <v>9.654097859E9</v>
      </c>
      <c r="H206" s="6">
        <v>4.0161616E7</v>
      </c>
      <c r="I206" s="6" t="s">
        <v>20</v>
      </c>
      <c r="J206" s="6" t="s">
        <v>21</v>
      </c>
      <c r="K206" s="6" t="s">
        <v>22</v>
      </c>
      <c r="L206" s="6">
        <v>56.0</v>
      </c>
      <c r="M206" s="5">
        <v>46013.0</v>
      </c>
      <c r="N206" s="6" t="s">
        <v>23</v>
      </c>
      <c r="O206" s="6" t="str">
        <f>SUMIFS([1]order_sku_sales_bb2_report!P:P,[1]order_sku_sales_bb2_report!H:H,C27949,[1]order_sku_sales_bb2_report!J:J,H27949)</f>
        <v>#ERROR!</v>
      </c>
      <c r="P206" s="6" t="str">
        <f>SUMIFS([1]order_sku_sales_bb2_report!O:O,[1]order_sku_sales_bb2_report!H:H,C27949,[1]order_sku_sales_bb2_report!J:J,H27949)</f>
        <v>#ERROR!</v>
      </c>
      <c r="Q206" s="6" t="str">
        <f t="shared" si="1"/>
        <v>22-12-2025</v>
      </c>
      <c r="R206" s="6" t="str">
        <f>IFERROR( VLOOKUP(C27949,[1]expressOrderReport!$S:$AZ,34,0),0)</f>
        <v>#ERROR!</v>
      </c>
      <c r="S206" s="6" t="str">
        <f>ARRAY_CONSTRAIN(ARRAYFORMULA(_xludf.XLOOKUP(D27949,[1]order_Report_SA_ID_BB2.0!V:V,[1]order_Report_SA_ID_BB2.0!AM:AM,"")), 1, 1)</f>
        <v>#ERROR!</v>
      </c>
      <c r="T206" s="6" t="str">
        <f t="shared" si="2"/>
        <v>Dec'25</v>
      </c>
    </row>
    <row r="207" ht="15.75" customHeight="1">
      <c r="A207" s="5">
        <v>46013.0</v>
      </c>
      <c r="B207" s="6">
        <v>7817.0</v>
      </c>
      <c r="C207" s="6">
        <v>1.859166295E9</v>
      </c>
      <c r="D207" s="6">
        <v>3777608.0</v>
      </c>
      <c r="E207" s="6" t="s">
        <v>369</v>
      </c>
      <c r="F207" s="6" t="s">
        <v>370</v>
      </c>
      <c r="G207" s="6">
        <v>9.91613097E9</v>
      </c>
      <c r="H207" s="6">
        <v>4.0158264E7</v>
      </c>
      <c r="I207" s="6" t="s">
        <v>26</v>
      </c>
      <c r="J207" s="6" t="s">
        <v>21</v>
      </c>
      <c r="K207" s="6" t="s">
        <v>22</v>
      </c>
      <c r="L207" s="6">
        <v>80.0</v>
      </c>
      <c r="M207" s="5">
        <v>46013.0</v>
      </c>
      <c r="N207" s="6" t="s">
        <v>23</v>
      </c>
      <c r="O207" s="6" t="str">
        <f>SUMIFS([1]order_sku_sales_bb2_report!P:P,[1]order_sku_sales_bb2_report!H:H,C27950,[1]order_sku_sales_bb2_report!J:J,H27950)</f>
        <v>#ERROR!</v>
      </c>
      <c r="P207" s="6" t="str">
        <f>SUMIFS([1]order_sku_sales_bb2_report!O:O,[1]order_sku_sales_bb2_report!H:H,C27950,[1]order_sku_sales_bb2_report!J:J,H27950)</f>
        <v>#ERROR!</v>
      </c>
      <c r="Q207" s="6" t="str">
        <f t="shared" si="1"/>
        <v>22-12-2025</v>
      </c>
      <c r="R207" s="6" t="str">
        <f>IFERROR( VLOOKUP(C27950,[1]expressOrderReport!$S:$AZ,34,0),0)</f>
        <v>#ERROR!</v>
      </c>
      <c r="S207" s="6" t="str">
        <f>ARRAY_CONSTRAIN(ARRAYFORMULA(_xludf.XLOOKUP(D27950,[1]order_Report_SA_ID_BB2.0!V:V,[1]order_Report_SA_ID_BB2.0!AM:AM,"")), 1, 1)</f>
        <v>#ERROR!</v>
      </c>
      <c r="T207" s="6" t="str">
        <f t="shared" si="2"/>
        <v>Dec'25</v>
      </c>
    </row>
    <row r="208" ht="15.75" customHeight="1">
      <c r="A208" s="5">
        <v>46013.0</v>
      </c>
      <c r="B208" s="6">
        <v>7818.0</v>
      </c>
      <c r="C208" s="6">
        <v>1.859166295E9</v>
      </c>
      <c r="D208" s="6">
        <v>3777608.0</v>
      </c>
      <c r="E208" s="6" t="s">
        <v>369</v>
      </c>
      <c r="F208" s="6" t="s">
        <v>370</v>
      </c>
      <c r="G208" s="6">
        <v>9.91613097E9</v>
      </c>
      <c r="H208" s="6">
        <v>4.0308499E7</v>
      </c>
      <c r="I208" s="6" t="s">
        <v>371</v>
      </c>
      <c r="J208" s="6" t="s">
        <v>21</v>
      </c>
      <c r="K208" s="6" t="s">
        <v>22</v>
      </c>
      <c r="L208" s="6">
        <v>80.0</v>
      </c>
      <c r="M208" s="5">
        <v>46013.0</v>
      </c>
      <c r="N208" s="6" t="s">
        <v>23</v>
      </c>
      <c r="O208" s="6" t="str">
        <f>SUMIFS([1]order_sku_sales_bb2_report!P:P,[1]order_sku_sales_bb2_report!H:H,C27951,[1]order_sku_sales_bb2_report!J:J,H27951)</f>
        <v>#ERROR!</v>
      </c>
      <c r="P208" s="6" t="str">
        <f>SUMIFS([1]order_sku_sales_bb2_report!O:O,[1]order_sku_sales_bb2_report!H:H,C27951,[1]order_sku_sales_bb2_report!J:J,H27951)</f>
        <v>#ERROR!</v>
      </c>
      <c r="Q208" s="6" t="str">
        <f t="shared" si="1"/>
        <v>22-12-2025</v>
      </c>
      <c r="R208" s="6" t="str">
        <f>IFERROR( VLOOKUP(C27951,[1]expressOrderReport!$S:$AZ,34,0),0)</f>
        <v>#ERROR!</v>
      </c>
      <c r="S208" s="6" t="str">
        <f>ARRAY_CONSTRAIN(ARRAYFORMULA(_xludf.XLOOKUP(D27951,[1]order_Report_SA_ID_BB2.0!V:V,[1]order_Report_SA_ID_BB2.0!AM:AM,"")), 1, 1)</f>
        <v>#ERROR!</v>
      </c>
      <c r="T208" s="6" t="str">
        <f t="shared" si="2"/>
        <v>Dec'25</v>
      </c>
    </row>
    <row r="209" ht="15.75" customHeight="1">
      <c r="A209" s="5">
        <v>46013.0</v>
      </c>
      <c r="B209" s="6">
        <v>9361.0</v>
      </c>
      <c r="C209" s="6">
        <v>1.859166301E9</v>
      </c>
      <c r="D209" s="6">
        <v>2.7556102E7</v>
      </c>
      <c r="E209" s="6" t="s">
        <v>372</v>
      </c>
      <c r="F209" s="6" t="s">
        <v>373</v>
      </c>
      <c r="G209" s="6">
        <v>7.406680021E9</v>
      </c>
      <c r="H209" s="6">
        <v>4.0148723E7</v>
      </c>
      <c r="I209" s="6" t="s">
        <v>69</v>
      </c>
      <c r="J209" s="6" t="s">
        <v>21</v>
      </c>
      <c r="K209" s="6" t="s">
        <v>22</v>
      </c>
      <c r="L209" s="6">
        <v>42.0</v>
      </c>
      <c r="M209" s="5">
        <v>46013.0</v>
      </c>
      <c r="N209" s="6" t="s">
        <v>23</v>
      </c>
      <c r="O209" s="6" t="str">
        <f>SUMIFS([1]order_sku_sales_bb2_report!P:P,[1]order_sku_sales_bb2_report!H:H,C27952,[1]order_sku_sales_bb2_report!J:J,H27952)</f>
        <v>#ERROR!</v>
      </c>
      <c r="P209" s="6" t="str">
        <f>SUMIFS([1]order_sku_sales_bb2_report!O:O,[1]order_sku_sales_bb2_report!H:H,C27952,[1]order_sku_sales_bb2_report!J:J,H27952)</f>
        <v>#ERROR!</v>
      </c>
      <c r="Q209" s="6" t="str">
        <f t="shared" si="1"/>
        <v>22-12-2025</v>
      </c>
      <c r="R209" s="6" t="str">
        <f>IFERROR( VLOOKUP(C27952,[1]expressOrderReport!$S:$AZ,34,0),0)</f>
        <v>#ERROR!</v>
      </c>
      <c r="S209" s="6" t="str">
        <f>ARRAY_CONSTRAIN(ARRAYFORMULA(_xludf.XLOOKUP(D27952,[1]order_Report_SA_ID_BB2.0!V:V,[1]order_Report_SA_ID_BB2.0!AM:AM,"")), 1, 1)</f>
        <v>#ERROR!</v>
      </c>
      <c r="T209" s="6" t="str">
        <f t="shared" si="2"/>
        <v>Dec'25</v>
      </c>
    </row>
    <row r="210" ht="15.75" customHeight="1">
      <c r="A210" s="5">
        <v>46013.0</v>
      </c>
      <c r="B210" s="6">
        <v>10774.0</v>
      </c>
      <c r="C210" s="6">
        <v>1.859166311E9</v>
      </c>
      <c r="D210" s="6">
        <v>7151398.0</v>
      </c>
      <c r="E210" s="6" t="s">
        <v>374</v>
      </c>
      <c r="F210" s="6" t="s">
        <v>375</v>
      </c>
      <c r="G210" s="6">
        <v>7.406977005E9</v>
      </c>
      <c r="H210" s="6">
        <v>1.0000118E7</v>
      </c>
      <c r="I210" s="6" t="s">
        <v>376</v>
      </c>
      <c r="J210" s="6" t="s">
        <v>21</v>
      </c>
      <c r="K210" s="6" t="s">
        <v>22</v>
      </c>
      <c r="L210" s="6">
        <v>55.7</v>
      </c>
      <c r="M210" s="5">
        <v>46013.0</v>
      </c>
      <c r="N210" s="6" t="s">
        <v>23</v>
      </c>
      <c r="O210" s="6" t="str">
        <f>SUMIFS([1]order_sku_sales_bb2_report!P:P,[1]order_sku_sales_bb2_report!H:H,C27953,[1]order_sku_sales_bb2_report!J:J,H27953)</f>
        <v>#ERROR!</v>
      </c>
      <c r="P210" s="6" t="str">
        <f>SUMIFS([1]order_sku_sales_bb2_report!O:O,[1]order_sku_sales_bb2_report!H:H,C27953,[1]order_sku_sales_bb2_report!J:J,H27953)</f>
        <v>#ERROR!</v>
      </c>
      <c r="Q210" s="6" t="str">
        <f t="shared" si="1"/>
        <v>22-12-2025</v>
      </c>
      <c r="R210" s="6" t="str">
        <f>IFERROR( VLOOKUP(C27953,[1]expressOrderReport!$S:$AZ,34,0),0)</f>
        <v>#ERROR!</v>
      </c>
      <c r="S210" s="6" t="str">
        <f>ARRAY_CONSTRAIN(ARRAYFORMULA(_xludf.XLOOKUP(D27953,[1]order_Report_SA_ID_BB2.0!V:V,[1]order_Report_SA_ID_BB2.0!AM:AM,"")), 1, 1)</f>
        <v>#ERROR!</v>
      </c>
      <c r="T210" s="6" t="str">
        <f t="shared" si="2"/>
        <v>Dec'25</v>
      </c>
    </row>
    <row r="211" ht="15.75" customHeight="1">
      <c r="A211" s="5">
        <v>46013.0</v>
      </c>
      <c r="B211" s="6">
        <v>10783.0</v>
      </c>
      <c r="C211" s="6">
        <v>1.859166311E9</v>
      </c>
      <c r="D211" s="6">
        <v>7151398.0</v>
      </c>
      <c r="E211" s="6" t="s">
        <v>374</v>
      </c>
      <c r="F211" s="6" t="s">
        <v>375</v>
      </c>
      <c r="G211" s="6">
        <v>7.406977005E9</v>
      </c>
      <c r="H211" s="6">
        <v>4.0054183E7</v>
      </c>
      <c r="I211" s="6" t="s">
        <v>157</v>
      </c>
      <c r="J211" s="6" t="s">
        <v>21</v>
      </c>
      <c r="K211" s="6" t="s">
        <v>22</v>
      </c>
      <c r="L211" s="6">
        <v>55.7</v>
      </c>
      <c r="M211" s="5">
        <v>46013.0</v>
      </c>
      <c r="N211" s="6" t="s">
        <v>23</v>
      </c>
      <c r="O211" s="6" t="str">
        <f>SUMIFS([1]order_sku_sales_bb2_report!P:P,[1]order_sku_sales_bb2_report!H:H,C27954,[1]order_sku_sales_bb2_report!J:J,H27954)</f>
        <v>#ERROR!</v>
      </c>
      <c r="P211" s="6" t="str">
        <f>SUMIFS([1]order_sku_sales_bb2_report!O:O,[1]order_sku_sales_bb2_report!H:H,C27954,[1]order_sku_sales_bb2_report!J:J,H27954)</f>
        <v>#ERROR!</v>
      </c>
      <c r="Q211" s="6" t="str">
        <f t="shared" si="1"/>
        <v>22-12-2025</v>
      </c>
      <c r="R211" s="6" t="str">
        <f>IFERROR( VLOOKUP(C27954,[1]expressOrderReport!$S:$AZ,34,0),0)</f>
        <v>#ERROR!</v>
      </c>
      <c r="S211" s="6" t="str">
        <f>ARRAY_CONSTRAIN(ARRAYFORMULA(_xludf.XLOOKUP(D27954,[1]order_Report_SA_ID_BB2.0!V:V,[1]order_Report_SA_ID_BB2.0!AM:AM,"")), 1, 1)</f>
        <v>#ERROR!</v>
      </c>
      <c r="T211" s="6" t="str">
        <f t="shared" si="2"/>
        <v>Dec'25</v>
      </c>
    </row>
    <row r="212" ht="15.75" customHeight="1">
      <c r="A212" s="5">
        <v>46013.0</v>
      </c>
      <c r="B212" s="6">
        <v>10784.0</v>
      </c>
      <c r="C212" s="6">
        <v>1.859166311E9</v>
      </c>
      <c r="D212" s="6">
        <v>7151398.0</v>
      </c>
      <c r="E212" s="6" t="s">
        <v>374</v>
      </c>
      <c r="F212" s="6" t="s">
        <v>375</v>
      </c>
      <c r="G212" s="6">
        <v>7.406977005E9</v>
      </c>
      <c r="H212" s="6">
        <v>2.0001184E7</v>
      </c>
      <c r="I212" s="6" t="s">
        <v>377</v>
      </c>
      <c r="J212" s="6" t="s">
        <v>21</v>
      </c>
      <c r="K212" s="6" t="s">
        <v>22</v>
      </c>
      <c r="L212" s="6">
        <v>55.7</v>
      </c>
      <c r="M212" s="5">
        <v>46013.0</v>
      </c>
      <c r="N212" s="6" t="s">
        <v>23</v>
      </c>
      <c r="O212" s="6" t="str">
        <f>SUMIFS([1]order_sku_sales_bb2_report!P:P,[1]order_sku_sales_bb2_report!H:H,C27955,[1]order_sku_sales_bb2_report!J:J,H27955)</f>
        <v>#ERROR!</v>
      </c>
      <c r="P212" s="6" t="str">
        <f>SUMIFS([1]order_sku_sales_bb2_report!O:O,[1]order_sku_sales_bb2_report!H:H,C27955,[1]order_sku_sales_bb2_report!J:J,H27955)</f>
        <v>#ERROR!</v>
      </c>
      <c r="Q212" s="6" t="str">
        <f t="shared" si="1"/>
        <v>22-12-2025</v>
      </c>
      <c r="R212" s="6" t="str">
        <f>IFERROR( VLOOKUP(C27955,[1]expressOrderReport!$S:$AZ,34,0),0)</f>
        <v>#ERROR!</v>
      </c>
      <c r="S212" s="6" t="str">
        <f>ARRAY_CONSTRAIN(ARRAYFORMULA(_xludf.XLOOKUP(D27955,[1]order_Report_SA_ID_BB2.0!V:V,[1]order_Report_SA_ID_BB2.0!AM:AM,"")), 1, 1)</f>
        <v>#ERROR!</v>
      </c>
      <c r="T212" s="6" t="str">
        <f t="shared" si="2"/>
        <v>Dec'25</v>
      </c>
    </row>
    <row r="213" ht="15.75" customHeight="1">
      <c r="A213" s="5">
        <v>46013.0</v>
      </c>
      <c r="B213" s="6">
        <v>11629.0</v>
      </c>
      <c r="C213" s="6">
        <v>1.859166311E9</v>
      </c>
      <c r="D213" s="6">
        <v>7151398.0</v>
      </c>
      <c r="E213" s="6" t="s">
        <v>374</v>
      </c>
      <c r="F213" s="6" t="s">
        <v>375</v>
      </c>
      <c r="G213" s="6">
        <v>7.406977005E9</v>
      </c>
      <c r="H213" s="6">
        <v>4.0358214E7</v>
      </c>
      <c r="I213" s="6" t="s">
        <v>378</v>
      </c>
      <c r="J213" s="6" t="s">
        <v>21</v>
      </c>
      <c r="K213" s="6" t="s">
        <v>22</v>
      </c>
      <c r="L213" s="6">
        <v>55.7</v>
      </c>
      <c r="M213" s="5">
        <v>46013.0</v>
      </c>
      <c r="N213" s="6" t="s">
        <v>23</v>
      </c>
      <c r="O213" s="6" t="str">
        <f>SUMIFS([1]order_sku_sales_bb2_report!P:P,[1]order_sku_sales_bb2_report!H:H,C27956,[1]order_sku_sales_bb2_report!J:J,H27956)</f>
        <v>#ERROR!</v>
      </c>
      <c r="P213" s="6" t="str">
        <f>SUMIFS([1]order_sku_sales_bb2_report!O:O,[1]order_sku_sales_bb2_report!H:H,C27956,[1]order_sku_sales_bb2_report!J:J,H27956)</f>
        <v>#ERROR!</v>
      </c>
      <c r="Q213" s="6" t="str">
        <f t="shared" si="1"/>
        <v>22-12-2025</v>
      </c>
      <c r="R213" s="6" t="str">
        <f>IFERROR( VLOOKUP(C27956,[1]expressOrderReport!$S:$AZ,34,0),0)</f>
        <v>#ERROR!</v>
      </c>
      <c r="S213" s="6" t="str">
        <f>ARRAY_CONSTRAIN(ARRAYFORMULA(_xludf.XLOOKUP(D27956,[1]order_Report_SA_ID_BB2.0!V:V,[1]order_Report_SA_ID_BB2.0!AM:AM,"")), 1, 1)</f>
        <v>#ERROR!</v>
      </c>
      <c r="T213" s="6" t="str">
        <f t="shared" si="2"/>
        <v>Dec'25</v>
      </c>
    </row>
    <row r="214" ht="15.75" customHeight="1">
      <c r="A214" s="5">
        <v>46013.0</v>
      </c>
      <c r="B214" s="6">
        <v>2731.0</v>
      </c>
      <c r="C214" s="6">
        <v>1.859166317E9</v>
      </c>
      <c r="D214" s="6">
        <v>2.7385864E7</v>
      </c>
      <c r="E214" s="6" t="s">
        <v>379</v>
      </c>
      <c r="F214" s="6" t="s">
        <v>380</v>
      </c>
      <c r="G214" s="6">
        <v>7.838545608E9</v>
      </c>
      <c r="H214" s="6">
        <v>4.0149833E7</v>
      </c>
      <c r="I214" s="6" t="s">
        <v>40</v>
      </c>
      <c r="J214" s="6" t="s">
        <v>21</v>
      </c>
      <c r="K214" s="6" t="s">
        <v>22</v>
      </c>
      <c r="L214" s="6">
        <v>27.0</v>
      </c>
      <c r="M214" s="5">
        <v>46013.0</v>
      </c>
      <c r="N214" s="6" t="s">
        <v>23</v>
      </c>
      <c r="O214" s="6" t="str">
        <f>SUMIFS([1]order_sku_sales_bb2_report!P:P,[1]order_sku_sales_bb2_report!H:H,C27957,[1]order_sku_sales_bb2_report!J:J,H27957)</f>
        <v>#ERROR!</v>
      </c>
      <c r="P214" s="6" t="str">
        <f>SUMIFS([1]order_sku_sales_bb2_report!O:O,[1]order_sku_sales_bb2_report!H:H,C27957,[1]order_sku_sales_bb2_report!J:J,H27957)</f>
        <v>#ERROR!</v>
      </c>
      <c r="Q214" s="6" t="str">
        <f t="shared" si="1"/>
        <v>22-12-2025</v>
      </c>
      <c r="R214" s="6" t="str">
        <f>IFERROR( VLOOKUP(C27957,[1]expressOrderReport!$S:$AZ,34,0),0)</f>
        <v>#ERROR!</v>
      </c>
      <c r="S214" s="6" t="str">
        <f>ARRAY_CONSTRAIN(ARRAYFORMULA(_xludf.XLOOKUP(D27957,[1]order_Report_SA_ID_BB2.0!V:V,[1]order_Report_SA_ID_BB2.0!AM:AM,"")), 1, 1)</f>
        <v>#ERROR!</v>
      </c>
      <c r="T214" s="6" t="str">
        <f t="shared" si="2"/>
        <v>Dec'25</v>
      </c>
    </row>
    <row r="215" ht="15.75" customHeight="1">
      <c r="A215" s="5">
        <v>46013.0</v>
      </c>
      <c r="B215" s="6">
        <v>4076.0</v>
      </c>
      <c r="C215" s="6">
        <v>1.859166321E9</v>
      </c>
      <c r="D215" s="6">
        <v>458000.0</v>
      </c>
      <c r="E215" s="6" t="s">
        <v>381</v>
      </c>
      <c r="F215" s="6" t="s">
        <v>382</v>
      </c>
      <c r="G215" s="6">
        <v>9.901382505E9</v>
      </c>
      <c r="H215" s="6">
        <v>4.0149834E7</v>
      </c>
      <c r="I215" s="6" t="s">
        <v>40</v>
      </c>
      <c r="J215" s="6" t="s">
        <v>21</v>
      </c>
      <c r="K215" s="6" t="s">
        <v>22</v>
      </c>
      <c r="L215" s="6">
        <v>104.0</v>
      </c>
      <c r="M215" s="5">
        <v>46013.0</v>
      </c>
      <c r="N215" s="6" t="s">
        <v>23</v>
      </c>
      <c r="O215" s="6" t="str">
        <f>SUMIFS([1]order_sku_sales_bb2_report!P:P,[1]order_sku_sales_bb2_report!H:H,C27958,[1]order_sku_sales_bb2_report!J:J,H27958)</f>
        <v>#ERROR!</v>
      </c>
      <c r="P215" s="6" t="str">
        <f>SUMIFS([1]order_sku_sales_bb2_report!O:O,[1]order_sku_sales_bb2_report!H:H,C27958,[1]order_sku_sales_bb2_report!J:J,H27958)</f>
        <v>#ERROR!</v>
      </c>
      <c r="Q215" s="6" t="str">
        <f t="shared" si="1"/>
        <v>22-12-2025</v>
      </c>
      <c r="R215" s="6" t="str">
        <f>IFERROR( VLOOKUP(C27958,[1]expressOrderReport!$S:$AZ,34,0),0)</f>
        <v>#ERROR!</v>
      </c>
      <c r="S215" s="6" t="str">
        <f>ARRAY_CONSTRAIN(ARRAYFORMULA(_xludf.XLOOKUP(D27958,[1]order_Report_SA_ID_BB2.0!V:V,[1]order_Report_SA_ID_BB2.0!AM:AM,"")), 1, 1)</f>
        <v>#ERROR!</v>
      </c>
      <c r="T215" s="6" t="str">
        <f t="shared" si="2"/>
        <v>Dec'25</v>
      </c>
    </row>
    <row r="216" ht="15.75" customHeight="1">
      <c r="A216" s="5">
        <v>46013.0</v>
      </c>
      <c r="B216" s="6">
        <v>9811.0</v>
      </c>
      <c r="C216" s="6">
        <v>1.859166328E9</v>
      </c>
      <c r="D216" s="6">
        <v>2.78196E7</v>
      </c>
      <c r="E216" s="6" t="s">
        <v>383</v>
      </c>
      <c r="F216" s="6" t="s">
        <v>384</v>
      </c>
      <c r="G216" s="6">
        <v>9.663561066E9</v>
      </c>
      <c r="H216" s="6">
        <v>4.0149832E7</v>
      </c>
      <c r="I216" s="6" t="s">
        <v>26</v>
      </c>
      <c r="J216" s="6" t="s">
        <v>21</v>
      </c>
      <c r="K216" s="6" t="s">
        <v>22</v>
      </c>
      <c r="L216" s="6">
        <v>54.4</v>
      </c>
      <c r="M216" s="5">
        <v>46013.0</v>
      </c>
      <c r="N216" s="6" t="s">
        <v>23</v>
      </c>
      <c r="O216" s="6" t="str">
        <f>SUMIFS([1]order_sku_sales_bb2_report!P:P,[1]order_sku_sales_bb2_report!H:H,C27959,[1]order_sku_sales_bb2_report!J:J,H27959)</f>
        <v>#ERROR!</v>
      </c>
      <c r="P216" s="6" t="str">
        <f>SUMIFS([1]order_sku_sales_bb2_report!O:O,[1]order_sku_sales_bb2_report!H:H,C27959,[1]order_sku_sales_bb2_report!J:J,H27959)</f>
        <v>#ERROR!</v>
      </c>
      <c r="Q216" s="6" t="str">
        <f t="shared" si="1"/>
        <v>22-12-2025</v>
      </c>
      <c r="R216" s="6" t="str">
        <f>IFERROR( VLOOKUP(C27959,[1]expressOrderReport!$S:$AZ,34,0),0)</f>
        <v>#ERROR!</v>
      </c>
      <c r="S216" s="6" t="str">
        <f>ARRAY_CONSTRAIN(ARRAYFORMULA(_xludf.XLOOKUP(D27959,[1]order_Report_SA_ID_BB2.0!V:V,[1]order_Report_SA_ID_BB2.0!AM:AM,"")), 1, 1)</f>
        <v>#ERROR!</v>
      </c>
      <c r="T216" s="6" t="str">
        <f t="shared" si="2"/>
        <v>Dec'25</v>
      </c>
    </row>
    <row r="217" ht="15.75" customHeight="1">
      <c r="A217" s="5">
        <v>46013.0</v>
      </c>
      <c r="B217" s="6">
        <v>9812.0</v>
      </c>
      <c r="C217" s="6">
        <v>1.859166328E9</v>
      </c>
      <c r="D217" s="6">
        <v>2.78196E7</v>
      </c>
      <c r="E217" s="6" t="s">
        <v>383</v>
      </c>
      <c r="F217" s="6" t="s">
        <v>384</v>
      </c>
      <c r="G217" s="6">
        <v>9.663561066E9</v>
      </c>
      <c r="H217" s="6">
        <v>4.0163722E7</v>
      </c>
      <c r="I217" s="6" t="s">
        <v>385</v>
      </c>
      <c r="J217" s="6" t="s">
        <v>21</v>
      </c>
      <c r="K217" s="6" t="s">
        <v>22</v>
      </c>
      <c r="L217" s="6">
        <v>54.4</v>
      </c>
      <c r="M217" s="5">
        <v>46013.0</v>
      </c>
      <c r="N217" s="6" t="s">
        <v>23</v>
      </c>
      <c r="O217" s="6" t="str">
        <f>SUMIFS([1]order_sku_sales_bb2_report!P:P,[1]order_sku_sales_bb2_report!H:H,C27960,[1]order_sku_sales_bb2_report!J:J,H27960)</f>
        <v>#ERROR!</v>
      </c>
      <c r="P217" s="6" t="str">
        <f>SUMIFS([1]order_sku_sales_bb2_report!O:O,[1]order_sku_sales_bb2_report!H:H,C27960,[1]order_sku_sales_bb2_report!J:J,H27960)</f>
        <v>#ERROR!</v>
      </c>
      <c r="Q217" s="6" t="str">
        <f t="shared" si="1"/>
        <v>22-12-2025</v>
      </c>
      <c r="R217" s="6" t="str">
        <f>IFERROR( VLOOKUP(C27960,[1]expressOrderReport!$S:$AZ,34,0),0)</f>
        <v>#ERROR!</v>
      </c>
      <c r="S217" s="6" t="str">
        <f>ARRAY_CONSTRAIN(ARRAYFORMULA(_xludf.XLOOKUP(D27960,[1]order_Report_SA_ID_BB2.0!V:V,[1]order_Report_SA_ID_BB2.0!AM:AM,"")), 1, 1)</f>
        <v>#ERROR!</v>
      </c>
      <c r="T217" s="6" t="str">
        <f t="shared" si="2"/>
        <v>Dec'25</v>
      </c>
    </row>
    <row r="218" ht="15.75" customHeight="1">
      <c r="A218" s="5">
        <v>46013.0</v>
      </c>
      <c r="B218" s="6">
        <v>4382.0</v>
      </c>
      <c r="C218" s="6">
        <v>1.859166336E9</v>
      </c>
      <c r="D218" s="6">
        <v>1857859.0</v>
      </c>
      <c r="E218" s="6" t="s">
        <v>386</v>
      </c>
      <c r="F218" s="6" t="s">
        <v>387</v>
      </c>
      <c r="G218" s="6">
        <v>9.739463636E9</v>
      </c>
      <c r="H218" s="6">
        <v>4.0148717E7</v>
      </c>
      <c r="I218" s="6" t="s">
        <v>226</v>
      </c>
      <c r="J218" s="6" t="s">
        <v>21</v>
      </c>
      <c r="K218" s="6" t="s">
        <v>22</v>
      </c>
      <c r="L218" s="6">
        <v>53.0</v>
      </c>
      <c r="M218" s="5">
        <v>46013.0</v>
      </c>
      <c r="N218" s="6" t="s">
        <v>23</v>
      </c>
      <c r="O218" s="6" t="str">
        <f>SUMIFS([1]order_sku_sales_bb2_report!P:P,[1]order_sku_sales_bb2_report!H:H,C27963,[1]order_sku_sales_bb2_report!J:J,H27963)</f>
        <v>#ERROR!</v>
      </c>
      <c r="P218" s="6" t="str">
        <f>SUMIFS([1]order_sku_sales_bb2_report!O:O,[1]order_sku_sales_bb2_report!H:H,C27963,[1]order_sku_sales_bb2_report!J:J,H27963)</f>
        <v>#ERROR!</v>
      </c>
      <c r="Q218" s="6" t="str">
        <f t="shared" si="1"/>
        <v>22-12-2025</v>
      </c>
      <c r="R218" s="6" t="str">
        <f>IFERROR( VLOOKUP(C27963,[1]expressOrderReport!$S:$AZ,34,0),0)</f>
        <v>#ERROR!</v>
      </c>
      <c r="S218" s="6" t="str">
        <f>ARRAY_CONSTRAIN(ARRAYFORMULA(_xludf.XLOOKUP(D27963,[1]order_Report_SA_ID_BB2.0!V:V,[1]order_Report_SA_ID_BB2.0!AM:AM,"")), 1, 1)</f>
        <v>#ERROR!</v>
      </c>
      <c r="T218" s="6" t="str">
        <f t="shared" si="2"/>
        <v>Dec'25</v>
      </c>
    </row>
    <row r="219" ht="15.75" customHeight="1">
      <c r="A219" s="5">
        <v>46013.0</v>
      </c>
      <c r="B219" s="6">
        <v>2374.0</v>
      </c>
      <c r="C219" s="6">
        <v>1.8591657E9</v>
      </c>
      <c r="D219" s="6">
        <v>2.8277527E7</v>
      </c>
      <c r="E219" s="6" t="s">
        <v>388</v>
      </c>
      <c r="F219" s="6" t="s">
        <v>389</v>
      </c>
      <c r="G219" s="6">
        <v>8.093524199E9</v>
      </c>
      <c r="H219" s="6">
        <v>4.0149833E7</v>
      </c>
      <c r="I219" s="6" t="s">
        <v>40</v>
      </c>
      <c r="J219" s="6" t="s">
        <v>21</v>
      </c>
      <c r="K219" s="6" t="s">
        <v>22</v>
      </c>
      <c r="L219" s="6">
        <v>54.0</v>
      </c>
      <c r="M219" s="5">
        <v>46013.0</v>
      </c>
      <c r="N219" s="6" t="s">
        <v>23</v>
      </c>
      <c r="O219" s="6" t="str">
        <f>SUMIFS([1]order_sku_sales_bb2_report!P:P,[1]order_sku_sales_bb2_report!H:H,C27966,[1]order_sku_sales_bb2_report!J:J,H27966)</f>
        <v>#ERROR!</v>
      </c>
      <c r="P219" s="6" t="str">
        <f>SUMIFS([1]order_sku_sales_bb2_report!O:O,[1]order_sku_sales_bb2_report!H:H,C27966,[1]order_sku_sales_bb2_report!J:J,H27966)</f>
        <v>#ERROR!</v>
      </c>
      <c r="Q219" s="6" t="str">
        <f t="shared" si="1"/>
        <v>22-12-2025</v>
      </c>
      <c r="R219" s="6" t="str">
        <f>IFERROR( VLOOKUP(C27966,[1]expressOrderReport!$S:$AZ,34,0),0)</f>
        <v>#ERROR!</v>
      </c>
      <c r="S219" s="6" t="str">
        <f>ARRAY_CONSTRAIN(ARRAYFORMULA(_xludf.XLOOKUP(D27966,[1]order_Report_SA_ID_BB2.0!V:V,[1]order_Report_SA_ID_BB2.0!AM:AM,"")), 1, 1)</f>
        <v>#ERROR!</v>
      </c>
      <c r="T219" s="6" t="str">
        <f t="shared" si="2"/>
        <v>Dec'25</v>
      </c>
    </row>
    <row r="220" ht="15.75" customHeight="1">
      <c r="A220" s="5">
        <v>46013.0</v>
      </c>
      <c r="B220" s="6">
        <v>2380.0</v>
      </c>
      <c r="C220" s="6">
        <v>1.8591657E9</v>
      </c>
      <c r="D220" s="6">
        <v>2.8277527E7</v>
      </c>
      <c r="E220" s="6" t="s">
        <v>388</v>
      </c>
      <c r="F220" s="6" t="s">
        <v>389</v>
      </c>
      <c r="G220" s="6">
        <v>8.093524199E9</v>
      </c>
      <c r="H220" s="6">
        <v>4.014983E7</v>
      </c>
      <c r="I220" s="6" t="s">
        <v>30</v>
      </c>
      <c r="J220" s="6" t="s">
        <v>21</v>
      </c>
      <c r="K220" s="6" t="s">
        <v>22</v>
      </c>
      <c r="L220" s="6">
        <v>54.0</v>
      </c>
      <c r="M220" s="5">
        <v>46013.0</v>
      </c>
      <c r="N220" s="6" t="s">
        <v>23</v>
      </c>
      <c r="O220" s="6" t="str">
        <f>SUMIFS([1]order_sku_sales_bb2_report!P:P,[1]order_sku_sales_bb2_report!H:H,C27967,[1]order_sku_sales_bb2_report!J:J,H27967)</f>
        <v>#ERROR!</v>
      </c>
      <c r="P220" s="6" t="str">
        <f>SUMIFS([1]order_sku_sales_bb2_report!O:O,[1]order_sku_sales_bb2_report!H:H,C27967,[1]order_sku_sales_bb2_report!J:J,H27967)</f>
        <v>#ERROR!</v>
      </c>
      <c r="Q220" s="6" t="str">
        <f t="shared" si="1"/>
        <v>22-12-2025</v>
      </c>
      <c r="R220" s="6" t="str">
        <f>IFERROR( VLOOKUP(C27967,[1]expressOrderReport!$S:$AZ,34,0),0)</f>
        <v>#ERROR!</v>
      </c>
      <c r="S220" s="6" t="str">
        <f>ARRAY_CONSTRAIN(ARRAYFORMULA(_xludf.XLOOKUP(D27967,[1]order_Report_SA_ID_BB2.0!V:V,[1]order_Report_SA_ID_BB2.0!AM:AM,"")), 1, 1)</f>
        <v>#ERROR!</v>
      </c>
      <c r="T220" s="6" t="str">
        <f t="shared" si="2"/>
        <v>Dec'25</v>
      </c>
    </row>
    <row r="221" ht="15.75" customHeight="1">
      <c r="A221" s="5">
        <v>46013.0</v>
      </c>
      <c r="B221" s="6">
        <v>1346.0</v>
      </c>
      <c r="C221" s="6">
        <v>1.859165711E9</v>
      </c>
      <c r="D221" s="6">
        <v>272533.0</v>
      </c>
      <c r="E221" s="6" t="s">
        <v>390</v>
      </c>
      <c r="F221" s="6" t="s">
        <v>391</v>
      </c>
      <c r="G221" s="6">
        <v>9.740766558E9</v>
      </c>
      <c r="H221" s="6">
        <v>4.0149831E7</v>
      </c>
      <c r="I221" s="6" t="s">
        <v>65</v>
      </c>
      <c r="J221" s="6" t="s">
        <v>21</v>
      </c>
      <c r="K221" s="6" t="s">
        <v>22</v>
      </c>
      <c r="L221" s="6">
        <v>97.0</v>
      </c>
      <c r="M221" s="5">
        <v>46013.0</v>
      </c>
      <c r="N221" s="6" t="s">
        <v>23</v>
      </c>
      <c r="O221" s="6" t="str">
        <f>SUMIFS([1]order_sku_sales_bb2_report!P:P,[1]order_sku_sales_bb2_report!H:H,C27968,[1]order_sku_sales_bb2_report!J:J,H27968)</f>
        <v>#ERROR!</v>
      </c>
      <c r="P221" s="6" t="str">
        <f>SUMIFS([1]order_sku_sales_bb2_report!O:O,[1]order_sku_sales_bb2_report!H:H,C27968,[1]order_sku_sales_bb2_report!J:J,H27968)</f>
        <v>#ERROR!</v>
      </c>
      <c r="Q221" s="6" t="str">
        <f t="shared" si="1"/>
        <v>22-12-2025</v>
      </c>
      <c r="R221" s="6" t="str">
        <f>IFERROR( VLOOKUP(C27968,[1]expressOrderReport!$S:$AZ,34,0),0)</f>
        <v>#ERROR!</v>
      </c>
      <c r="S221" s="6" t="str">
        <f>ARRAY_CONSTRAIN(ARRAYFORMULA(_xludf.XLOOKUP(D27968,[1]order_Report_SA_ID_BB2.0!V:V,[1]order_Report_SA_ID_BB2.0!AM:AM,"")), 1, 1)</f>
        <v>#ERROR!</v>
      </c>
      <c r="T221" s="6" t="str">
        <f t="shared" si="2"/>
        <v>Dec'25</v>
      </c>
    </row>
    <row r="222" ht="15.75" customHeight="1">
      <c r="A222" s="5">
        <v>46013.0</v>
      </c>
      <c r="B222" s="6">
        <v>1349.0</v>
      </c>
      <c r="C222" s="6">
        <v>1.859165711E9</v>
      </c>
      <c r="D222" s="6">
        <v>272533.0</v>
      </c>
      <c r="E222" s="6" t="s">
        <v>390</v>
      </c>
      <c r="F222" s="6" t="s">
        <v>391</v>
      </c>
      <c r="G222" s="6">
        <v>9.740766558E9</v>
      </c>
      <c r="H222" s="6">
        <v>4.0148716E7</v>
      </c>
      <c r="I222" s="6" t="s">
        <v>148</v>
      </c>
      <c r="J222" s="6" t="s">
        <v>21</v>
      </c>
      <c r="K222" s="6" t="s">
        <v>22</v>
      </c>
      <c r="L222" s="6">
        <v>97.0</v>
      </c>
      <c r="M222" s="5">
        <v>46013.0</v>
      </c>
      <c r="N222" s="6" t="s">
        <v>23</v>
      </c>
      <c r="O222" s="6" t="str">
        <f>SUMIFS([1]order_sku_sales_bb2_report!P:P,[1]order_sku_sales_bb2_report!H:H,C27969,[1]order_sku_sales_bb2_report!J:J,H27969)</f>
        <v>#ERROR!</v>
      </c>
      <c r="P222" s="6" t="str">
        <f>SUMIFS([1]order_sku_sales_bb2_report!O:O,[1]order_sku_sales_bb2_report!H:H,C27969,[1]order_sku_sales_bb2_report!J:J,H27969)</f>
        <v>#ERROR!</v>
      </c>
      <c r="Q222" s="6" t="str">
        <f t="shared" si="1"/>
        <v>22-12-2025</v>
      </c>
      <c r="R222" s="6" t="str">
        <f>IFERROR( VLOOKUP(C27969,[1]expressOrderReport!$S:$AZ,34,0),0)</f>
        <v>#ERROR!</v>
      </c>
      <c r="S222" s="6" t="str">
        <f>ARRAY_CONSTRAIN(ARRAYFORMULA(_xludf.XLOOKUP(D27969,[1]order_Report_SA_ID_BB2.0!V:V,[1]order_Report_SA_ID_BB2.0!AM:AM,"")), 1, 1)</f>
        <v>#ERROR!</v>
      </c>
      <c r="T222" s="6" t="str">
        <f t="shared" si="2"/>
        <v>Dec'25</v>
      </c>
    </row>
    <row r="223" ht="15.75" customHeight="1">
      <c r="A223" s="5">
        <v>46013.0</v>
      </c>
      <c r="B223" s="6">
        <v>7925.0</v>
      </c>
      <c r="C223" s="6">
        <v>1.85916572E9</v>
      </c>
      <c r="D223" s="6">
        <v>752779.0</v>
      </c>
      <c r="E223" s="6" t="s">
        <v>392</v>
      </c>
      <c r="F223" s="6" t="s">
        <v>393</v>
      </c>
      <c r="G223" s="6">
        <v>8.147469382E9</v>
      </c>
      <c r="H223" s="6">
        <v>4.0149833E7</v>
      </c>
      <c r="I223" s="6" t="s">
        <v>40</v>
      </c>
      <c r="J223" s="6" t="s">
        <v>21</v>
      </c>
      <c r="K223" s="6" t="s">
        <v>22</v>
      </c>
      <c r="L223" s="6">
        <v>27.0</v>
      </c>
      <c r="M223" s="5">
        <v>46013.0</v>
      </c>
      <c r="N223" s="6" t="s">
        <v>23</v>
      </c>
      <c r="O223" s="6" t="str">
        <f>SUMIFS([1]order_sku_sales_bb2_report!P:P,[1]order_sku_sales_bb2_report!H:H,C27970,[1]order_sku_sales_bb2_report!J:J,H27970)</f>
        <v>#ERROR!</v>
      </c>
      <c r="P223" s="6" t="str">
        <f>SUMIFS([1]order_sku_sales_bb2_report!O:O,[1]order_sku_sales_bb2_report!H:H,C27970,[1]order_sku_sales_bb2_report!J:J,H27970)</f>
        <v>#ERROR!</v>
      </c>
      <c r="Q223" s="6" t="str">
        <f t="shared" si="1"/>
        <v>22-12-2025</v>
      </c>
      <c r="R223" s="6" t="str">
        <f>IFERROR( VLOOKUP(C27970,[1]expressOrderReport!$S:$AZ,34,0),0)</f>
        <v>#ERROR!</v>
      </c>
      <c r="S223" s="6" t="str">
        <f>ARRAY_CONSTRAIN(ARRAYFORMULA(_xludf.XLOOKUP(D27970,[1]order_Report_SA_ID_BB2.0!V:V,[1]order_Report_SA_ID_BB2.0!AM:AM,"")), 1, 1)</f>
        <v>#ERROR!</v>
      </c>
      <c r="T223" s="6" t="str">
        <f t="shared" si="2"/>
        <v>Dec'25</v>
      </c>
    </row>
    <row r="224" ht="15.75" customHeight="1">
      <c r="A224" s="5">
        <v>46013.0</v>
      </c>
      <c r="B224" s="6">
        <v>5451.0</v>
      </c>
      <c r="C224" s="6">
        <v>1.85916573E9</v>
      </c>
      <c r="D224" s="6">
        <v>875536.0</v>
      </c>
      <c r="E224" s="6" t="s">
        <v>394</v>
      </c>
      <c r="F224" s="6" t="s">
        <v>395</v>
      </c>
      <c r="G224" s="6">
        <v>9.873331339E9</v>
      </c>
      <c r="H224" s="6">
        <v>4.0149834E7</v>
      </c>
      <c r="I224" s="6" t="s">
        <v>40</v>
      </c>
      <c r="J224" s="6" t="s">
        <v>21</v>
      </c>
      <c r="K224" s="6" t="s">
        <v>22</v>
      </c>
      <c r="L224" s="6">
        <v>79.0</v>
      </c>
      <c r="M224" s="5">
        <v>46013.0</v>
      </c>
      <c r="N224" s="6" t="s">
        <v>23</v>
      </c>
      <c r="O224" s="6" t="str">
        <f>SUMIFS([1]order_sku_sales_bb2_report!P:P,[1]order_sku_sales_bb2_report!H:H,C27971,[1]order_sku_sales_bb2_report!J:J,H27971)</f>
        <v>#ERROR!</v>
      </c>
      <c r="P224" s="6" t="str">
        <f>SUMIFS([1]order_sku_sales_bb2_report!O:O,[1]order_sku_sales_bb2_report!H:H,C27971,[1]order_sku_sales_bb2_report!J:J,H27971)</f>
        <v>#ERROR!</v>
      </c>
      <c r="Q224" s="6" t="str">
        <f t="shared" si="1"/>
        <v>22-12-2025</v>
      </c>
      <c r="R224" s="6" t="str">
        <f>IFERROR( VLOOKUP(C27971,[1]expressOrderReport!$S:$AZ,34,0),0)</f>
        <v>#ERROR!</v>
      </c>
      <c r="S224" s="6" t="str">
        <f>ARRAY_CONSTRAIN(ARRAYFORMULA(_xludf.XLOOKUP(D27971,[1]order_Report_SA_ID_BB2.0!V:V,[1]order_Report_SA_ID_BB2.0!AM:AM,"")), 1, 1)</f>
        <v>#ERROR!</v>
      </c>
      <c r="T224" s="6" t="str">
        <f t="shared" si="2"/>
        <v>Dec'25</v>
      </c>
    </row>
    <row r="225" ht="15.75" customHeight="1">
      <c r="A225" s="5">
        <v>46013.0</v>
      </c>
      <c r="B225" s="6">
        <v>6514.0</v>
      </c>
      <c r="C225" s="6">
        <v>1.85916573E9</v>
      </c>
      <c r="D225" s="6">
        <v>875536.0</v>
      </c>
      <c r="E225" s="6" t="s">
        <v>394</v>
      </c>
      <c r="F225" s="6" t="s">
        <v>395</v>
      </c>
      <c r="G225" s="6">
        <v>9.873331339E9</v>
      </c>
      <c r="H225" s="6">
        <v>4.0149833E7</v>
      </c>
      <c r="I225" s="6" t="s">
        <v>40</v>
      </c>
      <c r="J225" s="6" t="s">
        <v>21</v>
      </c>
      <c r="K225" s="6" t="s">
        <v>22</v>
      </c>
      <c r="L225" s="6">
        <v>79.0</v>
      </c>
      <c r="M225" s="5">
        <v>46013.0</v>
      </c>
      <c r="N225" s="6" t="s">
        <v>23</v>
      </c>
      <c r="O225" s="6" t="str">
        <f>SUMIFS([1]order_sku_sales_bb2_report!P:P,[1]order_sku_sales_bb2_report!H:H,C27972,[1]order_sku_sales_bb2_report!J:J,H27972)</f>
        <v>#ERROR!</v>
      </c>
      <c r="P225" s="6" t="str">
        <f>SUMIFS([1]order_sku_sales_bb2_report!O:O,[1]order_sku_sales_bb2_report!H:H,C27972,[1]order_sku_sales_bb2_report!J:J,H27972)</f>
        <v>#ERROR!</v>
      </c>
      <c r="Q225" s="6" t="str">
        <f t="shared" si="1"/>
        <v>22-12-2025</v>
      </c>
      <c r="R225" s="6" t="str">
        <f>IFERROR( VLOOKUP(C27972,[1]expressOrderReport!$S:$AZ,34,0),0)</f>
        <v>#ERROR!</v>
      </c>
      <c r="S225" s="6" t="str">
        <f>ARRAY_CONSTRAIN(ARRAYFORMULA(_xludf.XLOOKUP(D27972,[1]order_Report_SA_ID_BB2.0!V:V,[1]order_Report_SA_ID_BB2.0!AM:AM,"")), 1, 1)</f>
        <v>#ERROR!</v>
      </c>
      <c r="T225" s="6" t="str">
        <f t="shared" si="2"/>
        <v>Dec'25</v>
      </c>
    </row>
    <row r="226" ht="15.75" customHeight="1">
      <c r="A226" s="5">
        <v>46013.0</v>
      </c>
      <c r="B226" s="6">
        <v>1941.0</v>
      </c>
      <c r="C226" s="6">
        <v>1.85916574E9</v>
      </c>
      <c r="D226" s="6">
        <v>2.5232765E7</v>
      </c>
      <c r="E226" s="6" t="s">
        <v>396</v>
      </c>
      <c r="F226" s="6" t="s">
        <v>397</v>
      </c>
      <c r="G226" s="6">
        <v>8.879086009E9</v>
      </c>
      <c r="H226" s="6">
        <v>4.0148715E7</v>
      </c>
      <c r="I226" s="6" t="s">
        <v>398</v>
      </c>
      <c r="J226" s="6" t="s">
        <v>21</v>
      </c>
      <c r="K226" s="6" t="s">
        <v>22</v>
      </c>
      <c r="L226" s="6">
        <v>37.0</v>
      </c>
      <c r="M226" s="5">
        <v>46013.0</v>
      </c>
      <c r="N226" s="6" t="s">
        <v>23</v>
      </c>
      <c r="O226" s="6" t="str">
        <f>SUMIFS([1]order_sku_sales_bb2_report!P:P,[1]order_sku_sales_bb2_report!H:H,C27973,[1]order_sku_sales_bb2_report!J:J,H27973)</f>
        <v>#ERROR!</v>
      </c>
      <c r="P226" s="6" t="str">
        <f>SUMIFS([1]order_sku_sales_bb2_report!O:O,[1]order_sku_sales_bb2_report!H:H,C27973,[1]order_sku_sales_bb2_report!J:J,H27973)</f>
        <v>#ERROR!</v>
      </c>
      <c r="Q226" s="6" t="str">
        <f t="shared" si="1"/>
        <v>22-12-2025</v>
      </c>
      <c r="R226" s="6" t="str">
        <f>IFERROR( VLOOKUP(C27973,[1]expressOrderReport!$S:$AZ,34,0),0)</f>
        <v>#ERROR!</v>
      </c>
      <c r="S226" s="6" t="str">
        <f>ARRAY_CONSTRAIN(ARRAYFORMULA(_xludf.XLOOKUP(D27973,[1]order_Report_SA_ID_BB2.0!V:V,[1]order_Report_SA_ID_BB2.0!AM:AM,"")), 1, 1)</f>
        <v>#ERROR!</v>
      </c>
      <c r="T226" s="6" t="str">
        <f t="shared" si="2"/>
        <v>Dec'25</v>
      </c>
    </row>
    <row r="227" ht="15.75" customHeight="1">
      <c r="A227" s="5">
        <v>46013.0</v>
      </c>
      <c r="B227" s="6">
        <v>10720.0</v>
      </c>
      <c r="C227" s="6">
        <v>1.859165745E9</v>
      </c>
      <c r="D227" s="6">
        <v>196766.0</v>
      </c>
      <c r="E227" s="6" t="s">
        <v>399</v>
      </c>
      <c r="F227" s="6" t="s">
        <v>400</v>
      </c>
      <c r="G227" s="6">
        <v>7.66686143E9</v>
      </c>
      <c r="H227" s="6">
        <v>4.0147597E7</v>
      </c>
      <c r="I227" s="6" t="s">
        <v>59</v>
      </c>
      <c r="J227" s="6" t="s">
        <v>21</v>
      </c>
      <c r="K227" s="6" t="s">
        <v>22</v>
      </c>
      <c r="L227" s="6">
        <v>52.0</v>
      </c>
      <c r="M227" s="5">
        <v>46013.0</v>
      </c>
      <c r="N227" s="6" t="s">
        <v>23</v>
      </c>
      <c r="O227" s="6" t="str">
        <f>SUMIFS([1]order_sku_sales_bb2_report!P:P,[1]order_sku_sales_bb2_report!H:H,C27974,[1]order_sku_sales_bb2_report!J:J,H27974)</f>
        <v>#ERROR!</v>
      </c>
      <c r="P227" s="6" t="str">
        <f>SUMIFS([1]order_sku_sales_bb2_report!O:O,[1]order_sku_sales_bb2_report!H:H,C27974,[1]order_sku_sales_bb2_report!J:J,H27974)</f>
        <v>#ERROR!</v>
      </c>
      <c r="Q227" s="6" t="str">
        <f t="shared" si="1"/>
        <v>22-12-2025</v>
      </c>
      <c r="R227" s="6" t="str">
        <f>IFERROR( VLOOKUP(C27974,[1]expressOrderReport!$S:$AZ,34,0),0)</f>
        <v>#ERROR!</v>
      </c>
      <c r="S227" s="6" t="str">
        <f>ARRAY_CONSTRAIN(ARRAYFORMULA(_xludf.XLOOKUP(D27974,[1]order_Report_SA_ID_BB2.0!V:V,[1]order_Report_SA_ID_BB2.0!AM:AM,"")), 1, 1)</f>
        <v>#ERROR!</v>
      </c>
      <c r="T227" s="6" t="str">
        <f t="shared" si="2"/>
        <v>Dec'25</v>
      </c>
    </row>
    <row r="228" ht="15.75" customHeight="1">
      <c r="A228" s="5">
        <v>46013.0</v>
      </c>
      <c r="B228" s="6">
        <v>4653.0</v>
      </c>
      <c r="C228" s="6">
        <v>1.859165751E9</v>
      </c>
      <c r="D228" s="6">
        <v>1.2287414E7</v>
      </c>
      <c r="E228" s="6" t="s">
        <v>401</v>
      </c>
      <c r="F228" s="6" t="s">
        <v>402</v>
      </c>
      <c r="G228" s="6">
        <v>9.363269901E9</v>
      </c>
      <c r="H228" s="6">
        <v>4.0161616E7</v>
      </c>
      <c r="I228" s="6" t="s">
        <v>20</v>
      </c>
      <c r="J228" s="6" t="s">
        <v>21</v>
      </c>
      <c r="K228" s="6" t="s">
        <v>22</v>
      </c>
      <c r="L228" s="6">
        <v>28.0</v>
      </c>
      <c r="M228" s="5">
        <v>46013.0</v>
      </c>
      <c r="N228" s="6" t="s">
        <v>23</v>
      </c>
      <c r="O228" s="6" t="str">
        <f>SUMIFS([1]order_sku_sales_bb2_report!P:P,[1]order_sku_sales_bb2_report!H:H,C27975,[1]order_sku_sales_bb2_report!J:J,H27975)</f>
        <v>#ERROR!</v>
      </c>
      <c r="P228" s="6" t="str">
        <f>SUMIFS([1]order_sku_sales_bb2_report!O:O,[1]order_sku_sales_bb2_report!H:H,C27975,[1]order_sku_sales_bb2_report!J:J,H27975)</f>
        <v>#ERROR!</v>
      </c>
      <c r="Q228" s="6" t="str">
        <f t="shared" si="1"/>
        <v>22-12-2025</v>
      </c>
      <c r="R228" s="6" t="str">
        <f>IFERROR( VLOOKUP(C27975,[1]expressOrderReport!$S:$AZ,34,0),0)</f>
        <v>#ERROR!</v>
      </c>
      <c r="S228" s="6" t="str">
        <f>ARRAY_CONSTRAIN(ARRAYFORMULA(_xludf.XLOOKUP(D27975,[1]order_Report_SA_ID_BB2.0!V:V,[1]order_Report_SA_ID_BB2.0!AM:AM,"")), 1, 1)</f>
        <v>#ERROR!</v>
      </c>
      <c r="T228" s="6" t="str">
        <f t="shared" si="2"/>
        <v>Dec'25</v>
      </c>
    </row>
    <row r="229" ht="15.75" customHeight="1">
      <c r="A229" s="5">
        <v>46013.0</v>
      </c>
      <c r="B229" s="6">
        <v>1174.0</v>
      </c>
      <c r="C229" s="6">
        <v>1.859165764E9</v>
      </c>
      <c r="D229" s="6">
        <v>2.8478288E7</v>
      </c>
      <c r="E229" s="6" t="s">
        <v>403</v>
      </c>
      <c r="F229" s="6" t="s">
        <v>404</v>
      </c>
      <c r="G229" s="6">
        <v>9.003012269E9</v>
      </c>
      <c r="H229" s="6">
        <v>4.0090893E7</v>
      </c>
      <c r="I229" s="6" t="s">
        <v>35</v>
      </c>
      <c r="J229" s="6" t="s">
        <v>21</v>
      </c>
      <c r="K229" s="6" t="s">
        <v>22</v>
      </c>
      <c r="L229" s="6">
        <v>66.0</v>
      </c>
      <c r="M229" s="5">
        <v>46013.0</v>
      </c>
      <c r="N229" s="6" t="s">
        <v>23</v>
      </c>
      <c r="O229" s="6" t="str">
        <f>SUMIFS([1]order_sku_sales_bb2_report!P:P,[1]order_sku_sales_bb2_report!H:H,C27976,[1]order_sku_sales_bb2_report!J:J,H27976)</f>
        <v>#ERROR!</v>
      </c>
      <c r="P229" s="6" t="str">
        <f>SUMIFS([1]order_sku_sales_bb2_report!O:O,[1]order_sku_sales_bb2_report!H:H,C27976,[1]order_sku_sales_bb2_report!J:J,H27976)</f>
        <v>#ERROR!</v>
      </c>
      <c r="Q229" s="6" t="str">
        <f t="shared" si="1"/>
        <v>22-12-2025</v>
      </c>
      <c r="R229" s="6" t="str">
        <f>IFERROR( VLOOKUP(C27976,[1]expressOrderReport!$S:$AZ,34,0),0)</f>
        <v>#ERROR!</v>
      </c>
      <c r="S229" s="6" t="str">
        <f>ARRAY_CONSTRAIN(ARRAYFORMULA(_xludf.XLOOKUP(D27976,[1]order_Report_SA_ID_BB2.0!V:V,[1]order_Report_SA_ID_BB2.0!AM:AM,"")), 1, 1)</f>
        <v>#ERROR!</v>
      </c>
      <c r="T229" s="6" t="str">
        <f t="shared" si="2"/>
        <v>Dec'25</v>
      </c>
    </row>
    <row r="230" ht="15.75" customHeight="1">
      <c r="A230" s="5">
        <v>46013.0</v>
      </c>
      <c r="B230" s="6">
        <v>3997.0</v>
      </c>
      <c r="C230" s="6">
        <v>1.859165772E9</v>
      </c>
      <c r="D230" s="6">
        <v>2.9265953E7</v>
      </c>
      <c r="E230" s="6" t="s">
        <v>405</v>
      </c>
      <c r="F230" s="6" t="s">
        <v>406</v>
      </c>
      <c r="G230" s="6">
        <v>6.362723923E9</v>
      </c>
      <c r="H230" s="6">
        <v>4.0161616E7</v>
      </c>
      <c r="I230" s="6" t="s">
        <v>20</v>
      </c>
      <c r="J230" s="6" t="s">
        <v>21</v>
      </c>
      <c r="K230" s="6" t="s">
        <v>22</v>
      </c>
      <c r="L230" s="6">
        <v>240.0</v>
      </c>
      <c r="M230" s="5">
        <v>46013.0</v>
      </c>
      <c r="N230" s="6" t="s">
        <v>23</v>
      </c>
      <c r="O230" s="6" t="str">
        <f>SUMIFS([1]order_sku_sales_bb2_report!P:P,[1]order_sku_sales_bb2_report!H:H,C27977,[1]order_sku_sales_bb2_report!J:J,H27977)</f>
        <v>#ERROR!</v>
      </c>
      <c r="P230" s="6" t="str">
        <f>SUMIFS([1]order_sku_sales_bb2_report!O:O,[1]order_sku_sales_bb2_report!H:H,C27977,[1]order_sku_sales_bb2_report!J:J,H27977)</f>
        <v>#ERROR!</v>
      </c>
      <c r="Q230" s="6" t="str">
        <f t="shared" si="1"/>
        <v>22-12-2025</v>
      </c>
      <c r="R230" s="6" t="str">
        <f>IFERROR( VLOOKUP(C27977,[1]expressOrderReport!$S:$AZ,34,0),0)</f>
        <v>#ERROR!</v>
      </c>
      <c r="S230" s="6" t="str">
        <f>ARRAY_CONSTRAIN(ARRAYFORMULA(_xludf.XLOOKUP(D27977,[1]order_Report_SA_ID_BB2.0!V:V,[1]order_Report_SA_ID_BB2.0!AM:AM,"")), 1, 1)</f>
        <v>#ERROR!</v>
      </c>
      <c r="T230" s="6" t="str">
        <f t="shared" si="2"/>
        <v>Dec'25</v>
      </c>
    </row>
    <row r="231" ht="15.75" customHeight="1">
      <c r="A231" s="5">
        <v>46013.0</v>
      </c>
      <c r="B231" s="6">
        <v>3998.0</v>
      </c>
      <c r="C231" s="6">
        <v>1.859165772E9</v>
      </c>
      <c r="D231" s="6">
        <v>2.9265953E7</v>
      </c>
      <c r="E231" s="6" t="s">
        <v>405</v>
      </c>
      <c r="F231" s="6" t="s">
        <v>406</v>
      </c>
      <c r="G231" s="6">
        <v>6.362723923E9</v>
      </c>
      <c r="H231" s="6">
        <v>4.0149834E7</v>
      </c>
      <c r="I231" s="6" t="s">
        <v>40</v>
      </c>
      <c r="J231" s="6" t="s">
        <v>21</v>
      </c>
      <c r="K231" s="6" t="s">
        <v>22</v>
      </c>
      <c r="L231" s="6">
        <v>240.0</v>
      </c>
      <c r="M231" s="5">
        <v>46013.0</v>
      </c>
      <c r="N231" s="6" t="s">
        <v>23</v>
      </c>
      <c r="O231" s="6" t="str">
        <f>SUMIFS([1]order_sku_sales_bb2_report!P:P,[1]order_sku_sales_bb2_report!H:H,C27978,[1]order_sku_sales_bb2_report!J:J,H27978)</f>
        <v>#ERROR!</v>
      </c>
      <c r="P231" s="6" t="str">
        <f>SUMIFS([1]order_sku_sales_bb2_report!O:O,[1]order_sku_sales_bb2_report!H:H,C27978,[1]order_sku_sales_bb2_report!J:J,H27978)</f>
        <v>#ERROR!</v>
      </c>
      <c r="Q231" s="6" t="str">
        <f t="shared" si="1"/>
        <v>22-12-2025</v>
      </c>
      <c r="R231" s="6" t="str">
        <f>IFERROR( VLOOKUP(C27978,[1]expressOrderReport!$S:$AZ,34,0),0)</f>
        <v>#ERROR!</v>
      </c>
      <c r="S231" s="6" t="str">
        <f>ARRAY_CONSTRAIN(ARRAYFORMULA(_xludf.XLOOKUP(D27978,[1]order_Report_SA_ID_BB2.0!V:V,[1]order_Report_SA_ID_BB2.0!AM:AM,"")), 1, 1)</f>
        <v>#ERROR!</v>
      </c>
      <c r="T231" s="6" t="str">
        <f t="shared" si="2"/>
        <v>Dec'25</v>
      </c>
    </row>
    <row r="232" ht="15.75" customHeight="1">
      <c r="A232" s="5">
        <v>46013.0</v>
      </c>
      <c r="B232" s="6">
        <v>4737.0</v>
      </c>
      <c r="C232" s="6">
        <v>1.859165772E9</v>
      </c>
      <c r="D232" s="6">
        <v>2.9265953E7</v>
      </c>
      <c r="E232" s="6" t="s">
        <v>405</v>
      </c>
      <c r="F232" s="6" t="s">
        <v>406</v>
      </c>
      <c r="G232" s="6">
        <v>6.362723923E9</v>
      </c>
      <c r="H232" s="6">
        <v>4.0090894E7</v>
      </c>
      <c r="I232" s="6" t="s">
        <v>62</v>
      </c>
      <c r="J232" s="6" t="s">
        <v>21</v>
      </c>
      <c r="K232" s="6" t="s">
        <v>22</v>
      </c>
      <c r="L232" s="6">
        <v>240.0</v>
      </c>
      <c r="M232" s="5">
        <v>46013.0</v>
      </c>
      <c r="N232" s="6" t="s">
        <v>23</v>
      </c>
      <c r="O232" s="6" t="str">
        <f>SUMIFS([1]order_sku_sales_bb2_report!P:P,[1]order_sku_sales_bb2_report!H:H,C27979,[1]order_sku_sales_bb2_report!J:J,H27979)</f>
        <v>#ERROR!</v>
      </c>
      <c r="P232" s="6" t="str">
        <f>SUMIFS([1]order_sku_sales_bb2_report!O:O,[1]order_sku_sales_bb2_report!H:H,C27979,[1]order_sku_sales_bb2_report!J:J,H27979)</f>
        <v>#ERROR!</v>
      </c>
      <c r="Q232" s="6" t="str">
        <f t="shared" si="1"/>
        <v>22-12-2025</v>
      </c>
      <c r="R232" s="6" t="str">
        <f>IFERROR( VLOOKUP(C27979,[1]expressOrderReport!$S:$AZ,34,0),0)</f>
        <v>#ERROR!</v>
      </c>
      <c r="S232" s="6" t="str">
        <f>ARRAY_CONSTRAIN(ARRAYFORMULA(_xludf.XLOOKUP(D27979,[1]order_Report_SA_ID_BB2.0!V:V,[1]order_Report_SA_ID_BB2.0!AM:AM,"")), 1, 1)</f>
        <v>#ERROR!</v>
      </c>
      <c r="T232" s="6" t="str">
        <f t="shared" si="2"/>
        <v>Dec'25</v>
      </c>
    </row>
    <row r="233" ht="15.75" customHeight="1">
      <c r="A233" s="5">
        <v>46013.0</v>
      </c>
      <c r="B233" s="6">
        <v>11851.0</v>
      </c>
      <c r="C233" s="6">
        <v>1.859165789E9</v>
      </c>
      <c r="D233" s="6">
        <v>1.5032524E7</v>
      </c>
      <c r="E233" s="6" t="s">
        <v>407</v>
      </c>
      <c r="F233" s="6" t="s">
        <v>408</v>
      </c>
      <c r="G233" s="6">
        <v>9.845065515E9</v>
      </c>
      <c r="H233" s="6">
        <v>4.0161616E7</v>
      </c>
      <c r="I233" s="6" t="s">
        <v>20</v>
      </c>
      <c r="J233" s="6" t="s">
        <v>21</v>
      </c>
      <c r="K233" s="6" t="s">
        <v>22</v>
      </c>
      <c r="L233" s="6">
        <v>120.0</v>
      </c>
      <c r="M233" s="5">
        <v>46013.0</v>
      </c>
      <c r="N233" s="6" t="s">
        <v>23</v>
      </c>
      <c r="O233" s="6" t="str">
        <f>SUMIFS([1]order_sku_sales_bb2_report!P:P,[1]order_sku_sales_bb2_report!H:H,C27980,[1]order_sku_sales_bb2_report!J:J,H27980)</f>
        <v>#ERROR!</v>
      </c>
      <c r="P233" s="6" t="str">
        <f>SUMIFS([1]order_sku_sales_bb2_report!O:O,[1]order_sku_sales_bb2_report!H:H,C27980,[1]order_sku_sales_bb2_report!J:J,H27980)</f>
        <v>#ERROR!</v>
      </c>
      <c r="Q233" s="6" t="str">
        <f t="shared" si="1"/>
        <v>22-12-2025</v>
      </c>
      <c r="R233" s="6" t="str">
        <f>IFERROR( VLOOKUP(C27980,[1]expressOrderReport!$S:$AZ,34,0),0)</f>
        <v>#ERROR!</v>
      </c>
      <c r="S233" s="6" t="str">
        <f>ARRAY_CONSTRAIN(ARRAYFORMULA(_xludf.XLOOKUP(D27980,[1]order_Report_SA_ID_BB2.0!V:V,[1]order_Report_SA_ID_BB2.0!AM:AM,"")), 1, 1)</f>
        <v>#ERROR!</v>
      </c>
      <c r="T233" s="6" t="str">
        <f t="shared" si="2"/>
        <v>Dec'25</v>
      </c>
    </row>
    <row r="234" ht="15.75" customHeight="1">
      <c r="A234" s="5">
        <v>46013.0</v>
      </c>
      <c r="B234" s="6">
        <v>11853.0</v>
      </c>
      <c r="C234" s="6">
        <v>1.859165789E9</v>
      </c>
      <c r="D234" s="6">
        <v>1.5032524E7</v>
      </c>
      <c r="E234" s="6" t="s">
        <v>407</v>
      </c>
      <c r="F234" s="6" t="s">
        <v>408</v>
      </c>
      <c r="G234" s="6">
        <v>9.845065515E9</v>
      </c>
      <c r="H234" s="6">
        <v>4.0149831E7</v>
      </c>
      <c r="I234" s="6" t="s">
        <v>65</v>
      </c>
      <c r="J234" s="6" t="s">
        <v>21</v>
      </c>
      <c r="K234" s="6" t="s">
        <v>22</v>
      </c>
      <c r="L234" s="6">
        <v>120.0</v>
      </c>
      <c r="M234" s="5">
        <v>46013.0</v>
      </c>
      <c r="N234" s="6" t="s">
        <v>23</v>
      </c>
      <c r="O234" s="6" t="str">
        <f>SUMIFS([1]order_sku_sales_bb2_report!P:P,[1]order_sku_sales_bb2_report!H:H,C27981,[1]order_sku_sales_bb2_report!J:J,H27981)</f>
        <v>#ERROR!</v>
      </c>
      <c r="P234" s="6" t="str">
        <f>SUMIFS([1]order_sku_sales_bb2_report!O:O,[1]order_sku_sales_bb2_report!H:H,C27981,[1]order_sku_sales_bb2_report!J:J,H27981)</f>
        <v>#ERROR!</v>
      </c>
      <c r="Q234" s="6" t="str">
        <f t="shared" si="1"/>
        <v>22-12-2025</v>
      </c>
      <c r="R234" s="6" t="str">
        <f>IFERROR( VLOOKUP(C27981,[1]expressOrderReport!$S:$AZ,34,0),0)</f>
        <v>#ERROR!</v>
      </c>
      <c r="S234" s="6" t="str">
        <f>ARRAY_CONSTRAIN(ARRAYFORMULA(_xludf.XLOOKUP(D27981,[1]order_Report_SA_ID_BB2.0!V:V,[1]order_Report_SA_ID_BB2.0!AM:AM,"")), 1, 1)</f>
        <v>#ERROR!</v>
      </c>
      <c r="T234" s="6" t="str">
        <f t="shared" si="2"/>
        <v>Dec'25</v>
      </c>
    </row>
    <row r="235" ht="15.75" customHeight="1">
      <c r="A235" s="5">
        <v>46013.0</v>
      </c>
      <c r="B235" s="6">
        <v>11857.0</v>
      </c>
      <c r="C235" s="6">
        <v>1.859165789E9</v>
      </c>
      <c r="D235" s="6">
        <v>1.5032524E7</v>
      </c>
      <c r="E235" s="6" t="s">
        <v>407</v>
      </c>
      <c r="F235" s="6" t="s">
        <v>408</v>
      </c>
      <c r="G235" s="6">
        <v>9.845065515E9</v>
      </c>
      <c r="H235" s="6">
        <v>2.0000541E7</v>
      </c>
      <c r="I235" s="6" t="s">
        <v>409</v>
      </c>
      <c r="J235" s="6" t="s">
        <v>21</v>
      </c>
      <c r="K235" s="6" t="s">
        <v>22</v>
      </c>
      <c r="L235" s="6">
        <v>120.0</v>
      </c>
      <c r="M235" s="5">
        <v>46013.0</v>
      </c>
      <c r="N235" s="6" t="s">
        <v>23</v>
      </c>
      <c r="O235" s="6" t="str">
        <f>SUMIFS([1]order_sku_sales_bb2_report!P:P,[1]order_sku_sales_bb2_report!H:H,C27982,[1]order_sku_sales_bb2_report!J:J,H27982)</f>
        <v>#ERROR!</v>
      </c>
      <c r="P235" s="6" t="str">
        <f>SUMIFS([1]order_sku_sales_bb2_report!O:O,[1]order_sku_sales_bb2_report!H:H,C27982,[1]order_sku_sales_bb2_report!J:J,H27982)</f>
        <v>#ERROR!</v>
      </c>
      <c r="Q235" s="6" t="str">
        <f t="shared" si="1"/>
        <v>22-12-2025</v>
      </c>
      <c r="R235" s="6" t="str">
        <f>IFERROR( VLOOKUP(C27982,[1]expressOrderReport!$S:$AZ,34,0),0)</f>
        <v>#ERROR!</v>
      </c>
      <c r="S235" s="6" t="str">
        <f>ARRAY_CONSTRAIN(ARRAYFORMULA(_xludf.XLOOKUP(D27982,[1]order_Report_SA_ID_BB2.0!V:V,[1]order_Report_SA_ID_BB2.0!AM:AM,"")), 1, 1)</f>
        <v>#ERROR!</v>
      </c>
      <c r="T235" s="6" t="str">
        <f t="shared" si="2"/>
        <v>Dec'25</v>
      </c>
    </row>
    <row r="236" ht="15.75" customHeight="1">
      <c r="A236" s="5">
        <v>46013.0</v>
      </c>
      <c r="B236" s="6">
        <v>6019.0</v>
      </c>
      <c r="C236" s="6">
        <v>1.859165803E9</v>
      </c>
      <c r="D236" s="6">
        <v>2.9418082E7</v>
      </c>
      <c r="E236" s="6" t="s">
        <v>410</v>
      </c>
      <c r="F236" s="6" t="s">
        <v>411</v>
      </c>
      <c r="G236" s="6">
        <v>9.353700416E9</v>
      </c>
      <c r="H236" s="6">
        <v>4.0149834E7</v>
      </c>
      <c r="I236" s="6" t="s">
        <v>40</v>
      </c>
      <c r="J236" s="6" t="s">
        <v>21</v>
      </c>
      <c r="K236" s="6" t="s">
        <v>22</v>
      </c>
      <c r="L236" s="6">
        <v>193.2</v>
      </c>
      <c r="M236" s="5">
        <v>46013.0</v>
      </c>
      <c r="N236" s="6" t="s">
        <v>23</v>
      </c>
      <c r="O236" s="6" t="str">
        <f>SUMIFS([1]order_sku_sales_bb2_report!P:P,[1]order_sku_sales_bb2_report!H:H,C27983,[1]order_sku_sales_bb2_report!J:J,H27983)</f>
        <v>#ERROR!</v>
      </c>
      <c r="P236" s="6" t="str">
        <f>SUMIFS([1]order_sku_sales_bb2_report!O:O,[1]order_sku_sales_bb2_report!H:H,C27983,[1]order_sku_sales_bb2_report!J:J,H27983)</f>
        <v>#ERROR!</v>
      </c>
      <c r="Q236" s="6" t="str">
        <f t="shared" si="1"/>
        <v>22-12-2025</v>
      </c>
      <c r="R236" s="6" t="str">
        <f>IFERROR( VLOOKUP(C27983,[1]expressOrderReport!$S:$AZ,34,0),0)</f>
        <v>#ERROR!</v>
      </c>
      <c r="S236" s="6" t="str">
        <f>ARRAY_CONSTRAIN(ARRAYFORMULA(_xludf.XLOOKUP(D27983,[1]order_Report_SA_ID_BB2.0!V:V,[1]order_Report_SA_ID_BB2.0!AM:AM,"")), 1, 1)</f>
        <v>#ERROR!</v>
      </c>
      <c r="T236" s="6" t="str">
        <f t="shared" si="2"/>
        <v>Dec'25</v>
      </c>
    </row>
    <row r="237" ht="15.75" customHeight="1">
      <c r="A237" s="5">
        <v>46013.0</v>
      </c>
      <c r="B237" s="6">
        <v>6622.0</v>
      </c>
      <c r="C237" s="6">
        <v>1.859165803E9</v>
      </c>
      <c r="D237" s="6">
        <v>2.9418082E7</v>
      </c>
      <c r="E237" s="6" t="s">
        <v>410</v>
      </c>
      <c r="F237" s="6" t="s">
        <v>411</v>
      </c>
      <c r="G237" s="6">
        <v>9.353700416E9</v>
      </c>
      <c r="H237" s="6">
        <v>4.0303714E7</v>
      </c>
      <c r="I237" s="6" t="s">
        <v>412</v>
      </c>
      <c r="J237" s="6" t="s">
        <v>21</v>
      </c>
      <c r="K237" s="6" t="s">
        <v>22</v>
      </c>
      <c r="L237" s="6">
        <v>193.2</v>
      </c>
      <c r="M237" s="5">
        <v>46013.0</v>
      </c>
      <c r="N237" s="6" t="s">
        <v>23</v>
      </c>
      <c r="O237" s="6" t="str">
        <f>SUMIFS([1]order_sku_sales_bb2_report!P:P,[1]order_sku_sales_bb2_report!H:H,C27984,[1]order_sku_sales_bb2_report!J:J,H27984)</f>
        <v>#ERROR!</v>
      </c>
      <c r="P237" s="6" t="str">
        <f>SUMIFS([1]order_sku_sales_bb2_report!O:O,[1]order_sku_sales_bb2_report!H:H,C27984,[1]order_sku_sales_bb2_report!J:J,H27984)</f>
        <v>#ERROR!</v>
      </c>
      <c r="Q237" s="6" t="str">
        <f t="shared" si="1"/>
        <v>22-12-2025</v>
      </c>
      <c r="R237" s="6" t="str">
        <f>IFERROR( VLOOKUP(C27984,[1]expressOrderReport!$S:$AZ,34,0),0)</f>
        <v>#ERROR!</v>
      </c>
      <c r="S237" s="6" t="str">
        <f>ARRAY_CONSTRAIN(ARRAYFORMULA(_xludf.XLOOKUP(D27984,[1]order_Report_SA_ID_BB2.0!V:V,[1]order_Report_SA_ID_BB2.0!AM:AM,"")), 1, 1)</f>
        <v>#ERROR!</v>
      </c>
      <c r="T237" s="6" t="str">
        <f t="shared" si="2"/>
        <v>Dec'25</v>
      </c>
    </row>
    <row r="238" ht="15.75" customHeight="1">
      <c r="A238" s="5">
        <v>46013.0</v>
      </c>
      <c r="B238" s="6">
        <v>12084.0</v>
      </c>
      <c r="C238" s="6">
        <v>1.859165803E9</v>
      </c>
      <c r="D238" s="6">
        <v>2.9418082E7</v>
      </c>
      <c r="E238" s="6" t="s">
        <v>410</v>
      </c>
      <c r="F238" s="6" t="s">
        <v>411</v>
      </c>
      <c r="G238" s="6">
        <v>9.353700416E9</v>
      </c>
      <c r="H238" s="6">
        <v>4.0075302E7</v>
      </c>
      <c r="I238" s="6" t="s">
        <v>413</v>
      </c>
      <c r="J238" s="6" t="s">
        <v>21</v>
      </c>
      <c r="K238" s="6" t="s">
        <v>22</v>
      </c>
      <c r="L238" s="6">
        <v>193.2</v>
      </c>
      <c r="M238" s="5">
        <v>46013.0</v>
      </c>
      <c r="N238" s="6" t="s">
        <v>23</v>
      </c>
      <c r="O238" s="6" t="str">
        <f>SUMIFS([1]order_sku_sales_bb2_report!P:P,[1]order_sku_sales_bb2_report!H:H,C27985,[1]order_sku_sales_bb2_report!J:J,H27985)</f>
        <v>#ERROR!</v>
      </c>
      <c r="P238" s="6" t="str">
        <f>SUMIFS([1]order_sku_sales_bb2_report!O:O,[1]order_sku_sales_bb2_report!H:H,C27985,[1]order_sku_sales_bb2_report!J:J,H27985)</f>
        <v>#ERROR!</v>
      </c>
      <c r="Q238" s="6" t="str">
        <f t="shared" si="1"/>
        <v>22-12-2025</v>
      </c>
      <c r="R238" s="6" t="str">
        <f>IFERROR( VLOOKUP(C27985,[1]expressOrderReport!$S:$AZ,34,0),0)</f>
        <v>#ERROR!</v>
      </c>
      <c r="S238" s="6" t="str">
        <f>ARRAY_CONSTRAIN(ARRAYFORMULA(_xludf.XLOOKUP(D27985,[1]order_Report_SA_ID_BB2.0!V:V,[1]order_Report_SA_ID_BB2.0!AM:AM,"")), 1, 1)</f>
        <v>#ERROR!</v>
      </c>
      <c r="T238" s="6" t="str">
        <f t="shared" si="2"/>
        <v>Dec'25</v>
      </c>
    </row>
    <row r="239" ht="15.75" customHeight="1">
      <c r="A239" s="5">
        <v>46013.0</v>
      </c>
      <c r="B239" s="6">
        <v>10908.0</v>
      </c>
      <c r="C239" s="6">
        <v>1.859165814E9</v>
      </c>
      <c r="D239" s="6">
        <v>1918784.0</v>
      </c>
      <c r="E239" s="6" t="s">
        <v>414</v>
      </c>
      <c r="F239" s="6" t="s">
        <v>415</v>
      </c>
      <c r="G239" s="6">
        <v>7.760200537E9</v>
      </c>
      <c r="H239" s="6">
        <v>4.0149832E7</v>
      </c>
      <c r="I239" s="6" t="s">
        <v>26</v>
      </c>
      <c r="J239" s="6" t="s">
        <v>21</v>
      </c>
      <c r="K239" s="6" t="s">
        <v>22</v>
      </c>
      <c r="L239" s="6">
        <v>24.0</v>
      </c>
      <c r="M239" s="5">
        <v>46013.0</v>
      </c>
      <c r="N239" s="6" t="s">
        <v>23</v>
      </c>
      <c r="O239" s="6" t="str">
        <f>SUMIFS([1]order_sku_sales_bb2_report!P:P,[1]order_sku_sales_bb2_report!H:H,C27986,[1]order_sku_sales_bb2_report!J:J,H27986)</f>
        <v>#ERROR!</v>
      </c>
      <c r="P239" s="6" t="str">
        <f>SUMIFS([1]order_sku_sales_bb2_report!O:O,[1]order_sku_sales_bb2_report!H:H,C27986,[1]order_sku_sales_bb2_report!J:J,H27986)</f>
        <v>#ERROR!</v>
      </c>
      <c r="Q239" s="6" t="str">
        <f t="shared" si="1"/>
        <v>22-12-2025</v>
      </c>
      <c r="R239" s="6" t="str">
        <f>IFERROR( VLOOKUP(C27986,[1]expressOrderReport!$S:$AZ,34,0),0)</f>
        <v>#ERROR!</v>
      </c>
      <c r="S239" s="6" t="str">
        <f>ARRAY_CONSTRAIN(ARRAYFORMULA(_xludf.XLOOKUP(D27986,[1]order_Report_SA_ID_BB2.0!V:V,[1]order_Report_SA_ID_BB2.0!AM:AM,"")), 1, 1)</f>
        <v>#ERROR!</v>
      </c>
      <c r="T239" s="6" t="str">
        <f t="shared" si="2"/>
        <v>Dec'25</v>
      </c>
    </row>
    <row r="240" ht="15.75" customHeight="1">
      <c r="A240" s="5">
        <v>46013.0</v>
      </c>
      <c r="B240" s="6">
        <v>3741.0</v>
      </c>
      <c r="C240" s="6">
        <v>1.85916583E9</v>
      </c>
      <c r="D240" s="6">
        <v>1.9704643E7</v>
      </c>
      <c r="E240" s="6" t="s">
        <v>416</v>
      </c>
      <c r="F240" s="6" t="s">
        <v>417</v>
      </c>
      <c r="G240" s="6">
        <v>9.538393387E9</v>
      </c>
      <c r="H240" s="6">
        <v>4.0149833E7</v>
      </c>
      <c r="I240" s="6" t="s">
        <v>40</v>
      </c>
      <c r="J240" s="6" t="s">
        <v>21</v>
      </c>
      <c r="K240" s="6" t="s">
        <v>22</v>
      </c>
      <c r="L240" s="6">
        <v>27.0</v>
      </c>
      <c r="M240" s="5">
        <v>46013.0</v>
      </c>
      <c r="N240" s="6" t="s">
        <v>23</v>
      </c>
      <c r="O240" s="6" t="str">
        <f>SUMIFS([1]order_sku_sales_bb2_report!P:P,[1]order_sku_sales_bb2_report!H:H,C27987,[1]order_sku_sales_bb2_report!J:J,H27987)</f>
        <v>#ERROR!</v>
      </c>
      <c r="P240" s="6" t="str">
        <f>SUMIFS([1]order_sku_sales_bb2_report!O:O,[1]order_sku_sales_bb2_report!H:H,C27987,[1]order_sku_sales_bb2_report!J:J,H27987)</f>
        <v>#ERROR!</v>
      </c>
      <c r="Q240" s="6" t="str">
        <f t="shared" si="1"/>
        <v>22-12-2025</v>
      </c>
      <c r="R240" s="6" t="str">
        <f>IFERROR( VLOOKUP(C27987,[1]expressOrderReport!$S:$AZ,34,0),0)</f>
        <v>#ERROR!</v>
      </c>
      <c r="S240" s="6" t="str">
        <f>ARRAY_CONSTRAIN(ARRAYFORMULA(_xludf.XLOOKUP(D27987,[1]order_Report_SA_ID_BB2.0!V:V,[1]order_Report_SA_ID_BB2.0!AM:AM,"")), 1, 1)</f>
        <v>#ERROR!</v>
      </c>
      <c r="T240" s="6" t="str">
        <f t="shared" si="2"/>
        <v>Dec'25</v>
      </c>
    </row>
    <row r="241" ht="15.75" customHeight="1">
      <c r="A241" s="5">
        <v>46013.0</v>
      </c>
      <c r="B241" s="6">
        <v>3248.0</v>
      </c>
      <c r="C241" s="6">
        <v>1.859165835E9</v>
      </c>
      <c r="D241" s="6">
        <v>2.9562989E7</v>
      </c>
      <c r="E241" s="6" t="s">
        <v>418</v>
      </c>
      <c r="F241" s="6" t="s">
        <v>419</v>
      </c>
      <c r="G241" s="6">
        <v>8.861109922E9</v>
      </c>
      <c r="H241" s="6">
        <v>4.0148714E7</v>
      </c>
      <c r="I241" s="6" t="s">
        <v>183</v>
      </c>
      <c r="J241" s="6" t="s">
        <v>21</v>
      </c>
      <c r="K241" s="6" t="s">
        <v>22</v>
      </c>
      <c r="L241" s="6">
        <v>141.0</v>
      </c>
      <c r="M241" s="5">
        <v>46013.0</v>
      </c>
      <c r="N241" s="6" t="s">
        <v>23</v>
      </c>
      <c r="O241" s="6" t="str">
        <f>SUMIFS([1]order_sku_sales_bb2_report!P:P,[1]order_sku_sales_bb2_report!H:H,C27988,[1]order_sku_sales_bb2_report!J:J,H27988)</f>
        <v>#ERROR!</v>
      </c>
      <c r="P241" s="6" t="str">
        <f>SUMIFS([1]order_sku_sales_bb2_report!O:O,[1]order_sku_sales_bb2_report!H:H,C27988,[1]order_sku_sales_bb2_report!J:J,H27988)</f>
        <v>#ERROR!</v>
      </c>
      <c r="Q241" s="6" t="str">
        <f t="shared" si="1"/>
        <v>22-12-2025</v>
      </c>
      <c r="R241" s="6" t="str">
        <f>IFERROR( VLOOKUP(C27988,[1]expressOrderReport!$S:$AZ,34,0),0)</f>
        <v>#ERROR!</v>
      </c>
      <c r="S241" s="6" t="str">
        <f>ARRAY_CONSTRAIN(ARRAYFORMULA(_xludf.XLOOKUP(D27988,[1]order_Report_SA_ID_BB2.0!V:V,[1]order_Report_SA_ID_BB2.0!AM:AM,"")), 1, 1)</f>
        <v>#ERROR!</v>
      </c>
      <c r="T241" s="6" t="str">
        <f t="shared" si="2"/>
        <v>Dec'25</v>
      </c>
    </row>
    <row r="242" ht="15.75" customHeight="1">
      <c r="A242" s="5">
        <v>46013.0</v>
      </c>
      <c r="B242" s="6">
        <v>3895.0</v>
      </c>
      <c r="C242" s="6">
        <v>1.859165846E9</v>
      </c>
      <c r="D242" s="6">
        <v>2.9648565E7</v>
      </c>
      <c r="E242" s="6" t="s">
        <v>420</v>
      </c>
      <c r="F242" s="6" t="s">
        <v>421</v>
      </c>
      <c r="G242" s="6">
        <v>9.925454293E9</v>
      </c>
      <c r="H242" s="6">
        <v>4.0149832E7</v>
      </c>
      <c r="I242" s="6" t="s">
        <v>26</v>
      </c>
      <c r="J242" s="6" t="s">
        <v>21</v>
      </c>
      <c r="K242" s="6" t="s">
        <v>22</v>
      </c>
      <c r="L242" s="6">
        <v>106.0</v>
      </c>
      <c r="M242" s="5">
        <v>46013.0</v>
      </c>
      <c r="N242" s="6" t="s">
        <v>23</v>
      </c>
      <c r="O242" s="6" t="str">
        <f>SUMIFS([1]order_sku_sales_bb2_report!P:P,[1]order_sku_sales_bb2_report!H:H,C27989,[1]order_sku_sales_bb2_report!J:J,H27989)</f>
        <v>#ERROR!</v>
      </c>
      <c r="P242" s="6" t="str">
        <f>SUMIFS([1]order_sku_sales_bb2_report!O:O,[1]order_sku_sales_bb2_report!H:H,C27989,[1]order_sku_sales_bb2_report!J:J,H27989)</f>
        <v>#ERROR!</v>
      </c>
      <c r="Q242" s="6" t="str">
        <f t="shared" si="1"/>
        <v>22-12-2025</v>
      </c>
      <c r="R242" s="6" t="str">
        <f>IFERROR( VLOOKUP(C27989,[1]expressOrderReport!$S:$AZ,34,0),0)</f>
        <v>#ERROR!</v>
      </c>
      <c r="S242" s="6" t="str">
        <f>ARRAY_CONSTRAIN(ARRAYFORMULA(_xludf.XLOOKUP(D27989,[1]order_Report_SA_ID_BB2.0!V:V,[1]order_Report_SA_ID_BB2.0!AM:AM,"")), 1, 1)</f>
        <v>#ERROR!</v>
      </c>
      <c r="T242" s="6" t="str">
        <f t="shared" si="2"/>
        <v>Dec'25</v>
      </c>
    </row>
    <row r="243" ht="15.75" customHeight="1">
      <c r="A243" s="5">
        <v>46013.0</v>
      </c>
      <c r="B243" s="6">
        <v>3897.0</v>
      </c>
      <c r="C243" s="6">
        <v>1.859165846E9</v>
      </c>
      <c r="D243" s="6">
        <v>2.9648565E7</v>
      </c>
      <c r="E243" s="6" t="s">
        <v>420</v>
      </c>
      <c r="F243" s="6" t="s">
        <v>421</v>
      </c>
      <c r="G243" s="6">
        <v>9.925454293E9</v>
      </c>
      <c r="H243" s="6">
        <v>4.0308499E7</v>
      </c>
      <c r="I243" s="6" t="s">
        <v>371</v>
      </c>
      <c r="J243" s="6" t="s">
        <v>21</v>
      </c>
      <c r="K243" s="6" t="s">
        <v>22</v>
      </c>
      <c r="L243" s="6">
        <v>106.0</v>
      </c>
      <c r="M243" s="5">
        <v>46013.0</v>
      </c>
      <c r="N243" s="6" t="s">
        <v>23</v>
      </c>
      <c r="O243" s="6" t="str">
        <f>SUMIFS([1]order_sku_sales_bb2_report!P:P,[1]order_sku_sales_bb2_report!H:H,C27990,[1]order_sku_sales_bb2_report!J:J,H27990)</f>
        <v>#ERROR!</v>
      </c>
      <c r="P243" s="6" t="str">
        <f>SUMIFS([1]order_sku_sales_bb2_report!O:O,[1]order_sku_sales_bb2_report!H:H,C27990,[1]order_sku_sales_bb2_report!J:J,H27990)</f>
        <v>#ERROR!</v>
      </c>
      <c r="Q243" s="6" t="str">
        <f t="shared" si="1"/>
        <v>22-12-2025</v>
      </c>
      <c r="R243" s="6" t="str">
        <f>IFERROR( VLOOKUP(C27990,[1]expressOrderReport!$S:$AZ,34,0),0)</f>
        <v>#ERROR!</v>
      </c>
      <c r="S243" s="6" t="str">
        <f>ARRAY_CONSTRAIN(ARRAYFORMULA(_xludf.XLOOKUP(D27990,[1]order_Report_SA_ID_BB2.0!V:V,[1]order_Report_SA_ID_BB2.0!AM:AM,"")), 1, 1)</f>
        <v>#ERROR!</v>
      </c>
      <c r="T243" s="6" t="str">
        <f t="shared" si="2"/>
        <v>Dec'25</v>
      </c>
    </row>
    <row r="244" ht="15.75" customHeight="1">
      <c r="A244" s="5">
        <v>46013.0</v>
      </c>
      <c r="B244" s="6">
        <v>11423.0</v>
      </c>
      <c r="C244" s="6">
        <v>1.859165858E9</v>
      </c>
      <c r="D244" s="6">
        <v>3869823.0</v>
      </c>
      <c r="E244" s="6" t="s">
        <v>422</v>
      </c>
      <c r="F244" s="6" t="s">
        <v>423</v>
      </c>
      <c r="G244" s="6">
        <v>8.860002623E9</v>
      </c>
      <c r="H244" s="6">
        <v>4.0149833E7</v>
      </c>
      <c r="I244" s="6" t="s">
        <v>40</v>
      </c>
      <c r="J244" s="6" t="s">
        <v>21</v>
      </c>
      <c r="K244" s="6" t="s">
        <v>22</v>
      </c>
      <c r="L244" s="6">
        <v>55.0</v>
      </c>
      <c r="M244" s="5">
        <v>46013.0</v>
      </c>
      <c r="N244" s="6" t="s">
        <v>23</v>
      </c>
      <c r="O244" s="6" t="str">
        <f>SUMIFS([1]order_sku_sales_bb2_report!P:P,[1]order_sku_sales_bb2_report!H:H,C27991,[1]order_sku_sales_bb2_report!J:J,H27991)</f>
        <v>#ERROR!</v>
      </c>
      <c r="P244" s="6" t="str">
        <f>SUMIFS([1]order_sku_sales_bb2_report!O:O,[1]order_sku_sales_bb2_report!H:H,C27991,[1]order_sku_sales_bb2_report!J:J,H27991)</f>
        <v>#ERROR!</v>
      </c>
      <c r="Q244" s="6" t="str">
        <f t="shared" si="1"/>
        <v>22-12-2025</v>
      </c>
      <c r="R244" s="6" t="str">
        <f>IFERROR( VLOOKUP(C27991,[1]expressOrderReport!$S:$AZ,34,0),0)</f>
        <v>#ERROR!</v>
      </c>
      <c r="S244" s="6" t="str">
        <f>ARRAY_CONSTRAIN(ARRAYFORMULA(_xludf.XLOOKUP(D27991,[1]order_Report_SA_ID_BB2.0!V:V,[1]order_Report_SA_ID_BB2.0!AM:AM,"")), 1, 1)</f>
        <v>#ERROR!</v>
      </c>
      <c r="T244" s="6" t="str">
        <f t="shared" si="2"/>
        <v>Dec'25</v>
      </c>
    </row>
    <row r="245" ht="15.75" customHeight="1">
      <c r="A245" s="5">
        <v>46013.0</v>
      </c>
      <c r="B245" s="6">
        <v>11424.0</v>
      </c>
      <c r="C245" s="6">
        <v>1.859165858E9</v>
      </c>
      <c r="D245" s="6">
        <v>3869823.0</v>
      </c>
      <c r="E245" s="6" t="s">
        <v>422</v>
      </c>
      <c r="F245" s="6" t="s">
        <v>423</v>
      </c>
      <c r="G245" s="6">
        <v>8.860002623E9</v>
      </c>
      <c r="H245" s="6">
        <v>4.0161616E7</v>
      </c>
      <c r="I245" s="6" t="s">
        <v>20</v>
      </c>
      <c r="J245" s="6" t="s">
        <v>21</v>
      </c>
      <c r="K245" s="6" t="s">
        <v>22</v>
      </c>
      <c r="L245" s="6">
        <v>55.0</v>
      </c>
      <c r="M245" s="5">
        <v>46013.0</v>
      </c>
      <c r="N245" s="6" t="s">
        <v>23</v>
      </c>
      <c r="O245" s="6" t="str">
        <f>SUMIFS([1]order_sku_sales_bb2_report!P:P,[1]order_sku_sales_bb2_report!H:H,C27992,[1]order_sku_sales_bb2_report!J:J,H27992)</f>
        <v>#ERROR!</v>
      </c>
      <c r="P245" s="6" t="str">
        <f>SUMIFS([1]order_sku_sales_bb2_report!O:O,[1]order_sku_sales_bb2_report!H:H,C27992,[1]order_sku_sales_bb2_report!J:J,H27992)</f>
        <v>#ERROR!</v>
      </c>
      <c r="Q245" s="6" t="str">
        <f t="shared" si="1"/>
        <v>22-12-2025</v>
      </c>
      <c r="R245" s="6" t="str">
        <f>IFERROR( VLOOKUP(C27992,[1]expressOrderReport!$S:$AZ,34,0),0)</f>
        <v>#ERROR!</v>
      </c>
      <c r="S245" s="6" t="str">
        <f>ARRAY_CONSTRAIN(ARRAYFORMULA(_xludf.XLOOKUP(D27992,[1]order_Report_SA_ID_BB2.0!V:V,[1]order_Report_SA_ID_BB2.0!AM:AM,"")), 1, 1)</f>
        <v>#ERROR!</v>
      </c>
      <c r="T245" s="6" t="str">
        <f t="shared" si="2"/>
        <v>Dec'25</v>
      </c>
    </row>
    <row r="246" ht="15.75" customHeight="1">
      <c r="A246" s="5">
        <v>46013.0</v>
      </c>
      <c r="B246" s="6">
        <v>10266.0</v>
      </c>
      <c r="C246" s="6">
        <v>1.859165868E9</v>
      </c>
      <c r="D246" s="6">
        <v>2.6600879E7</v>
      </c>
      <c r="E246" s="6" t="s">
        <v>424</v>
      </c>
      <c r="F246" s="6" t="s">
        <v>425</v>
      </c>
      <c r="G246" s="6">
        <v>8.762386741E9</v>
      </c>
      <c r="H246" s="6">
        <v>4.0148714E7</v>
      </c>
      <c r="I246" s="6" t="s">
        <v>183</v>
      </c>
      <c r="J246" s="6" t="s">
        <v>21</v>
      </c>
      <c r="K246" s="6" t="s">
        <v>22</v>
      </c>
      <c r="L246" s="6">
        <v>47.0</v>
      </c>
      <c r="M246" s="5">
        <v>46013.0</v>
      </c>
      <c r="N246" s="6" t="s">
        <v>23</v>
      </c>
      <c r="O246" s="6" t="str">
        <f>SUMIFS([1]order_sku_sales_bb2_report!P:P,[1]order_sku_sales_bb2_report!H:H,C27993,[1]order_sku_sales_bb2_report!J:J,H27993)</f>
        <v>#ERROR!</v>
      </c>
      <c r="P246" s="6" t="str">
        <f>SUMIFS([1]order_sku_sales_bb2_report!O:O,[1]order_sku_sales_bb2_report!H:H,C27993,[1]order_sku_sales_bb2_report!J:J,H27993)</f>
        <v>#ERROR!</v>
      </c>
      <c r="Q246" s="6" t="str">
        <f t="shared" si="1"/>
        <v>22-12-2025</v>
      </c>
      <c r="R246" s="6" t="str">
        <f>IFERROR( VLOOKUP(C27993,[1]expressOrderReport!$S:$AZ,34,0),0)</f>
        <v>#ERROR!</v>
      </c>
      <c r="S246" s="6" t="str">
        <f>ARRAY_CONSTRAIN(ARRAYFORMULA(_xludf.XLOOKUP(D27993,[1]order_Report_SA_ID_BB2.0!V:V,[1]order_Report_SA_ID_BB2.0!AM:AM,"")), 1, 1)</f>
        <v>#ERROR!</v>
      </c>
      <c r="T246" s="6" t="str">
        <f t="shared" si="2"/>
        <v>Dec'25</v>
      </c>
    </row>
    <row r="247" ht="15.75" customHeight="1">
      <c r="A247" s="5">
        <v>46013.0</v>
      </c>
      <c r="B247" s="6">
        <v>7722.0</v>
      </c>
      <c r="C247" s="6">
        <v>1.859165874E9</v>
      </c>
      <c r="D247" s="6">
        <v>4467433.0</v>
      </c>
      <c r="E247" s="6" t="s">
        <v>426</v>
      </c>
      <c r="F247" s="6" t="s">
        <v>427</v>
      </c>
      <c r="G247" s="6">
        <v>8.52758096E9</v>
      </c>
      <c r="H247" s="6">
        <v>4.0149833E7</v>
      </c>
      <c r="I247" s="6" t="s">
        <v>40</v>
      </c>
      <c r="J247" s="6" t="s">
        <v>21</v>
      </c>
      <c r="K247" s="6" t="s">
        <v>22</v>
      </c>
      <c r="L247" s="6">
        <v>27.0</v>
      </c>
      <c r="M247" s="5">
        <v>46013.0</v>
      </c>
      <c r="N247" s="6" t="s">
        <v>23</v>
      </c>
      <c r="O247" s="6" t="str">
        <f>SUMIFS([1]order_sku_sales_bb2_report!P:P,[1]order_sku_sales_bb2_report!H:H,C27994,[1]order_sku_sales_bb2_report!J:J,H27994)</f>
        <v>#ERROR!</v>
      </c>
      <c r="P247" s="6" t="str">
        <f>SUMIFS([1]order_sku_sales_bb2_report!O:O,[1]order_sku_sales_bb2_report!H:H,C27994,[1]order_sku_sales_bb2_report!J:J,H27994)</f>
        <v>#ERROR!</v>
      </c>
      <c r="Q247" s="6" t="str">
        <f t="shared" si="1"/>
        <v>22-12-2025</v>
      </c>
      <c r="R247" s="6" t="str">
        <f>IFERROR( VLOOKUP(C27994,[1]expressOrderReport!$S:$AZ,34,0),0)</f>
        <v>#ERROR!</v>
      </c>
      <c r="S247" s="6" t="str">
        <f>ARRAY_CONSTRAIN(ARRAYFORMULA(_xludf.XLOOKUP(D27994,[1]order_Report_SA_ID_BB2.0!V:V,[1]order_Report_SA_ID_BB2.0!AM:AM,"")), 1, 1)</f>
        <v>#ERROR!</v>
      </c>
      <c r="T247" s="6" t="str">
        <f t="shared" si="2"/>
        <v>Dec'25</v>
      </c>
    </row>
    <row r="248" ht="15.75" customHeight="1">
      <c r="A248" s="5">
        <v>46013.0</v>
      </c>
      <c r="B248" s="6">
        <v>7662.0</v>
      </c>
      <c r="C248" s="6">
        <v>1.859165889E9</v>
      </c>
      <c r="D248" s="6">
        <v>1.6675634E7</v>
      </c>
      <c r="E248" s="6" t="s">
        <v>428</v>
      </c>
      <c r="F248" s="6" t="s">
        <v>429</v>
      </c>
      <c r="G248" s="6">
        <v>9.971099311E9</v>
      </c>
      <c r="H248" s="6">
        <v>2.0001186E7</v>
      </c>
      <c r="I248" s="6" t="s">
        <v>430</v>
      </c>
      <c r="J248" s="6" t="s">
        <v>21</v>
      </c>
      <c r="K248" s="6" t="s">
        <v>22</v>
      </c>
      <c r="L248" s="6">
        <v>7.56</v>
      </c>
      <c r="M248" s="5">
        <v>46013.0</v>
      </c>
      <c r="N248" s="6" t="s">
        <v>23</v>
      </c>
      <c r="O248" s="6" t="str">
        <f>SUMIFS([1]order_sku_sales_bb2_report!P:P,[1]order_sku_sales_bb2_report!H:H,C27996,[1]order_sku_sales_bb2_report!J:J,H27996)</f>
        <v>#ERROR!</v>
      </c>
      <c r="P248" s="6" t="str">
        <f>SUMIFS([1]order_sku_sales_bb2_report!O:O,[1]order_sku_sales_bb2_report!H:H,C27996,[1]order_sku_sales_bb2_report!J:J,H27996)</f>
        <v>#ERROR!</v>
      </c>
      <c r="Q248" s="6" t="str">
        <f t="shared" si="1"/>
        <v>22-12-2025</v>
      </c>
      <c r="R248" s="6" t="str">
        <f>IFERROR( VLOOKUP(C27996,[1]expressOrderReport!$S:$AZ,34,0),0)</f>
        <v>#ERROR!</v>
      </c>
      <c r="S248" s="6" t="str">
        <f>ARRAY_CONSTRAIN(ARRAYFORMULA(_xludf.XLOOKUP(D27996,[1]order_Report_SA_ID_BB2.0!V:V,[1]order_Report_SA_ID_BB2.0!AM:AM,"")), 1, 1)</f>
        <v>#ERROR!</v>
      </c>
      <c r="T248" s="6" t="str">
        <f t="shared" si="2"/>
        <v>Dec'25</v>
      </c>
    </row>
    <row r="249" ht="15.75" customHeight="1">
      <c r="A249" s="5">
        <v>46013.0</v>
      </c>
      <c r="B249" s="6">
        <v>8049.0</v>
      </c>
      <c r="C249" s="6">
        <v>1.859165897E9</v>
      </c>
      <c r="D249" s="6">
        <v>3.0658364E7</v>
      </c>
      <c r="E249" s="6" t="s">
        <v>431</v>
      </c>
      <c r="F249" s="6" t="s">
        <v>432</v>
      </c>
      <c r="G249" s="6">
        <v>9.741528171E9</v>
      </c>
      <c r="H249" s="6">
        <v>4.0149833E7</v>
      </c>
      <c r="I249" s="6" t="s">
        <v>40</v>
      </c>
      <c r="J249" s="6" t="s">
        <v>21</v>
      </c>
      <c r="K249" s="6" t="s">
        <v>22</v>
      </c>
      <c r="L249" s="6">
        <v>27.0</v>
      </c>
      <c r="M249" s="5">
        <v>46013.0</v>
      </c>
      <c r="N249" s="6" t="s">
        <v>23</v>
      </c>
      <c r="O249" s="6" t="str">
        <f>SUMIFS([1]order_sku_sales_bb2_report!P:P,[1]order_sku_sales_bb2_report!H:H,C27997,[1]order_sku_sales_bb2_report!J:J,H27997)</f>
        <v>#ERROR!</v>
      </c>
      <c r="P249" s="6" t="str">
        <f>SUMIFS([1]order_sku_sales_bb2_report!O:O,[1]order_sku_sales_bb2_report!H:H,C27997,[1]order_sku_sales_bb2_report!J:J,H27997)</f>
        <v>#ERROR!</v>
      </c>
      <c r="Q249" s="6" t="str">
        <f t="shared" si="1"/>
        <v>22-12-2025</v>
      </c>
      <c r="R249" s="6" t="str">
        <f>IFERROR( VLOOKUP(C27997,[1]expressOrderReport!$S:$AZ,34,0),0)</f>
        <v>#ERROR!</v>
      </c>
      <c r="S249" s="6" t="str">
        <f>ARRAY_CONSTRAIN(ARRAYFORMULA(_xludf.XLOOKUP(D27997,[1]order_Report_SA_ID_BB2.0!V:V,[1]order_Report_SA_ID_BB2.0!AM:AM,"")), 1, 1)</f>
        <v>#ERROR!</v>
      </c>
      <c r="T249" s="6" t="str">
        <f t="shared" si="2"/>
        <v>Dec'25</v>
      </c>
    </row>
    <row r="250" ht="15.75" customHeight="1">
      <c r="A250" s="5">
        <v>46013.0</v>
      </c>
      <c r="B250" s="6">
        <v>2326.0</v>
      </c>
      <c r="C250" s="6">
        <v>1.859165902E9</v>
      </c>
      <c r="D250" s="6">
        <v>3.0720709E7</v>
      </c>
      <c r="E250" s="6" t="s">
        <v>433</v>
      </c>
      <c r="F250" s="6" t="s">
        <v>434</v>
      </c>
      <c r="G250" s="6">
        <v>9.052335991E9</v>
      </c>
      <c r="H250" s="6">
        <v>4.0047739E7</v>
      </c>
      <c r="I250" s="6" t="s">
        <v>180</v>
      </c>
      <c r="J250" s="6" t="s">
        <v>21</v>
      </c>
      <c r="K250" s="6" t="s">
        <v>22</v>
      </c>
      <c r="L250" s="6">
        <v>68.0</v>
      </c>
      <c r="M250" s="5">
        <v>46013.0</v>
      </c>
      <c r="N250" s="6" t="s">
        <v>23</v>
      </c>
      <c r="O250" s="6" t="str">
        <f>SUMIFS([1]order_sku_sales_bb2_report!P:P,[1]order_sku_sales_bb2_report!H:H,C27998,[1]order_sku_sales_bb2_report!J:J,H27998)</f>
        <v>#ERROR!</v>
      </c>
      <c r="P250" s="6" t="str">
        <f>SUMIFS([1]order_sku_sales_bb2_report!O:O,[1]order_sku_sales_bb2_report!H:H,C27998,[1]order_sku_sales_bb2_report!J:J,H27998)</f>
        <v>#ERROR!</v>
      </c>
      <c r="Q250" s="6" t="str">
        <f t="shared" si="1"/>
        <v>22-12-2025</v>
      </c>
      <c r="R250" s="6" t="str">
        <f>IFERROR( VLOOKUP(C27998,[1]expressOrderReport!$S:$AZ,34,0),0)</f>
        <v>#ERROR!</v>
      </c>
      <c r="S250" s="6" t="str">
        <f>ARRAY_CONSTRAIN(ARRAYFORMULA(_xludf.XLOOKUP(D27998,[1]order_Report_SA_ID_BB2.0!V:V,[1]order_Report_SA_ID_BB2.0!AM:AM,"")), 1, 1)</f>
        <v>#ERROR!</v>
      </c>
      <c r="T250" s="6" t="str">
        <f t="shared" si="2"/>
        <v>Dec'25</v>
      </c>
    </row>
    <row r="251" ht="15.75" customHeight="1">
      <c r="A251" s="5">
        <v>46013.0</v>
      </c>
      <c r="B251" s="6">
        <v>9875.0</v>
      </c>
      <c r="C251" s="6">
        <v>1.859165909E9</v>
      </c>
      <c r="D251" s="6">
        <v>1326287.0</v>
      </c>
      <c r="E251" s="6" t="s">
        <v>435</v>
      </c>
      <c r="F251" s="6" t="s">
        <v>436</v>
      </c>
      <c r="G251" s="6">
        <v>9.425382195E9</v>
      </c>
      <c r="H251" s="6">
        <v>4.0149832E7</v>
      </c>
      <c r="I251" s="6" t="s">
        <v>26</v>
      </c>
      <c r="J251" s="6" t="s">
        <v>21</v>
      </c>
      <c r="K251" s="6" t="s">
        <v>22</v>
      </c>
      <c r="L251" s="6">
        <v>48.0</v>
      </c>
      <c r="M251" s="5">
        <v>46013.0</v>
      </c>
      <c r="N251" s="6" t="s">
        <v>23</v>
      </c>
      <c r="O251" s="6" t="str">
        <f>SUMIFS([1]order_sku_sales_bb2_report!P:P,[1]order_sku_sales_bb2_report!H:H,C27999,[1]order_sku_sales_bb2_report!J:J,H27999)</f>
        <v>#ERROR!</v>
      </c>
      <c r="P251" s="6" t="str">
        <f>SUMIFS([1]order_sku_sales_bb2_report!O:O,[1]order_sku_sales_bb2_report!H:H,C27999,[1]order_sku_sales_bb2_report!J:J,H27999)</f>
        <v>#ERROR!</v>
      </c>
      <c r="Q251" s="6" t="str">
        <f t="shared" si="1"/>
        <v>22-12-2025</v>
      </c>
      <c r="R251" s="6" t="str">
        <f>IFERROR( VLOOKUP(C27999,[1]expressOrderReport!$S:$AZ,34,0),0)</f>
        <v>#ERROR!</v>
      </c>
      <c r="S251" s="6" t="str">
        <f>ARRAY_CONSTRAIN(ARRAYFORMULA(_xludf.XLOOKUP(D27999,[1]order_Report_SA_ID_BB2.0!V:V,[1]order_Report_SA_ID_BB2.0!AM:AM,"")), 1, 1)</f>
        <v>#ERROR!</v>
      </c>
      <c r="T251" s="6" t="str">
        <f t="shared" si="2"/>
        <v>Dec'25</v>
      </c>
    </row>
    <row r="252" ht="15.75" customHeight="1">
      <c r="A252" s="5">
        <v>46013.0</v>
      </c>
      <c r="B252" s="6">
        <v>1761.0</v>
      </c>
      <c r="C252" s="6">
        <v>1.859165918E9</v>
      </c>
      <c r="D252" s="6">
        <v>1.6506308E7</v>
      </c>
      <c r="E252" s="6" t="s">
        <v>437</v>
      </c>
      <c r="F252" s="6" t="s">
        <v>438</v>
      </c>
      <c r="G252" s="6">
        <v>9.900622984E9</v>
      </c>
      <c r="H252" s="6">
        <v>4.0158264E7</v>
      </c>
      <c r="I252" s="6" t="s">
        <v>26</v>
      </c>
      <c r="J252" s="6" t="s">
        <v>21</v>
      </c>
      <c r="K252" s="6" t="s">
        <v>22</v>
      </c>
      <c r="L252" s="6">
        <v>46.0</v>
      </c>
      <c r="M252" s="5">
        <v>46013.0</v>
      </c>
      <c r="N252" s="6" t="s">
        <v>23</v>
      </c>
      <c r="O252" s="6" t="str">
        <f>SUMIFS([1]order_sku_sales_bb2_report!P:P,[1]order_sku_sales_bb2_report!H:H,C28000,[1]order_sku_sales_bb2_report!J:J,H28000)</f>
        <v>#ERROR!</v>
      </c>
      <c r="P252" s="6" t="str">
        <f>SUMIFS([1]order_sku_sales_bb2_report!O:O,[1]order_sku_sales_bb2_report!H:H,C28000,[1]order_sku_sales_bb2_report!J:J,H28000)</f>
        <v>#ERROR!</v>
      </c>
      <c r="Q252" s="6" t="str">
        <f t="shared" si="1"/>
        <v>22-12-2025</v>
      </c>
      <c r="R252" s="6" t="str">
        <f>IFERROR( VLOOKUP(C28000,[1]expressOrderReport!$S:$AZ,34,0),0)</f>
        <v>#ERROR!</v>
      </c>
      <c r="S252" s="6" t="str">
        <f>ARRAY_CONSTRAIN(ARRAYFORMULA(_xludf.XLOOKUP(D28000,[1]order_Report_SA_ID_BB2.0!V:V,[1]order_Report_SA_ID_BB2.0!AM:AM,"")), 1, 1)</f>
        <v>#ERROR!</v>
      </c>
      <c r="T252" s="6" t="str">
        <f t="shared" si="2"/>
        <v>Dec'25</v>
      </c>
    </row>
    <row r="253" ht="15.75" customHeight="1">
      <c r="A253" s="5">
        <v>46013.0</v>
      </c>
      <c r="B253" s="6">
        <v>4355.0</v>
      </c>
      <c r="C253" s="6">
        <v>1.859165929E9</v>
      </c>
      <c r="D253" s="6">
        <v>3.0810279E7</v>
      </c>
      <c r="E253" s="6" t="s">
        <v>439</v>
      </c>
      <c r="F253" s="6" t="s">
        <v>440</v>
      </c>
      <c r="G253" s="6">
        <v>9.632068219E9</v>
      </c>
      <c r="H253" s="6">
        <v>4.0161616E7</v>
      </c>
      <c r="I253" s="6" t="s">
        <v>20</v>
      </c>
      <c r="J253" s="6" t="s">
        <v>21</v>
      </c>
      <c r="K253" s="6" t="s">
        <v>22</v>
      </c>
      <c r="L253" s="6">
        <v>56.0</v>
      </c>
      <c r="M253" s="5">
        <v>46013.0</v>
      </c>
      <c r="N253" s="6" t="s">
        <v>23</v>
      </c>
      <c r="O253" s="6" t="str">
        <f>SUMIFS([1]order_sku_sales_bb2_report!P:P,[1]order_sku_sales_bb2_report!H:H,C28001,[1]order_sku_sales_bb2_report!J:J,H28001)</f>
        <v>#ERROR!</v>
      </c>
      <c r="P253" s="6" t="str">
        <f>SUMIFS([1]order_sku_sales_bb2_report!O:O,[1]order_sku_sales_bb2_report!H:H,C28001,[1]order_sku_sales_bb2_report!J:J,H28001)</f>
        <v>#ERROR!</v>
      </c>
      <c r="Q253" s="6" t="str">
        <f t="shared" si="1"/>
        <v>22-12-2025</v>
      </c>
      <c r="R253" s="6" t="str">
        <f>IFERROR( VLOOKUP(C28001,[1]expressOrderReport!$S:$AZ,34,0),0)</f>
        <v>#ERROR!</v>
      </c>
      <c r="S253" s="6" t="str">
        <f>ARRAY_CONSTRAIN(ARRAYFORMULA(_xludf.XLOOKUP(D28001,[1]order_Report_SA_ID_BB2.0!V:V,[1]order_Report_SA_ID_BB2.0!AM:AM,"")), 1, 1)</f>
        <v>#ERROR!</v>
      </c>
      <c r="T253" s="6" t="str">
        <f t="shared" si="2"/>
        <v>Dec'25</v>
      </c>
    </row>
    <row r="254" ht="15.75" customHeight="1">
      <c r="A254" s="5">
        <v>46013.0</v>
      </c>
      <c r="B254" s="6">
        <v>4356.0</v>
      </c>
      <c r="C254" s="6">
        <v>1.859165929E9</v>
      </c>
      <c r="D254" s="6">
        <v>3.0810279E7</v>
      </c>
      <c r="E254" s="6" t="s">
        <v>439</v>
      </c>
      <c r="F254" s="6" t="s">
        <v>440</v>
      </c>
      <c r="G254" s="6">
        <v>9.632068219E9</v>
      </c>
      <c r="H254" s="6">
        <v>4.014983E7</v>
      </c>
      <c r="I254" s="6" t="s">
        <v>30</v>
      </c>
      <c r="J254" s="6" t="s">
        <v>21</v>
      </c>
      <c r="K254" s="6" t="s">
        <v>22</v>
      </c>
      <c r="L254" s="6">
        <v>56.0</v>
      </c>
      <c r="M254" s="5">
        <v>46013.0</v>
      </c>
      <c r="N254" s="6" t="s">
        <v>23</v>
      </c>
      <c r="O254" s="6" t="str">
        <f>SUMIFS([1]order_sku_sales_bb2_report!P:P,[1]order_sku_sales_bb2_report!H:H,C28002,[1]order_sku_sales_bb2_report!J:J,H28002)</f>
        <v>#ERROR!</v>
      </c>
      <c r="P254" s="6" t="str">
        <f>SUMIFS([1]order_sku_sales_bb2_report!O:O,[1]order_sku_sales_bb2_report!H:H,C28002,[1]order_sku_sales_bb2_report!J:J,H28002)</f>
        <v>#ERROR!</v>
      </c>
      <c r="Q254" s="6" t="str">
        <f t="shared" si="1"/>
        <v>22-12-2025</v>
      </c>
      <c r="R254" s="6" t="str">
        <f>IFERROR( VLOOKUP(C28002,[1]expressOrderReport!$S:$AZ,34,0),0)</f>
        <v>#ERROR!</v>
      </c>
      <c r="S254" s="6" t="str">
        <f>ARRAY_CONSTRAIN(ARRAYFORMULA(_xludf.XLOOKUP(D28002,[1]order_Report_SA_ID_BB2.0!V:V,[1]order_Report_SA_ID_BB2.0!AM:AM,"")), 1, 1)</f>
        <v>#ERROR!</v>
      </c>
      <c r="T254" s="6" t="str">
        <f t="shared" si="2"/>
        <v>Dec'25</v>
      </c>
    </row>
    <row r="255" ht="15.75" customHeight="1">
      <c r="A255" s="5">
        <v>46013.0</v>
      </c>
      <c r="B255" s="6">
        <v>7092.0</v>
      </c>
      <c r="C255" s="6">
        <v>1.859165936E9</v>
      </c>
      <c r="D255" s="6">
        <v>8750475.0</v>
      </c>
      <c r="E255" s="6" t="s">
        <v>441</v>
      </c>
      <c r="F255" s="6" t="s">
        <v>442</v>
      </c>
      <c r="G255" s="6">
        <v>7.022989315E9</v>
      </c>
      <c r="H255" s="6">
        <v>4.0149832E7</v>
      </c>
      <c r="I255" s="6" t="s">
        <v>26</v>
      </c>
      <c r="J255" s="6" t="s">
        <v>21</v>
      </c>
      <c r="K255" s="6" t="s">
        <v>22</v>
      </c>
      <c r="L255" s="6">
        <v>24.0</v>
      </c>
      <c r="M255" s="5">
        <v>46013.0</v>
      </c>
      <c r="N255" s="6" t="s">
        <v>23</v>
      </c>
      <c r="O255" s="6" t="str">
        <f>SUMIFS([1]order_sku_sales_bb2_report!P:P,[1]order_sku_sales_bb2_report!H:H,C28003,[1]order_sku_sales_bb2_report!J:J,H28003)</f>
        <v>#ERROR!</v>
      </c>
      <c r="P255" s="6" t="str">
        <f>SUMIFS([1]order_sku_sales_bb2_report!O:O,[1]order_sku_sales_bb2_report!H:H,C28003,[1]order_sku_sales_bb2_report!J:J,H28003)</f>
        <v>#ERROR!</v>
      </c>
      <c r="Q255" s="6" t="str">
        <f t="shared" si="1"/>
        <v>22-12-2025</v>
      </c>
      <c r="R255" s="6" t="str">
        <f>IFERROR( VLOOKUP(C28003,[1]expressOrderReport!$S:$AZ,34,0),0)</f>
        <v>#ERROR!</v>
      </c>
      <c r="S255" s="6" t="str">
        <f>ARRAY_CONSTRAIN(ARRAYFORMULA(_xludf.XLOOKUP(D28003,[1]order_Report_SA_ID_BB2.0!V:V,[1]order_Report_SA_ID_BB2.0!AM:AM,"")), 1, 1)</f>
        <v>#ERROR!</v>
      </c>
      <c r="T255" s="6" t="str">
        <f t="shared" si="2"/>
        <v>Dec'25</v>
      </c>
    </row>
    <row r="256" ht="15.75" customHeight="1">
      <c r="A256" s="5">
        <v>46013.0</v>
      </c>
      <c r="B256" s="6">
        <v>9821.0</v>
      </c>
      <c r="C256" s="6">
        <v>1.859165944E9</v>
      </c>
      <c r="D256" s="6">
        <v>1164665.0</v>
      </c>
      <c r="E256" s="6" t="s">
        <v>443</v>
      </c>
      <c r="F256" s="6" t="s">
        <v>444</v>
      </c>
      <c r="G256" s="6">
        <v>9.880146966E9</v>
      </c>
      <c r="H256" s="6">
        <v>4.0163721E7</v>
      </c>
      <c r="I256" s="6" t="s">
        <v>445</v>
      </c>
      <c r="J256" s="6" t="s">
        <v>21</v>
      </c>
      <c r="K256" s="6" t="s">
        <v>22</v>
      </c>
      <c r="L256" s="6">
        <v>114.0</v>
      </c>
      <c r="M256" s="5">
        <v>46013.0</v>
      </c>
      <c r="N256" s="6" t="s">
        <v>23</v>
      </c>
      <c r="O256" s="6" t="str">
        <f>SUMIFS([1]order_sku_sales_bb2_report!P:P,[1]order_sku_sales_bb2_report!H:H,C28004,[1]order_sku_sales_bb2_report!J:J,H28004)</f>
        <v>#ERROR!</v>
      </c>
      <c r="P256" s="6" t="str">
        <f>SUMIFS([1]order_sku_sales_bb2_report!O:O,[1]order_sku_sales_bb2_report!H:H,C28004,[1]order_sku_sales_bb2_report!J:J,H28004)</f>
        <v>#ERROR!</v>
      </c>
      <c r="Q256" s="6" t="str">
        <f t="shared" si="1"/>
        <v>22-12-2025</v>
      </c>
      <c r="R256" s="6" t="str">
        <f>IFERROR( VLOOKUP(C28004,[1]expressOrderReport!$S:$AZ,34,0),0)</f>
        <v>#ERROR!</v>
      </c>
      <c r="S256" s="6" t="str">
        <f>ARRAY_CONSTRAIN(ARRAYFORMULA(_xludf.XLOOKUP(D28004,[1]order_Report_SA_ID_BB2.0!V:V,[1]order_Report_SA_ID_BB2.0!AM:AM,"")), 1, 1)</f>
        <v>#ERROR!</v>
      </c>
      <c r="T256" s="6" t="str">
        <f t="shared" si="2"/>
        <v>Dec'25</v>
      </c>
    </row>
    <row r="257" ht="15.75" customHeight="1">
      <c r="A257" s="5">
        <v>46013.0</v>
      </c>
      <c r="B257" s="6">
        <v>7127.0</v>
      </c>
      <c r="C257" s="6">
        <v>1.859165954E9</v>
      </c>
      <c r="D257" s="6">
        <v>182761.0</v>
      </c>
      <c r="E257" s="6" t="s">
        <v>446</v>
      </c>
      <c r="F257" s="6" t="s">
        <v>447</v>
      </c>
      <c r="G257" s="6">
        <v>9.9017448E9</v>
      </c>
      <c r="H257" s="6">
        <v>4.014983E7</v>
      </c>
      <c r="I257" s="6" t="s">
        <v>30</v>
      </c>
      <c r="J257" s="6" t="s">
        <v>21</v>
      </c>
      <c r="K257" s="6" t="s">
        <v>22</v>
      </c>
      <c r="L257" s="6">
        <v>120.0</v>
      </c>
      <c r="M257" s="5">
        <v>46013.0</v>
      </c>
      <c r="N257" s="6" t="s">
        <v>23</v>
      </c>
      <c r="O257" s="6" t="str">
        <f>SUMIFS([1]order_sku_sales_bb2_report!P:P,[1]order_sku_sales_bb2_report!H:H,C28005,[1]order_sku_sales_bb2_report!J:J,H28005)</f>
        <v>#ERROR!</v>
      </c>
      <c r="P257" s="6" t="str">
        <f>SUMIFS([1]order_sku_sales_bb2_report!O:O,[1]order_sku_sales_bb2_report!H:H,C28005,[1]order_sku_sales_bb2_report!J:J,H28005)</f>
        <v>#ERROR!</v>
      </c>
      <c r="Q257" s="6" t="str">
        <f t="shared" si="1"/>
        <v>22-12-2025</v>
      </c>
      <c r="R257" s="6" t="str">
        <f>IFERROR( VLOOKUP(C28005,[1]expressOrderReport!$S:$AZ,34,0),0)</f>
        <v>#ERROR!</v>
      </c>
      <c r="S257" s="6" t="str">
        <f>ARRAY_CONSTRAIN(ARRAYFORMULA(_xludf.XLOOKUP(D28005,[1]order_Report_SA_ID_BB2.0!V:V,[1]order_Report_SA_ID_BB2.0!AM:AM,"")), 1, 1)</f>
        <v>#ERROR!</v>
      </c>
      <c r="T257" s="6" t="str">
        <f t="shared" si="2"/>
        <v>Dec'25</v>
      </c>
    </row>
    <row r="258" ht="15.75" customHeight="1">
      <c r="A258" s="5">
        <v>46013.0</v>
      </c>
      <c r="B258" s="6">
        <v>7129.0</v>
      </c>
      <c r="C258" s="6">
        <v>1.859165954E9</v>
      </c>
      <c r="D258" s="6">
        <v>182761.0</v>
      </c>
      <c r="E258" s="6" t="s">
        <v>446</v>
      </c>
      <c r="F258" s="6" t="s">
        <v>447</v>
      </c>
      <c r="G258" s="6">
        <v>9.9017448E9</v>
      </c>
      <c r="H258" s="6">
        <v>4.0158264E7</v>
      </c>
      <c r="I258" s="6" t="s">
        <v>26</v>
      </c>
      <c r="J258" s="6" t="s">
        <v>21</v>
      </c>
      <c r="K258" s="6" t="s">
        <v>22</v>
      </c>
      <c r="L258" s="6">
        <v>120.0</v>
      </c>
      <c r="M258" s="5">
        <v>46013.0</v>
      </c>
      <c r="N258" s="6" t="s">
        <v>23</v>
      </c>
      <c r="O258" s="6" t="str">
        <f>SUMIFS([1]order_sku_sales_bb2_report!P:P,[1]order_sku_sales_bb2_report!H:H,C28006,[1]order_sku_sales_bb2_report!J:J,H28006)</f>
        <v>#ERROR!</v>
      </c>
      <c r="P258" s="6" t="str">
        <f>SUMIFS([1]order_sku_sales_bb2_report!O:O,[1]order_sku_sales_bb2_report!H:H,C28006,[1]order_sku_sales_bb2_report!J:J,H28006)</f>
        <v>#ERROR!</v>
      </c>
      <c r="Q258" s="6" t="str">
        <f t="shared" si="1"/>
        <v>22-12-2025</v>
      </c>
      <c r="R258" s="6" t="str">
        <f>IFERROR( VLOOKUP(C28006,[1]expressOrderReport!$S:$AZ,34,0),0)</f>
        <v>#ERROR!</v>
      </c>
      <c r="S258" s="6" t="str">
        <f>ARRAY_CONSTRAIN(ARRAYFORMULA(_xludf.XLOOKUP(D28006,[1]order_Report_SA_ID_BB2.0!V:V,[1]order_Report_SA_ID_BB2.0!AM:AM,"")), 1, 1)</f>
        <v>#ERROR!</v>
      </c>
      <c r="T258" s="6" t="str">
        <f t="shared" si="2"/>
        <v>Dec'25</v>
      </c>
    </row>
    <row r="259" ht="15.75" customHeight="1">
      <c r="A259" s="5">
        <v>46013.0</v>
      </c>
      <c r="B259" s="6">
        <v>7386.0</v>
      </c>
      <c r="C259" s="6">
        <v>1.859165961E9</v>
      </c>
      <c r="D259" s="6">
        <v>4118232.0</v>
      </c>
      <c r="E259" s="6" t="s">
        <v>448</v>
      </c>
      <c r="F259" s="6" t="s">
        <v>449</v>
      </c>
      <c r="G259" s="6">
        <v>8.892669739E9</v>
      </c>
      <c r="H259" s="6">
        <v>4.0148714E7</v>
      </c>
      <c r="I259" s="6" t="s">
        <v>183</v>
      </c>
      <c r="J259" s="6" t="s">
        <v>21</v>
      </c>
      <c r="K259" s="6" t="s">
        <v>22</v>
      </c>
      <c r="L259" s="6">
        <v>47.0</v>
      </c>
      <c r="M259" s="5">
        <v>46013.0</v>
      </c>
      <c r="N259" s="6" t="s">
        <v>23</v>
      </c>
      <c r="O259" s="6" t="str">
        <f>SUMIFS([1]order_sku_sales_bb2_report!P:P,[1]order_sku_sales_bb2_report!H:H,C28007,[1]order_sku_sales_bb2_report!J:J,H28007)</f>
        <v>#ERROR!</v>
      </c>
      <c r="P259" s="6" t="str">
        <f>SUMIFS([1]order_sku_sales_bb2_report!O:O,[1]order_sku_sales_bb2_report!H:H,C28007,[1]order_sku_sales_bb2_report!J:J,H28007)</f>
        <v>#ERROR!</v>
      </c>
      <c r="Q259" s="6" t="str">
        <f t="shared" si="1"/>
        <v>22-12-2025</v>
      </c>
      <c r="R259" s="6" t="str">
        <f>IFERROR( VLOOKUP(C28007,[1]expressOrderReport!$S:$AZ,34,0),0)</f>
        <v>#ERROR!</v>
      </c>
      <c r="S259" s="6" t="str">
        <f>ARRAY_CONSTRAIN(ARRAYFORMULA(_xludf.XLOOKUP(D28007,[1]order_Report_SA_ID_BB2.0!V:V,[1]order_Report_SA_ID_BB2.0!AM:AM,"")), 1, 1)</f>
        <v>#ERROR!</v>
      </c>
      <c r="T259" s="6" t="str">
        <f t="shared" si="2"/>
        <v>Dec'25</v>
      </c>
    </row>
    <row r="260" ht="15.75" customHeight="1">
      <c r="A260" s="5">
        <v>46013.0</v>
      </c>
      <c r="B260" s="6">
        <v>6892.0</v>
      </c>
      <c r="C260" s="6">
        <v>1.859165971E9</v>
      </c>
      <c r="D260" s="6">
        <v>1.6137004E7</v>
      </c>
      <c r="E260" s="6" t="s">
        <v>450</v>
      </c>
      <c r="F260" s="6" t="s">
        <v>451</v>
      </c>
      <c r="G260" s="6">
        <v>9.620003943E9</v>
      </c>
      <c r="H260" s="6">
        <v>4.0149832E7</v>
      </c>
      <c r="I260" s="6" t="s">
        <v>26</v>
      </c>
      <c r="J260" s="6" t="s">
        <v>21</v>
      </c>
      <c r="K260" s="6" t="s">
        <v>22</v>
      </c>
      <c r="L260" s="6">
        <v>76.0</v>
      </c>
      <c r="M260" s="5">
        <v>46013.0</v>
      </c>
      <c r="N260" s="6" t="s">
        <v>23</v>
      </c>
      <c r="O260" s="6" t="str">
        <f>SUMIFS([1]order_sku_sales_bb2_report!P:P,[1]order_sku_sales_bb2_report!H:H,C28008,[1]order_sku_sales_bb2_report!J:J,H28008)</f>
        <v>#ERROR!</v>
      </c>
      <c r="P260" s="6" t="str">
        <f>SUMIFS([1]order_sku_sales_bb2_report!O:O,[1]order_sku_sales_bb2_report!H:H,C28008,[1]order_sku_sales_bb2_report!J:J,H28008)</f>
        <v>#ERROR!</v>
      </c>
      <c r="Q260" s="6" t="str">
        <f t="shared" si="1"/>
        <v>22-12-2025</v>
      </c>
      <c r="R260" s="6" t="str">
        <f>IFERROR( VLOOKUP(C28008,[1]expressOrderReport!$S:$AZ,34,0),0)</f>
        <v>#ERROR!</v>
      </c>
      <c r="S260" s="6" t="str">
        <f>ARRAY_CONSTRAIN(ARRAYFORMULA(_xludf.XLOOKUP(D28008,[1]order_Report_SA_ID_BB2.0!V:V,[1]order_Report_SA_ID_BB2.0!AM:AM,"")), 1, 1)</f>
        <v>#ERROR!</v>
      </c>
      <c r="T260" s="6" t="str">
        <f t="shared" si="2"/>
        <v>Dec'25</v>
      </c>
    </row>
    <row r="261" ht="15.75" customHeight="1">
      <c r="A261" s="5">
        <v>46013.0</v>
      </c>
      <c r="B261" s="6">
        <v>6893.0</v>
      </c>
      <c r="C261" s="6">
        <v>1.859165971E9</v>
      </c>
      <c r="D261" s="6">
        <v>1.6137004E7</v>
      </c>
      <c r="E261" s="6" t="s">
        <v>450</v>
      </c>
      <c r="F261" s="6" t="s">
        <v>451</v>
      </c>
      <c r="G261" s="6">
        <v>9.620003943E9</v>
      </c>
      <c r="H261" s="6">
        <v>4.014983E7</v>
      </c>
      <c r="I261" s="6" t="s">
        <v>30</v>
      </c>
      <c r="J261" s="6" t="s">
        <v>21</v>
      </c>
      <c r="K261" s="6" t="s">
        <v>22</v>
      </c>
      <c r="L261" s="6">
        <v>76.0</v>
      </c>
      <c r="M261" s="5">
        <v>46013.0</v>
      </c>
      <c r="N261" s="6" t="s">
        <v>23</v>
      </c>
      <c r="O261" s="6" t="str">
        <f>SUMIFS([1]order_sku_sales_bb2_report!P:P,[1]order_sku_sales_bb2_report!H:H,C28009,[1]order_sku_sales_bb2_report!J:J,H28009)</f>
        <v>#ERROR!</v>
      </c>
      <c r="P261" s="6" t="str">
        <f>SUMIFS([1]order_sku_sales_bb2_report!O:O,[1]order_sku_sales_bb2_report!H:H,C28009,[1]order_sku_sales_bb2_report!J:J,H28009)</f>
        <v>#ERROR!</v>
      </c>
      <c r="Q261" s="6" t="str">
        <f t="shared" si="1"/>
        <v>22-12-2025</v>
      </c>
      <c r="R261" s="6" t="str">
        <f>IFERROR( VLOOKUP(C28009,[1]expressOrderReport!$S:$AZ,34,0),0)</f>
        <v>#ERROR!</v>
      </c>
      <c r="S261" s="6" t="str">
        <f>ARRAY_CONSTRAIN(ARRAYFORMULA(_xludf.XLOOKUP(D28009,[1]order_Report_SA_ID_BB2.0!V:V,[1]order_Report_SA_ID_BB2.0!AM:AM,"")), 1, 1)</f>
        <v>#ERROR!</v>
      </c>
      <c r="T261" s="6" t="str">
        <f t="shared" si="2"/>
        <v>Dec'25</v>
      </c>
    </row>
    <row r="262" ht="15.75" customHeight="1">
      <c r="A262" s="5">
        <v>46013.0</v>
      </c>
      <c r="B262" s="6">
        <v>2674.0</v>
      </c>
      <c r="C262" s="6">
        <v>1.859164794E9</v>
      </c>
      <c r="D262" s="6">
        <v>2.0134546E7</v>
      </c>
      <c r="E262" s="6" t="s">
        <v>452</v>
      </c>
      <c r="F262" s="6" t="s">
        <v>453</v>
      </c>
      <c r="G262" s="6">
        <v>9.995266744E9</v>
      </c>
      <c r="H262" s="6">
        <v>4.0090894E7</v>
      </c>
      <c r="I262" s="6" t="s">
        <v>62</v>
      </c>
      <c r="J262" s="6" t="s">
        <v>21</v>
      </c>
      <c r="K262" s="6" t="s">
        <v>22</v>
      </c>
      <c r="L262" s="6">
        <v>309.5</v>
      </c>
      <c r="M262" s="5">
        <v>46013.0</v>
      </c>
      <c r="N262" s="6" t="s">
        <v>23</v>
      </c>
      <c r="O262" s="6" t="str">
        <f>SUMIFS([1]order_sku_sales_bb2_report!P:P,[1]order_sku_sales_bb2_report!H:H,C28010,[1]order_sku_sales_bb2_report!J:J,H28010)</f>
        <v>#ERROR!</v>
      </c>
      <c r="P262" s="6" t="str">
        <f>SUMIFS([1]order_sku_sales_bb2_report!O:O,[1]order_sku_sales_bb2_report!H:H,C28010,[1]order_sku_sales_bb2_report!J:J,H28010)</f>
        <v>#ERROR!</v>
      </c>
      <c r="Q262" s="6" t="str">
        <f t="shared" si="1"/>
        <v>22-12-2025</v>
      </c>
      <c r="R262" s="6" t="str">
        <f>IFERROR( VLOOKUP(C28010,[1]expressOrderReport!$S:$AZ,34,0),0)</f>
        <v>#ERROR!</v>
      </c>
      <c r="S262" s="6" t="str">
        <f>ARRAY_CONSTRAIN(ARRAYFORMULA(_xludf.XLOOKUP(D28010,[1]order_Report_SA_ID_BB2.0!V:V,[1]order_Report_SA_ID_BB2.0!AM:AM,"")), 1, 1)</f>
        <v>#ERROR!</v>
      </c>
      <c r="T262" s="6" t="str">
        <f t="shared" si="2"/>
        <v>Dec'25</v>
      </c>
    </row>
    <row r="263" ht="15.75" customHeight="1">
      <c r="A263" s="5">
        <v>46013.0</v>
      </c>
      <c r="B263" s="6">
        <v>12035.0</v>
      </c>
      <c r="C263" s="6">
        <v>1.859164794E9</v>
      </c>
      <c r="D263" s="6">
        <v>2.0134546E7</v>
      </c>
      <c r="E263" s="6" t="s">
        <v>452</v>
      </c>
      <c r="F263" s="6" t="s">
        <v>453</v>
      </c>
      <c r="G263" s="6">
        <v>9.995266744E9</v>
      </c>
      <c r="H263" s="6">
        <v>4.0229614E7</v>
      </c>
      <c r="I263" s="6" t="s">
        <v>454</v>
      </c>
      <c r="J263" s="6" t="s">
        <v>21</v>
      </c>
      <c r="K263" s="6" t="s">
        <v>27</v>
      </c>
      <c r="L263" s="6">
        <v>309.5</v>
      </c>
      <c r="M263" s="5">
        <v>46013.0</v>
      </c>
      <c r="N263" s="6" t="s">
        <v>23</v>
      </c>
      <c r="O263" s="6" t="str">
        <f>SUMIFS([1]order_sku_sales_bb2_report!P:P,[1]order_sku_sales_bb2_report!H:H,C28011,[1]order_sku_sales_bb2_report!J:J,H28011)</f>
        <v>#ERROR!</v>
      </c>
      <c r="P263" s="6" t="str">
        <f>SUMIFS([1]order_sku_sales_bb2_report!O:O,[1]order_sku_sales_bb2_report!H:H,C28011,[1]order_sku_sales_bb2_report!J:J,H28011)</f>
        <v>#ERROR!</v>
      </c>
      <c r="Q263" s="6" t="str">
        <f t="shared" si="1"/>
        <v>22-12-2025</v>
      </c>
      <c r="R263" s="6" t="str">
        <f>IFERROR( VLOOKUP(C28011,[1]expressOrderReport!$S:$AZ,34,0),0)</f>
        <v>#ERROR!</v>
      </c>
      <c r="S263" s="6" t="str">
        <f>ARRAY_CONSTRAIN(ARRAYFORMULA(_xludf.XLOOKUP(D28011,[1]order_Report_SA_ID_BB2.0!V:V,[1]order_Report_SA_ID_BB2.0!AM:AM,"")), 1, 1)</f>
        <v>#ERROR!</v>
      </c>
      <c r="T263" s="6" t="str">
        <f t="shared" si="2"/>
        <v>Dec'25</v>
      </c>
    </row>
    <row r="264" ht="15.75" customHeight="1">
      <c r="A264" s="5">
        <v>46013.0</v>
      </c>
      <c r="B264" s="6">
        <v>12036.0</v>
      </c>
      <c r="C264" s="6">
        <v>1.859164794E9</v>
      </c>
      <c r="D264" s="6">
        <v>2.0134546E7</v>
      </c>
      <c r="E264" s="6" t="s">
        <v>452</v>
      </c>
      <c r="F264" s="6" t="s">
        <v>453</v>
      </c>
      <c r="G264" s="6">
        <v>9.995266744E9</v>
      </c>
      <c r="H264" s="6">
        <v>4.0123672E7</v>
      </c>
      <c r="I264" s="6" t="s">
        <v>455</v>
      </c>
      <c r="J264" s="6" t="s">
        <v>21</v>
      </c>
      <c r="K264" s="6" t="s">
        <v>27</v>
      </c>
      <c r="L264" s="6">
        <v>309.5</v>
      </c>
      <c r="M264" s="5">
        <v>46013.0</v>
      </c>
      <c r="N264" s="6" t="s">
        <v>23</v>
      </c>
      <c r="O264" s="6" t="str">
        <f>SUMIFS([1]order_sku_sales_bb2_report!P:P,[1]order_sku_sales_bb2_report!H:H,C28012,[1]order_sku_sales_bb2_report!J:J,H28012)</f>
        <v>#ERROR!</v>
      </c>
      <c r="P264" s="6" t="str">
        <f>SUMIFS([1]order_sku_sales_bb2_report!O:O,[1]order_sku_sales_bb2_report!H:H,C28012,[1]order_sku_sales_bb2_report!J:J,H28012)</f>
        <v>#ERROR!</v>
      </c>
      <c r="Q264" s="6" t="str">
        <f t="shared" si="1"/>
        <v>22-12-2025</v>
      </c>
      <c r="R264" s="6" t="str">
        <f>IFERROR( VLOOKUP(C28012,[1]expressOrderReport!$S:$AZ,34,0),0)</f>
        <v>#ERROR!</v>
      </c>
      <c r="S264" s="6" t="str">
        <f>ARRAY_CONSTRAIN(ARRAYFORMULA(_xludf.XLOOKUP(D28012,[1]order_Report_SA_ID_BB2.0!V:V,[1]order_Report_SA_ID_BB2.0!AM:AM,"")), 1, 1)</f>
        <v>#ERROR!</v>
      </c>
      <c r="T264" s="6" t="str">
        <f t="shared" si="2"/>
        <v>Dec'25</v>
      </c>
    </row>
    <row r="265" ht="15.75" customHeight="1">
      <c r="A265" s="5">
        <v>46013.0</v>
      </c>
      <c r="B265" s="6">
        <v>12037.0</v>
      </c>
      <c r="C265" s="6">
        <v>1.859164794E9</v>
      </c>
      <c r="D265" s="6">
        <v>2.0134546E7</v>
      </c>
      <c r="E265" s="6" t="s">
        <v>452</v>
      </c>
      <c r="F265" s="6" t="s">
        <v>453</v>
      </c>
      <c r="G265" s="6">
        <v>9.995266744E9</v>
      </c>
      <c r="H265" s="6">
        <v>4.0203553E7</v>
      </c>
      <c r="I265" s="6" t="s">
        <v>456</v>
      </c>
      <c r="J265" s="6" t="s">
        <v>21</v>
      </c>
      <c r="K265" s="6" t="s">
        <v>27</v>
      </c>
      <c r="L265" s="6">
        <v>309.5</v>
      </c>
      <c r="M265" s="5">
        <v>46013.0</v>
      </c>
      <c r="N265" s="6" t="s">
        <v>23</v>
      </c>
      <c r="O265" s="6" t="str">
        <f>SUMIFS([1]order_sku_sales_bb2_report!P:P,[1]order_sku_sales_bb2_report!H:H,C28013,[1]order_sku_sales_bb2_report!J:J,H28013)</f>
        <v>#ERROR!</v>
      </c>
      <c r="P265" s="6" t="str">
        <f>SUMIFS([1]order_sku_sales_bb2_report!O:O,[1]order_sku_sales_bb2_report!H:H,C28013,[1]order_sku_sales_bb2_report!J:J,H28013)</f>
        <v>#ERROR!</v>
      </c>
      <c r="Q265" s="6" t="str">
        <f t="shared" si="1"/>
        <v>22-12-2025</v>
      </c>
      <c r="R265" s="6" t="str">
        <f>IFERROR( VLOOKUP(C28013,[1]expressOrderReport!$S:$AZ,34,0),0)</f>
        <v>#ERROR!</v>
      </c>
      <c r="S265" s="6" t="str">
        <f>ARRAY_CONSTRAIN(ARRAYFORMULA(_xludf.XLOOKUP(D28013,[1]order_Report_SA_ID_BB2.0!V:V,[1]order_Report_SA_ID_BB2.0!AM:AM,"")), 1, 1)</f>
        <v>#ERROR!</v>
      </c>
      <c r="T265" s="6" t="str">
        <f t="shared" si="2"/>
        <v>Dec'25</v>
      </c>
    </row>
    <row r="266" ht="15.75" customHeight="1">
      <c r="A266" s="5">
        <v>46013.0</v>
      </c>
      <c r="B266" s="6">
        <v>1380.0</v>
      </c>
      <c r="C266" s="6">
        <v>1.859164812E9</v>
      </c>
      <c r="D266" s="6">
        <v>2.0134594E7</v>
      </c>
      <c r="E266" s="6" t="s">
        <v>457</v>
      </c>
      <c r="F266" s="6" t="s">
        <v>458</v>
      </c>
      <c r="G266" s="6">
        <v>9.741161533E9</v>
      </c>
      <c r="H266" s="6">
        <v>4.0158264E7</v>
      </c>
      <c r="I266" s="6" t="s">
        <v>26</v>
      </c>
      <c r="J266" s="6" t="s">
        <v>21</v>
      </c>
      <c r="K266" s="6" t="s">
        <v>22</v>
      </c>
      <c r="L266" s="6">
        <v>92.0</v>
      </c>
      <c r="M266" s="5">
        <v>46013.0</v>
      </c>
      <c r="N266" s="6" t="s">
        <v>23</v>
      </c>
      <c r="O266" s="6" t="str">
        <f>SUMIFS([1]order_sku_sales_bb2_report!P:P,[1]order_sku_sales_bb2_report!H:H,C28014,[1]order_sku_sales_bb2_report!J:J,H28014)</f>
        <v>#ERROR!</v>
      </c>
      <c r="P266" s="6" t="str">
        <f>SUMIFS([1]order_sku_sales_bb2_report!O:O,[1]order_sku_sales_bb2_report!H:H,C28014,[1]order_sku_sales_bb2_report!J:J,H28014)</f>
        <v>#ERROR!</v>
      </c>
      <c r="Q266" s="6" t="str">
        <f t="shared" si="1"/>
        <v>22-12-2025</v>
      </c>
      <c r="R266" s="6" t="str">
        <f>IFERROR( VLOOKUP(C28014,[1]expressOrderReport!$S:$AZ,34,0),0)</f>
        <v>#ERROR!</v>
      </c>
      <c r="S266" s="6" t="str">
        <f>ARRAY_CONSTRAIN(ARRAYFORMULA(_xludf.XLOOKUP(D28014,[1]order_Report_SA_ID_BB2.0!V:V,[1]order_Report_SA_ID_BB2.0!AM:AM,"")), 1, 1)</f>
        <v>#ERROR!</v>
      </c>
      <c r="T266" s="6" t="str">
        <f t="shared" si="2"/>
        <v>Dec'25</v>
      </c>
    </row>
    <row r="267" ht="15.75" customHeight="1">
      <c r="A267" s="5">
        <v>46013.0</v>
      </c>
      <c r="B267" s="6">
        <v>1670.0</v>
      </c>
      <c r="C267" s="6">
        <v>1.859164827E9</v>
      </c>
      <c r="D267" s="6">
        <v>4994366.0</v>
      </c>
      <c r="E267" s="6" t="s">
        <v>459</v>
      </c>
      <c r="F267" s="6" t="s">
        <v>460</v>
      </c>
      <c r="G267" s="6">
        <v>9.986029469E9</v>
      </c>
      <c r="H267" s="6">
        <v>4.0149833E7</v>
      </c>
      <c r="I267" s="6" t="s">
        <v>40</v>
      </c>
      <c r="J267" s="6" t="s">
        <v>21</v>
      </c>
      <c r="K267" s="6" t="s">
        <v>22</v>
      </c>
      <c r="L267" s="6">
        <v>27.0</v>
      </c>
      <c r="M267" s="5">
        <v>46013.0</v>
      </c>
      <c r="N267" s="6" t="s">
        <v>23</v>
      </c>
      <c r="O267" s="6" t="str">
        <f>SUMIFS([1]order_sku_sales_bb2_report!P:P,[1]order_sku_sales_bb2_report!H:H,C28015,[1]order_sku_sales_bb2_report!J:J,H28015)</f>
        <v>#ERROR!</v>
      </c>
      <c r="P267" s="6" t="str">
        <f>SUMIFS([1]order_sku_sales_bb2_report!O:O,[1]order_sku_sales_bb2_report!H:H,C28015,[1]order_sku_sales_bb2_report!J:J,H28015)</f>
        <v>#ERROR!</v>
      </c>
      <c r="Q267" s="6" t="str">
        <f t="shared" si="1"/>
        <v>22-12-2025</v>
      </c>
      <c r="R267" s="6" t="str">
        <f>IFERROR( VLOOKUP(C28015,[1]expressOrderReport!$S:$AZ,34,0),0)</f>
        <v>#ERROR!</v>
      </c>
      <c r="S267" s="6" t="str">
        <f>ARRAY_CONSTRAIN(ARRAYFORMULA(_xludf.XLOOKUP(D28015,[1]order_Report_SA_ID_BB2.0!V:V,[1]order_Report_SA_ID_BB2.0!AM:AM,"")), 1, 1)</f>
        <v>#ERROR!</v>
      </c>
      <c r="T267" s="6" t="str">
        <f t="shared" si="2"/>
        <v>Dec'25</v>
      </c>
    </row>
    <row r="268" ht="15.75" customHeight="1">
      <c r="A268" s="5">
        <v>46013.0</v>
      </c>
      <c r="B268" s="6">
        <v>1723.0</v>
      </c>
      <c r="C268" s="6">
        <v>1.859164834E9</v>
      </c>
      <c r="D268" s="6">
        <v>2.0601542E7</v>
      </c>
      <c r="E268" s="6" t="s">
        <v>461</v>
      </c>
      <c r="F268" s="6" t="s">
        <v>462</v>
      </c>
      <c r="G268" s="6">
        <v>9.901699023E9</v>
      </c>
      <c r="H268" s="6">
        <v>4.0149833E7</v>
      </c>
      <c r="I268" s="6" t="s">
        <v>40</v>
      </c>
      <c r="J268" s="6" t="s">
        <v>21</v>
      </c>
      <c r="K268" s="6" t="s">
        <v>22</v>
      </c>
      <c r="L268" s="6">
        <v>54.0</v>
      </c>
      <c r="M268" s="5">
        <v>46013.0</v>
      </c>
      <c r="N268" s="6" t="s">
        <v>23</v>
      </c>
      <c r="O268" s="6" t="str">
        <f>SUMIFS([1]order_sku_sales_bb2_report!P:P,[1]order_sku_sales_bb2_report!H:H,C28016,[1]order_sku_sales_bb2_report!J:J,H28016)</f>
        <v>#ERROR!</v>
      </c>
      <c r="P268" s="6" t="str">
        <f>SUMIFS([1]order_sku_sales_bb2_report!O:O,[1]order_sku_sales_bb2_report!H:H,C28016,[1]order_sku_sales_bb2_report!J:J,H28016)</f>
        <v>#ERROR!</v>
      </c>
      <c r="Q268" s="6" t="str">
        <f t="shared" si="1"/>
        <v>22-12-2025</v>
      </c>
      <c r="R268" s="6" t="str">
        <f>IFERROR( VLOOKUP(C28016,[1]expressOrderReport!$S:$AZ,34,0),0)</f>
        <v>#ERROR!</v>
      </c>
      <c r="S268" s="6" t="str">
        <f>ARRAY_CONSTRAIN(ARRAYFORMULA(_xludf.XLOOKUP(D28016,[1]order_Report_SA_ID_BB2.0!V:V,[1]order_Report_SA_ID_BB2.0!AM:AM,"")), 1, 1)</f>
        <v>#ERROR!</v>
      </c>
      <c r="T268" s="6" t="str">
        <f t="shared" si="2"/>
        <v>Dec'25</v>
      </c>
    </row>
    <row r="269" ht="15.75" customHeight="1">
      <c r="A269" s="5">
        <v>46013.0</v>
      </c>
      <c r="B269" s="6">
        <v>1731.0</v>
      </c>
      <c r="C269" s="6">
        <v>1.859164846E9</v>
      </c>
      <c r="D269" s="6">
        <v>3.3131894E7</v>
      </c>
      <c r="E269" s="6" t="s">
        <v>463</v>
      </c>
      <c r="F269" s="6" t="s">
        <v>464</v>
      </c>
      <c r="G269" s="6">
        <v>9.544597221E9</v>
      </c>
      <c r="H269" s="6">
        <v>4.0149832E7</v>
      </c>
      <c r="I269" s="6" t="s">
        <v>26</v>
      </c>
      <c r="J269" s="6" t="s">
        <v>21</v>
      </c>
      <c r="K269" s="6" t="s">
        <v>22</v>
      </c>
      <c r="L269" s="6">
        <v>24.0</v>
      </c>
      <c r="M269" s="5">
        <v>46013.0</v>
      </c>
      <c r="N269" s="6" t="s">
        <v>23</v>
      </c>
      <c r="O269" s="6" t="str">
        <f>SUMIFS([1]order_sku_sales_bb2_report!P:P,[1]order_sku_sales_bb2_report!H:H,C28017,[1]order_sku_sales_bb2_report!J:J,H28017)</f>
        <v>#ERROR!</v>
      </c>
      <c r="P269" s="6" t="str">
        <f>SUMIFS([1]order_sku_sales_bb2_report!O:O,[1]order_sku_sales_bb2_report!H:H,C28017,[1]order_sku_sales_bb2_report!J:J,H28017)</f>
        <v>#ERROR!</v>
      </c>
      <c r="Q269" s="6" t="str">
        <f t="shared" si="1"/>
        <v>22-12-2025</v>
      </c>
      <c r="R269" s="6" t="str">
        <f>IFERROR( VLOOKUP(C28017,[1]expressOrderReport!$S:$AZ,34,0),0)</f>
        <v>#ERROR!</v>
      </c>
      <c r="S269" s="6" t="str">
        <f>ARRAY_CONSTRAIN(ARRAYFORMULA(_xludf.XLOOKUP(D28017,[1]order_Report_SA_ID_BB2.0!V:V,[1]order_Report_SA_ID_BB2.0!AM:AM,"")), 1, 1)</f>
        <v>#ERROR!</v>
      </c>
      <c r="T269" s="6" t="str">
        <f t="shared" si="2"/>
        <v>Dec'25</v>
      </c>
    </row>
    <row r="270" ht="15.75" customHeight="1">
      <c r="A270" s="5">
        <v>46013.0</v>
      </c>
      <c r="B270" s="6">
        <v>1768.0</v>
      </c>
      <c r="C270" s="6">
        <v>1.859164858E9</v>
      </c>
      <c r="D270" s="6">
        <v>1.1731605E7</v>
      </c>
      <c r="E270" s="6" t="s">
        <v>465</v>
      </c>
      <c r="F270" s="6" t="s">
        <v>466</v>
      </c>
      <c r="G270" s="6">
        <v>9.304144435E9</v>
      </c>
      <c r="H270" s="6">
        <v>4.0090893E7</v>
      </c>
      <c r="I270" s="6" t="s">
        <v>35</v>
      </c>
      <c r="J270" s="6" t="s">
        <v>21</v>
      </c>
      <c r="K270" s="6" t="s">
        <v>22</v>
      </c>
      <c r="L270" s="6">
        <v>99.0</v>
      </c>
      <c r="M270" s="5">
        <v>46013.0</v>
      </c>
      <c r="N270" s="6" t="s">
        <v>23</v>
      </c>
      <c r="O270" s="6" t="str">
        <f>SUMIFS([1]order_sku_sales_bb2_report!P:P,[1]order_sku_sales_bb2_report!H:H,C28018,[1]order_sku_sales_bb2_report!J:J,H28018)</f>
        <v>#ERROR!</v>
      </c>
      <c r="P270" s="6" t="str">
        <f>SUMIFS([1]order_sku_sales_bb2_report!O:O,[1]order_sku_sales_bb2_report!H:H,C28018,[1]order_sku_sales_bb2_report!J:J,H28018)</f>
        <v>#ERROR!</v>
      </c>
      <c r="Q270" s="6" t="str">
        <f t="shared" si="1"/>
        <v>22-12-2025</v>
      </c>
      <c r="R270" s="6" t="str">
        <f>IFERROR( VLOOKUP(C28018,[1]expressOrderReport!$S:$AZ,34,0),0)</f>
        <v>#ERROR!</v>
      </c>
      <c r="S270" s="6" t="str">
        <f>ARRAY_CONSTRAIN(ARRAYFORMULA(_xludf.XLOOKUP(D28018,[1]order_Report_SA_ID_BB2.0!V:V,[1]order_Report_SA_ID_BB2.0!AM:AM,"")), 1, 1)</f>
        <v>#ERROR!</v>
      </c>
      <c r="T270" s="6" t="str">
        <f t="shared" si="2"/>
        <v>Dec'25</v>
      </c>
    </row>
    <row r="271" ht="15.75" customHeight="1">
      <c r="A271" s="5">
        <v>46013.0</v>
      </c>
      <c r="B271" s="6">
        <v>1956.0</v>
      </c>
      <c r="C271" s="6">
        <v>1.859164867E9</v>
      </c>
      <c r="D271" s="6">
        <v>6.5111157E7</v>
      </c>
      <c r="E271" s="6" t="s">
        <v>467</v>
      </c>
      <c r="F271" s="6" t="s">
        <v>468</v>
      </c>
      <c r="G271" s="6">
        <v>9.66988593E9</v>
      </c>
      <c r="H271" s="6">
        <v>4.0090893E7</v>
      </c>
      <c r="I271" s="6" t="s">
        <v>35</v>
      </c>
      <c r="J271" s="6" t="s">
        <v>21</v>
      </c>
      <c r="K271" s="6" t="s">
        <v>22</v>
      </c>
      <c r="L271" s="6">
        <v>33.0</v>
      </c>
      <c r="M271" s="5">
        <v>46013.0</v>
      </c>
      <c r="N271" s="6" t="s">
        <v>23</v>
      </c>
      <c r="O271" s="6" t="str">
        <f>SUMIFS([1]order_sku_sales_bb2_report!P:P,[1]order_sku_sales_bb2_report!H:H,C28019,[1]order_sku_sales_bb2_report!J:J,H28019)</f>
        <v>#ERROR!</v>
      </c>
      <c r="P271" s="6" t="str">
        <f>SUMIFS([1]order_sku_sales_bb2_report!O:O,[1]order_sku_sales_bb2_report!H:H,C28019,[1]order_sku_sales_bb2_report!J:J,H28019)</f>
        <v>#ERROR!</v>
      </c>
      <c r="Q271" s="6" t="str">
        <f t="shared" si="1"/>
        <v>22-12-2025</v>
      </c>
      <c r="R271" s="6" t="str">
        <f>IFERROR( VLOOKUP(C28019,[1]expressOrderReport!$S:$AZ,34,0),0)</f>
        <v>#ERROR!</v>
      </c>
      <c r="S271" s="6" t="str">
        <f>ARRAY_CONSTRAIN(ARRAYFORMULA(_xludf.XLOOKUP(D28019,[1]order_Report_SA_ID_BB2.0!V:V,[1]order_Report_SA_ID_BB2.0!AM:AM,"")), 1, 1)</f>
        <v>#ERROR!</v>
      </c>
      <c r="T271" s="6" t="str">
        <f t="shared" si="2"/>
        <v>Dec'25</v>
      </c>
    </row>
    <row r="272" ht="15.75" customHeight="1">
      <c r="A272" s="5">
        <v>46013.0</v>
      </c>
      <c r="B272" s="6">
        <v>1979.0</v>
      </c>
      <c r="C272" s="6">
        <v>1.859164877E9</v>
      </c>
      <c r="D272" s="6">
        <v>193052.0</v>
      </c>
      <c r="E272" s="6" t="s">
        <v>469</v>
      </c>
      <c r="F272" s="6" t="s">
        <v>470</v>
      </c>
      <c r="G272" s="6">
        <v>9.980280753E9</v>
      </c>
      <c r="H272" s="6">
        <v>4.0149832E7</v>
      </c>
      <c r="I272" s="6" t="s">
        <v>26</v>
      </c>
      <c r="J272" s="6" t="s">
        <v>21</v>
      </c>
      <c r="K272" s="6" t="s">
        <v>22</v>
      </c>
      <c r="L272" s="6">
        <v>48.0</v>
      </c>
      <c r="M272" s="5">
        <v>46013.0</v>
      </c>
      <c r="N272" s="6" t="s">
        <v>23</v>
      </c>
      <c r="O272" s="6" t="str">
        <f>SUMIFS([1]order_sku_sales_bb2_report!P:P,[1]order_sku_sales_bb2_report!H:H,C28020,[1]order_sku_sales_bb2_report!J:J,H28020)</f>
        <v>#ERROR!</v>
      </c>
      <c r="P272" s="6" t="str">
        <f>SUMIFS([1]order_sku_sales_bb2_report!O:O,[1]order_sku_sales_bb2_report!H:H,C28020,[1]order_sku_sales_bb2_report!J:J,H28020)</f>
        <v>#ERROR!</v>
      </c>
      <c r="Q272" s="6" t="str">
        <f t="shared" si="1"/>
        <v>22-12-2025</v>
      </c>
      <c r="R272" s="6" t="str">
        <f>IFERROR( VLOOKUP(C28020,[1]expressOrderReport!$S:$AZ,34,0),0)</f>
        <v>#ERROR!</v>
      </c>
      <c r="S272" s="6" t="str">
        <f>ARRAY_CONSTRAIN(ARRAYFORMULA(_xludf.XLOOKUP(D28020,[1]order_Report_SA_ID_BB2.0!V:V,[1]order_Report_SA_ID_BB2.0!AM:AM,"")), 1, 1)</f>
        <v>#ERROR!</v>
      </c>
      <c r="T272" s="6" t="str">
        <f t="shared" si="2"/>
        <v>Dec'25</v>
      </c>
    </row>
    <row r="273" ht="15.75" customHeight="1">
      <c r="A273" s="5">
        <v>46013.0</v>
      </c>
      <c r="B273" s="6">
        <v>2041.0</v>
      </c>
      <c r="C273" s="6">
        <v>1.859164882E9</v>
      </c>
      <c r="D273" s="6">
        <v>5663054.0</v>
      </c>
      <c r="E273" s="6" t="s">
        <v>471</v>
      </c>
      <c r="F273" s="6" t="s">
        <v>472</v>
      </c>
      <c r="G273" s="6">
        <v>8.817485043E9</v>
      </c>
      <c r="H273" s="6">
        <v>4.0090893E7</v>
      </c>
      <c r="I273" s="6" t="s">
        <v>35</v>
      </c>
      <c r="J273" s="6" t="s">
        <v>21</v>
      </c>
      <c r="K273" s="6" t="s">
        <v>22</v>
      </c>
      <c r="L273" s="6">
        <v>33.0</v>
      </c>
      <c r="M273" s="5">
        <v>46013.0</v>
      </c>
      <c r="N273" s="6" t="s">
        <v>23</v>
      </c>
      <c r="O273" s="6" t="str">
        <f>SUMIFS([1]order_sku_sales_bb2_report!P:P,[1]order_sku_sales_bb2_report!H:H,C28021,[1]order_sku_sales_bb2_report!J:J,H28021)</f>
        <v>#ERROR!</v>
      </c>
      <c r="P273" s="6" t="str">
        <f>SUMIFS([1]order_sku_sales_bb2_report!O:O,[1]order_sku_sales_bb2_report!H:H,C28021,[1]order_sku_sales_bb2_report!J:J,H28021)</f>
        <v>#ERROR!</v>
      </c>
      <c r="Q273" s="6" t="str">
        <f t="shared" si="1"/>
        <v>22-12-2025</v>
      </c>
      <c r="R273" s="6" t="str">
        <f>IFERROR( VLOOKUP(C28021,[1]expressOrderReport!$S:$AZ,34,0),0)</f>
        <v>#ERROR!</v>
      </c>
      <c r="S273" s="6" t="str">
        <f>ARRAY_CONSTRAIN(ARRAYFORMULA(_xludf.XLOOKUP(D28021,[1]order_Report_SA_ID_BB2.0!V:V,[1]order_Report_SA_ID_BB2.0!AM:AM,"")), 1, 1)</f>
        <v>#ERROR!</v>
      </c>
      <c r="T273" s="6" t="str">
        <f t="shared" si="2"/>
        <v>Dec'25</v>
      </c>
    </row>
    <row r="274" ht="15.75" customHeight="1">
      <c r="A274" s="5">
        <v>46013.0</v>
      </c>
      <c r="B274" s="6">
        <v>2192.0</v>
      </c>
      <c r="C274" s="6">
        <v>1.859164894E9</v>
      </c>
      <c r="D274" s="6">
        <v>2.669563E7</v>
      </c>
      <c r="E274" s="6" t="s">
        <v>473</v>
      </c>
      <c r="F274" s="6" t="s">
        <v>474</v>
      </c>
      <c r="G274" s="6">
        <v>7.01980628E9</v>
      </c>
      <c r="H274" s="6">
        <v>4.0148716E7</v>
      </c>
      <c r="I274" s="6" t="s">
        <v>148</v>
      </c>
      <c r="J274" s="6" t="s">
        <v>21</v>
      </c>
      <c r="K274" s="6" t="s">
        <v>22</v>
      </c>
      <c r="L274" s="6">
        <v>72.0</v>
      </c>
      <c r="M274" s="5">
        <v>46013.0</v>
      </c>
      <c r="N274" s="6" t="s">
        <v>23</v>
      </c>
      <c r="O274" s="6" t="str">
        <f>SUMIFS([1]order_sku_sales_bb2_report!P:P,[1]order_sku_sales_bb2_report!H:H,C28023,[1]order_sku_sales_bb2_report!J:J,H28023)</f>
        <v>#ERROR!</v>
      </c>
      <c r="P274" s="6" t="str">
        <f>SUMIFS([1]order_sku_sales_bb2_report!O:O,[1]order_sku_sales_bb2_report!H:H,C28023,[1]order_sku_sales_bb2_report!J:J,H28023)</f>
        <v>#ERROR!</v>
      </c>
      <c r="Q274" s="6" t="str">
        <f t="shared" si="1"/>
        <v>22-12-2025</v>
      </c>
      <c r="R274" s="6" t="str">
        <f>IFERROR( VLOOKUP(C28023,[1]expressOrderReport!$S:$AZ,34,0),0)</f>
        <v>#ERROR!</v>
      </c>
      <c r="S274" s="6" t="str">
        <f>ARRAY_CONSTRAIN(ARRAYFORMULA(_xludf.XLOOKUP(D28023,[1]order_Report_SA_ID_BB2.0!V:V,[1]order_Report_SA_ID_BB2.0!AM:AM,"")), 1, 1)</f>
        <v>#ERROR!</v>
      </c>
      <c r="T274" s="6" t="str">
        <f t="shared" si="2"/>
        <v>Dec'25</v>
      </c>
    </row>
    <row r="275" ht="15.75" customHeight="1">
      <c r="A275" s="5">
        <v>46013.0</v>
      </c>
      <c r="B275" s="6">
        <v>2202.0</v>
      </c>
      <c r="C275" s="6">
        <v>1.859164894E9</v>
      </c>
      <c r="D275" s="6">
        <v>2.669563E7</v>
      </c>
      <c r="E275" s="6" t="s">
        <v>473</v>
      </c>
      <c r="F275" s="6" t="s">
        <v>474</v>
      </c>
      <c r="G275" s="6">
        <v>7.01980628E9</v>
      </c>
      <c r="H275" s="6">
        <v>4.0149833E7</v>
      </c>
      <c r="I275" s="6" t="s">
        <v>40</v>
      </c>
      <c r="J275" s="6" t="s">
        <v>21</v>
      </c>
      <c r="K275" s="6" t="s">
        <v>22</v>
      </c>
      <c r="L275" s="6">
        <v>72.0</v>
      </c>
      <c r="M275" s="5">
        <v>46013.0</v>
      </c>
      <c r="N275" s="6" t="s">
        <v>23</v>
      </c>
      <c r="O275" s="6" t="str">
        <f>SUMIFS([1]order_sku_sales_bb2_report!P:P,[1]order_sku_sales_bb2_report!H:H,C28024,[1]order_sku_sales_bb2_report!J:J,H28024)</f>
        <v>#ERROR!</v>
      </c>
      <c r="P275" s="6" t="str">
        <f>SUMIFS([1]order_sku_sales_bb2_report!O:O,[1]order_sku_sales_bb2_report!H:H,C28024,[1]order_sku_sales_bb2_report!J:J,H28024)</f>
        <v>#ERROR!</v>
      </c>
      <c r="Q275" s="6" t="str">
        <f t="shared" si="1"/>
        <v>22-12-2025</v>
      </c>
      <c r="R275" s="6" t="str">
        <f>IFERROR( VLOOKUP(C28024,[1]expressOrderReport!$S:$AZ,34,0),0)</f>
        <v>#ERROR!</v>
      </c>
      <c r="S275" s="6" t="str">
        <f>ARRAY_CONSTRAIN(ARRAYFORMULA(_xludf.XLOOKUP(D28024,[1]order_Report_SA_ID_BB2.0!V:V,[1]order_Report_SA_ID_BB2.0!AM:AM,"")), 1, 1)</f>
        <v>#ERROR!</v>
      </c>
      <c r="T275" s="6" t="str">
        <f t="shared" si="2"/>
        <v>Dec'25</v>
      </c>
    </row>
    <row r="276" ht="15.75" customHeight="1">
      <c r="A276" s="5">
        <v>46013.0</v>
      </c>
      <c r="B276" s="6">
        <v>2241.0</v>
      </c>
      <c r="C276" s="6">
        <v>1.859164903E9</v>
      </c>
      <c r="D276" s="6">
        <v>1.6475631E7</v>
      </c>
      <c r="E276" s="6" t="s">
        <v>475</v>
      </c>
      <c r="F276" s="6" t="s">
        <v>476</v>
      </c>
      <c r="G276" s="6">
        <v>8.884911086E9</v>
      </c>
      <c r="H276" s="6">
        <v>4.0149833E7</v>
      </c>
      <c r="I276" s="6" t="s">
        <v>40</v>
      </c>
      <c r="J276" s="6" t="s">
        <v>21</v>
      </c>
      <c r="K276" s="6" t="s">
        <v>22</v>
      </c>
      <c r="L276" s="6">
        <v>81.0</v>
      </c>
      <c r="M276" s="5">
        <v>46013.0</v>
      </c>
      <c r="N276" s="6" t="s">
        <v>23</v>
      </c>
      <c r="O276" s="6" t="str">
        <f>SUMIFS([1]order_sku_sales_bb2_report!P:P,[1]order_sku_sales_bb2_report!H:H,C28025,[1]order_sku_sales_bb2_report!J:J,H28025)</f>
        <v>#ERROR!</v>
      </c>
      <c r="P276" s="6" t="str">
        <f>SUMIFS([1]order_sku_sales_bb2_report!O:O,[1]order_sku_sales_bb2_report!H:H,C28025,[1]order_sku_sales_bb2_report!J:J,H28025)</f>
        <v>#ERROR!</v>
      </c>
      <c r="Q276" s="6" t="str">
        <f t="shared" si="1"/>
        <v>22-12-2025</v>
      </c>
      <c r="R276" s="6" t="str">
        <f>IFERROR( VLOOKUP(C28025,[1]expressOrderReport!$S:$AZ,34,0),0)</f>
        <v>#ERROR!</v>
      </c>
      <c r="S276" s="6" t="str">
        <f>ARRAY_CONSTRAIN(ARRAYFORMULA(_xludf.XLOOKUP(D28025,[1]order_Report_SA_ID_BB2.0!V:V,[1]order_Report_SA_ID_BB2.0!AM:AM,"")), 1, 1)</f>
        <v>#ERROR!</v>
      </c>
      <c r="T276" s="6" t="str">
        <f t="shared" si="2"/>
        <v>Dec'25</v>
      </c>
    </row>
    <row r="277" ht="15.75" customHeight="1">
      <c r="A277" s="5">
        <v>46013.0</v>
      </c>
      <c r="B277" s="6">
        <v>2408.0</v>
      </c>
      <c r="C277" s="6">
        <v>1.859164913E9</v>
      </c>
      <c r="D277" s="6">
        <v>4315717.0</v>
      </c>
      <c r="E277" s="6" t="s">
        <v>477</v>
      </c>
      <c r="F277" s="6" t="s">
        <v>478</v>
      </c>
      <c r="G277" s="6">
        <v>9.901550872E9</v>
      </c>
      <c r="H277" s="6">
        <v>4.0149832E7</v>
      </c>
      <c r="I277" s="6" t="s">
        <v>26</v>
      </c>
      <c r="J277" s="6" t="s">
        <v>21</v>
      </c>
      <c r="K277" s="6" t="s">
        <v>22</v>
      </c>
      <c r="L277" s="6">
        <v>24.0</v>
      </c>
      <c r="M277" s="5">
        <v>46013.0</v>
      </c>
      <c r="N277" s="6" t="s">
        <v>23</v>
      </c>
      <c r="O277" s="6" t="str">
        <f>SUMIFS([1]order_sku_sales_bb2_report!P:P,[1]order_sku_sales_bb2_report!H:H,C28026,[1]order_sku_sales_bb2_report!J:J,H28026)</f>
        <v>#ERROR!</v>
      </c>
      <c r="P277" s="6" t="str">
        <f>SUMIFS([1]order_sku_sales_bb2_report!O:O,[1]order_sku_sales_bb2_report!H:H,C28026,[1]order_sku_sales_bb2_report!J:J,H28026)</f>
        <v>#ERROR!</v>
      </c>
      <c r="Q277" s="6" t="str">
        <f t="shared" si="1"/>
        <v>22-12-2025</v>
      </c>
      <c r="R277" s="6" t="str">
        <f>IFERROR( VLOOKUP(C28026,[1]expressOrderReport!$S:$AZ,34,0),0)</f>
        <v>#ERROR!</v>
      </c>
      <c r="S277" s="6" t="str">
        <f>ARRAY_CONSTRAIN(ARRAYFORMULA(_xludf.XLOOKUP(D28026,[1]order_Report_SA_ID_BB2.0!V:V,[1]order_Report_SA_ID_BB2.0!AM:AM,"")), 1, 1)</f>
        <v>#ERROR!</v>
      </c>
      <c r="T277" s="6" t="str">
        <f t="shared" si="2"/>
        <v>Dec'25</v>
      </c>
    </row>
    <row r="278" ht="15.75" customHeight="1">
      <c r="A278" s="5">
        <v>46013.0</v>
      </c>
      <c r="B278" s="6">
        <v>2298.0</v>
      </c>
      <c r="C278" s="6">
        <v>1.859164933E9</v>
      </c>
      <c r="D278" s="6">
        <v>1.9861938E7</v>
      </c>
      <c r="E278" s="6" t="s">
        <v>479</v>
      </c>
      <c r="F278" s="6" t="s">
        <v>480</v>
      </c>
      <c r="G278" s="6">
        <v>7.904857562E9</v>
      </c>
      <c r="H278" s="6">
        <v>4.0149832E7</v>
      </c>
      <c r="I278" s="6" t="s">
        <v>26</v>
      </c>
      <c r="J278" s="6" t="s">
        <v>21</v>
      </c>
      <c r="K278" s="6" t="s">
        <v>22</v>
      </c>
      <c r="L278" s="6">
        <v>48.0</v>
      </c>
      <c r="M278" s="5">
        <v>46013.0</v>
      </c>
      <c r="N278" s="6" t="s">
        <v>23</v>
      </c>
      <c r="O278" s="6" t="str">
        <f>SUMIFS([1]order_sku_sales_bb2_report!P:P,[1]order_sku_sales_bb2_report!H:H,C28028,[1]order_sku_sales_bb2_report!J:J,H28028)</f>
        <v>#ERROR!</v>
      </c>
      <c r="P278" s="6" t="str">
        <f>SUMIFS([1]order_sku_sales_bb2_report!O:O,[1]order_sku_sales_bb2_report!H:H,C28028,[1]order_sku_sales_bb2_report!J:J,H28028)</f>
        <v>#ERROR!</v>
      </c>
      <c r="Q278" s="6" t="str">
        <f t="shared" si="1"/>
        <v>22-12-2025</v>
      </c>
      <c r="R278" s="6" t="str">
        <f>IFERROR( VLOOKUP(C28028,[1]expressOrderReport!$S:$AZ,34,0),0)</f>
        <v>#ERROR!</v>
      </c>
      <c r="S278" s="6" t="str">
        <f>ARRAY_CONSTRAIN(ARRAYFORMULA(_xludf.XLOOKUP(D28028,[1]order_Report_SA_ID_BB2.0!V:V,[1]order_Report_SA_ID_BB2.0!AM:AM,"")), 1, 1)</f>
        <v>#ERROR!</v>
      </c>
      <c r="T278" s="6" t="str">
        <f t="shared" si="2"/>
        <v>Dec'25</v>
      </c>
    </row>
    <row r="279" ht="15.75" customHeight="1">
      <c r="A279" s="5">
        <v>46013.0</v>
      </c>
      <c r="B279" s="6">
        <v>2299.0</v>
      </c>
      <c r="C279" s="6">
        <v>1.859164933E9</v>
      </c>
      <c r="D279" s="6">
        <v>1.9861938E7</v>
      </c>
      <c r="E279" s="6" t="s">
        <v>479</v>
      </c>
      <c r="F279" s="6" t="s">
        <v>480</v>
      </c>
      <c r="G279" s="6">
        <v>7.904857562E9</v>
      </c>
      <c r="H279" s="6">
        <v>4.014983E7</v>
      </c>
      <c r="I279" s="6" t="s">
        <v>30</v>
      </c>
      <c r="J279" s="6" t="s">
        <v>21</v>
      </c>
      <c r="K279" s="6" t="s">
        <v>22</v>
      </c>
      <c r="L279" s="6">
        <v>48.0</v>
      </c>
      <c r="M279" s="5">
        <v>46013.0</v>
      </c>
      <c r="N279" s="6" t="s">
        <v>23</v>
      </c>
      <c r="O279" s="6" t="str">
        <f>SUMIFS([1]order_sku_sales_bb2_report!P:P,[1]order_sku_sales_bb2_report!H:H,C28029,[1]order_sku_sales_bb2_report!J:J,H28029)</f>
        <v>#ERROR!</v>
      </c>
      <c r="P279" s="6" t="str">
        <f>SUMIFS([1]order_sku_sales_bb2_report!O:O,[1]order_sku_sales_bb2_report!H:H,C28029,[1]order_sku_sales_bb2_report!J:J,H28029)</f>
        <v>#ERROR!</v>
      </c>
      <c r="Q279" s="6" t="str">
        <f t="shared" si="1"/>
        <v>22-12-2025</v>
      </c>
      <c r="R279" s="6" t="str">
        <f>IFERROR( VLOOKUP(C28029,[1]expressOrderReport!$S:$AZ,34,0),0)</f>
        <v>#ERROR!</v>
      </c>
      <c r="S279" s="6" t="str">
        <f>ARRAY_CONSTRAIN(ARRAYFORMULA(_xludf.XLOOKUP(D28029,[1]order_Report_SA_ID_BB2.0!V:V,[1]order_Report_SA_ID_BB2.0!AM:AM,"")), 1, 1)</f>
        <v>#ERROR!</v>
      </c>
      <c r="T279" s="6" t="str">
        <f t="shared" si="2"/>
        <v>Dec'25</v>
      </c>
    </row>
    <row r="280" ht="15.75" customHeight="1">
      <c r="A280" s="5">
        <v>46013.0</v>
      </c>
      <c r="B280" s="6">
        <v>5982.0</v>
      </c>
      <c r="C280" s="6">
        <v>1.859164945E9</v>
      </c>
      <c r="D280" s="6">
        <v>5798950.0</v>
      </c>
      <c r="E280" s="6" t="s">
        <v>481</v>
      </c>
      <c r="F280" s="6" t="s">
        <v>482</v>
      </c>
      <c r="G280" s="6">
        <v>8.896820292E9</v>
      </c>
      <c r="H280" s="6">
        <v>4.0148716E7</v>
      </c>
      <c r="I280" s="6" t="s">
        <v>148</v>
      </c>
      <c r="J280" s="6" t="s">
        <v>21</v>
      </c>
      <c r="K280" s="6" t="s">
        <v>22</v>
      </c>
      <c r="L280" s="6">
        <v>45.0</v>
      </c>
      <c r="M280" s="5">
        <v>46013.0</v>
      </c>
      <c r="N280" s="6" t="s">
        <v>23</v>
      </c>
      <c r="O280" s="6" t="str">
        <f>SUMIFS([1]order_sku_sales_bb2_report!P:P,[1]order_sku_sales_bb2_report!H:H,C28030,[1]order_sku_sales_bb2_report!J:J,H28030)</f>
        <v>#ERROR!</v>
      </c>
      <c r="P280" s="6" t="str">
        <f>SUMIFS([1]order_sku_sales_bb2_report!O:O,[1]order_sku_sales_bb2_report!H:H,C28030,[1]order_sku_sales_bb2_report!J:J,H28030)</f>
        <v>#ERROR!</v>
      </c>
      <c r="Q280" s="6" t="str">
        <f t="shared" si="1"/>
        <v>22-12-2025</v>
      </c>
      <c r="R280" s="6" t="str">
        <f>IFERROR( VLOOKUP(C28030,[1]expressOrderReport!$S:$AZ,34,0),0)</f>
        <v>#ERROR!</v>
      </c>
      <c r="S280" s="6" t="str">
        <f>ARRAY_CONSTRAIN(ARRAYFORMULA(_xludf.XLOOKUP(D28030,[1]order_Report_SA_ID_BB2.0!V:V,[1]order_Report_SA_ID_BB2.0!AM:AM,"")), 1, 1)</f>
        <v>#ERROR!</v>
      </c>
      <c r="T280" s="6" t="str">
        <f t="shared" si="2"/>
        <v>Dec'25</v>
      </c>
    </row>
    <row r="281" ht="15.75" customHeight="1">
      <c r="A281" s="5">
        <v>46013.0</v>
      </c>
      <c r="B281" s="6">
        <v>2334.0</v>
      </c>
      <c r="C281" s="6">
        <v>1.859164951E9</v>
      </c>
      <c r="D281" s="6">
        <v>1.5371845E7</v>
      </c>
      <c r="E281" s="6" t="s">
        <v>483</v>
      </c>
      <c r="F281" s="6" t="s">
        <v>484</v>
      </c>
      <c r="G281" s="6">
        <v>8.871692647E9</v>
      </c>
      <c r="H281" s="6">
        <v>4.0090893E7</v>
      </c>
      <c r="I281" s="6" t="s">
        <v>35</v>
      </c>
      <c r="J281" s="6" t="s">
        <v>21</v>
      </c>
      <c r="K281" s="6" t="s">
        <v>22</v>
      </c>
      <c r="L281" s="6">
        <v>66.0</v>
      </c>
      <c r="M281" s="5">
        <v>46013.0</v>
      </c>
      <c r="N281" s="6" t="s">
        <v>23</v>
      </c>
      <c r="O281" s="6" t="str">
        <f>SUMIFS([1]order_sku_sales_bb2_report!P:P,[1]order_sku_sales_bb2_report!H:H,C28031,[1]order_sku_sales_bb2_report!J:J,H28031)</f>
        <v>#ERROR!</v>
      </c>
      <c r="P281" s="6" t="str">
        <f>SUMIFS([1]order_sku_sales_bb2_report!O:O,[1]order_sku_sales_bb2_report!H:H,C28031,[1]order_sku_sales_bb2_report!J:J,H28031)</f>
        <v>#ERROR!</v>
      </c>
      <c r="Q281" s="6" t="str">
        <f t="shared" si="1"/>
        <v>22-12-2025</v>
      </c>
      <c r="R281" s="6" t="str">
        <f>IFERROR( VLOOKUP(C28031,[1]expressOrderReport!$S:$AZ,34,0),0)</f>
        <v>#ERROR!</v>
      </c>
      <c r="S281" s="6" t="str">
        <f>ARRAY_CONSTRAIN(ARRAYFORMULA(_xludf.XLOOKUP(D28031,[1]order_Report_SA_ID_BB2.0!V:V,[1]order_Report_SA_ID_BB2.0!AM:AM,"")), 1, 1)</f>
        <v>#ERROR!</v>
      </c>
      <c r="T281" s="6" t="str">
        <f t="shared" si="2"/>
        <v>Dec'25</v>
      </c>
    </row>
    <row r="282" ht="15.75" customHeight="1">
      <c r="A282" s="5">
        <v>46013.0</v>
      </c>
      <c r="B282" s="6">
        <v>2358.0</v>
      </c>
      <c r="C282" s="6">
        <v>1.859164963E9</v>
      </c>
      <c r="D282" s="6">
        <v>2.2826138E7</v>
      </c>
      <c r="E282" s="6" t="s">
        <v>485</v>
      </c>
      <c r="F282" s="6" t="s">
        <v>486</v>
      </c>
      <c r="G282" s="6">
        <v>9.880085774E9</v>
      </c>
      <c r="H282" s="6">
        <v>4.0149832E7</v>
      </c>
      <c r="I282" s="6" t="s">
        <v>26</v>
      </c>
      <c r="J282" s="6" t="s">
        <v>21</v>
      </c>
      <c r="K282" s="6" t="s">
        <v>22</v>
      </c>
      <c r="L282" s="6">
        <v>48.0</v>
      </c>
      <c r="M282" s="5">
        <v>46013.0</v>
      </c>
      <c r="N282" s="6" t="s">
        <v>23</v>
      </c>
      <c r="O282" s="6" t="str">
        <f>SUMIFS([1]order_sku_sales_bb2_report!P:P,[1]order_sku_sales_bb2_report!H:H,C28033,[1]order_sku_sales_bb2_report!J:J,H28033)</f>
        <v>#ERROR!</v>
      </c>
      <c r="P282" s="6" t="str">
        <f>SUMIFS([1]order_sku_sales_bb2_report!O:O,[1]order_sku_sales_bb2_report!H:H,C28033,[1]order_sku_sales_bb2_report!J:J,H28033)</f>
        <v>#ERROR!</v>
      </c>
      <c r="Q282" s="6" t="str">
        <f t="shared" si="1"/>
        <v>22-12-2025</v>
      </c>
      <c r="R282" s="6" t="str">
        <f>IFERROR( VLOOKUP(C28033,[1]expressOrderReport!$S:$AZ,34,0),0)</f>
        <v>#ERROR!</v>
      </c>
      <c r="S282" s="6" t="str">
        <f>ARRAY_CONSTRAIN(ARRAYFORMULA(_xludf.XLOOKUP(D28033,[1]order_Report_SA_ID_BB2.0!V:V,[1]order_Report_SA_ID_BB2.0!AM:AM,"")), 1, 1)</f>
        <v>#ERROR!</v>
      </c>
      <c r="T282" s="6" t="str">
        <f t="shared" si="2"/>
        <v>Dec'25</v>
      </c>
    </row>
    <row r="283" ht="15.75" customHeight="1">
      <c r="A283" s="5">
        <v>46013.0</v>
      </c>
      <c r="B283" s="6">
        <v>2363.0</v>
      </c>
      <c r="C283" s="6">
        <v>1.859164963E9</v>
      </c>
      <c r="D283" s="6">
        <v>2.2826138E7</v>
      </c>
      <c r="E283" s="6" t="s">
        <v>485</v>
      </c>
      <c r="F283" s="6" t="s">
        <v>486</v>
      </c>
      <c r="G283" s="6">
        <v>9.880085774E9</v>
      </c>
      <c r="H283" s="6">
        <v>4.014983E7</v>
      </c>
      <c r="I283" s="6" t="s">
        <v>30</v>
      </c>
      <c r="J283" s="6" t="s">
        <v>21</v>
      </c>
      <c r="K283" s="6" t="s">
        <v>22</v>
      </c>
      <c r="L283" s="6">
        <v>48.0</v>
      </c>
      <c r="M283" s="5">
        <v>46013.0</v>
      </c>
      <c r="N283" s="6" t="s">
        <v>23</v>
      </c>
      <c r="O283" s="6" t="str">
        <f>SUMIFS([1]order_sku_sales_bb2_report!P:P,[1]order_sku_sales_bb2_report!H:H,C28034,[1]order_sku_sales_bb2_report!J:J,H28034)</f>
        <v>#ERROR!</v>
      </c>
      <c r="P283" s="6" t="str">
        <f>SUMIFS([1]order_sku_sales_bb2_report!O:O,[1]order_sku_sales_bb2_report!H:H,C28034,[1]order_sku_sales_bb2_report!J:J,H28034)</f>
        <v>#ERROR!</v>
      </c>
      <c r="Q283" s="6" t="str">
        <f t="shared" si="1"/>
        <v>22-12-2025</v>
      </c>
      <c r="R283" s="6" t="str">
        <f>IFERROR( VLOOKUP(C28034,[1]expressOrderReport!$S:$AZ,34,0),0)</f>
        <v>#ERROR!</v>
      </c>
      <c r="S283" s="6" t="str">
        <f>ARRAY_CONSTRAIN(ARRAYFORMULA(_xludf.XLOOKUP(D28034,[1]order_Report_SA_ID_BB2.0!V:V,[1]order_Report_SA_ID_BB2.0!AM:AM,"")), 1, 1)</f>
        <v>#ERROR!</v>
      </c>
      <c r="T283" s="6" t="str">
        <f t="shared" si="2"/>
        <v>Dec'25</v>
      </c>
    </row>
    <row r="284" ht="15.75" customHeight="1">
      <c r="A284" s="5">
        <v>46013.0</v>
      </c>
      <c r="B284" s="6">
        <v>2360.0</v>
      </c>
      <c r="C284" s="6">
        <v>1.859164975E9</v>
      </c>
      <c r="D284" s="6">
        <v>5.4146312E7</v>
      </c>
      <c r="E284" s="6" t="s">
        <v>487</v>
      </c>
      <c r="F284" s="6" t="s">
        <v>488</v>
      </c>
      <c r="G284" s="6">
        <v>9.880983311E9</v>
      </c>
      <c r="H284" s="6">
        <v>4.0149832E7</v>
      </c>
      <c r="I284" s="6" t="s">
        <v>26</v>
      </c>
      <c r="J284" s="6" t="s">
        <v>21</v>
      </c>
      <c r="K284" s="6" t="s">
        <v>22</v>
      </c>
      <c r="L284" s="6">
        <v>24.0</v>
      </c>
      <c r="M284" s="5">
        <v>46013.0</v>
      </c>
      <c r="N284" s="6" t="s">
        <v>23</v>
      </c>
      <c r="O284" s="6" t="str">
        <f>SUMIFS([1]order_sku_sales_bb2_report!P:P,[1]order_sku_sales_bb2_report!H:H,C28035,[1]order_sku_sales_bb2_report!J:J,H28035)</f>
        <v>#ERROR!</v>
      </c>
      <c r="P284" s="6" t="str">
        <f>SUMIFS([1]order_sku_sales_bb2_report!O:O,[1]order_sku_sales_bb2_report!H:H,C28035,[1]order_sku_sales_bb2_report!J:J,H28035)</f>
        <v>#ERROR!</v>
      </c>
      <c r="Q284" s="6" t="str">
        <f t="shared" si="1"/>
        <v>22-12-2025</v>
      </c>
      <c r="R284" s="6" t="str">
        <f>IFERROR( VLOOKUP(C28035,[1]expressOrderReport!$S:$AZ,34,0),0)</f>
        <v>#ERROR!</v>
      </c>
      <c r="S284" s="6" t="str">
        <f>ARRAY_CONSTRAIN(ARRAYFORMULA(_xludf.XLOOKUP(D28035,[1]order_Report_SA_ID_BB2.0!V:V,[1]order_Report_SA_ID_BB2.0!AM:AM,"")), 1, 1)</f>
        <v>#ERROR!</v>
      </c>
      <c r="T284" s="6" t="str">
        <f t="shared" si="2"/>
        <v>Dec'25</v>
      </c>
    </row>
    <row r="285" ht="15.75" customHeight="1">
      <c r="A285" s="5">
        <v>46013.0</v>
      </c>
      <c r="B285" s="6">
        <v>2370.0</v>
      </c>
      <c r="C285" s="6">
        <v>1.859164985E9</v>
      </c>
      <c r="D285" s="6">
        <v>5.8315039E7</v>
      </c>
      <c r="E285" s="6" t="s">
        <v>489</v>
      </c>
      <c r="F285" s="6" t="s">
        <v>490</v>
      </c>
      <c r="G285" s="6">
        <v>9.44954284E9</v>
      </c>
      <c r="H285" s="6">
        <v>4.0149832E7</v>
      </c>
      <c r="I285" s="6" t="s">
        <v>26</v>
      </c>
      <c r="J285" s="6" t="s">
        <v>21</v>
      </c>
      <c r="K285" s="6" t="s">
        <v>22</v>
      </c>
      <c r="L285" s="6">
        <v>72.0</v>
      </c>
      <c r="M285" s="5">
        <v>46013.0</v>
      </c>
      <c r="N285" s="6" t="s">
        <v>23</v>
      </c>
      <c r="O285" s="6" t="str">
        <f>SUMIFS([1]order_sku_sales_bb2_report!P:P,[1]order_sku_sales_bb2_report!H:H,C28036,[1]order_sku_sales_bb2_report!J:J,H28036)</f>
        <v>#ERROR!</v>
      </c>
      <c r="P285" s="6" t="str">
        <f>SUMIFS([1]order_sku_sales_bb2_report!O:O,[1]order_sku_sales_bb2_report!H:H,C28036,[1]order_sku_sales_bb2_report!J:J,H28036)</f>
        <v>#ERROR!</v>
      </c>
      <c r="Q285" s="6" t="str">
        <f t="shared" si="1"/>
        <v>22-12-2025</v>
      </c>
      <c r="R285" s="6" t="str">
        <f>IFERROR( VLOOKUP(C28036,[1]expressOrderReport!$S:$AZ,34,0),0)</f>
        <v>#ERROR!</v>
      </c>
      <c r="S285" s="6" t="str">
        <f>ARRAY_CONSTRAIN(ARRAYFORMULA(_xludf.XLOOKUP(D28036,[1]order_Report_SA_ID_BB2.0!V:V,[1]order_Report_SA_ID_BB2.0!AM:AM,"")), 1, 1)</f>
        <v>#ERROR!</v>
      </c>
      <c r="T285" s="6" t="str">
        <f t="shared" si="2"/>
        <v>Dec'25</v>
      </c>
    </row>
    <row r="286" ht="15.75" customHeight="1">
      <c r="A286" s="5">
        <v>46013.0</v>
      </c>
      <c r="B286" s="6">
        <v>2371.0</v>
      </c>
      <c r="C286" s="6">
        <v>1.859164994E9</v>
      </c>
      <c r="D286" s="6">
        <v>7.1402479E7</v>
      </c>
      <c r="E286" s="6" t="s">
        <v>491</v>
      </c>
      <c r="F286" s="6" t="s">
        <v>492</v>
      </c>
      <c r="G286" s="6">
        <v>9.415932992E9</v>
      </c>
      <c r="H286" s="6">
        <v>4.0149832E7</v>
      </c>
      <c r="I286" s="6" t="s">
        <v>26</v>
      </c>
      <c r="J286" s="6" t="s">
        <v>21</v>
      </c>
      <c r="K286" s="6" t="s">
        <v>22</v>
      </c>
      <c r="L286" s="6">
        <v>48.0</v>
      </c>
      <c r="M286" s="5">
        <v>46013.0</v>
      </c>
      <c r="N286" s="6" t="s">
        <v>23</v>
      </c>
      <c r="O286" s="6" t="str">
        <f>SUMIFS([1]order_sku_sales_bb2_report!P:P,[1]order_sku_sales_bb2_report!H:H,C28037,[1]order_sku_sales_bb2_report!J:J,H28037)</f>
        <v>#ERROR!</v>
      </c>
      <c r="P286" s="6" t="str">
        <f>SUMIFS([1]order_sku_sales_bb2_report!O:O,[1]order_sku_sales_bb2_report!H:H,C28037,[1]order_sku_sales_bb2_report!J:J,H28037)</f>
        <v>#ERROR!</v>
      </c>
      <c r="Q286" s="6" t="str">
        <f t="shared" si="1"/>
        <v>22-12-2025</v>
      </c>
      <c r="R286" s="6" t="str">
        <f>IFERROR( VLOOKUP(C28037,[1]expressOrderReport!$S:$AZ,34,0),0)</f>
        <v>#ERROR!</v>
      </c>
      <c r="S286" s="6" t="str">
        <f>ARRAY_CONSTRAIN(ARRAYFORMULA(_xludf.XLOOKUP(D28037,[1]order_Report_SA_ID_BB2.0!V:V,[1]order_Report_SA_ID_BB2.0!AM:AM,"")), 1, 1)</f>
        <v>#ERROR!</v>
      </c>
      <c r="T286" s="6" t="str">
        <f t="shared" si="2"/>
        <v>Dec'25</v>
      </c>
    </row>
    <row r="287" ht="15.75" customHeight="1">
      <c r="A287" s="5">
        <v>46013.0</v>
      </c>
      <c r="B287" s="6">
        <v>4958.0</v>
      </c>
      <c r="C287" s="6">
        <v>1.859165002E9</v>
      </c>
      <c r="D287" s="6">
        <v>2246029.0</v>
      </c>
      <c r="E287" s="6" t="s">
        <v>493</v>
      </c>
      <c r="F287" s="6" t="s">
        <v>494</v>
      </c>
      <c r="G287" s="6">
        <v>7.903066298E9</v>
      </c>
      <c r="H287" s="6">
        <v>4.0149834E7</v>
      </c>
      <c r="I287" s="6" t="s">
        <v>40</v>
      </c>
      <c r="J287" s="6" t="s">
        <v>21</v>
      </c>
      <c r="K287" s="6" t="s">
        <v>22</v>
      </c>
      <c r="L287" s="6">
        <v>52.0</v>
      </c>
      <c r="M287" s="5">
        <v>46013.0</v>
      </c>
      <c r="N287" s="6" t="s">
        <v>23</v>
      </c>
      <c r="O287" s="6" t="str">
        <f>SUMIFS([1]order_sku_sales_bb2_report!P:P,[1]order_sku_sales_bb2_report!H:H,C28038,[1]order_sku_sales_bb2_report!J:J,H28038)</f>
        <v>#ERROR!</v>
      </c>
      <c r="P287" s="6" t="str">
        <f>SUMIFS([1]order_sku_sales_bb2_report!O:O,[1]order_sku_sales_bb2_report!H:H,C28038,[1]order_sku_sales_bb2_report!J:J,H28038)</f>
        <v>#ERROR!</v>
      </c>
      <c r="Q287" s="6" t="str">
        <f t="shared" si="1"/>
        <v>22-12-2025</v>
      </c>
      <c r="R287" s="6" t="str">
        <f>IFERROR( VLOOKUP(C28038,[1]expressOrderReport!$S:$AZ,34,0),0)</f>
        <v>#ERROR!</v>
      </c>
      <c r="S287" s="6" t="str">
        <f>ARRAY_CONSTRAIN(ARRAYFORMULA(_xludf.XLOOKUP(D28038,[1]order_Report_SA_ID_BB2.0!V:V,[1]order_Report_SA_ID_BB2.0!AM:AM,"")), 1, 1)</f>
        <v>#ERROR!</v>
      </c>
      <c r="T287" s="6" t="str">
        <f t="shared" si="2"/>
        <v>Dec'25</v>
      </c>
    </row>
    <row r="288" ht="15.75" customHeight="1">
      <c r="A288" s="5">
        <v>46013.0</v>
      </c>
      <c r="B288" s="6">
        <v>2426.0</v>
      </c>
      <c r="C288" s="6">
        <v>1.859165011E9</v>
      </c>
      <c r="D288" s="6">
        <v>231522.0</v>
      </c>
      <c r="E288" s="6" t="s">
        <v>495</v>
      </c>
      <c r="F288" s="6" t="s">
        <v>496</v>
      </c>
      <c r="G288" s="6">
        <v>8.904002829E9</v>
      </c>
      <c r="H288" s="6">
        <v>4.0149832E7</v>
      </c>
      <c r="I288" s="6" t="s">
        <v>26</v>
      </c>
      <c r="J288" s="6" t="s">
        <v>21</v>
      </c>
      <c r="K288" s="6" t="s">
        <v>22</v>
      </c>
      <c r="L288" s="6">
        <v>48.0</v>
      </c>
      <c r="M288" s="5">
        <v>46013.0</v>
      </c>
      <c r="N288" s="6" t="s">
        <v>23</v>
      </c>
      <c r="O288" s="6" t="str">
        <f>SUMIFS([1]order_sku_sales_bb2_report!P:P,[1]order_sku_sales_bb2_report!H:H,C28039,[1]order_sku_sales_bb2_report!J:J,H28039)</f>
        <v>#ERROR!</v>
      </c>
      <c r="P288" s="6" t="str">
        <f>SUMIFS([1]order_sku_sales_bb2_report!O:O,[1]order_sku_sales_bb2_report!H:H,C28039,[1]order_sku_sales_bb2_report!J:J,H28039)</f>
        <v>#ERROR!</v>
      </c>
      <c r="Q288" s="6" t="str">
        <f t="shared" si="1"/>
        <v>22-12-2025</v>
      </c>
      <c r="R288" s="6" t="str">
        <f>IFERROR( VLOOKUP(C28039,[1]expressOrderReport!$S:$AZ,34,0),0)</f>
        <v>#ERROR!</v>
      </c>
      <c r="S288" s="6" t="str">
        <f>ARRAY_CONSTRAIN(ARRAYFORMULA(_xludf.XLOOKUP(D28039,[1]order_Report_SA_ID_BB2.0!V:V,[1]order_Report_SA_ID_BB2.0!AM:AM,"")), 1, 1)</f>
        <v>#ERROR!</v>
      </c>
      <c r="T288" s="6" t="str">
        <f t="shared" si="2"/>
        <v>Dec'25</v>
      </c>
    </row>
    <row r="289" ht="15.75" customHeight="1">
      <c r="A289" s="5">
        <v>46013.0</v>
      </c>
      <c r="B289" s="6">
        <v>12017.0</v>
      </c>
      <c r="C289" s="6">
        <v>1.859165018E9</v>
      </c>
      <c r="D289" s="6">
        <v>7795.0</v>
      </c>
      <c r="E289" s="6" t="s">
        <v>497</v>
      </c>
      <c r="F289" s="6" t="s">
        <v>498</v>
      </c>
      <c r="G289" s="6">
        <v>9.379368823E9</v>
      </c>
      <c r="H289" s="6">
        <v>4.0148723E7</v>
      </c>
      <c r="I289" s="6" t="s">
        <v>69</v>
      </c>
      <c r="J289" s="6" t="s">
        <v>21</v>
      </c>
      <c r="K289" s="6" t="s">
        <v>22</v>
      </c>
      <c r="L289" s="6">
        <v>84.0</v>
      </c>
      <c r="M289" s="5">
        <v>46013.0</v>
      </c>
      <c r="N289" s="6" t="s">
        <v>23</v>
      </c>
      <c r="O289" s="6" t="str">
        <f>SUMIFS([1]order_sku_sales_bb2_report!P:P,[1]order_sku_sales_bb2_report!H:H,C28040,[1]order_sku_sales_bb2_report!J:J,H28040)</f>
        <v>#ERROR!</v>
      </c>
      <c r="P289" s="6" t="str">
        <f>SUMIFS([1]order_sku_sales_bb2_report!O:O,[1]order_sku_sales_bb2_report!H:H,C28040,[1]order_sku_sales_bb2_report!J:J,H28040)</f>
        <v>#ERROR!</v>
      </c>
      <c r="Q289" s="6" t="str">
        <f t="shared" si="1"/>
        <v>22-12-2025</v>
      </c>
      <c r="R289" s="6" t="str">
        <f>IFERROR( VLOOKUP(C28040,[1]expressOrderReport!$S:$AZ,34,0),0)</f>
        <v>#ERROR!</v>
      </c>
      <c r="S289" s="6" t="str">
        <f>ARRAY_CONSTRAIN(ARRAYFORMULA(_xludf.XLOOKUP(D28040,[1]order_Report_SA_ID_BB2.0!V:V,[1]order_Report_SA_ID_BB2.0!AM:AM,"")), 1, 1)</f>
        <v>#ERROR!</v>
      </c>
      <c r="T289" s="6" t="str">
        <f t="shared" si="2"/>
        <v>Dec'25</v>
      </c>
    </row>
    <row r="290" ht="15.75" customHeight="1">
      <c r="A290" s="5">
        <v>46013.0</v>
      </c>
      <c r="B290" s="6">
        <v>2487.0</v>
      </c>
      <c r="C290" s="6">
        <v>1.859165029E9</v>
      </c>
      <c r="D290" s="6">
        <v>1432873.0</v>
      </c>
      <c r="E290" s="6" t="s">
        <v>499</v>
      </c>
      <c r="F290" s="6" t="s">
        <v>500</v>
      </c>
      <c r="G290" s="6">
        <v>9.620830534E9</v>
      </c>
      <c r="H290" s="6">
        <v>4.0149832E7</v>
      </c>
      <c r="I290" s="6" t="s">
        <v>26</v>
      </c>
      <c r="J290" s="6" t="s">
        <v>21</v>
      </c>
      <c r="K290" s="6" t="s">
        <v>22</v>
      </c>
      <c r="L290" s="6">
        <v>24.0</v>
      </c>
      <c r="M290" s="5">
        <v>46013.0</v>
      </c>
      <c r="N290" s="6" t="s">
        <v>23</v>
      </c>
      <c r="O290" s="6" t="str">
        <f>SUMIFS([1]order_sku_sales_bb2_report!P:P,[1]order_sku_sales_bb2_report!H:H,C28041,[1]order_sku_sales_bb2_report!J:J,H28041)</f>
        <v>#ERROR!</v>
      </c>
      <c r="P290" s="6" t="str">
        <f>SUMIFS([1]order_sku_sales_bb2_report!O:O,[1]order_sku_sales_bb2_report!H:H,C28041,[1]order_sku_sales_bb2_report!J:J,H28041)</f>
        <v>#ERROR!</v>
      </c>
      <c r="Q290" s="6" t="str">
        <f t="shared" si="1"/>
        <v>22-12-2025</v>
      </c>
      <c r="R290" s="6" t="str">
        <f>IFERROR( VLOOKUP(C28041,[1]expressOrderReport!$S:$AZ,34,0),0)</f>
        <v>#ERROR!</v>
      </c>
      <c r="S290" s="6" t="str">
        <f>ARRAY_CONSTRAIN(ARRAYFORMULA(_xludf.XLOOKUP(D28041,[1]order_Report_SA_ID_BB2.0!V:V,[1]order_Report_SA_ID_BB2.0!AM:AM,"")), 1, 1)</f>
        <v>#ERROR!</v>
      </c>
      <c r="T290" s="6" t="str">
        <f t="shared" si="2"/>
        <v>Dec'25</v>
      </c>
    </row>
    <row r="291" ht="15.75" customHeight="1">
      <c r="A291" s="5">
        <v>46013.0</v>
      </c>
      <c r="B291" s="6">
        <v>2532.0</v>
      </c>
      <c r="C291" s="6">
        <v>1.859165039E9</v>
      </c>
      <c r="D291" s="6">
        <v>6263048.0</v>
      </c>
      <c r="E291" s="6" t="s">
        <v>501</v>
      </c>
      <c r="F291" s="6" t="s">
        <v>502</v>
      </c>
      <c r="G291" s="6">
        <v>7.259446622E9</v>
      </c>
      <c r="H291" s="6">
        <v>4.0001618E7</v>
      </c>
      <c r="I291" s="6" t="s">
        <v>503</v>
      </c>
      <c r="J291" s="6" t="s">
        <v>21</v>
      </c>
      <c r="K291" s="6" t="s">
        <v>22</v>
      </c>
      <c r="L291" s="6">
        <v>5.0</v>
      </c>
      <c r="M291" s="5">
        <v>46013.0</v>
      </c>
      <c r="N291" s="6" t="s">
        <v>54</v>
      </c>
      <c r="O291" s="6" t="str">
        <f>SUMIFS([1]order_sku_sales_bb2_report!P:P,[1]order_sku_sales_bb2_report!H:H,C28042,[1]order_sku_sales_bb2_report!J:J,H28042)</f>
        <v>#ERROR!</v>
      </c>
      <c r="P291" s="6" t="str">
        <f>SUMIFS([1]order_sku_sales_bb2_report!O:O,[1]order_sku_sales_bb2_report!H:H,C28042,[1]order_sku_sales_bb2_report!J:J,H28042)</f>
        <v>#ERROR!</v>
      </c>
      <c r="Q291" s="6" t="str">
        <f t="shared" si="1"/>
        <v>22-12-2025</v>
      </c>
      <c r="R291" s="6" t="str">
        <f>IFERROR( VLOOKUP(C28042,[1]expressOrderReport!$S:$AZ,34,0),0)</f>
        <v>#ERROR!</v>
      </c>
      <c r="S291" s="6" t="str">
        <f>ARRAY_CONSTRAIN(ARRAYFORMULA(_xludf.XLOOKUP(D28042,[1]order_Report_SA_ID_BB2.0!V:V,[1]order_Report_SA_ID_BB2.0!AM:AM,"")), 1, 1)</f>
        <v>#ERROR!</v>
      </c>
      <c r="T291" s="6" t="str">
        <f t="shared" si="2"/>
        <v>Dec'25</v>
      </c>
    </row>
    <row r="292" ht="15.75" customHeight="1">
      <c r="A292" s="5">
        <v>46013.0</v>
      </c>
      <c r="B292" s="6">
        <v>2563.0</v>
      </c>
      <c r="C292" s="6">
        <v>1.859165056E9</v>
      </c>
      <c r="D292" s="6">
        <v>5658212.0</v>
      </c>
      <c r="E292" s="6" t="s">
        <v>504</v>
      </c>
      <c r="F292" s="6" t="s">
        <v>505</v>
      </c>
      <c r="G292" s="6">
        <v>9.886093707E9</v>
      </c>
      <c r="H292" s="6">
        <v>4.012463E7</v>
      </c>
      <c r="I292" s="6" t="s">
        <v>506</v>
      </c>
      <c r="J292" s="6" t="s">
        <v>21</v>
      </c>
      <c r="K292" s="6" t="s">
        <v>22</v>
      </c>
      <c r="L292" s="6">
        <v>39.0</v>
      </c>
      <c r="M292" s="5">
        <v>46013.0</v>
      </c>
      <c r="N292" s="6" t="s">
        <v>23</v>
      </c>
      <c r="O292" s="6" t="str">
        <f>SUMIFS([1]order_sku_sales_bb2_report!P:P,[1]order_sku_sales_bb2_report!H:H,C28043,[1]order_sku_sales_bb2_report!J:J,H28043)</f>
        <v>#ERROR!</v>
      </c>
      <c r="P292" s="6" t="str">
        <f>SUMIFS([1]order_sku_sales_bb2_report!O:O,[1]order_sku_sales_bb2_report!H:H,C28043,[1]order_sku_sales_bb2_report!J:J,H28043)</f>
        <v>#ERROR!</v>
      </c>
      <c r="Q292" s="6" t="str">
        <f t="shared" si="1"/>
        <v>22-12-2025</v>
      </c>
      <c r="R292" s="6" t="str">
        <f>IFERROR( VLOOKUP(C28043,[1]expressOrderReport!$S:$AZ,34,0),0)</f>
        <v>#ERROR!</v>
      </c>
      <c r="S292" s="6" t="str">
        <f>ARRAY_CONSTRAIN(ARRAYFORMULA(_xludf.XLOOKUP(D28043,[1]order_Report_SA_ID_BB2.0!V:V,[1]order_Report_SA_ID_BB2.0!AM:AM,"")), 1, 1)</f>
        <v>#ERROR!</v>
      </c>
      <c r="T292" s="6" t="str">
        <f t="shared" si="2"/>
        <v>Dec'25</v>
      </c>
    </row>
    <row r="293" ht="15.75" customHeight="1">
      <c r="A293" s="5">
        <v>46013.0</v>
      </c>
      <c r="B293" s="6">
        <v>2564.0</v>
      </c>
      <c r="C293" s="6">
        <v>1.859165056E9</v>
      </c>
      <c r="D293" s="6">
        <v>5658212.0</v>
      </c>
      <c r="E293" s="6" t="s">
        <v>504</v>
      </c>
      <c r="F293" s="6" t="s">
        <v>505</v>
      </c>
      <c r="G293" s="6">
        <v>9.886093707E9</v>
      </c>
      <c r="H293" s="6">
        <v>4.0276324E7</v>
      </c>
      <c r="I293" s="6" t="s">
        <v>30</v>
      </c>
      <c r="J293" s="6" t="s">
        <v>21</v>
      </c>
      <c r="K293" s="6" t="s">
        <v>22</v>
      </c>
      <c r="L293" s="6">
        <v>39.0</v>
      </c>
      <c r="M293" s="5">
        <v>46013.0</v>
      </c>
      <c r="N293" s="6" t="s">
        <v>23</v>
      </c>
      <c r="O293" s="6" t="str">
        <f>SUMIFS([1]order_sku_sales_bb2_report!P:P,[1]order_sku_sales_bb2_report!H:H,C28044,[1]order_sku_sales_bb2_report!J:J,H28044)</f>
        <v>#ERROR!</v>
      </c>
      <c r="P293" s="6" t="str">
        <f>SUMIFS([1]order_sku_sales_bb2_report!O:O,[1]order_sku_sales_bb2_report!H:H,C28044,[1]order_sku_sales_bb2_report!J:J,H28044)</f>
        <v>#ERROR!</v>
      </c>
      <c r="Q293" s="6" t="str">
        <f t="shared" si="1"/>
        <v>22-12-2025</v>
      </c>
      <c r="R293" s="6" t="str">
        <f>IFERROR( VLOOKUP(C28044,[1]expressOrderReport!$S:$AZ,34,0),0)</f>
        <v>#ERROR!</v>
      </c>
      <c r="S293" s="6" t="str">
        <f>ARRAY_CONSTRAIN(ARRAYFORMULA(_xludf.XLOOKUP(D28044,[1]order_Report_SA_ID_BB2.0!V:V,[1]order_Report_SA_ID_BB2.0!AM:AM,"")), 1, 1)</f>
        <v>#ERROR!</v>
      </c>
      <c r="T293" s="6" t="str">
        <f t="shared" si="2"/>
        <v>Dec'25</v>
      </c>
    </row>
    <row r="294" ht="15.75" customHeight="1">
      <c r="A294" s="5">
        <v>46013.0</v>
      </c>
      <c r="B294" s="6">
        <v>2578.0</v>
      </c>
      <c r="C294" s="6">
        <v>1.859165068E9</v>
      </c>
      <c r="D294" s="6">
        <v>1.714724E7</v>
      </c>
      <c r="E294" s="6" t="s">
        <v>507</v>
      </c>
      <c r="F294" s="6" t="s">
        <v>508</v>
      </c>
      <c r="G294" s="6">
        <v>9.742351944E9</v>
      </c>
      <c r="H294" s="6">
        <v>4.0149832E7</v>
      </c>
      <c r="I294" s="6" t="s">
        <v>26</v>
      </c>
      <c r="J294" s="6" t="s">
        <v>21</v>
      </c>
      <c r="K294" s="6" t="s">
        <v>22</v>
      </c>
      <c r="L294" s="6">
        <v>144.0</v>
      </c>
      <c r="M294" s="5">
        <v>46013.0</v>
      </c>
      <c r="N294" s="6" t="s">
        <v>23</v>
      </c>
      <c r="O294" s="6" t="str">
        <f>SUMIFS([1]order_sku_sales_bb2_report!P:P,[1]order_sku_sales_bb2_report!H:H,C28045,[1]order_sku_sales_bb2_report!J:J,H28045)</f>
        <v>#ERROR!</v>
      </c>
      <c r="P294" s="6" t="str">
        <f>SUMIFS([1]order_sku_sales_bb2_report!O:O,[1]order_sku_sales_bb2_report!H:H,C28045,[1]order_sku_sales_bb2_report!J:J,H28045)</f>
        <v>#ERROR!</v>
      </c>
      <c r="Q294" s="6" t="str">
        <f t="shared" si="1"/>
        <v>22-12-2025</v>
      </c>
      <c r="R294" s="6" t="str">
        <f>IFERROR( VLOOKUP(C28045,[1]expressOrderReport!$S:$AZ,34,0),0)</f>
        <v>#ERROR!</v>
      </c>
      <c r="S294" s="6" t="str">
        <f>ARRAY_CONSTRAIN(ARRAYFORMULA(_xludf.XLOOKUP(D28045,[1]order_Report_SA_ID_BB2.0!V:V,[1]order_Report_SA_ID_BB2.0!AM:AM,"")), 1, 1)</f>
        <v>#ERROR!</v>
      </c>
      <c r="T294" s="6" t="str">
        <f t="shared" si="2"/>
        <v>Dec'25</v>
      </c>
    </row>
    <row r="295" ht="15.75" customHeight="1">
      <c r="A295" s="5">
        <v>46013.0</v>
      </c>
      <c r="B295" s="6">
        <v>2576.0</v>
      </c>
      <c r="C295" s="6">
        <v>1.85916508E9</v>
      </c>
      <c r="D295" s="6">
        <v>2.0134369E7</v>
      </c>
      <c r="E295" s="6" t="s">
        <v>509</v>
      </c>
      <c r="F295" s="6" t="s">
        <v>510</v>
      </c>
      <c r="G295" s="6">
        <v>9.740368668E9</v>
      </c>
      <c r="H295" s="6">
        <v>4.0158264E7</v>
      </c>
      <c r="I295" s="6" t="s">
        <v>26</v>
      </c>
      <c r="J295" s="6" t="s">
        <v>21</v>
      </c>
      <c r="K295" s="6" t="s">
        <v>22</v>
      </c>
      <c r="L295" s="6">
        <v>80.0</v>
      </c>
      <c r="M295" s="5">
        <v>46013.0</v>
      </c>
      <c r="N295" s="6" t="s">
        <v>23</v>
      </c>
      <c r="O295" s="6" t="str">
        <f>SUMIFS([1]order_sku_sales_bb2_report!P:P,[1]order_sku_sales_bb2_report!H:H,C28046,[1]order_sku_sales_bb2_report!J:J,H28046)</f>
        <v>#ERROR!</v>
      </c>
      <c r="P295" s="6" t="str">
        <f>SUMIFS([1]order_sku_sales_bb2_report!O:O,[1]order_sku_sales_bb2_report!H:H,C28046,[1]order_sku_sales_bb2_report!J:J,H28046)</f>
        <v>#ERROR!</v>
      </c>
      <c r="Q295" s="6" t="str">
        <f t="shared" si="1"/>
        <v>22-12-2025</v>
      </c>
      <c r="R295" s="6" t="str">
        <f>IFERROR( VLOOKUP(C28046,[1]expressOrderReport!$S:$AZ,34,0),0)</f>
        <v>#ERROR!</v>
      </c>
      <c r="S295" s="6" t="str">
        <f>ARRAY_CONSTRAIN(ARRAYFORMULA(_xludf.XLOOKUP(D28046,[1]order_Report_SA_ID_BB2.0!V:V,[1]order_Report_SA_ID_BB2.0!AM:AM,"")), 1, 1)</f>
        <v>#ERROR!</v>
      </c>
      <c r="T295" s="6" t="str">
        <f t="shared" si="2"/>
        <v>Dec'25</v>
      </c>
    </row>
    <row r="296" ht="15.75" customHeight="1">
      <c r="A296" s="5">
        <v>46013.0</v>
      </c>
      <c r="B296" s="6">
        <v>2580.0</v>
      </c>
      <c r="C296" s="6">
        <v>1.85916508E9</v>
      </c>
      <c r="D296" s="6">
        <v>2.0134369E7</v>
      </c>
      <c r="E296" s="6" t="s">
        <v>509</v>
      </c>
      <c r="F296" s="6" t="s">
        <v>510</v>
      </c>
      <c r="G296" s="6">
        <v>9.740368668E9</v>
      </c>
      <c r="H296" s="6">
        <v>4.0149829E7</v>
      </c>
      <c r="I296" s="6" t="s">
        <v>355</v>
      </c>
      <c r="J296" s="6" t="s">
        <v>21</v>
      </c>
      <c r="K296" s="6" t="s">
        <v>22</v>
      </c>
      <c r="L296" s="6">
        <v>80.0</v>
      </c>
      <c r="M296" s="5">
        <v>46013.0</v>
      </c>
      <c r="N296" s="6" t="s">
        <v>23</v>
      </c>
      <c r="O296" s="6" t="str">
        <f>SUMIFS([1]order_sku_sales_bb2_report!P:P,[1]order_sku_sales_bb2_report!H:H,C28047,[1]order_sku_sales_bb2_report!J:J,H28047)</f>
        <v>#ERROR!</v>
      </c>
      <c r="P296" s="6" t="str">
        <f>SUMIFS([1]order_sku_sales_bb2_report!O:O,[1]order_sku_sales_bb2_report!H:H,C28047,[1]order_sku_sales_bb2_report!J:J,H28047)</f>
        <v>#ERROR!</v>
      </c>
      <c r="Q296" s="6" t="str">
        <f t="shared" si="1"/>
        <v>22-12-2025</v>
      </c>
      <c r="R296" s="6" t="str">
        <f>IFERROR( VLOOKUP(C28047,[1]expressOrderReport!$S:$AZ,34,0),0)</f>
        <v>#ERROR!</v>
      </c>
      <c r="S296" s="6" t="str">
        <f>ARRAY_CONSTRAIN(ARRAYFORMULA(_xludf.XLOOKUP(D28047,[1]order_Report_SA_ID_BB2.0!V:V,[1]order_Report_SA_ID_BB2.0!AM:AM,"")), 1, 1)</f>
        <v>#ERROR!</v>
      </c>
      <c r="T296" s="6" t="str">
        <f t="shared" si="2"/>
        <v>Dec'25</v>
      </c>
    </row>
    <row r="297" ht="15.75" customHeight="1">
      <c r="A297" s="5">
        <v>46013.0</v>
      </c>
      <c r="B297" s="6">
        <v>2667.0</v>
      </c>
      <c r="C297" s="6">
        <v>1.859165092E9</v>
      </c>
      <c r="D297" s="6">
        <v>398484.0</v>
      </c>
      <c r="E297" s="6" t="s">
        <v>511</v>
      </c>
      <c r="F297" s="6" t="s">
        <v>512</v>
      </c>
      <c r="G297" s="6">
        <v>9.5274039E9</v>
      </c>
      <c r="H297" s="6">
        <v>4.0147597E7</v>
      </c>
      <c r="I297" s="6" t="s">
        <v>59</v>
      </c>
      <c r="J297" s="6" t="s">
        <v>21</v>
      </c>
      <c r="K297" s="6" t="s">
        <v>22</v>
      </c>
      <c r="L297" s="6">
        <v>52.0</v>
      </c>
      <c r="M297" s="5">
        <v>46013.0</v>
      </c>
      <c r="N297" s="6" t="s">
        <v>23</v>
      </c>
      <c r="O297" s="6" t="str">
        <f>SUMIFS([1]order_sku_sales_bb2_report!P:P,[1]order_sku_sales_bb2_report!H:H,C28048,[1]order_sku_sales_bb2_report!J:J,H28048)</f>
        <v>#ERROR!</v>
      </c>
      <c r="P297" s="6" t="str">
        <f>SUMIFS([1]order_sku_sales_bb2_report!O:O,[1]order_sku_sales_bb2_report!H:H,C28048,[1]order_sku_sales_bb2_report!J:J,H28048)</f>
        <v>#ERROR!</v>
      </c>
      <c r="Q297" s="6" t="str">
        <f t="shared" si="1"/>
        <v>22-12-2025</v>
      </c>
      <c r="R297" s="6" t="str">
        <f>IFERROR( VLOOKUP(C28048,[1]expressOrderReport!$S:$AZ,34,0),0)</f>
        <v>#ERROR!</v>
      </c>
      <c r="S297" s="6" t="str">
        <f>ARRAY_CONSTRAIN(ARRAYFORMULA(_xludf.XLOOKUP(D28048,[1]order_Report_SA_ID_BB2.0!V:V,[1]order_Report_SA_ID_BB2.0!AM:AM,"")), 1, 1)</f>
        <v>#ERROR!</v>
      </c>
      <c r="T297" s="6" t="str">
        <f t="shared" si="2"/>
        <v>Dec'25</v>
      </c>
    </row>
    <row r="298" ht="15.75" customHeight="1">
      <c r="A298" s="5">
        <v>46013.0</v>
      </c>
      <c r="B298" s="6">
        <v>5655.0</v>
      </c>
      <c r="C298" s="6">
        <v>1.8591651E9</v>
      </c>
      <c r="D298" s="6">
        <v>3.6153752E7</v>
      </c>
      <c r="E298" s="6" t="s">
        <v>513</v>
      </c>
      <c r="F298" s="6" t="s">
        <v>514</v>
      </c>
      <c r="G298" s="6">
        <v>9.004609879E9</v>
      </c>
      <c r="H298" s="6">
        <v>4.0278949E7</v>
      </c>
      <c r="I298" s="6" t="s">
        <v>515</v>
      </c>
      <c r="J298" s="6" t="s">
        <v>21</v>
      </c>
      <c r="K298" s="6" t="s">
        <v>22</v>
      </c>
      <c r="L298" s="6">
        <v>102.0</v>
      </c>
      <c r="M298" s="5">
        <v>46013.0</v>
      </c>
      <c r="N298" s="6" t="s">
        <v>23</v>
      </c>
      <c r="O298" s="6" t="str">
        <f>SUMIFS([1]order_sku_sales_bb2_report!P:P,[1]order_sku_sales_bb2_report!H:H,C28049,[1]order_sku_sales_bb2_report!J:J,H28049)</f>
        <v>#ERROR!</v>
      </c>
      <c r="P298" s="6" t="str">
        <f>SUMIFS([1]order_sku_sales_bb2_report!O:O,[1]order_sku_sales_bb2_report!H:H,C28049,[1]order_sku_sales_bb2_report!J:J,H28049)</f>
        <v>#ERROR!</v>
      </c>
      <c r="Q298" s="6" t="str">
        <f t="shared" si="1"/>
        <v>22-12-2025</v>
      </c>
      <c r="R298" s="6" t="str">
        <f>IFERROR( VLOOKUP(C28049,[1]expressOrderReport!$S:$AZ,34,0),0)</f>
        <v>#ERROR!</v>
      </c>
      <c r="S298" s="6" t="str">
        <f>ARRAY_CONSTRAIN(ARRAYFORMULA(_xludf.XLOOKUP(D28049,[1]order_Report_SA_ID_BB2.0!V:V,[1]order_Report_SA_ID_BB2.0!AM:AM,"")), 1, 1)</f>
        <v>#ERROR!</v>
      </c>
      <c r="T298" s="6" t="str">
        <f t="shared" si="2"/>
        <v>Dec'25</v>
      </c>
    </row>
    <row r="299" ht="15.75" customHeight="1">
      <c r="A299" s="5">
        <v>46013.0</v>
      </c>
      <c r="B299" s="6">
        <v>5656.0</v>
      </c>
      <c r="C299" s="6">
        <v>1.8591651E9</v>
      </c>
      <c r="D299" s="6">
        <v>3.6153752E7</v>
      </c>
      <c r="E299" s="6" t="s">
        <v>513</v>
      </c>
      <c r="F299" s="6" t="s">
        <v>514</v>
      </c>
      <c r="G299" s="6">
        <v>9.004609879E9</v>
      </c>
      <c r="H299" s="6">
        <v>4.0148723E7</v>
      </c>
      <c r="I299" s="6" t="s">
        <v>69</v>
      </c>
      <c r="J299" s="6" t="s">
        <v>21</v>
      </c>
      <c r="K299" s="6" t="s">
        <v>22</v>
      </c>
      <c r="L299" s="6">
        <v>102.0</v>
      </c>
      <c r="M299" s="5">
        <v>46013.0</v>
      </c>
      <c r="N299" s="6" t="s">
        <v>23</v>
      </c>
      <c r="O299" s="6" t="str">
        <f>SUMIFS([1]order_sku_sales_bb2_report!P:P,[1]order_sku_sales_bb2_report!H:H,C28050,[1]order_sku_sales_bb2_report!J:J,H28050)</f>
        <v>#ERROR!</v>
      </c>
      <c r="P299" s="6" t="str">
        <f>SUMIFS([1]order_sku_sales_bb2_report!O:O,[1]order_sku_sales_bb2_report!H:H,C28050,[1]order_sku_sales_bb2_report!J:J,H28050)</f>
        <v>#ERROR!</v>
      </c>
      <c r="Q299" s="6" t="str">
        <f t="shared" si="1"/>
        <v>22-12-2025</v>
      </c>
      <c r="R299" s="6" t="str">
        <f>IFERROR( VLOOKUP(C28050,[1]expressOrderReport!$S:$AZ,34,0),0)</f>
        <v>#ERROR!</v>
      </c>
      <c r="S299" s="6" t="str">
        <f>ARRAY_CONSTRAIN(ARRAYFORMULA(_xludf.XLOOKUP(D28050,[1]order_Report_SA_ID_BB2.0!V:V,[1]order_Report_SA_ID_BB2.0!AM:AM,"")), 1, 1)</f>
        <v>#ERROR!</v>
      </c>
      <c r="T299" s="6" t="str">
        <f t="shared" si="2"/>
        <v>Dec'25</v>
      </c>
    </row>
    <row r="300" ht="15.75" customHeight="1">
      <c r="A300" s="5">
        <v>46013.0</v>
      </c>
      <c r="B300" s="6">
        <v>12085.0</v>
      </c>
      <c r="C300" s="6">
        <v>1.859165107E9</v>
      </c>
      <c r="D300" s="6">
        <v>29230.0</v>
      </c>
      <c r="E300" s="6" t="s">
        <v>516</v>
      </c>
      <c r="F300" s="6" t="s">
        <v>517</v>
      </c>
      <c r="G300" s="6">
        <v>7.795195848E9</v>
      </c>
      <c r="H300" s="6">
        <v>4.0148717E7</v>
      </c>
      <c r="I300" s="6" t="s">
        <v>226</v>
      </c>
      <c r="J300" s="6" t="s">
        <v>21</v>
      </c>
      <c r="K300" s="6" t="s">
        <v>22</v>
      </c>
      <c r="L300" s="6">
        <v>53.0</v>
      </c>
      <c r="M300" s="5">
        <v>46013.0</v>
      </c>
      <c r="N300" s="6" t="s">
        <v>23</v>
      </c>
      <c r="O300" s="6" t="str">
        <f>SUMIFS([1]order_sku_sales_bb2_report!P:P,[1]order_sku_sales_bb2_report!H:H,C28051,[1]order_sku_sales_bb2_report!J:J,H28051)</f>
        <v>#ERROR!</v>
      </c>
      <c r="P300" s="6" t="str">
        <f>SUMIFS([1]order_sku_sales_bb2_report!O:O,[1]order_sku_sales_bb2_report!H:H,C28051,[1]order_sku_sales_bb2_report!J:J,H28051)</f>
        <v>#ERROR!</v>
      </c>
      <c r="Q300" s="6" t="str">
        <f t="shared" si="1"/>
        <v>22-12-2025</v>
      </c>
      <c r="R300" s="6" t="str">
        <f>IFERROR( VLOOKUP(C28051,[1]expressOrderReport!$S:$AZ,34,0),0)</f>
        <v>#ERROR!</v>
      </c>
      <c r="S300" s="6" t="str">
        <f>ARRAY_CONSTRAIN(ARRAYFORMULA(_xludf.XLOOKUP(D28051,[1]order_Report_SA_ID_BB2.0!V:V,[1]order_Report_SA_ID_BB2.0!AM:AM,"")), 1, 1)</f>
        <v>#ERROR!</v>
      </c>
      <c r="T300" s="6" t="str">
        <f t="shared" si="2"/>
        <v>Dec'25</v>
      </c>
    </row>
    <row r="301" ht="15.75" customHeight="1">
      <c r="A301" s="5">
        <v>46013.0</v>
      </c>
      <c r="B301" s="6">
        <v>2867.0</v>
      </c>
      <c r="C301" s="6">
        <v>1.859165123E9</v>
      </c>
      <c r="D301" s="6">
        <v>8.2204587E7</v>
      </c>
      <c r="E301" s="6" t="s">
        <v>518</v>
      </c>
      <c r="F301" s="6" t="s">
        <v>519</v>
      </c>
      <c r="G301" s="6">
        <v>9.591254211E9</v>
      </c>
      <c r="H301" s="6">
        <v>2.0005539E7</v>
      </c>
      <c r="I301" s="6" t="s">
        <v>520</v>
      </c>
      <c r="J301" s="6" t="s">
        <v>21</v>
      </c>
      <c r="K301" s="6" t="s">
        <v>22</v>
      </c>
      <c r="L301" s="6">
        <v>32.0</v>
      </c>
      <c r="M301" s="5">
        <v>46013.0</v>
      </c>
      <c r="N301" s="6" t="s">
        <v>23</v>
      </c>
      <c r="O301" s="6" t="str">
        <f>SUMIFS([1]order_sku_sales_bb2_report!P:P,[1]order_sku_sales_bb2_report!H:H,C28055,[1]order_sku_sales_bb2_report!J:J,H28055)</f>
        <v>#ERROR!</v>
      </c>
      <c r="P301" s="6" t="str">
        <f>SUMIFS([1]order_sku_sales_bb2_report!O:O,[1]order_sku_sales_bb2_report!H:H,C28055,[1]order_sku_sales_bb2_report!J:J,H28055)</f>
        <v>#ERROR!</v>
      </c>
      <c r="Q301" s="6" t="str">
        <f t="shared" si="1"/>
        <v>22-12-2025</v>
      </c>
      <c r="R301" s="6" t="str">
        <f>IFERROR( VLOOKUP(C28055,[1]expressOrderReport!$S:$AZ,34,0),0)</f>
        <v>#ERROR!</v>
      </c>
      <c r="S301" s="6" t="str">
        <f>ARRAY_CONSTRAIN(ARRAYFORMULA(_xludf.XLOOKUP(D28055,[1]order_Report_SA_ID_BB2.0!V:V,[1]order_Report_SA_ID_BB2.0!AM:AM,"")), 1, 1)</f>
        <v>#ERROR!</v>
      </c>
      <c r="T301" s="6" t="str">
        <f t="shared" si="2"/>
        <v>Dec'25</v>
      </c>
    </row>
    <row r="302" ht="15.75" customHeight="1">
      <c r="A302" s="5">
        <v>46013.0</v>
      </c>
      <c r="B302" s="6">
        <v>2941.0</v>
      </c>
      <c r="C302" s="6">
        <v>1.859165135E9</v>
      </c>
      <c r="D302" s="6">
        <v>548949.0</v>
      </c>
      <c r="E302" s="6" t="s">
        <v>521</v>
      </c>
      <c r="F302" s="6" t="s">
        <v>522</v>
      </c>
      <c r="G302" s="6">
        <v>7.259812596E9</v>
      </c>
      <c r="H302" s="6">
        <v>4.0148714E7</v>
      </c>
      <c r="I302" s="6" t="s">
        <v>183</v>
      </c>
      <c r="J302" s="6" t="s">
        <v>21</v>
      </c>
      <c r="K302" s="6" t="s">
        <v>22</v>
      </c>
      <c r="L302" s="6">
        <v>47.0</v>
      </c>
      <c r="M302" s="5">
        <v>46013.0</v>
      </c>
      <c r="N302" s="6" t="s">
        <v>23</v>
      </c>
      <c r="O302" s="6" t="str">
        <f>SUMIFS([1]order_sku_sales_bb2_report!P:P,[1]order_sku_sales_bb2_report!H:H,C28060,[1]order_sku_sales_bb2_report!J:J,H28060)</f>
        <v>#ERROR!</v>
      </c>
      <c r="P302" s="6" t="str">
        <f>SUMIFS([1]order_sku_sales_bb2_report!O:O,[1]order_sku_sales_bb2_report!H:H,C28060,[1]order_sku_sales_bb2_report!J:J,H28060)</f>
        <v>#ERROR!</v>
      </c>
      <c r="Q302" s="6" t="str">
        <f t="shared" si="1"/>
        <v>22-12-2025</v>
      </c>
      <c r="R302" s="6" t="str">
        <f>IFERROR( VLOOKUP(C28060,[1]expressOrderReport!$S:$AZ,34,0),0)</f>
        <v>#ERROR!</v>
      </c>
      <c r="S302" s="6" t="str">
        <f>ARRAY_CONSTRAIN(ARRAYFORMULA(_xludf.XLOOKUP(D28060,[1]order_Report_SA_ID_BB2.0!V:V,[1]order_Report_SA_ID_BB2.0!AM:AM,"")), 1, 1)</f>
        <v>#ERROR!</v>
      </c>
      <c r="T302" s="6" t="str">
        <f t="shared" si="2"/>
        <v>Dec'25</v>
      </c>
    </row>
    <row r="303" ht="15.75" customHeight="1">
      <c r="A303" s="5">
        <v>46013.0</v>
      </c>
      <c r="B303" s="6">
        <v>3006.0</v>
      </c>
      <c r="C303" s="6">
        <v>1.859165153E9</v>
      </c>
      <c r="D303" s="6">
        <v>9334941.0</v>
      </c>
      <c r="E303" s="6" t="s">
        <v>523</v>
      </c>
      <c r="F303" s="6" t="s">
        <v>524</v>
      </c>
      <c r="G303" s="6">
        <v>7.76041338E9</v>
      </c>
      <c r="H303" s="6">
        <v>4.0149832E7</v>
      </c>
      <c r="I303" s="6" t="s">
        <v>26</v>
      </c>
      <c r="J303" s="6" t="s">
        <v>21</v>
      </c>
      <c r="K303" s="6" t="s">
        <v>22</v>
      </c>
      <c r="L303" s="6">
        <v>24.0</v>
      </c>
      <c r="M303" s="5">
        <v>46013.0</v>
      </c>
      <c r="N303" s="6" t="s">
        <v>54</v>
      </c>
      <c r="O303" s="6" t="str">
        <f>SUMIFS([1]order_sku_sales_bb2_report!P:P,[1]order_sku_sales_bb2_report!H:H,C28061,[1]order_sku_sales_bb2_report!J:J,H28061)</f>
        <v>#ERROR!</v>
      </c>
      <c r="P303" s="6" t="str">
        <f>SUMIFS([1]order_sku_sales_bb2_report!O:O,[1]order_sku_sales_bb2_report!H:H,C28061,[1]order_sku_sales_bb2_report!J:J,H28061)</f>
        <v>#ERROR!</v>
      </c>
      <c r="Q303" s="6" t="str">
        <f t="shared" si="1"/>
        <v>22-12-2025</v>
      </c>
      <c r="R303" s="6" t="str">
        <f>IFERROR( VLOOKUP(C28061,[1]expressOrderReport!$S:$AZ,34,0),0)</f>
        <v>#ERROR!</v>
      </c>
      <c r="S303" s="6" t="str">
        <f>ARRAY_CONSTRAIN(ARRAYFORMULA(_xludf.XLOOKUP(D28061,[1]order_Report_SA_ID_BB2.0!V:V,[1]order_Report_SA_ID_BB2.0!AM:AM,"")), 1, 1)</f>
        <v>#ERROR!</v>
      </c>
      <c r="T303" s="6" t="str">
        <f t="shared" si="2"/>
        <v>Dec'25</v>
      </c>
    </row>
    <row r="304" ht="15.75" customHeight="1">
      <c r="A304" s="5">
        <v>46013.0</v>
      </c>
      <c r="B304" s="6">
        <v>3060.0</v>
      </c>
      <c r="C304" s="6">
        <v>1.859165166E9</v>
      </c>
      <c r="D304" s="6">
        <v>1.9431168E7</v>
      </c>
      <c r="E304" s="6" t="s">
        <v>525</v>
      </c>
      <c r="F304" s="6" t="s">
        <v>526</v>
      </c>
      <c r="G304" s="6">
        <v>7.703064805E9</v>
      </c>
      <c r="H304" s="6">
        <v>4.0047739E7</v>
      </c>
      <c r="I304" s="6" t="s">
        <v>180</v>
      </c>
      <c r="J304" s="6" t="s">
        <v>21</v>
      </c>
      <c r="K304" s="6" t="s">
        <v>22</v>
      </c>
      <c r="L304" s="6">
        <v>68.0</v>
      </c>
      <c r="M304" s="5">
        <v>46013.0</v>
      </c>
      <c r="N304" s="6" t="s">
        <v>23</v>
      </c>
      <c r="O304" s="6" t="str">
        <f>SUMIFS([1]order_sku_sales_bb2_report!P:P,[1]order_sku_sales_bb2_report!H:H,C28062,[1]order_sku_sales_bb2_report!J:J,H28062)</f>
        <v>#ERROR!</v>
      </c>
      <c r="P304" s="6" t="str">
        <f>SUMIFS([1]order_sku_sales_bb2_report!O:O,[1]order_sku_sales_bb2_report!H:H,C28062,[1]order_sku_sales_bb2_report!J:J,H28062)</f>
        <v>#ERROR!</v>
      </c>
      <c r="Q304" s="6" t="str">
        <f t="shared" si="1"/>
        <v>22-12-2025</v>
      </c>
      <c r="R304" s="6" t="str">
        <f>IFERROR( VLOOKUP(C28062,[1]expressOrderReport!$S:$AZ,34,0),0)</f>
        <v>#ERROR!</v>
      </c>
      <c r="S304" s="6" t="str">
        <f>ARRAY_CONSTRAIN(ARRAYFORMULA(_xludf.XLOOKUP(D28062,[1]order_Report_SA_ID_BB2.0!V:V,[1]order_Report_SA_ID_BB2.0!AM:AM,"")), 1, 1)</f>
        <v>#ERROR!</v>
      </c>
      <c r="T304" s="6" t="str">
        <f t="shared" si="2"/>
        <v>Dec'25</v>
      </c>
    </row>
    <row r="305" ht="15.75" customHeight="1">
      <c r="A305" s="5">
        <v>46013.0</v>
      </c>
      <c r="B305" s="6">
        <v>3066.0</v>
      </c>
      <c r="C305" s="6">
        <v>1.859165175E9</v>
      </c>
      <c r="D305" s="6">
        <v>4554942.0</v>
      </c>
      <c r="E305" s="6" t="s">
        <v>527</v>
      </c>
      <c r="F305" s="6" t="s">
        <v>528</v>
      </c>
      <c r="G305" s="6">
        <v>9.884475418E9</v>
      </c>
      <c r="H305" s="6">
        <v>4.0149832E7</v>
      </c>
      <c r="I305" s="6" t="s">
        <v>26</v>
      </c>
      <c r="J305" s="6" t="s">
        <v>21</v>
      </c>
      <c r="K305" s="6" t="s">
        <v>22</v>
      </c>
      <c r="L305" s="6">
        <v>48.0</v>
      </c>
      <c r="M305" s="5">
        <v>46013.0</v>
      </c>
      <c r="N305" s="6" t="s">
        <v>23</v>
      </c>
      <c r="O305" s="6" t="str">
        <f>SUMIFS([1]order_sku_sales_bb2_report!P:P,[1]order_sku_sales_bb2_report!H:H,C28063,[1]order_sku_sales_bb2_report!J:J,H28063)</f>
        <v>#ERROR!</v>
      </c>
      <c r="P305" s="6" t="str">
        <f>SUMIFS([1]order_sku_sales_bb2_report!O:O,[1]order_sku_sales_bb2_report!H:H,C28063,[1]order_sku_sales_bb2_report!J:J,H28063)</f>
        <v>#ERROR!</v>
      </c>
      <c r="Q305" s="6" t="str">
        <f t="shared" si="1"/>
        <v>22-12-2025</v>
      </c>
      <c r="R305" s="6" t="str">
        <f>IFERROR( VLOOKUP(C28063,[1]expressOrderReport!$S:$AZ,34,0),0)</f>
        <v>#ERROR!</v>
      </c>
      <c r="S305" s="6" t="str">
        <f>ARRAY_CONSTRAIN(ARRAYFORMULA(_xludf.XLOOKUP(D28063,[1]order_Report_SA_ID_BB2.0!V:V,[1]order_Report_SA_ID_BB2.0!AM:AM,"")), 1, 1)</f>
        <v>#ERROR!</v>
      </c>
      <c r="T305" s="6" t="str">
        <f t="shared" si="2"/>
        <v>Dec'25</v>
      </c>
    </row>
    <row r="306" ht="15.75" customHeight="1">
      <c r="A306" s="5">
        <v>46013.0</v>
      </c>
      <c r="B306" s="6">
        <v>3080.0</v>
      </c>
      <c r="C306" s="6">
        <v>1.859165183E9</v>
      </c>
      <c r="D306" s="6">
        <v>6259468.0</v>
      </c>
      <c r="E306" s="6" t="s">
        <v>529</v>
      </c>
      <c r="F306" s="6" t="s">
        <v>530</v>
      </c>
      <c r="G306" s="6">
        <v>8.130957733E9</v>
      </c>
      <c r="H306" s="6">
        <v>4.014983E7</v>
      </c>
      <c r="I306" s="6" t="s">
        <v>30</v>
      </c>
      <c r="J306" s="6" t="s">
        <v>21</v>
      </c>
      <c r="K306" s="6" t="s">
        <v>22</v>
      </c>
      <c r="L306" s="6">
        <v>28.0</v>
      </c>
      <c r="M306" s="5">
        <v>46013.0</v>
      </c>
      <c r="N306" s="6" t="s">
        <v>23</v>
      </c>
      <c r="O306" s="6" t="str">
        <f>SUMIFS([1]order_sku_sales_bb2_report!P:P,[1]order_sku_sales_bb2_report!H:H,C28064,[1]order_sku_sales_bb2_report!J:J,H28064)</f>
        <v>#ERROR!</v>
      </c>
      <c r="P306" s="6" t="str">
        <f>SUMIFS([1]order_sku_sales_bb2_report!O:O,[1]order_sku_sales_bb2_report!H:H,C28064,[1]order_sku_sales_bb2_report!J:J,H28064)</f>
        <v>#ERROR!</v>
      </c>
      <c r="Q306" s="6" t="str">
        <f t="shared" si="1"/>
        <v>22-12-2025</v>
      </c>
      <c r="R306" s="6" t="str">
        <f>IFERROR( VLOOKUP(C28064,[1]expressOrderReport!$S:$AZ,34,0),0)</f>
        <v>#ERROR!</v>
      </c>
      <c r="S306" s="6" t="str">
        <f>ARRAY_CONSTRAIN(ARRAYFORMULA(_xludf.XLOOKUP(D28064,[1]order_Report_SA_ID_BB2.0!V:V,[1]order_Report_SA_ID_BB2.0!AM:AM,"")), 1, 1)</f>
        <v>#ERROR!</v>
      </c>
      <c r="T306" s="6" t="str">
        <f t="shared" si="2"/>
        <v>Dec'25</v>
      </c>
    </row>
    <row r="307" ht="15.75" customHeight="1">
      <c r="A307" s="5">
        <v>46013.0</v>
      </c>
      <c r="B307" s="6">
        <v>3182.0</v>
      </c>
      <c r="C307" s="6">
        <v>1.859165192E9</v>
      </c>
      <c r="D307" s="6">
        <v>2890672.0</v>
      </c>
      <c r="E307" s="6" t="s">
        <v>531</v>
      </c>
      <c r="F307" s="6" t="s">
        <v>532</v>
      </c>
      <c r="G307" s="6">
        <v>9.819275426E9</v>
      </c>
      <c r="H307" s="6">
        <v>4.0149832E7</v>
      </c>
      <c r="I307" s="6" t="s">
        <v>26</v>
      </c>
      <c r="J307" s="6" t="s">
        <v>21</v>
      </c>
      <c r="K307" s="6" t="s">
        <v>22</v>
      </c>
      <c r="L307" s="6">
        <v>24.0</v>
      </c>
      <c r="M307" s="5">
        <v>46013.0</v>
      </c>
      <c r="N307" s="6" t="s">
        <v>23</v>
      </c>
      <c r="O307" s="6" t="str">
        <f>SUMIFS([1]order_sku_sales_bb2_report!P:P,[1]order_sku_sales_bb2_report!H:H,C28065,[1]order_sku_sales_bb2_report!J:J,H28065)</f>
        <v>#ERROR!</v>
      </c>
      <c r="P307" s="6" t="str">
        <f>SUMIFS([1]order_sku_sales_bb2_report!O:O,[1]order_sku_sales_bb2_report!H:H,C28065,[1]order_sku_sales_bb2_report!J:J,H28065)</f>
        <v>#ERROR!</v>
      </c>
      <c r="Q307" s="6" t="str">
        <f t="shared" si="1"/>
        <v>22-12-2025</v>
      </c>
      <c r="R307" s="6" t="str">
        <f>IFERROR( VLOOKUP(C28065,[1]expressOrderReport!$S:$AZ,34,0),0)</f>
        <v>#ERROR!</v>
      </c>
      <c r="S307" s="6" t="str">
        <f>ARRAY_CONSTRAIN(ARRAYFORMULA(_xludf.XLOOKUP(D28065,[1]order_Report_SA_ID_BB2.0!V:V,[1]order_Report_SA_ID_BB2.0!AM:AM,"")), 1, 1)</f>
        <v>#ERROR!</v>
      </c>
      <c r="T307" s="6" t="str">
        <f t="shared" si="2"/>
        <v>Dec'25</v>
      </c>
    </row>
    <row r="308" ht="15.75" customHeight="1">
      <c r="A308" s="5">
        <v>46013.0</v>
      </c>
      <c r="B308" s="6">
        <v>3218.0</v>
      </c>
      <c r="C308" s="6">
        <v>1.859165206E9</v>
      </c>
      <c r="D308" s="6">
        <v>146291.0</v>
      </c>
      <c r="E308" s="6" t="s">
        <v>533</v>
      </c>
      <c r="F308" s="6" t="s">
        <v>534</v>
      </c>
      <c r="G308" s="6">
        <v>9.986313611E9</v>
      </c>
      <c r="H308" s="6">
        <v>4.0149833E7</v>
      </c>
      <c r="I308" s="6" t="s">
        <v>40</v>
      </c>
      <c r="J308" s="6" t="s">
        <v>21</v>
      </c>
      <c r="K308" s="6" t="s">
        <v>22</v>
      </c>
      <c r="L308" s="6">
        <v>81.0</v>
      </c>
      <c r="M308" s="5">
        <v>46013.0</v>
      </c>
      <c r="N308" s="6" t="s">
        <v>23</v>
      </c>
      <c r="O308" s="6" t="str">
        <f>SUMIFS([1]order_sku_sales_bb2_report!P:P,[1]order_sku_sales_bb2_report!H:H,C28067,[1]order_sku_sales_bb2_report!J:J,H28067)</f>
        <v>#ERROR!</v>
      </c>
      <c r="P308" s="6" t="str">
        <f>SUMIFS([1]order_sku_sales_bb2_report!O:O,[1]order_sku_sales_bb2_report!H:H,C28067,[1]order_sku_sales_bb2_report!J:J,H28067)</f>
        <v>#ERROR!</v>
      </c>
      <c r="Q308" s="6" t="str">
        <f t="shared" si="1"/>
        <v>22-12-2025</v>
      </c>
      <c r="R308" s="6" t="str">
        <f>IFERROR( VLOOKUP(C28067,[1]expressOrderReport!$S:$AZ,34,0),0)</f>
        <v>#ERROR!</v>
      </c>
      <c r="S308" s="6" t="str">
        <f>ARRAY_CONSTRAIN(ARRAYFORMULA(_xludf.XLOOKUP(D28067,[1]order_Report_SA_ID_BB2.0!V:V,[1]order_Report_SA_ID_BB2.0!AM:AM,"")), 1, 1)</f>
        <v>#ERROR!</v>
      </c>
      <c r="T308" s="6" t="str">
        <f t="shared" si="2"/>
        <v>Dec'25</v>
      </c>
    </row>
    <row r="309" ht="15.75" customHeight="1">
      <c r="A309" s="5">
        <v>46013.0</v>
      </c>
      <c r="B309" s="6">
        <v>3268.0</v>
      </c>
      <c r="C309" s="6">
        <v>1.859165215E9</v>
      </c>
      <c r="D309" s="6">
        <v>4.7671547E7</v>
      </c>
      <c r="E309" s="6" t="s">
        <v>535</v>
      </c>
      <c r="F309" s="6" t="s">
        <v>536</v>
      </c>
      <c r="G309" s="6">
        <v>9.916008034E9</v>
      </c>
      <c r="H309" s="6">
        <v>4.0148717E7</v>
      </c>
      <c r="I309" s="6" t="s">
        <v>226</v>
      </c>
      <c r="J309" s="6" t="s">
        <v>21</v>
      </c>
      <c r="K309" s="6" t="s">
        <v>22</v>
      </c>
      <c r="L309" s="6">
        <v>53.0</v>
      </c>
      <c r="M309" s="5">
        <v>46013.0</v>
      </c>
      <c r="N309" s="6" t="s">
        <v>23</v>
      </c>
      <c r="O309" s="6" t="str">
        <f>SUMIFS([1]order_sku_sales_bb2_report!P:P,[1]order_sku_sales_bb2_report!H:H,C28069,[1]order_sku_sales_bb2_report!J:J,H28069)</f>
        <v>#ERROR!</v>
      </c>
      <c r="P309" s="6" t="str">
        <f>SUMIFS([1]order_sku_sales_bb2_report!O:O,[1]order_sku_sales_bb2_report!H:H,C28069,[1]order_sku_sales_bb2_report!J:J,H28069)</f>
        <v>#ERROR!</v>
      </c>
      <c r="Q309" s="6" t="str">
        <f t="shared" si="1"/>
        <v>22-12-2025</v>
      </c>
      <c r="R309" s="6" t="str">
        <f>IFERROR( VLOOKUP(C28069,[1]expressOrderReport!$S:$AZ,34,0),0)</f>
        <v>#ERROR!</v>
      </c>
      <c r="S309" s="6" t="str">
        <f>ARRAY_CONSTRAIN(ARRAYFORMULA(_xludf.XLOOKUP(D28069,[1]order_Report_SA_ID_BB2.0!V:V,[1]order_Report_SA_ID_BB2.0!AM:AM,"")), 1, 1)</f>
        <v>#ERROR!</v>
      </c>
      <c r="T309" s="6" t="str">
        <f t="shared" si="2"/>
        <v>Dec'25</v>
      </c>
    </row>
    <row r="310" ht="15.75" customHeight="1">
      <c r="A310" s="5">
        <v>46013.0</v>
      </c>
      <c r="B310" s="6">
        <v>3272.0</v>
      </c>
      <c r="C310" s="6">
        <v>1.859165223E9</v>
      </c>
      <c r="D310" s="6">
        <v>4.3917448E7</v>
      </c>
      <c r="E310" s="6" t="s">
        <v>537</v>
      </c>
      <c r="F310" s="6" t="s">
        <v>538</v>
      </c>
      <c r="G310" s="6">
        <v>9.611296209E9</v>
      </c>
      <c r="H310" s="6">
        <v>4.0149832E7</v>
      </c>
      <c r="I310" s="6" t="s">
        <v>26</v>
      </c>
      <c r="J310" s="6" t="s">
        <v>21</v>
      </c>
      <c r="K310" s="6" t="s">
        <v>22</v>
      </c>
      <c r="L310" s="6">
        <v>24.0</v>
      </c>
      <c r="M310" s="5">
        <v>46013.0</v>
      </c>
      <c r="N310" s="6" t="s">
        <v>23</v>
      </c>
      <c r="O310" s="6" t="str">
        <f>SUMIFS([1]order_sku_sales_bb2_report!P:P,[1]order_sku_sales_bb2_report!H:H,C28070,[1]order_sku_sales_bb2_report!J:J,H28070)</f>
        <v>#ERROR!</v>
      </c>
      <c r="P310" s="6" t="str">
        <f>SUMIFS([1]order_sku_sales_bb2_report!O:O,[1]order_sku_sales_bb2_report!H:H,C28070,[1]order_sku_sales_bb2_report!J:J,H28070)</f>
        <v>#ERROR!</v>
      </c>
      <c r="Q310" s="6" t="str">
        <f t="shared" si="1"/>
        <v>22-12-2025</v>
      </c>
      <c r="R310" s="6" t="str">
        <f>IFERROR( VLOOKUP(C28070,[1]expressOrderReport!$S:$AZ,34,0),0)</f>
        <v>#ERROR!</v>
      </c>
      <c r="S310" s="6" t="str">
        <f>ARRAY_CONSTRAIN(ARRAYFORMULA(_xludf.XLOOKUP(D28070,[1]order_Report_SA_ID_BB2.0!V:V,[1]order_Report_SA_ID_BB2.0!AM:AM,"")), 1, 1)</f>
        <v>#ERROR!</v>
      </c>
      <c r="T310" s="6" t="str">
        <f t="shared" si="2"/>
        <v>Dec'25</v>
      </c>
    </row>
    <row r="311" ht="15.75" customHeight="1">
      <c r="A311" s="5">
        <v>46013.0</v>
      </c>
      <c r="B311" s="6">
        <v>3311.0</v>
      </c>
      <c r="C311" s="6">
        <v>1.859165233E9</v>
      </c>
      <c r="D311" s="6">
        <v>1741155.0</v>
      </c>
      <c r="E311" s="6" t="s">
        <v>539</v>
      </c>
      <c r="F311" s="6" t="s">
        <v>540</v>
      </c>
      <c r="G311" s="6">
        <v>9.686966445E9</v>
      </c>
      <c r="H311" s="6">
        <v>4.0090894E7</v>
      </c>
      <c r="I311" s="6" t="s">
        <v>62</v>
      </c>
      <c r="J311" s="6" t="s">
        <v>21</v>
      </c>
      <c r="K311" s="6" t="s">
        <v>22</v>
      </c>
      <c r="L311" s="6">
        <v>84.0</v>
      </c>
      <c r="M311" s="5">
        <v>46013.0</v>
      </c>
      <c r="N311" s="6" t="s">
        <v>23</v>
      </c>
      <c r="O311" s="6" t="str">
        <f>SUMIFS([1]order_sku_sales_bb2_report!P:P,[1]order_sku_sales_bb2_report!H:H,C28071,[1]order_sku_sales_bb2_report!J:J,H28071)</f>
        <v>#ERROR!</v>
      </c>
      <c r="P311" s="6" t="str">
        <f>SUMIFS([1]order_sku_sales_bb2_report!O:O,[1]order_sku_sales_bb2_report!H:H,C28071,[1]order_sku_sales_bb2_report!J:J,H28071)</f>
        <v>#ERROR!</v>
      </c>
      <c r="Q311" s="6" t="str">
        <f t="shared" si="1"/>
        <v>22-12-2025</v>
      </c>
      <c r="R311" s="6" t="str">
        <f>IFERROR( VLOOKUP(C28071,[1]expressOrderReport!$S:$AZ,34,0),0)</f>
        <v>#ERROR!</v>
      </c>
      <c r="S311" s="6" t="str">
        <f>ARRAY_CONSTRAIN(ARRAYFORMULA(_xludf.XLOOKUP(D28071,[1]order_Report_SA_ID_BB2.0!V:V,[1]order_Report_SA_ID_BB2.0!AM:AM,"")), 1, 1)</f>
        <v>#ERROR!</v>
      </c>
      <c r="T311" s="6" t="str">
        <f t="shared" si="2"/>
        <v>Dec'25</v>
      </c>
    </row>
    <row r="312" ht="15.75" customHeight="1">
      <c r="A312" s="5">
        <v>46013.0</v>
      </c>
      <c r="B312" s="6">
        <v>4211.0</v>
      </c>
      <c r="C312" s="6">
        <v>1.85916524E9</v>
      </c>
      <c r="D312" s="6">
        <v>1.624549E7</v>
      </c>
      <c r="E312" s="6" t="s">
        <v>541</v>
      </c>
      <c r="F312" s="6" t="s">
        <v>542</v>
      </c>
      <c r="G312" s="6">
        <v>9.739097977E9</v>
      </c>
      <c r="H312" s="6">
        <v>4.0148686E7</v>
      </c>
      <c r="I312" s="6" t="s">
        <v>276</v>
      </c>
      <c r="J312" s="6" t="s">
        <v>21</v>
      </c>
      <c r="K312" s="6" t="s">
        <v>22</v>
      </c>
      <c r="L312" s="6">
        <v>182.0</v>
      </c>
      <c r="M312" s="5">
        <v>46013.0</v>
      </c>
      <c r="N312" s="6" t="s">
        <v>23</v>
      </c>
      <c r="O312" s="6" t="str">
        <f>SUMIFS([1]order_sku_sales_bb2_report!P:P,[1]order_sku_sales_bb2_report!H:H,C28074,[1]order_sku_sales_bb2_report!J:J,H28074)</f>
        <v>#ERROR!</v>
      </c>
      <c r="P312" s="6" t="str">
        <f>SUMIFS([1]order_sku_sales_bb2_report!O:O,[1]order_sku_sales_bb2_report!H:H,C28074,[1]order_sku_sales_bb2_report!J:J,H28074)</f>
        <v>#ERROR!</v>
      </c>
      <c r="Q312" s="6" t="str">
        <f t="shared" si="1"/>
        <v>22-12-2025</v>
      </c>
      <c r="R312" s="6" t="str">
        <f>IFERROR( VLOOKUP(C28074,[1]expressOrderReport!$S:$AZ,34,0),0)</f>
        <v>#ERROR!</v>
      </c>
      <c r="S312" s="6" t="str">
        <f>ARRAY_CONSTRAIN(ARRAYFORMULA(_xludf.XLOOKUP(D28074,[1]order_Report_SA_ID_BB2.0!V:V,[1]order_Report_SA_ID_BB2.0!AM:AM,"")), 1, 1)</f>
        <v>#ERROR!</v>
      </c>
      <c r="T312" s="6" t="str">
        <f t="shared" si="2"/>
        <v>Dec'25</v>
      </c>
    </row>
    <row r="313" ht="15.75" customHeight="1">
      <c r="A313" s="5">
        <v>46013.0</v>
      </c>
      <c r="B313" s="6">
        <v>3185.0</v>
      </c>
      <c r="C313" s="6">
        <v>1.859165246E9</v>
      </c>
      <c r="D313" s="6">
        <v>1.4416888E7</v>
      </c>
      <c r="E313" s="6" t="s">
        <v>543</v>
      </c>
      <c r="F313" s="6" t="s">
        <v>544</v>
      </c>
      <c r="G313" s="6">
        <v>7.204159059E9</v>
      </c>
      <c r="H313" s="6">
        <v>4.0149833E7</v>
      </c>
      <c r="I313" s="6" t="s">
        <v>40</v>
      </c>
      <c r="J313" s="6" t="s">
        <v>21</v>
      </c>
      <c r="K313" s="6" t="s">
        <v>22</v>
      </c>
      <c r="L313" s="6">
        <v>27.0</v>
      </c>
      <c r="M313" s="5">
        <v>46013.0</v>
      </c>
      <c r="N313" s="6" t="s">
        <v>23</v>
      </c>
      <c r="O313" s="6" t="str">
        <f>SUMIFS([1]order_sku_sales_bb2_report!P:P,[1]order_sku_sales_bb2_report!H:H,C28075,[1]order_sku_sales_bb2_report!J:J,H28075)</f>
        <v>#ERROR!</v>
      </c>
      <c r="P313" s="6" t="str">
        <f>SUMIFS([1]order_sku_sales_bb2_report!O:O,[1]order_sku_sales_bb2_report!H:H,C28075,[1]order_sku_sales_bb2_report!J:J,H28075)</f>
        <v>#ERROR!</v>
      </c>
      <c r="Q313" s="6" t="str">
        <f t="shared" si="1"/>
        <v>22-12-2025</v>
      </c>
      <c r="R313" s="6" t="str">
        <f>IFERROR( VLOOKUP(C28075,[1]expressOrderReport!$S:$AZ,34,0),0)</f>
        <v>#ERROR!</v>
      </c>
      <c r="S313" s="6" t="str">
        <f>ARRAY_CONSTRAIN(ARRAYFORMULA(_xludf.XLOOKUP(D28075,[1]order_Report_SA_ID_BB2.0!V:V,[1]order_Report_SA_ID_BB2.0!AM:AM,"")), 1, 1)</f>
        <v>#ERROR!</v>
      </c>
      <c r="T313" s="6" t="str">
        <f t="shared" si="2"/>
        <v>Dec'25</v>
      </c>
    </row>
    <row r="314" ht="15.75" customHeight="1">
      <c r="A314" s="5">
        <v>46013.0</v>
      </c>
      <c r="B314" s="6">
        <v>3279.0</v>
      </c>
      <c r="C314" s="6">
        <v>1.859165252E9</v>
      </c>
      <c r="D314" s="6">
        <v>1.8790075E7</v>
      </c>
      <c r="E314" s="6" t="s">
        <v>545</v>
      </c>
      <c r="F314" s="6" t="s">
        <v>546</v>
      </c>
      <c r="G314" s="6">
        <v>8.770118471E9</v>
      </c>
      <c r="H314" s="6">
        <v>4.0149832E7</v>
      </c>
      <c r="I314" s="6" t="s">
        <v>26</v>
      </c>
      <c r="J314" s="6" t="s">
        <v>21</v>
      </c>
      <c r="K314" s="6" t="s">
        <v>22</v>
      </c>
      <c r="L314" s="6">
        <v>24.0</v>
      </c>
      <c r="M314" s="5">
        <v>46013.0</v>
      </c>
      <c r="N314" s="6" t="s">
        <v>23</v>
      </c>
      <c r="O314" s="6" t="str">
        <f>SUMIFS([1]order_sku_sales_bb2_report!P:P,[1]order_sku_sales_bb2_report!H:H,C28076,[1]order_sku_sales_bb2_report!J:J,H28076)</f>
        <v>#ERROR!</v>
      </c>
      <c r="P314" s="6" t="str">
        <f>SUMIFS([1]order_sku_sales_bb2_report!O:O,[1]order_sku_sales_bb2_report!H:H,C28076,[1]order_sku_sales_bb2_report!J:J,H28076)</f>
        <v>#ERROR!</v>
      </c>
      <c r="Q314" s="6" t="str">
        <f t="shared" si="1"/>
        <v>22-12-2025</v>
      </c>
      <c r="R314" s="6" t="str">
        <f>IFERROR( VLOOKUP(C28076,[1]expressOrderReport!$S:$AZ,34,0),0)</f>
        <v>#ERROR!</v>
      </c>
      <c r="S314" s="6" t="str">
        <f>ARRAY_CONSTRAIN(ARRAYFORMULA(_xludf.XLOOKUP(D28076,[1]order_Report_SA_ID_BB2.0!V:V,[1]order_Report_SA_ID_BB2.0!AM:AM,"")), 1, 1)</f>
        <v>#ERROR!</v>
      </c>
      <c r="T314" s="6" t="str">
        <f t="shared" si="2"/>
        <v>Dec'25</v>
      </c>
    </row>
    <row r="315" ht="15.75" customHeight="1">
      <c r="A315" s="5">
        <v>46013.0</v>
      </c>
      <c r="B315" s="6">
        <v>3377.0</v>
      </c>
      <c r="C315" s="6">
        <v>1.85916526E9</v>
      </c>
      <c r="D315" s="6">
        <v>9166780.0</v>
      </c>
      <c r="E315" s="6" t="s">
        <v>547</v>
      </c>
      <c r="F315" s="6" t="s">
        <v>548</v>
      </c>
      <c r="G315" s="6">
        <v>8.114410425E9</v>
      </c>
      <c r="H315" s="6">
        <v>4.0149832E7</v>
      </c>
      <c r="I315" s="6" t="s">
        <v>26</v>
      </c>
      <c r="J315" s="6" t="s">
        <v>21</v>
      </c>
      <c r="K315" s="6" t="s">
        <v>22</v>
      </c>
      <c r="L315" s="6">
        <v>57.0</v>
      </c>
      <c r="M315" s="5">
        <v>46013.0</v>
      </c>
      <c r="N315" s="6" t="s">
        <v>23</v>
      </c>
      <c r="O315" s="6" t="str">
        <f>SUMIFS([1]order_sku_sales_bb2_report!P:P,[1]order_sku_sales_bb2_report!H:H,C28078,[1]order_sku_sales_bb2_report!J:J,H28078)</f>
        <v>#ERROR!</v>
      </c>
      <c r="P315" s="6" t="str">
        <f>SUMIFS([1]order_sku_sales_bb2_report!O:O,[1]order_sku_sales_bb2_report!H:H,C28078,[1]order_sku_sales_bb2_report!J:J,H28078)</f>
        <v>#ERROR!</v>
      </c>
      <c r="Q315" s="6" t="str">
        <f t="shared" si="1"/>
        <v>22-12-2025</v>
      </c>
      <c r="R315" s="6" t="str">
        <f>IFERROR( VLOOKUP(C28078,[1]expressOrderReport!$S:$AZ,34,0),0)</f>
        <v>#ERROR!</v>
      </c>
      <c r="S315" s="6" t="str">
        <f>ARRAY_CONSTRAIN(ARRAYFORMULA(_xludf.XLOOKUP(D28078,[1]order_Report_SA_ID_BB2.0!V:V,[1]order_Report_SA_ID_BB2.0!AM:AM,"")), 1, 1)</f>
        <v>#ERROR!</v>
      </c>
      <c r="T315" s="6" t="str">
        <f t="shared" si="2"/>
        <v>Dec'25</v>
      </c>
    </row>
    <row r="316" ht="15.75" customHeight="1">
      <c r="A316" s="5">
        <v>46013.0</v>
      </c>
      <c r="B316" s="6">
        <v>11319.0</v>
      </c>
      <c r="C316" s="6">
        <v>1.85916526E9</v>
      </c>
      <c r="D316" s="6">
        <v>9166780.0</v>
      </c>
      <c r="E316" s="6" t="s">
        <v>547</v>
      </c>
      <c r="F316" s="6" t="s">
        <v>548</v>
      </c>
      <c r="G316" s="6">
        <v>8.114410425E9</v>
      </c>
      <c r="H316" s="6">
        <v>4.0090893E7</v>
      </c>
      <c r="I316" s="6" t="s">
        <v>35</v>
      </c>
      <c r="J316" s="6" t="s">
        <v>21</v>
      </c>
      <c r="K316" s="6" t="s">
        <v>22</v>
      </c>
      <c r="L316" s="6">
        <v>57.0</v>
      </c>
      <c r="M316" s="5">
        <v>46013.0</v>
      </c>
      <c r="N316" s="6" t="s">
        <v>23</v>
      </c>
      <c r="O316" s="6" t="str">
        <f>SUMIFS([1]order_sku_sales_bb2_report!P:P,[1]order_sku_sales_bb2_report!H:H,C28079,[1]order_sku_sales_bb2_report!J:J,H28079)</f>
        <v>#ERROR!</v>
      </c>
      <c r="P316" s="6" t="str">
        <f>SUMIFS([1]order_sku_sales_bb2_report!O:O,[1]order_sku_sales_bb2_report!H:H,C28079,[1]order_sku_sales_bb2_report!J:J,H28079)</f>
        <v>#ERROR!</v>
      </c>
      <c r="Q316" s="6" t="str">
        <f t="shared" si="1"/>
        <v>22-12-2025</v>
      </c>
      <c r="R316" s="6" t="str">
        <f>IFERROR( VLOOKUP(C28079,[1]expressOrderReport!$S:$AZ,34,0),0)</f>
        <v>#ERROR!</v>
      </c>
      <c r="S316" s="6" t="str">
        <f>ARRAY_CONSTRAIN(ARRAYFORMULA(_xludf.XLOOKUP(D28079,[1]order_Report_SA_ID_BB2.0!V:V,[1]order_Report_SA_ID_BB2.0!AM:AM,"")), 1, 1)</f>
        <v>#ERROR!</v>
      </c>
      <c r="T316" s="6" t="str">
        <f t="shared" si="2"/>
        <v>Dec'25</v>
      </c>
    </row>
    <row r="317" ht="15.75" customHeight="1">
      <c r="A317" s="5">
        <v>46013.0</v>
      </c>
      <c r="B317" s="6">
        <v>3448.0</v>
      </c>
      <c r="C317" s="6">
        <v>1.859165264E9</v>
      </c>
      <c r="D317" s="6">
        <v>2705295.0</v>
      </c>
      <c r="E317" s="6" t="s">
        <v>549</v>
      </c>
      <c r="F317" s="6" t="s">
        <v>550</v>
      </c>
      <c r="G317" s="6">
        <v>9.845620066E9</v>
      </c>
      <c r="H317" s="6">
        <v>4.0158264E7</v>
      </c>
      <c r="I317" s="6" t="s">
        <v>26</v>
      </c>
      <c r="J317" s="6" t="s">
        <v>21</v>
      </c>
      <c r="K317" s="6" t="s">
        <v>22</v>
      </c>
      <c r="L317" s="6">
        <v>46.0</v>
      </c>
      <c r="M317" s="5">
        <v>46013.0</v>
      </c>
      <c r="N317" s="6" t="s">
        <v>23</v>
      </c>
      <c r="O317" s="6" t="str">
        <f>SUMIFS([1]order_sku_sales_bb2_report!P:P,[1]order_sku_sales_bb2_report!H:H,C28080,[1]order_sku_sales_bb2_report!J:J,H28080)</f>
        <v>#ERROR!</v>
      </c>
      <c r="P317" s="6" t="str">
        <f>SUMIFS([1]order_sku_sales_bb2_report!O:O,[1]order_sku_sales_bb2_report!H:H,C28080,[1]order_sku_sales_bb2_report!J:J,H28080)</f>
        <v>#ERROR!</v>
      </c>
      <c r="Q317" s="6" t="str">
        <f t="shared" si="1"/>
        <v>22-12-2025</v>
      </c>
      <c r="R317" s="6" t="str">
        <f>IFERROR( VLOOKUP(C28080,[1]expressOrderReport!$S:$AZ,34,0),0)</f>
        <v>#ERROR!</v>
      </c>
      <c r="S317" s="6" t="str">
        <f>ARRAY_CONSTRAIN(ARRAYFORMULA(_xludf.XLOOKUP(D28080,[1]order_Report_SA_ID_BB2.0!V:V,[1]order_Report_SA_ID_BB2.0!AM:AM,"")), 1, 1)</f>
        <v>#ERROR!</v>
      </c>
      <c r="T317" s="6" t="str">
        <f t="shared" si="2"/>
        <v>Dec'25</v>
      </c>
    </row>
    <row r="318" ht="15.75" customHeight="1">
      <c r="A318" s="5">
        <v>46013.0</v>
      </c>
      <c r="B318" s="6">
        <v>3528.0</v>
      </c>
      <c r="C318" s="6">
        <v>1.859165274E9</v>
      </c>
      <c r="D318" s="6">
        <v>1.7150542E7</v>
      </c>
      <c r="E318" s="6" t="s">
        <v>551</v>
      </c>
      <c r="F318" s="6" t="s">
        <v>552</v>
      </c>
      <c r="G318" s="6">
        <v>9.986507515E9</v>
      </c>
      <c r="H318" s="6">
        <v>4.0149832E7</v>
      </c>
      <c r="I318" s="6" t="s">
        <v>26</v>
      </c>
      <c r="J318" s="6" t="s">
        <v>21</v>
      </c>
      <c r="K318" s="6" t="s">
        <v>22</v>
      </c>
      <c r="L318" s="6">
        <v>24.0</v>
      </c>
      <c r="M318" s="5">
        <v>46013.0</v>
      </c>
      <c r="N318" s="6" t="s">
        <v>23</v>
      </c>
      <c r="O318" s="6" t="str">
        <f>SUMIFS([1]order_sku_sales_bb2_report!P:P,[1]order_sku_sales_bb2_report!H:H,C28081,[1]order_sku_sales_bb2_report!J:J,H28081)</f>
        <v>#ERROR!</v>
      </c>
      <c r="P318" s="6" t="str">
        <f>SUMIFS([1]order_sku_sales_bb2_report!O:O,[1]order_sku_sales_bb2_report!H:H,C28081,[1]order_sku_sales_bb2_report!J:J,H28081)</f>
        <v>#ERROR!</v>
      </c>
      <c r="Q318" s="6" t="str">
        <f t="shared" si="1"/>
        <v>22-12-2025</v>
      </c>
      <c r="R318" s="6" t="str">
        <f>IFERROR( VLOOKUP(C28081,[1]expressOrderReport!$S:$AZ,34,0),0)</f>
        <v>#ERROR!</v>
      </c>
      <c r="S318" s="6" t="str">
        <f>ARRAY_CONSTRAIN(ARRAYFORMULA(_xludf.XLOOKUP(D28081,[1]order_Report_SA_ID_BB2.0!V:V,[1]order_Report_SA_ID_BB2.0!AM:AM,"")), 1, 1)</f>
        <v>#ERROR!</v>
      </c>
      <c r="T318" s="6" t="str">
        <f t="shared" si="2"/>
        <v>Dec'25</v>
      </c>
    </row>
    <row r="319" ht="15.75" customHeight="1">
      <c r="A319" s="5">
        <v>46013.0</v>
      </c>
      <c r="B319" s="6">
        <v>3683.0</v>
      </c>
      <c r="C319" s="6">
        <v>1.859165283E9</v>
      </c>
      <c r="D319" s="6">
        <v>1.9137687E7</v>
      </c>
      <c r="E319" s="6" t="s">
        <v>553</v>
      </c>
      <c r="F319" s="6" t="s">
        <v>554</v>
      </c>
      <c r="G319" s="6">
        <v>8.86101808E9</v>
      </c>
      <c r="H319" s="6">
        <v>4.0161616E7</v>
      </c>
      <c r="I319" s="6" t="s">
        <v>20</v>
      </c>
      <c r="J319" s="6" t="s">
        <v>21</v>
      </c>
      <c r="K319" s="6" t="s">
        <v>22</v>
      </c>
      <c r="L319" s="6">
        <v>52.0</v>
      </c>
      <c r="M319" s="5">
        <v>46013.0</v>
      </c>
      <c r="N319" s="6" t="s">
        <v>23</v>
      </c>
      <c r="O319" s="6" t="str">
        <f>SUMIFS([1]order_sku_sales_bb2_report!P:P,[1]order_sku_sales_bb2_report!H:H,C28082,[1]order_sku_sales_bb2_report!J:J,H28082)</f>
        <v>#ERROR!</v>
      </c>
      <c r="P319" s="6" t="str">
        <f>SUMIFS([1]order_sku_sales_bb2_report!O:O,[1]order_sku_sales_bb2_report!H:H,C28082,[1]order_sku_sales_bb2_report!J:J,H28082)</f>
        <v>#ERROR!</v>
      </c>
      <c r="Q319" s="6" t="str">
        <f t="shared" si="1"/>
        <v>22-12-2025</v>
      </c>
      <c r="R319" s="6" t="str">
        <f>IFERROR( VLOOKUP(C28082,[1]expressOrderReport!$S:$AZ,34,0),0)</f>
        <v>#ERROR!</v>
      </c>
      <c r="S319" s="6" t="str">
        <f>ARRAY_CONSTRAIN(ARRAYFORMULA(_xludf.XLOOKUP(D28082,[1]order_Report_SA_ID_BB2.0!V:V,[1]order_Report_SA_ID_BB2.0!AM:AM,"")), 1, 1)</f>
        <v>#ERROR!</v>
      </c>
      <c r="T319" s="6" t="str">
        <f t="shared" si="2"/>
        <v>Dec'25</v>
      </c>
    </row>
    <row r="320" ht="15.75" customHeight="1">
      <c r="A320" s="5">
        <v>46013.0</v>
      </c>
      <c r="B320" s="6">
        <v>4927.0</v>
      </c>
      <c r="C320" s="6">
        <v>1.859165283E9</v>
      </c>
      <c r="D320" s="6">
        <v>1.9137687E7</v>
      </c>
      <c r="E320" s="6" t="s">
        <v>553</v>
      </c>
      <c r="F320" s="6" t="s">
        <v>554</v>
      </c>
      <c r="G320" s="6">
        <v>8.86101808E9</v>
      </c>
      <c r="H320" s="6">
        <v>4.0149832E7</v>
      </c>
      <c r="I320" s="6" t="s">
        <v>26</v>
      </c>
      <c r="J320" s="6" t="s">
        <v>21</v>
      </c>
      <c r="K320" s="6" t="s">
        <v>22</v>
      </c>
      <c r="L320" s="6">
        <v>52.0</v>
      </c>
      <c r="M320" s="5">
        <v>46013.0</v>
      </c>
      <c r="N320" s="6" t="s">
        <v>23</v>
      </c>
      <c r="O320" s="6" t="str">
        <f>SUMIFS([1]order_sku_sales_bb2_report!P:P,[1]order_sku_sales_bb2_report!H:H,C28083,[1]order_sku_sales_bb2_report!J:J,H28083)</f>
        <v>#ERROR!</v>
      </c>
      <c r="P320" s="6" t="str">
        <f>SUMIFS([1]order_sku_sales_bb2_report!O:O,[1]order_sku_sales_bb2_report!H:H,C28083,[1]order_sku_sales_bb2_report!J:J,H28083)</f>
        <v>#ERROR!</v>
      </c>
      <c r="Q320" s="6" t="str">
        <f t="shared" si="1"/>
        <v>22-12-2025</v>
      </c>
      <c r="R320" s="6" t="str">
        <f>IFERROR( VLOOKUP(C28083,[1]expressOrderReport!$S:$AZ,34,0),0)</f>
        <v>#ERROR!</v>
      </c>
      <c r="S320" s="6" t="str">
        <f>ARRAY_CONSTRAIN(ARRAYFORMULA(_xludf.XLOOKUP(D28083,[1]order_Report_SA_ID_BB2.0!V:V,[1]order_Report_SA_ID_BB2.0!AM:AM,"")), 1, 1)</f>
        <v>#ERROR!</v>
      </c>
      <c r="T320" s="6" t="str">
        <f t="shared" si="2"/>
        <v>Dec'25</v>
      </c>
    </row>
    <row r="321" ht="15.75" customHeight="1">
      <c r="A321" s="5">
        <v>46013.0</v>
      </c>
      <c r="B321" s="6">
        <v>3686.0</v>
      </c>
      <c r="C321" s="6">
        <v>1.859165295E9</v>
      </c>
      <c r="D321" s="6">
        <v>669755.0</v>
      </c>
      <c r="E321" s="6" t="s">
        <v>555</v>
      </c>
      <c r="F321" s="6" t="s">
        <v>556</v>
      </c>
      <c r="G321" s="6">
        <v>7.709092401E9</v>
      </c>
      <c r="H321" s="6">
        <v>4.0161616E7</v>
      </c>
      <c r="I321" s="6" t="s">
        <v>20</v>
      </c>
      <c r="J321" s="6" t="s">
        <v>21</v>
      </c>
      <c r="K321" s="6" t="s">
        <v>22</v>
      </c>
      <c r="L321" s="6">
        <v>56.0</v>
      </c>
      <c r="M321" s="5">
        <v>46013.0</v>
      </c>
      <c r="N321" s="6" t="s">
        <v>23</v>
      </c>
      <c r="O321" s="6" t="str">
        <f>SUMIFS([1]order_sku_sales_bb2_report!P:P,[1]order_sku_sales_bb2_report!H:H,C28084,[1]order_sku_sales_bb2_report!J:J,H28084)</f>
        <v>#ERROR!</v>
      </c>
      <c r="P321" s="6" t="str">
        <f>SUMIFS([1]order_sku_sales_bb2_report!O:O,[1]order_sku_sales_bb2_report!H:H,C28084,[1]order_sku_sales_bb2_report!J:J,H28084)</f>
        <v>#ERROR!</v>
      </c>
      <c r="Q321" s="6" t="str">
        <f t="shared" si="1"/>
        <v>22-12-2025</v>
      </c>
      <c r="R321" s="6" t="str">
        <f>IFERROR( VLOOKUP(C28084,[1]expressOrderReport!$S:$AZ,34,0),0)</f>
        <v>#ERROR!</v>
      </c>
      <c r="S321" s="6" t="str">
        <f>ARRAY_CONSTRAIN(ARRAYFORMULA(_xludf.XLOOKUP(D28084,[1]order_Report_SA_ID_BB2.0!V:V,[1]order_Report_SA_ID_BB2.0!AM:AM,"")), 1, 1)</f>
        <v>#ERROR!</v>
      </c>
      <c r="T321" s="6" t="str">
        <f t="shared" si="2"/>
        <v>Dec'25</v>
      </c>
    </row>
    <row r="322" ht="15.75" customHeight="1">
      <c r="A322" s="5">
        <v>46013.0</v>
      </c>
      <c r="B322" s="6">
        <v>3691.0</v>
      </c>
      <c r="C322" s="6">
        <v>1.859165307E9</v>
      </c>
      <c r="D322" s="6">
        <v>218343.0</v>
      </c>
      <c r="E322" s="6" t="s">
        <v>557</v>
      </c>
      <c r="F322" s="6" t="s">
        <v>558</v>
      </c>
      <c r="G322" s="6">
        <v>9.900455982E9</v>
      </c>
      <c r="H322" s="6">
        <v>4.0148716E7</v>
      </c>
      <c r="I322" s="6" t="s">
        <v>148</v>
      </c>
      <c r="J322" s="6" t="s">
        <v>21</v>
      </c>
      <c r="K322" s="6" t="s">
        <v>22</v>
      </c>
      <c r="L322" s="6">
        <v>184.0</v>
      </c>
      <c r="M322" s="5">
        <v>46013.0</v>
      </c>
      <c r="N322" s="6" t="s">
        <v>23</v>
      </c>
      <c r="O322" s="6" t="str">
        <f>SUMIFS([1]order_sku_sales_bb2_report!P:P,[1]order_sku_sales_bb2_report!H:H,C28085,[1]order_sku_sales_bb2_report!J:J,H28085)</f>
        <v>#ERROR!</v>
      </c>
      <c r="P322" s="6" t="str">
        <f>SUMIFS([1]order_sku_sales_bb2_report!O:O,[1]order_sku_sales_bb2_report!H:H,C28085,[1]order_sku_sales_bb2_report!J:J,H28085)</f>
        <v>#ERROR!</v>
      </c>
      <c r="Q322" s="6" t="str">
        <f t="shared" si="1"/>
        <v>22-12-2025</v>
      </c>
      <c r="R322" s="6" t="str">
        <f>IFERROR( VLOOKUP(C28085,[1]expressOrderReport!$S:$AZ,34,0),0)</f>
        <v>#ERROR!</v>
      </c>
      <c r="S322" s="6" t="str">
        <f>ARRAY_CONSTRAIN(ARRAYFORMULA(_xludf.XLOOKUP(D28085,[1]order_Report_SA_ID_BB2.0!V:V,[1]order_Report_SA_ID_BB2.0!AM:AM,"")), 1, 1)</f>
        <v>#ERROR!</v>
      </c>
      <c r="T322" s="6" t="str">
        <f t="shared" si="2"/>
        <v>Dec'25</v>
      </c>
    </row>
    <row r="323" ht="15.75" customHeight="1">
      <c r="A323" s="5">
        <v>46013.0</v>
      </c>
      <c r="B323" s="6">
        <v>11265.0</v>
      </c>
      <c r="C323" s="6">
        <v>1.859165307E9</v>
      </c>
      <c r="D323" s="6">
        <v>218343.0</v>
      </c>
      <c r="E323" s="6" t="s">
        <v>557</v>
      </c>
      <c r="F323" s="6" t="s">
        <v>558</v>
      </c>
      <c r="G323" s="6">
        <v>9.900455982E9</v>
      </c>
      <c r="H323" s="6">
        <v>4.0148714E7</v>
      </c>
      <c r="I323" s="6" t="s">
        <v>183</v>
      </c>
      <c r="J323" s="6" t="s">
        <v>21</v>
      </c>
      <c r="K323" s="6" t="s">
        <v>22</v>
      </c>
      <c r="L323" s="6">
        <v>184.0</v>
      </c>
      <c r="M323" s="5">
        <v>46013.0</v>
      </c>
      <c r="N323" s="6" t="s">
        <v>23</v>
      </c>
      <c r="O323" s="6" t="str">
        <f>SUMIFS([1]order_sku_sales_bb2_report!P:P,[1]order_sku_sales_bb2_report!H:H,C28086,[1]order_sku_sales_bb2_report!J:J,H28086)</f>
        <v>#ERROR!</v>
      </c>
      <c r="P323" s="6" t="str">
        <f>SUMIFS([1]order_sku_sales_bb2_report!O:O,[1]order_sku_sales_bb2_report!H:H,C28086,[1]order_sku_sales_bb2_report!J:J,H28086)</f>
        <v>#ERROR!</v>
      </c>
      <c r="Q323" s="6" t="str">
        <f t="shared" si="1"/>
        <v>22-12-2025</v>
      </c>
      <c r="R323" s="6" t="str">
        <f>IFERROR( VLOOKUP(C28086,[1]expressOrderReport!$S:$AZ,34,0),0)</f>
        <v>#ERROR!</v>
      </c>
      <c r="S323" s="6" t="str">
        <f>ARRAY_CONSTRAIN(ARRAYFORMULA(_xludf.XLOOKUP(D28086,[1]order_Report_SA_ID_BB2.0!V:V,[1]order_Report_SA_ID_BB2.0!AM:AM,"")), 1, 1)</f>
        <v>#ERROR!</v>
      </c>
      <c r="T323" s="6" t="str">
        <f t="shared" si="2"/>
        <v>Dec'25</v>
      </c>
    </row>
    <row r="324" ht="15.75" customHeight="1">
      <c r="A324" s="5">
        <v>46013.0</v>
      </c>
      <c r="B324" s="6">
        <v>3701.0</v>
      </c>
      <c r="C324" s="6">
        <v>1.859165316E9</v>
      </c>
      <c r="D324" s="6">
        <v>1.9700691E7</v>
      </c>
      <c r="E324" s="6" t="s">
        <v>559</v>
      </c>
      <c r="F324" s="6" t="s">
        <v>560</v>
      </c>
      <c r="G324" s="6">
        <v>7.875497597E9</v>
      </c>
      <c r="H324" s="6">
        <v>4.0149834E7</v>
      </c>
      <c r="I324" s="6" t="s">
        <v>40</v>
      </c>
      <c r="J324" s="6" t="s">
        <v>21</v>
      </c>
      <c r="K324" s="6" t="s">
        <v>22</v>
      </c>
      <c r="L324" s="6">
        <v>156.0</v>
      </c>
      <c r="M324" s="5">
        <v>46013.0</v>
      </c>
      <c r="N324" s="6" t="s">
        <v>23</v>
      </c>
      <c r="O324" s="6" t="str">
        <f>SUMIFS([1]order_sku_sales_bb2_report!P:P,[1]order_sku_sales_bb2_report!H:H,C28087,[1]order_sku_sales_bb2_report!J:J,H28087)</f>
        <v>#ERROR!</v>
      </c>
      <c r="P324" s="6" t="str">
        <f>SUMIFS([1]order_sku_sales_bb2_report!O:O,[1]order_sku_sales_bb2_report!H:H,C28087,[1]order_sku_sales_bb2_report!J:J,H28087)</f>
        <v>#ERROR!</v>
      </c>
      <c r="Q324" s="6" t="str">
        <f t="shared" si="1"/>
        <v>22-12-2025</v>
      </c>
      <c r="R324" s="6" t="str">
        <f>IFERROR( VLOOKUP(C28087,[1]expressOrderReport!$S:$AZ,34,0),0)</f>
        <v>#ERROR!</v>
      </c>
      <c r="S324" s="6" t="str">
        <f>ARRAY_CONSTRAIN(ARRAYFORMULA(_xludf.XLOOKUP(D28087,[1]order_Report_SA_ID_BB2.0!V:V,[1]order_Report_SA_ID_BB2.0!AM:AM,"")), 1, 1)</f>
        <v>#ERROR!</v>
      </c>
      <c r="T324" s="6" t="str">
        <f t="shared" si="2"/>
        <v>Dec'25</v>
      </c>
    </row>
    <row r="325" ht="15.75" customHeight="1">
      <c r="A325" s="5">
        <v>46013.0</v>
      </c>
      <c r="B325" s="6">
        <v>3703.0</v>
      </c>
      <c r="C325" s="6">
        <v>1.85916532E9</v>
      </c>
      <c r="D325" s="6">
        <v>449952.0</v>
      </c>
      <c r="E325" s="6" t="s">
        <v>561</v>
      </c>
      <c r="F325" s="6" t="s">
        <v>562</v>
      </c>
      <c r="G325" s="6">
        <v>9.88692011E9</v>
      </c>
      <c r="H325" s="6">
        <v>4.0161616E7</v>
      </c>
      <c r="I325" s="6" t="s">
        <v>20</v>
      </c>
      <c r="J325" s="6" t="s">
        <v>21</v>
      </c>
      <c r="K325" s="6" t="s">
        <v>22</v>
      </c>
      <c r="L325" s="6">
        <v>84.0</v>
      </c>
      <c r="M325" s="5">
        <v>46013.0</v>
      </c>
      <c r="N325" s="6" t="s">
        <v>23</v>
      </c>
      <c r="O325" s="6" t="str">
        <f>SUMIFS([1]order_sku_sales_bb2_report!P:P,[1]order_sku_sales_bb2_report!H:H,C28088,[1]order_sku_sales_bb2_report!J:J,H28088)</f>
        <v>#ERROR!</v>
      </c>
      <c r="P325" s="6" t="str">
        <f>SUMIFS([1]order_sku_sales_bb2_report!O:O,[1]order_sku_sales_bb2_report!H:H,C28088,[1]order_sku_sales_bb2_report!J:J,H28088)</f>
        <v>#ERROR!</v>
      </c>
      <c r="Q325" s="6" t="str">
        <f t="shared" si="1"/>
        <v>22-12-2025</v>
      </c>
      <c r="R325" s="6" t="str">
        <f>IFERROR( VLOOKUP(C28088,[1]expressOrderReport!$S:$AZ,34,0),0)</f>
        <v>#ERROR!</v>
      </c>
      <c r="S325" s="6" t="str">
        <f>ARRAY_CONSTRAIN(ARRAYFORMULA(_xludf.XLOOKUP(D28088,[1]order_Report_SA_ID_BB2.0!V:V,[1]order_Report_SA_ID_BB2.0!AM:AM,"")), 1, 1)</f>
        <v>#ERROR!</v>
      </c>
      <c r="T325" s="6" t="str">
        <f t="shared" si="2"/>
        <v>Dec'25</v>
      </c>
    </row>
    <row r="326" ht="15.75" customHeight="1">
      <c r="A326" s="5">
        <v>46013.0</v>
      </c>
      <c r="B326" s="6">
        <v>3706.0</v>
      </c>
      <c r="C326" s="6">
        <v>1.859165329E9</v>
      </c>
      <c r="D326" s="6">
        <v>1.9700771E7</v>
      </c>
      <c r="E326" s="6" t="s">
        <v>563</v>
      </c>
      <c r="F326" s="6" t="s">
        <v>564</v>
      </c>
      <c r="G326" s="6">
        <v>7.89295903E9</v>
      </c>
      <c r="H326" s="6">
        <v>4.0149832E7</v>
      </c>
      <c r="I326" s="6" t="s">
        <v>26</v>
      </c>
      <c r="J326" s="6" t="s">
        <v>21</v>
      </c>
      <c r="K326" s="6" t="s">
        <v>22</v>
      </c>
      <c r="L326" s="6">
        <v>24.0</v>
      </c>
      <c r="M326" s="5">
        <v>46013.0</v>
      </c>
      <c r="N326" s="6" t="s">
        <v>23</v>
      </c>
      <c r="O326" s="6" t="str">
        <f>SUMIFS([1]order_sku_sales_bb2_report!P:P,[1]order_sku_sales_bb2_report!H:H,C28089,[1]order_sku_sales_bb2_report!J:J,H28089)</f>
        <v>#ERROR!</v>
      </c>
      <c r="P326" s="6" t="str">
        <f>SUMIFS([1]order_sku_sales_bb2_report!O:O,[1]order_sku_sales_bb2_report!H:H,C28089,[1]order_sku_sales_bb2_report!J:J,H28089)</f>
        <v>#ERROR!</v>
      </c>
      <c r="Q326" s="6" t="str">
        <f t="shared" si="1"/>
        <v>22-12-2025</v>
      </c>
      <c r="R326" s="6" t="str">
        <f>IFERROR( VLOOKUP(C28089,[1]expressOrderReport!$S:$AZ,34,0),0)</f>
        <v>#ERROR!</v>
      </c>
      <c r="S326" s="6" t="str">
        <f>ARRAY_CONSTRAIN(ARRAYFORMULA(_xludf.XLOOKUP(D28089,[1]order_Report_SA_ID_BB2.0!V:V,[1]order_Report_SA_ID_BB2.0!AM:AM,"")), 1, 1)</f>
        <v>#ERROR!</v>
      </c>
      <c r="T326" s="6" t="str">
        <f t="shared" si="2"/>
        <v>Dec'25</v>
      </c>
    </row>
    <row r="327" ht="15.75" customHeight="1">
      <c r="A327" s="5">
        <v>46013.0</v>
      </c>
      <c r="B327" s="6">
        <v>3710.0</v>
      </c>
      <c r="C327" s="6">
        <v>1.859165337E9</v>
      </c>
      <c r="D327" s="6">
        <v>1.970079E7</v>
      </c>
      <c r="E327" s="6" t="s">
        <v>565</v>
      </c>
      <c r="F327" s="6" t="s">
        <v>566</v>
      </c>
      <c r="G327" s="6">
        <v>9.916628314E9</v>
      </c>
      <c r="H327" s="6">
        <v>4.0149834E7</v>
      </c>
      <c r="I327" s="6" t="s">
        <v>40</v>
      </c>
      <c r="J327" s="6" t="s">
        <v>21</v>
      </c>
      <c r="K327" s="6" t="s">
        <v>22</v>
      </c>
      <c r="L327" s="6">
        <v>104.0</v>
      </c>
      <c r="M327" s="5">
        <v>46013.0</v>
      </c>
      <c r="N327" s="6" t="s">
        <v>23</v>
      </c>
      <c r="O327" s="6" t="str">
        <f>SUMIFS([1]order_sku_sales_bb2_report!P:P,[1]order_sku_sales_bb2_report!H:H,C28090,[1]order_sku_sales_bb2_report!J:J,H28090)</f>
        <v>#ERROR!</v>
      </c>
      <c r="P327" s="6" t="str">
        <f>SUMIFS([1]order_sku_sales_bb2_report!O:O,[1]order_sku_sales_bb2_report!H:H,C28090,[1]order_sku_sales_bb2_report!J:J,H28090)</f>
        <v>#ERROR!</v>
      </c>
      <c r="Q327" s="6" t="str">
        <f t="shared" si="1"/>
        <v>22-12-2025</v>
      </c>
      <c r="R327" s="6" t="str">
        <f>IFERROR( VLOOKUP(C28090,[1]expressOrderReport!$S:$AZ,34,0),0)</f>
        <v>#ERROR!</v>
      </c>
      <c r="S327" s="6" t="str">
        <f>ARRAY_CONSTRAIN(ARRAYFORMULA(_xludf.XLOOKUP(D28090,[1]order_Report_SA_ID_BB2.0!V:V,[1]order_Report_SA_ID_BB2.0!AM:AM,"")), 1, 1)</f>
        <v>#ERROR!</v>
      </c>
      <c r="T327" s="6" t="str">
        <f t="shared" si="2"/>
        <v>Dec'25</v>
      </c>
    </row>
    <row r="328" ht="15.75" customHeight="1">
      <c r="A328" s="5">
        <v>46013.0</v>
      </c>
      <c r="B328" s="6">
        <v>3708.0</v>
      </c>
      <c r="C328" s="6">
        <v>1.859165344E9</v>
      </c>
      <c r="D328" s="6">
        <v>1.9700788E7</v>
      </c>
      <c r="E328" s="6" t="s">
        <v>567</v>
      </c>
      <c r="F328" s="6" t="s">
        <v>568</v>
      </c>
      <c r="G328" s="6">
        <v>9.900093573E9</v>
      </c>
      <c r="H328" s="6">
        <v>4.0149832E7</v>
      </c>
      <c r="I328" s="6" t="s">
        <v>26</v>
      </c>
      <c r="J328" s="6" t="s">
        <v>21</v>
      </c>
      <c r="K328" s="6" t="s">
        <v>22</v>
      </c>
      <c r="L328" s="6">
        <v>48.0</v>
      </c>
      <c r="M328" s="5">
        <v>46013.0</v>
      </c>
      <c r="N328" s="6" t="s">
        <v>23</v>
      </c>
      <c r="O328" s="6" t="str">
        <f>SUMIFS([1]order_sku_sales_bb2_report!P:P,[1]order_sku_sales_bb2_report!H:H,C28091,[1]order_sku_sales_bb2_report!J:J,H28091)</f>
        <v>#ERROR!</v>
      </c>
      <c r="P328" s="6" t="str">
        <f>SUMIFS([1]order_sku_sales_bb2_report!O:O,[1]order_sku_sales_bb2_report!H:H,C28091,[1]order_sku_sales_bb2_report!J:J,H28091)</f>
        <v>#ERROR!</v>
      </c>
      <c r="Q328" s="6" t="str">
        <f t="shared" si="1"/>
        <v>22-12-2025</v>
      </c>
      <c r="R328" s="6" t="str">
        <f>IFERROR( VLOOKUP(C28091,[1]expressOrderReport!$S:$AZ,34,0),0)</f>
        <v>#ERROR!</v>
      </c>
      <c r="S328" s="6" t="str">
        <f>ARRAY_CONSTRAIN(ARRAYFORMULA(_xludf.XLOOKUP(D28091,[1]order_Report_SA_ID_BB2.0!V:V,[1]order_Report_SA_ID_BB2.0!AM:AM,"")), 1, 1)</f>
        <v>#ERROR!</v>
      </c>
      <c r="T328" s="6" t="str">
        <f t="shared" si="2"/>
        <v>Dec'25</v>
      </c>
    </row>
    <row r="329" ht="15.75" customHeight="1">
      <c r="A329" s="5">
        <v>46013.0</v>
      </c>
      <c r="B329" s="6">
        <v>3712.0</v>
      </c>
      <c r="C329" s="6">
        <v>1.859165353E9</v>
      </c>
      <c r="D329" s="6">
        <v>1.970082E7</v>
      </c>
      <c r="E329" s="6" t="s">
        <v>569</v>
      </c>
      <c r="F329" s="6" t="s">
        <v>570</v>
      </c>
      <c r="G329" s="6">
        <v>9.008402888E9</v>
      </c>
      <c r="H329" s="6">
        <v>4.0149832E7</v>
      </c>
      <c r="I329" s="6" t="s">
        <v>26</v>
      </c>
      <c r="J329" s="6" t="s">
        <v>21</v>
      </c>
      <c r="K329" s="6" t="s">
        <v>22</v>
      </c>
      <c r="L329" s="6">
        <v>48.0</v>
      </c>
      <c r="M329" s="5">
        <v>46013.0</v>
      </c>
      <c r="N329" s="6" t="s">
        <v>23</v>
      </c>
      <c r="O329" s="6" t="str">
        <f>SUMIFS([1]order_sku_sales_bb2_report!P:P,[1]order_sku_sales_bb2_report!H:H,C28092,[1]order_sku_sales_bb2_report!J:J,H28092)</f>
        <v>#ERROR!</v>
      </c>
      <c r="P329" s="6" t="str">
        <f>SUMIFS([1]order_sku_sales_bb2_report!O:O,[1]order_sku_sales_bb2_report!H:H,C28092,[1]order_sku_sales_bb2_report!J:J,H28092)</f>
        <v>#ERROR!</v>
      </c>
      <c r="Q329" s="6" t="str">
        <f t="shared" si="1"/>
        <v>22-12-2025</v>
      </c>
      <c r="R329" s="6" t="str">
        <f>IFERROR( VLOOKUP(C28092,[1]expressOrderReport!$S:$AZ,34,0),0)</f>
        <v>#ERROR!</v>
      </c>
      <c r="S329" s="6" t="str">
        <f>ARRAY_CONSTRAIN(ARRAYFORMULA(_xludf.XLOOKUP(D28092,[1]order_Report_SA_ID_BB2.0!V:V,[1]order_Report_SA_ID_BB2.0!AM:AM,"")), 1, 1)</f>
        <v>#ERROR!</v>
      </c>
      <c r="T329" s="6" t="str">
        <f t="shared" si="2"/>
        <v>Dec'25</v>
      </c>
    </row>
    <row r="330" ht="15.75" customHeight="1">
      <c r="A330" s="5">
        <v>46013.0</v>
      </c>
      <c r="B330" s="6">
        <v>4134.0</v>
      </c>
      <c r="C330" s="6">
        <v>1.859165362E9</v>
      </c>
      <c r="D330" s="6">
        <v>4044455.0</v>
      </c>
      <c r="E330" s="6" t="s">
        <v>571</v>
      </c>
      <c r="F330" s="6" t="s">
        <v>572</v>
      </c>
      <c r="G330" s="6">
        <v>9.591233061E9</v>
      </c>
      <c r="H330" s="6">
        <v>4.0149832E7</v>
      </c>
      <c r="I330" s="6" t="s">
        <v>26</v>
      </c>
      <c r="J330" s="6" t="s">
        <v>21</v>
      </c>
      <c r="K330" s="6" t="s">
        <v>22</v>
      </c>
      <c r="L330" s="6">
        <v>24.0</v>
      </c>
      <c r="M330" s="5">
        <v>46013.0</v>
      </c>
      <c r="N330" s="6" t="s">
        <v>23</v>
      </c>
      <c r="O330" s="6" t="str">
        <f>SUMIFS([1]order_sku_sales_bb2_report!P:P,[1]order_sku_sales_bb2_report!H:H,C28093,[1]order_sku_sales_bb2_report!J:J,H28093)</f>
        <v>#ERROR!</v>
      </c>
      <c r="P330" s="6" t="str">
        <f>SUMIFS([1]order_sku_sales_bb2_report!O:O,[1]order_sku_sales_bb2_report!H:H,C28093,[1]order_sku_sales_bb2_report!J:J,H28093)</f>
        <v>#ERROR!</v>
      </c>
      <c r="Q330" s="6" t="str">
        <f t="shared" si="1"/>
        <v>22-12-2025</v>
      </c>
      <c r="R330" s="6" t="str">
        <f>IFERROR( VLOOKUP(C28093,[1]expressOrderReport!$S:$AZ,34,0),0)</f>
        <v>#ERROR!</v>
      </c>
      <c r="S330" s="6" t="str">
        <f>ARRAY_CONSTRAIN(ARRAYFORMULA(_xludf.XLOOKUP(D28093,[1]order_Report_SA_ID_BB2.0!V:V,[1]order_Report_SA_ID_BB2.0!AM:AM,"")), 1, 1)</f>
        <v>#ERROR!</v>
      </c>
      <c r="T330" s="6" t="str">
        <f t="shared" si="2"/>
        <v>Dec'25</v>
      </c>
    </row>
    <row r="331" ht="15.75" customHeight="1">
      <c r="A331" s="5">
        <v>46013.0</v>
      </c>
      <c r="B331" s="6">
        <v>3730.0</v>
      </c>
      <c r="C331" s="6">
        <v>1.85916537E9</v>
      </c>
      <c r="D331" s="6">
        <v>1.1506119E7</v>
      </c>
      <c r="E331" s="6" t="s">
        <v>573</v>
      </c>
      <c r="F331" s="6" t="s">
        <v>574</v>
      </c>
      <c r="G331" s="6">
        <v>9.686349113E9</v>
      </c>
      <c r="H331" s="6">
        <v>4.0158264E7</v>
      </c>
      <c r="I331" s="6" t="s">
        <v>26</v>
      </c>
      <c r="J331" s="6" t="s">
        <v>21</v>
      </c>
      <c r="K331" s="6" t="s">
        <v>22</v>
      </c>
      <c r="L331" s="6">
        <v>98.0</v>
      </c>
      <c r="M331" s="5">
        <v>46013.0</v>
      </c>
      <c r="N331" s="6" t="s">
        <v>23</v>
      </c>
      <c r="O331" s="6" t="str">
        <f>SUMIFS([1]order_sku_sales_bb2_report!P:P,[1]order_sku_sales_bb2_report!H:H,C28094,[1]order_sku_sales_bb2_report!J:J,H28094)</f>
        <v>#ERROR!</v>
      </c>
      <c r="P331" s="6" t="str">
        <f>SUMIFS([1]order_sku_sales_bb2_report!O:O,[1]order_sku_sales_bb2_report!H:H,C28094,[1]order_sku_sales_bb2_report!J:J,H28094)</f>
        <v>#ERROR!</v>
      </c>
      <c r="Q331" s="6" t="str">
        <f t="shared" si="1"/>
        <v>22-12-2025</v>
      </c>
      <c r="R331" s="6" t="str">
        <f>IFERROR( VLOOKUP(C28094,[1]expressOrderReport!$S:$AZ,34,0),0)</f>
        <v>#ERROR!</v>
      </c>
      <c r="S331" s="6" t="str">
        <f>ARRAY_CONSTRAIN(ARRAYFORMULA(_xludf.XLOOKUP(D28094,[1]order_Report_SA_ID_BB2.0!V:V,[1]order_Report_SA_ID_BB2.0!AM:AM,"")), 1, 1)</f>
        <v>#ERROR!</v>
      </c>
      <c r="T331" s="6" t="str">
        <f t="shared" si="2"/>
        <v>Dec'25</v>
      </c>
    </row>
    <row r="332" ht="15.75" customHeight="1">
      <c r="A332" s="5">
        <v>46013.0</v>
      </c>
      <c r="B332" s="6">
        <v>4596.0</v>
      </c>
      <c r="C332" s="6">
        <v>1.85916537E9</v>
      </c>
      <c r="D332" s="6">
        <v>1.1506119E7</v>
      </c>
      <c r="E332" s="6" t="s">
        <v>573</v>
      </c>
      <c r="F332" s="6" t="s">
        <v>574</v>
      </c>
      <c r="G332" s="6">
        <v>9.686349113E9</v>
      </c>
      <c r="H332" s="6">
        <v>4.0149834E7</v>
      </c>
      <c r="I332" s="6" t="s">
        <v>40</v>
      </c>
      <c r="J332" s="6" t="s">
        <v>21</v>
      </c>
      <c r="K332" s="6" t="s">
        <v>22</v>
      </c>
      <c r="L332" s="6">
        <v>98.0</v>
      </c>
      <c r="M332" s="5">
        <v>46013.0</v>
      </c>
      <c r="N332" s="6" t="s">
        <v>23</v>
      </c>
      <c r="O332" s="6" t="str">
        <f>SUMIFS([1]order_sku_sales_bb2_report!P:P,[1]order_sku_sales_bb2_report!H:H,C28095,[1]order_sku_sales_bb2_report!J:J,H28095)</f>
        <v>#ERROR!</v>
      </c>
      <c r="P332" s="6" t="str">
        <f>SUMIFS([1]order_sku_sales_bb2_report!O:O,[1]order_sku_sales_bb2_report!H:H,C28095,[1]order_sku_sales_bb2_report!J:J,H28095)</f>
        <v>#ERROR!</v>
      </c>
      <c r="Q332" s="6" t="str">
        <f t="shared" si="1"/>
        <v>22-12-2025</v>
      </c>
      <c r="R332" s="6" t="str">
        <f>IFERROR( VLOOKUP(C28095,[1]expressOrderReport!$S:$AZ,34,0),0)</f>
        <v>#ERROR!</v>
      </c>
      <c r="S332" s="6" t="str">
        <f>ARRAY_CONSTRAIN(ARRAYFORMULA(_xludf.XLOOKUP(D28095,[1]order_Report_SA_ID_BB2.0!V:V,[1]order_Report_SA_ID_BB2.0!AM:AM,"")), 1, 1)</f>
        <v>#ERROR!</v>
      </c>
      <c r="T332" s="6" t="str">
        <f t="shared" si="2"/>
        <v>Dec'25</v>
      </c>
    </row>
    <row r="333" ht="15.75" customHeight="1">
      <c r="A333" s="5">
        <v>46013.0</v>
      </c>
      <c r="B333" s="6">
        <v>3739.0</v>
      </c>
      <c r="C333" s="6">
        <v>1.859165376E9</v>
      </c>
      <c r="D333" s="6">
        <v>2404116.0</v>
      </c>
      <c r="E333" s="6" t="s">
        <v>575</v>
      </c>
      <c r="F333" s="6" t="s">
        <v>576</v>
      </c>
      <c r="G333" s="6">
        <v>9.886850458E9</v>
      </c>
      <c r="H333" s="6">
        <v>4.0149832E7</v>
      </c>
      <c r="I333" s="6" t="s">
        <v>26</v>
      </c>
      <c r="J333" s="6" t="s">
        <v>21</v>
      </c>
      <c r="K333" s="6" t="s">
        <v>22</v>
      </c>
      <c r="L333" s="6">
        <v>52.0</v>
      </c>
      <c r="M333" s="5">
        <v>46013.0</v>
      </c>
      <c r="N333" s="6" t="s">
        <v>23</v>
      </c>
      <c r="O333" s="6" t="str">
        <f>SUMIFS([1]order_sku_sales_bb2_report!P:P,[1]order_sku_sales_bb2_report!H:H,C28096,[1]order_sku_sales_bb2_report!J:J,H28096)</f>
        <v>#ERROR!</v>
      </c>
      <c r="P333" s="6" t="str">
        <f>SUMIFS([1]order_sku_sales_bb2_report!O:O,[1]order_sku_sales_bb2_report!H:H,C28096,[1]order_sku_sales_bb2_report!J:J,H28096)</f>
        <v>#ERROR!</v>
      </c>
      <c r="Q333" s="6" t="str">
        <f t="shared" si="1"/>
        <v>22-12-2025</v>
      </c>
      <c r="R333" s="6" t="str">
        <f>IFERROR( VLOOKUP(C28096,[1]expressOrderReport!$S:$AZ,34,0),0)</f>
        <v>#ERROR!</v>
      </c>
      <c r="S333" s="6" t="str">
        <f>ARRAY_CONSTRAIN(ARRAYFORMULA(_xludf.XLOOKUP(D28096,[1]order_Report_SA_ID_BB2.0!V:V,[1]order_Report_SA_ID_BB2.0!AM:AM,"")), 1, 1)</f>
        <v>#ERROR!</v>
      </c>
      <c r="T333" s="6" t="str">
        <f t="shared" si="2"/>
        <v>Dec'25</v>
      </c>
    </row>
    <row r="334" ht="15.75" customHeight="1">
      <c r="A334" s="5">
        <v>46013.0</v>
      </c>
      <c r="B334" s="6">
        <v>3743.0</v>
      </c>
      <c r="C334" s="6">
        <v>1.859165376E9</v>
      </c>
      <c r="D334" s="6">
        <v>2404116.0</v>
      </c>
      <c r="E334" s="6" t="s">
        <v>575</v>
      </c>
      <c r="F334" s="6" t="s">
        <v>576</v>
      </c>
      <c r="G334" s="6">
        <v>9.886850458E9</v>
      </c>
      <c r="H334" s="6">
        <v>4.014983E7</v>
      </c>
      <c r="I334" s="6" t="s">
        <v>30</v>
      </c>
      <c r="J334" s="6" t="s">
        <v>21</v>
      </c>
      <c r="K334" s="6" t="s">
        <v>22</v>
      </c>
      <c r="L334" s="6">
        <v>52.0</v>
      </c>
      <c r="M334" s="5">
        <v>46013.0</v>
      </c>
      <c r="N334" s="6" t="s">
        <v>23</v>
      </c>
      <c r="O334" s="6" t="str">
        <f>SUMIFS([1]order_sku_sales_bb2_report!P:P,[1]order_sku_sales_bb2_report!H:H,C28097,[1]order_sku_sales_bb2_report!J:J,H28097)</f>
        <v>#ERROR!</v>
      </c>
      <c r="P334" s="6" t="str">
        <f>SUMIFS([1]order_sku_sales_bb2_report!O:O,[1]order_sku_sales_bb2_report!H:H,C28097,[1]order_sku_sales_bb2_report!J:J,H28097)</f>
        <v>#ERROR!</v>
      </c>
      <c r="Q334" s="6" t="str">
        <f t="shared" si="1"/>
        <v>22-12-2025</v>
      </c>
      <c r="R334" s="6" t="str">
        <f>IFERROR( VLOOKUP(C28097,[1]expressOrderReport!$S:$AZ,34,0),0)</f>
        <v>#ERROR!</v>
      </c>
      <c r="S334" s="6" t="str">
        <f>ARRAY_CONSTRAIN(ARRAYFORMULA(_xludf.XLOOKUP(D28097,[1]order_Report_SA_ID_BB2.0!V:V,[1]order_Report_SA_ID_BB2.0!AM:AM,"")), 1, 1)</f>
        <v>#ERROR!</v>
      </c>
      <c r="T334" s="6" t="str">
        <f t="shared" si="2"/>
        <v>Dec'25</v>
      </c>
    </row>
    <row r="335" ht="15.75" customHeight="1">
      <c r="A335" s="5">
        <v>46013.0</v>
      </c>
      <c r="B335" s="6">
        <v>3772.0</v>
      </c>
      <c r="C335" s="6">
        <v>1.859166257E9</v>
      </c>
      <c r="D335" s="6">
        <v>1.970523E7</v>
      </c>
      <c r="E335" s="6" t="s">
        <v>577</v>
      </c>
      <c r="F335" s="6" t="s">
        <v>578</v>
      </c>
      <c r="G335" s="6">
        <v>9.739722013E9</v>
      </c>
      <c r="H335" s="6">
        <v>4.0149832E7</v>
      </c>
      <c r="I335" s="6" t="s">
        <v>26</v>
      </c>
      <c r="J335" s="6" t="s">
        <v>21</v>
      </c>
      <c r="K335" s="6" t="s">
        <v>22</v>
      </c>
      <c r="L335" s="6">
        <v>76.0</v>
      </c>
      <c r="M335" s="5">
        <v>46013.0</v>
      </c>
      <c r="N335" s="6" t="s">
        <v>23</v>
      </c>
      <c r="O335" s="6" t="str">
        <f>SUMIFS([1]order_sku_sales_bb2_report!P:P,[1]order_sku_sales_bb2_report!H:H,C28098,[1]order_sku_sales_bb2_report!J:J,H28098)</f>
        <v>#ERROR!</v>
      </c>
      <c r="P335" s="6" t="str">
        <f>SUMIFS([1]order_sku_sales_bb2_report!O:O,[1]order_sku_sales_bb2_report!H:H,C28098,[1]order_sku_sales_bb2_report!J:J,H28098)</f>
        <v>#ERROR!</v>
      </c>
      <c r="Q335" s="6" t="str">
        <f t="shared" si="1"/>
        <v>22-12-2025</v>
      </c>
      <c r="R335" s="6" t="str">
        <f>IFERROR( VLOOKUP(C28098,[1]expressOrderReport!$S:$AZ,34,0),0)</f>
        <v>#ERROR!</v>
      </c>
      <c r="S335" s="6" t="str">
        <f>ARRAY_CONSTRAIN(ARRAYFORMULA(_xludf.XLOOKUP(D28098,[1]order_Report_SA_ID_BB2.0!V:V,[1]order_Report_SA_ID_BB2.0!AM:AM,"")), 1, 1)</f>
        <v>#ERROR!</v>
      </c>
      <c r="T335" s="6" t="str">
        <f t="shared" si="2"/>
        <v>Dec'25</v>
      </c>
    </row>
    <row r="336" ht="15.75" customHeight="1">
      <c r="A336" s="5">
        <v>46013.0</v>
      </c>
      <c r="B336" s="6">
        <v>3774.0</v>
      </c>
      <c r="C336" s="6">
        <v>1.859166257E9</v>
      </c>
      <c r="D336" s="6">
        <v>1.970523E7</v>
      </c>
      <c r="E336" s="6" t="s">
        <v>577</v>
      </c>
      <c r="F336" s="6" t="s">
        <v>578</v>
      </c>
      <c r="G336" s="6">
        <v>9.739722013E9</v>
      </c>
      <c r="H336" s="6">
        <v>4.014983E7</v>
      </c>
      <c r="I336" s="6" t="s">
        <v>30</v>
      </c>
      <c r="J336" s="6" t="s">
        <v>21</v>
      </c>
      <c r="K336" s="6" t="s">
        <v>22</v>
      </c>
      <c r="L336" s="6">
        <v>76.0</v>
      </c>
      <c r="M336" s="5">
        <v>46013.0</v>
      </c>
      <c r="N336" s="6" t="s">
        <v>23</v>
      </c>
      <c r="O336" s="6" t="str">
        <f>SUMIFS([1]order_sku_sales_bb2_report!P:P,[1]order_sku_sales_bb2_report!H:H,C28099,[1]order_sku_sales_bb2_report!J:J,H28099)</f>
        <v>#ERROR!</v>
      </c>
      <c r="P336" s="6" t="str">
        <f>SUMIFS([1]order_sku_sales_bb2_report!O:O,[1]order_sku_sales_bb2_report!H:H,C28099,[1]order_sku_sales_bb2_report!J:J,H28099)</f>
        <v>#ERROR!</v>
      </c>
      <c r="Q336" s="6" t="str">
        <f t="shared" si="1"/>
        <v>22-12-2025</v>
      </c>
      <c r="R336" s="6" t="str">
        <f>IFERROR( VLOOKUP(C28099,[1]expressOrderReport!$S:$AZ,34,0),0)</f>
        <v>#ERROR!</v>
      </c>
      <c r="S336" s="6" t="str">
        <f>ARRAY_CONSTRAIN(ARRAYFORMULA(_xludf.XLOOKUP(D28099,[1]order_Report_SA_ID_BB2.0!V:V,[1]order_Report_SA_ID_BB2.0!AM:AM,"")), 1, 1)</f>
        <v>#ERROR!</v>
      </c>
      <c r="T336" s="6" t="str">
        <f t="shared" si="2"/>
        <v>Dec'25</v>
      </c>
    </row>
    <row r="337" ht="15.75" customHeight="1">
      <c r="A337" s="5">
        <v>46013.0</v>
      </c>
      <c r="B337" s="6">
        <v>3778.0</v>
      </c>
      <c r="C337" s="6">
        <v>1.859166267E9</v>
      </c>
      <c r="D337" s="6">
        <v>1.9705399E7</v>
      </c>
      <c r="E337" s="6" t="s">
        <v>579</v>
      </c>
      <c r="F337" s="6" t="s">
        <v>580</v>
      </c>
      <c r="G337" s="6">
        <v>9.945958109E9</v>
      </c>
      <c r="H337" s="6">
        <v>4.0149832E7</v>
      </c>
      <c r="I337" s="6" t="s">
        <v>26</v>
      </c>
      <c r="J337" s="6" t="s">
        <v>21</v>
      </c>
      <c r="K337" s="6" t="s">
        <v>22</v>
      </c>
      <c r="L337" s="6">
        <v>52.0</v>
      </c>
      <c r="M337" s="5">
        <v>46013.0</v>
      </c>
      <c r="N337" s="6" t="s">
        <v>23</v>
      </c>
      <c r="O337" s="6" t="str">
        <f>SUMIFS([1]order_sku_sales_bb2_report!P:P,[1]order_sku_sales_bb2_report!H:H,C28100,[1]order_sku_sales_bb2_report!J:J,H28100)</f>
        <v>#ERROR!</v>
      </c>
      <c r="P337" s="6" t="str">
        <f>SUMIFS([1]order_sku_sales_bb2_report!O:O,[1]order_sku_sales_bb2_report!H:H,C28100,[1]order_sku_sales_bb2_report!J:J,H28100)</f>
        <v>#ERROR!</v>
      </c>
      <c r="Q337" s="6" t="str">
        <f t="shared" si="1"/>
        <v>22-12-2025</v>
      </c>
      <c r="R337" s="6" t="str">
        <f>IFERROR( VLOOKUP(C28100,[1]expressOrderReport!$S:$AZ,34,0),0)</f>
        <v>#ERROR!</v>
      </c>
      <c r="S337" s="6" t="str">
        <f>ARRAY_CONSTRAIN(ARRAYFORMULA(_xludf.XLOOKUP(D28100,[1]order_Report_SA_ID_BB2.0!V:V,[1]order_Report_SA_ID_BB2.0!AM:AM,"")), 1, 1)</f>
        <v>#ERROR!</v>
      </c>
      <c r="T337" s="6" t="str">
        <f t="shared" si="2"/>
        <v>Dec'25</v>
      </c>
    </row>
    <row r="338" ht="15.75" customHeight="1">
      <c r="A338" s="5">
        <v>46013.0</v>
      </c>
      <c r="B338" s="6">
        <v>5805.0</v>
      </c>
      <c r="C338" s="6">
        <v>1.859166267E9</v>
      </c>
      <c r="D338" s="6">
        <v>1.9705399E7</v>
      </c>
      <c r="E338" s="6" t="s">
        <v>579</v>
      </c>
      <c r="F338" s="6" t="s">
        <v>580</v>
      </c>
      <c r="G338" s="6">
        <v>9.945958109E9</v>
      </c>
      <c r="H338" s="6">
        <v>4.0161616E7</v>
      </c>
      <c r="I338" s="6" t="s">
        <v>20</v>
      </c>
      <c r="J338" s="6" t="s">
        <v>21</v>
      </c>
      <c r="K338" s="6" t="s">
        <v>22</v>
      </c>
      <c r="L338" s="6">
        <v>52.0</v>
      </c>
      <c r="M338" s="5">
        <v>46013.0</v>
      </c>
      <c r="N338" s="6" t="s">
        <v>23</v>
      </c>
      <c r="O338" s="6" t="str">
        <f>SUMIFS([1]order_sku_sales_bb2_report!P:P,[1]order_sku_sales_bb2_report!H:H,C28101,[1]order_sku_sales_bb2_report!J:J,H28101)</f>
        <v>#ERROR!</v>
      </c>
      <c r="P338" s="6" t="str">
        <f>SUMIFS([1]order_sku_sales_bb2_report!O:O,[1]order_sku_sales_bb2_report!H:H,C28101,[1]order_sku_sales_bb2_report!J:J,H28101)</f>
        <v>#ERROR!</v>
      </c>
      <c r="Q338" s="6" t="str">
        <f t="shared" si="1"/>
        <v>22-12-2025</v>
      </c>
      <c r="R338" s="6" t="str">
        <f>IFERROR( VLOOKUP(C28101,[1]expressOrderReport!$S:$AZ,34,0),0)</f>
        <v>#ERROR!</v>
      </c>
      <c r="S338" s="6" t="str">
        <f>ARRAY_CONSTRAIN(ARRAYFORMULA(_xludf.XLOOKUP(D28101,[1]order_Report_SA_ID_BB2.0!V:V,[1]order_Report_SA_ID_BB2.0!AM:AM,"")), 1, 1)</f>
        <v>#ERROR!</v>
      </c>
      <c r="T338" s="6" t="str">
        <f t="shared" si="2"/>
        <v>Dec'25</v>
      </c>
    </row>
    <row r="339" ht="15.75" customHeight="1">
      <c r="A339" s="5">
        <v>46013.0</v>
      </c>
      <c r="B339" s="6">
        <v>3785.0</v>
      </c>
      <c r="C339" s="6">
        <v>1.85916628E9</v>
      </c>
      <c r="D339" s="6">
        <v>1.9705489E7</v>
      </c>
      <c r="E339" s="6" t="s">
        <v>581</v>
      </c>
      <c r="F339" s="6" t="s">
        <v>582</v>
      </c>
      <c r="G339" s="6">
        <v>9.900422566E9</v>
      </c>
      <c r="H339" s="6">
        <v>4.0148717E7</v>
      </c>
      <c r="I339" s="6" t="s">
        <v>226</v>
      </c>
      <c r="J339" s="6" t="s">
        <v>21</v>
      </c>
      <c r="K339" s="6" t="s">
        <v>22</v>
      </c>
      <c r="L339" s="6">
        <v>166.0</v>
      </c>
      <c r="M339" s="5">
        <v>46013.0</v>
      </c>
      <c r="N339" s="6" t="s">
        <v>23</v>
      </c>
      <c r="O339" s="6" t="str">
        <f>SUMIFS([1]order_sku_sales_bb2_report!P:P,[1]order_sku_sales_bb2_report!H:H,C28102,[1]order_sku_sales_bb2_report!J:J,H28102)</f>
        <v>#ERROR!</v>
      </c>
      <c r="P339" s="6" t="str">
        <f>SUMIFS([1]order_sku_sales_bb2_report!O:O,[1]order_sku_sales_bb2_report!H:H,C28102,[1]order_sku_sales_bb2_report!J:J,H28102)</f>
        <v>#ERROR!</v>
      </c>
      <c r="Q339" s="6" t="str">
        <f t="shared" si="1"/>
        <v>22-12-2025</v>
      </c>
      <c r="R339" s="6" t="str">
        <f>IFERROR( VLOOKUP(C28102,[1]expressOrderReport!$S:$AZ,34,0),0)</f>
        <v>#ERROR!</v>
      </c>
      <c r="S339" s="6" t="str">
        <f>ARRAY_CONSTRAIN(ARRAYFORMULA(_xludf.XLOOKUP(D28102,[1]order_Report_SA_ID_BB2.0!V:V,[1]order_Report_SA_ID_BB2.0!AM:AM,"")), 1, 1)</f>
        <v>#ERROR!</v>
      </c>
      <c r="T339" s="6" t="str">
        <f t="shared" si="2"/>
        <v>Dec'25</v>
      </c>
    </row>
    <row r="340" ht="15.75" customHeight="1">
      <c r="A340" s="5">
        <v>46013.0</v>
      </c>
      <c r="B340" s="6">
        <v>3791.0</v>
      </c>
      <c r="C340" s="6">
        <v>1.85916628E9</v>
      </c>
      <c r="D340" s="6">
        <v>1.9705489E7</v>
      </c>
      <c r="E340" s="6" t="s">
        <v>581</v>
      </c>
      <c r="F340" s="6" t="s">
        <v>582</v>
      </c>
      <c r="G340" s="6">
        <v>9.900422566E9</v>
      </c>
      <c r="H340" s="6">
        <v>277878.0</v>
      </c>
      <c r="I340" s="6" t="s">
        <v>583</v>
      </c>
      <c r="J340" s="6" t="s">
        <v>21</v>
      </c>
      <c r="K340" s="6" t="s">
        <v>22</v>
      </c>
      <c r="L340" s="6">
        <v>166.0</v>
      </c>
      <c r="M340" s="5">
        <v>46013.0</v>
      </c>
      <c r="N340" s="6" t="s">
        <v>23</v>
      </c>
      <c r="O340" s="6" t="str">
        <f>SUMIFS([1]order_sku_sales_bb2_report!P:P,[1]order_sku_sales_bb2_report!H:H,C28103,[1]order_sku_sales_bb2_report!J:J,H28103)</f>
        <v>#ERROR!</v>
      </c>
      <c r="P340" s="6" t="str">
        <f>SUMIFS([1]order_sku_sales_bb2_report!O:O,[1]order_sku_sales_bb2_report!H:H,C28103,[1]order_sku_sales_bb2_report!J:J,H28103)</f>
        <v>#ERROR!</v>
      </c>
      <c r="Q340" s="6" t="str">
        <f t="shared" si="1"/>
        <v>22-12-2025</v>
      </c>
      <c r="R340" s="6" t="str">
        <f>IFERROR( VLOOKUP(C28103,[1]expressOrderReport!$S:$AZ,34,0),0)</f>
        <v>#ERROR!</v>
      </c>
      <c r="S340" s="6" t="str">
        <f>ARRAY_CONSTRAIN(ARRAYFORMULA(_xludf.XLOOKUP(D28103,[1]order_Report_SA_ID_BB2.0!V:V,[1]order_Report_SA_ID_BB2.0!AM:AM,"")), 1, 1)</f>
        <v>#ERROR!</v>
      </c>
      <c r="T340" s="6" t="str">
        <f t="shared" si="2"/>
        <v>Dec'25</v>
      </c>
    </row>
    <row r="341" ht="15.75" customHeight="1">
      <c r="A341" s="5">
        <v>46013.0</v>
      </c>
      <c r="B341" s="6">
        <v>3804.0</v>
      </c>
      <c r="C341" s="6">
        <v>1.859166286E9</v>
      </c>
      <c r="D341" s="6">
        <v>4359857.0</v>
      </c>
      <c r="E341" s="6" t="s">
        <v>584</v>
      </c>
      <c r="F341" s="6" t="s">
        <v>585</v>
      </c>
      <c r="G341" s="6">
        <v>8.792586921E9</v>
      </c>
      <c r="H341" s="6">
        <v>4.0149832E7</v>
      </c>
      <c r="I341" s="6" t="s">
        <v>26</v>
      </c>
      <c r="J341" s="6" t="s">
        <v>21</v>
      </c>
      <c r="K341" s="6" t="s">
        <v>22</v>
      </c>
      <c r="L341" s="6">
        <v>96.0</v>
      </c>
      <c r="M341" s="5">
        <v>46013.0</v>
      </c>
      <c r="N341" s="6" t="s">
        <v>23</v>
      </c>
      <c r="O341" s="6" t="str">
        <f>SUMIFS([1]order_sku_sales_bb2_report!P:P,[1]order_sku_sales_bb2_report!H:H,C28104,[1]order_sku_sales_bb2_report!J:J,H28104)</f>
        <v>#ERROR!</v>
      </c>
      <c r="P341" s="6" t="str">
        <f>SUMIFS([1]order_sku_sales_bb2_report!O:O,[1]order_sku_sales_bb2_report!H:H,C28104,[1]order_sku_sales_bb2_report!J:J,H28104)</f>
        <v>#ERROR!</v>
      </c>
      <c r="Q341" s="6" t="str">
        <f t="shared" si="1"/>
        <v>22-12-2025</v>
      </c>
      <c r="R341" s="6" t="str">
        <f>IFERROR( VLOOKUP(C28104,[1]expressOrderReport!$S:$AZ,34,0),0)</f>
        <v>#ERROR!</v>
      </c>
      <c r="S341" s="6" t="str">
        <f>ARRAY_CONSTRAIN(ARRAYFORMULA(_xludf.XLOOKUP(D28104,[1]order_Report_SA_ID_BB2.0!V:V,[1]order_Report_SA_ID_BB2.0!AM:AM,"")), 1, 1)</f>
        <v>#ERROR!</v>
      </c>
      <c r="T341" s="6" t="str">
        <f t="shared" si="2"/>
        <v>Dec'25</v>
      </c>
    </row>
    <row r="342" ht="15.75" customHeight="1">
      <c r="A342" s="5">
        <v>46013.0</v>
      </c>
      <c r="B342" s="6">
        <v>3806.0</v>
      </c>
      <c r="C342" s="6">
        <v>1.859166294E9</v>
      </c>
      <c r="D342" s="6">
        <v>1456317.0</v>
      </c>
      <c r="E342" s="6" t="s">
        <v>586</v>
      </c>
      <c r="F342" s="6" t="s">
        <v>587</v>
      </c>
      <c r="G342" s="6">
        <v>9.341053391E9</v>
      </c>
      <c r="H342" s="6">
        <v>4.0148717E7</v>
      </c>
      <c r="I342" s="6" t="s">
        <v>226</v>
      </c>
      <c r="J342" s="6" t="s">
        <v>21</v>
      </c>
      <c r="K342" s="6" t="s">
        <v>22</v>
      </c>
      <c r="L342" s="6">
        <v>53.0</v>
      </c>
      <c r="M342" s="5">
        <v>46013.0</v>
      </c>
      <c r="N342" s="6" t="s">
        <v>23</v>
      </c>
      <c r="O342" s="6" t="str">
        <f>SUMIFS([1]order_sku_sales_bb2_report!P:P,[1]order_sku_sales_bb2_report!H:H,C28106,[1]order_sku_sales_bb2_report!J:J,H28106)</f>
        <v>#ERROR!</v>
      </c>
      <c r="P342" s="6" t="str">
        <f>SUMIFS([1]order_sku_sales_bb2_report!O:O,[1]order_sku_sales_bb2_report!H:H,C28106,[1]order_sku_sales_bb2_report!J:J,H28106)</f>
        <v>#ERROR!</v>
      </c>
      <c r="Q342" s="6" t="str">
        <f t="shared" si="1"/>
        <v>22-12-2025</v>
      </c>
      <c r="R342" s="6" t="str">
        <f>IFERROR( VLOOKUP(C28106,[1]expressOrderReport!$S:$AZ,34,0),0)</f>
        <v>#ERROR!</v>
      </c>
      <c r="S342" s="6" t="str">
        <f>ARRAY_CONSTRAIN(ARRAYFORMULA(_xludf.XLOOKUP(D28106,[1]order_Report_SA_ID_BB2.0!V:V,[1]order_Report_SA_ID_BB2.0!AM:AM,"")), 1, 1)</f>
        <v>#ERROR!</v>
      </c>
      <c r="T342" s="6" t="str">
        <f t="shared" si="2"/>
        <v>Dec'25</v>
      </c>
    </row>
    <row r="343" ht="15.75" customHeight="1">
      <c r="A343" s="5">
        <v>46013.0</v>
      </c>
      <c r="B343" s="6">
        <v>3810.0</v>
      </c>
      <c r="C343" s="6">
        <v>1.859166299E9</v>
      </c>
      <c r="D343" s="6">
        <v>7734748.0</v>
      </c>
      <c r="E343" s="6" t="s">
        <v>588</v>
      </c>
      <c r="F343" s="6"/>
      <c r="G343" s="6">
        <v>9.98013872E9</v>
      </c>
      <c r="H343" s="6">
        <v>4.0149832E7</v>
      </c>
      <c r="I343" s="6" t="s">
        <v>26</v>
      </c>
      <c r="J343" s="6" t="s">
        <v>21</v>
      </c>
      <c r="K343" s="6" t="s">
        <v>22</v>
      </c>
      <c r="L343" s="6">
        <v>24.0</v>
      </c>
      <c r="M343" s="5">
        <v>46013.0</v>
      </c>
      <c r="N343" s="6" t="s">
        <v>23</v>
      </c>
      <c r="O343" s="6" t="str">
        <f>SUMIFS([1]order_sku_sales_bb2_report!P:P,[1]order_sku_sales_bb2_report!H:H,C28107,[1]order_sku_sales_bb2_report!J:J,H28107)</f>
        <v>#ERROR!</v>
      </c>
      <c r="P343" s="6" t="str">
        <f>SUMIFS([1]order_sku_sales_bb2_report!O:O,[1]order_sku_sales_bb2_report!H:H,C28107,[1]order_sku_sales_bb2_report!J:J,H28107)</f>
        <v>#ERROR!</v>
      </c>
      <c r="Q343" s="6" t="str">
        <f t="shared" si="1"/>
        <v>22-12-2025</v>
      </c>
      <c r="R343" s="6" t="str">
        <f>IFERROR( VLOOKUP(C28107,[1]expressOrderReport!$S:$AZ,34,0),0)</f>
        <v>#ERROR!</v>
      </c>
      <c r="S343" s="6" t="str">
        <f>ARRAY_CONSTRAIN(ARRAYFORMULA(_xludf.XLOOKUP(D28107,[1]order_Report_SA_ID_BB2.0!V:V,[1]order_Report_SA_ID_BB2.0!AM:AM,"")), 1, 1)</f>
        <v>#ERROR!</v>
      </c>
      <c r="T343" s="6" t="str">
        <f t="shared" si="2"/>
        <v>Dec'25</v>
      </c>
    </row>
    <row r="344" ht="15.75" customHeight="1">
      <c r="A344" s="5">
        <v>46013.0</v>
      </c>
      <c r="B344" s="6">
        <v>3808.0</v>
      </c>
      <c r="C344" s="6">
        <v>1.85916631E9</v>
      </c>
      <c r="D344" s="6">
        <v>524578.0</v>
      </c>
      <c r="E344" s="6" t="s">
        <v>589</v>
      </c>
      <c r="F344" s="6" t="s">
        <v>590</v>
      </c>
      <c r="G344" s="6">
        <v>9.535274684E9</v>
      </c>
      <c r="H344" s="6">
        <v>4.0149832E7</v>
      </c>
      <c r="I344" s="6" t="s">
        <v>26</v>
      </c>
      <c r="J344" s="6" t="s">
        <v>21</v>
      </c>
      <c r="K344" s="6" t="s">
        <v>22</v>
      </c>
      <c r="L344" s="6">
        <v>120.0</v>
      </c>
      <c r="M344" s="5">
        <v>46013.0</v>
      </c>
      <c r="N344" s="6" t="s">
        <v>23</v>
      </c>
      <c r="O344" s="6" t="str">
        <f>SUMIFS([1]order_sku_sales_bb2_report!P:P,[1]order_sku_sales_bb2_report!H:H,C28108,[1]order_sku_sales_bb2_report!J:J,H28108)</f>
        <v>#ERROR!</v>
      </c>
      <c r="P344" s="6" t="str">
        <f>SUMIFS([1]order_sku_sales_bb2_report!O:O,[1]order_sku_sales_bb2_report!H:H,C28108,[1]order_sku_sales_bb2_report!J:J,H28108)</f>
        <v>#ERROR!</v>
      </c>
      <c r="Q344" s="6" t="str">
        <f t="shared" si="1"/>
        <v>22-12-2025</v>
      </c>
      <c r="R344" s="6" t="str">
        <f>IFERROR( VLOOKUP(C28108,[1]expressOrderReport!$S:$AZ,34,0),0)</f>
        <v>#ERROR!</v>
      </c>
      <c r="S344" s="6" t="str">
        <f>ARRAY_CONSTRAIN(ARRAYFORMULA(_xludf.XLOOKUP(D28108,[1]order_Report_SA_ID_BB2.0!V:V,[1]order_Report_SA_ID_BB2.0!AM:AM,"")), 1, 1)</f>
        <v>#ERROR!</v>
      </c>
      <c r="T344" s="6" t="str">
        <f t="shared" si="2"/>
        <v>Dec'25</v>
      </c>
    </row>
    <row r="345" ht="15.75" customHeight="1">
      <c r="A345" s="5">
        <v>46013.0</v>
      </c>
      <c r="B345" s="6">
        <v>3823.0</v>
      </c>
      <c r="C345" s="6">
        <v>1.859166315E9</v>
      </c>
      <c r="D345" s="6">
        <v>60155.0</v>
      </c>
      <c r="E345" s="6" t="s">
        <v>591</v>
      </c>
      <c r="F345" s="6" t="s">
        <v>592</v>
      </c>
      <c r="G345" s="6">
        <v>9.986014383E9</v>
      </c>
      <c r="H345" s="6">
        <v>4.0149832E7</v>
      </c>
      <c r="I345" s="6" t="s">
        <v>26</v>
      </c>
      <c r="J345" s="6" t="s">
        <v>21</v>
      </c>
      <c r="K345" s="6" t="s">
        <v>22</v>
      </c>
      <c r="L345" s="6">
        <v>24.0</v>
      </c>
      <c r="M345" s="5">
        <v>46013.0</v>
      </c>
      <c r="N345" s="6" t="s">
        <v>23</v>
      </c>
      <c r="O345" s="6" t="str">
        <f>SUMIFS([1]order_sku_sales_bb2_report!P:P,[1]order_sku_sales_bb2_report!H:H,C28109,[1]order_sku_sales_bb2_report!J:J,H28109)</f>
        <v>#ERROR!</v>
      </c>
      <c r="P345" s="6" t="str">
        <f>SUMIFS([1]order_sku_sales_bb2_report!O:O,[1]order_sku_sales_bb2_report!H:H,C28109,[1]order_sku_sales_bb2_report!J:J,H28109)</f>
        <v>#ERROR!</v>
      </c>
      <c r="Q345" s="6" t="str">
        <f t="shared" si="1"/>
        <v>22-12-2025</v>
      </c>
      <c r="R345" s="6" t="str">
        <f>IFERROR( VLOOKUP(C28109,[1]expressOrderReport!$S:$AZ,34,0),0)</f>
        <v>#ERROR!</v>
      </c>
      <c r="S345" s="6" t="str">
        <f>ARRAY_CONSTRAIN(ARRAYFORMULA(_xludf.XLOOKUP(D28109,[1]order_Report_SA_ID_BB2.0!V:V,[1]order_Report_SA_ID_BB2.0!AM:AM,"")), 1, 1)</f>
        <v>#ERROR!</v>
      </c>
      <c r="T345" s="6" t="str">
        <f t="shared" si="2"/>
        <v>Dec'25</v>
      </c>
    </row>
    <row r="346" ht="15.75" customHeight="1">
      <c r="A346" s="5">
        <v>46013.0</v>
      </c>
      <c r="B346" s="6">
        <v>3830.0</v>
      </c>
      <c r="C346" s="6">
        <v>1.85916632E9</v>
      </c>
      <c r="D346" s="6">
        <v>2.0091068E7</v>
      </c>
      <c r="E346" s="6" t="s">
        <v>593</v>
      </c>
      <c r="F346" s="6" t="s">
        <v>594</v>
      </c>
      <c r="G346" s="6">
        <v>9.945280723E9</v>
      </c>
      <c r="H346" s="6">
        <v>4.0149832E7</v>
      </c>
      <c r="I346" s="6" t="s">
        <v>26</v>
      </c>
      <c r="J346" s="6" t="s">
        <v>21</v>
      </c>
      <c r="K346" s="6" t="s">
        <v>22</v>
      </c>
      <c r="L346" s="6">
        <v>96.0</v>
      </c>
      <c r="M346" s="5">
        <v>46013.0</v>
      </c>
      <c r="N346" s="6" t="s">
        <v>23</v>
      </c>
      <c r="O346" s="6" t="str">
        <f>SUMIFS([1]order_sku_sales_bb2_report!P:P,[1]order_sku_sales_bb2_report!H:H,C28110,[1]order_sku_sales_bb2_report!J:J,H28110)</f>
        <v>#ERROR!</v>
      </c>
      <c r="P346" s="6" t="str">
        <f>SUMIFS([1]order_sku_sales_bb2_report!O:O,[1]order_sku_sales_bb2_report!H:H,C28110,[1]order_sku_sales_bb2_report!J:J,H28110)</f>
        <v>#ERROR!</v>
      </c>
      <c r="Q346" s="6" t="str">
        <f t="shared" si="1"/>
        <v>22-12-2025</v>
      </c>
      <c r="R346" s="6" t="str">
        <f>IFERROR( VLOOKUP(C28110,[1]expressOrderReport!$S:$AZ,34,0),0)</f>
        <v>#ERROR!</v>
      </c>
      <c r="S346" s="6" t="str">
        <f>ARRAY_CONSTRAIN(ARRAYFORMULA(_xludf.XLOOKUP(D28110,[1]order_Report_SA_ID_BB2.0!V:V,[1]order_Report_SA_ID_BB2.0!AM:AM,"")), 1, 1)</f>
        <v>#ERROR!</v>
      </c>
      <c r="T346" s="6" t="str">
        <f t="shared" si="2"/>
        <v>Dec'25</v>
      </c>
    </row>
    <row r="347" ht="15.75" customHeight="1">
      <c r="A347" s="5">
        <v>46013.0</v>
      </c>
      <c r="B347" s="6">
        <v>3877.0</v>
      </c>
      <c r="C347" s="6">
        <v>1.859166326E9</v>
      </c>
      <c r="D347" s="6">
        <v>2.6427849E7</v>
      </c>
      <c r="E347" s="6" t="s">
        <v>595</v>
      </c>
      <c r="F347" s="6" t="s">
        <v>596</v>
      </c>
      <c r="G347" s="6">
        <v>6.364299544E9</v>
      </c>
      <c r="H347" s="6">
        <v>4.0158264E7</v>
      </c>
      <c r="I347" s="6" t="s">
        <v>26</v>
      </c>
      <c r="J347" s="6" t="s">
        <v>21</v>
      </c>
      <c r="K347" s="6" t="s">
        <v>22</v>
      </c>
      <c r="L347" s="6">
        <v>70.0</v>
      </c>
      <c r="M347" s="5">
        <v>46013.0</v>
      </c>
      <c r="N347" s="6" t="s">
        <v>23</v>
      </c>
      <c r="O347" s="6" t="str">
        <f>SUMIFS([1]order_sku_sales_bb2_report!P:P,[1]order_sku_sales_bb2_report!H:H,C28111,[1]order_sku_sales_bb2_report!J:J,H28111)</f>
        <v>#ERROR!</v>
      </c>
      <c r="P347" s="6" t="str">
        <f>SUMIFS([1]order_sku_sales_bb2_report!O:O,[1]order_sku_sales_bb2_report!H:H,C28111,[1]order_sku_sales_bb2_report!J:J,H28111)</f>
        <v>#ERROR!</v>
      </c>
      <c r="Q347" s="6" t="str">
        <f t="shared" si="1"/>
        <v>22-12-2025</v>
      </c>
      <c r="R347" s="6" t="str">
        <f>IFERROR( VLOOKUP(C28111,[1]expressOrderReport!$S:$AZ,34,0),0)</f>
        <v>#ERROR!</v>
      </c>
      <c r="S347" s="6" t="str">
        <f>ARRAY_CONSTRAIN(ARRAYFORMULA(_xludf.XLOOKUP(D28111,[1]order_Report_SA_ID_BB2.0!V:V,[1]order_Report_SA_ID_BB2.0!AM:AM,"")), 1, 1)</f>
        <v>#ERROR!</v>
      </c>
      <c r="T347" s="6" t="str">
        <f t="shared" si="2"/>
        <v>Dec'25</v>
      </c>
    </row>
    <row r="348" ht="15.75" customHeight="1">
      <c r="A348" s="5">
        <v>46013.0</v>
      </c>
      <c r="B348" s="6">
        <v>5962.0</v>
      </c>
      <c r="C348" s="6">
        <v>1.859166326E9</v>
      </c>
      <c r="D348" s="6">
        <v>2.6427849E7</v>
      </c>
      <c r="E348" s="6" t="s">
        <v>595</v>
      </c>
      <c r="F348" s="6" t="s">
        <v>596</v>
      </c>
      <c r="G348" s="6">
        <v>6.364299544E9</v>
      </c>
      <c r="H348" s="6">
        <v>4.0149832E7</v>
      </c>
      <c r="I348" s="6" t="s">
        <v>26</v>
      </c>
      <c r="J348" s="6" t="s">
        <v>21</v>
      </c>
      <c r="K348" s="6" t="s">
        <v>22</v>
      </c>
      <c r="L348" s="6">
        <v>70.0</v>
      </c>
      <c r="M348" s="5">
        <v>46013.0</v>
      </c>
      <c r="N348" s="6" t="s">
        <v>23</v>
      </c>
      <c r="O348" s="6" t="str">
        <f>SUMIFS([1]order_sku_sales_bb2_report!P:P,[1]order_sku_sales_bb2_report!H:H,C28112,[1]order_sku_sales_bb2_report!J:J,H28112)</f>
        <v>#ERROR!</v>
      </c>
      <c r="P348" s="6" t="str">
        <f>SUMIFS([1]order_sku_sales_bb2_report!O:O,[1]order_sku_sales_bb2_report!H:H,C28112,[1]order_sku_sales_bb2_report!J:J,H28112)</f>
        <v>#ERROR!</v>
      </c>
      <c r="Q348" s="6" t="str">
        <f t="shared" si="1"/>
        <v>22-12-2025</v>
      </c>
      <c r="R348" s="6" t="str">
        <f>IFERROR( VLOOKUP(C28112,[1]expressOrderReport!$S:$AZ,34,0),0)</f>
        <v>#ERROR!</v>
      </c>
      <c r="S348" s="6" t="str">
        <f>ARRAY_CONSTRAIN(ARRAYFORMULA(_xludf.XLOOKUP(D28112,[1]order_Report_SA_ID_BB2.0!V:V,[1]order_Report_SA_ID_BB2.0!AM:AM,"")), 1, 1)</f>
        <v>#ERROR!</v>
      </c>
      <c r="T348" s="6" t="str">
        <f t="shared" si="2"/>
        <v>Dec'25</v>
      </c>
    </row>
    <row r="349" ht="15.75" customHeight="1">
      <c r="A349" s="5">
        <v>46013.0</v>
      </c>
      <c r="B349" s="6">
        <v>3902.0</v>
      </c>
      <c r="C349" s="6">
        <v>1.859166331E9</v>
      </c>
      <c r="D349" s="6">
        <v>1.7600773E7</v>
      </c>
      <c r="E349" s="6" t="s">
        <v>597</v>
      </c>
      <c r="F349" s="6" t="s">
        <v>598</v>
      </c>
      <c r="G349" s="6">
        <v>9.819306269E9</v>
      </c>
      <c r="H349" s="6">
        <v>4.0090894E7</v>
      </c>
      <c r="I349" s="6" t="s">
        <v>62</v>
      </c>
      <c r="J349" s="6" t="s">
        <v>21</v>
      </c>
      <c r="K349" s="6" t="s">
        <v>27</v>
      </c>
      <c r="L349" s="6">
        <v>28.0</v>
      </c>
      <c r="M349" s="5">
        <v>46013.0</v>
      </c>
      <c r="N349" s="6" t="s">
        <v>23</v>
      </c>
      <c r="O349" s="6" t="str">
        <f>SUMIFS([1]order_sku_sales_bb2_report!P:P,[1]order_sku_sales_bb2_report!H:H,C28113,[1]order_sku_sales_bb2_report!J:J,H28113)</f>
        <v>#ERROR!</v>
      </c>
      <c r="P349" s="6" t="str">
        <f>SUMIFS([1]order_sku_sales_bb2_report!O:O,[1]order_sku_sales_bb2_report!H:H,C28113,[1]order_sku_sales_bb2_report!J:J,H28113)</f>
        <v>#ERROR!</v>
      </c>
      <c r="Q349" s="6" t="str">
        <f t="shared" si="1"/>
        <v>22-12-2025</v>
      </c>
      <c r="R349" s="6" t="str">
        <f>IFERROR( VLOOKUP(C28113,[1]expressOrderReport!$S:$AZ,34,0),0)</f>
        <v>#ERROR!</v>
      </c>
      <c r="S349" s="6" t="str">
        <f>ARRAY_CONSTRAIN(ARRAYFORMULA(_xludf.XLOOKUP(D28113,[1]order_Report_SA_ID_BB2.0!V:V,[1]order_Report_SA_ID_BB2.0!AM:AM,"")), 1, 1)</f>
        <v>#ERROR!</v>
      </c>
      <c r="T349" s="6" t="str">
        <f t="shared" si="2"/>
        <v>Dec'25</v>
      </c>
    </row>
    <row r="350" ht="15.75" customHeight="1">
      <c r="A350" s="5">
        <v>46013.0</v>
      </c>
      <c r="B350" s="6">
        <v>3909.0</v>
      </c>
      <c r="C350" s="6">
        <v>1.859166337E9</v>
      </c>
      <c r="D350" s="6">
        <v>306373.0</v>
      </c>
      <c r="E350" s="6" t="s">
        <v>599</v>
      </c>
      <c r="F350" s="6" t="s">
        <v>600</v>
      </c>
      <c r="G350" s="6">
        <v>9.886300033E9</v>
      </c>
      <c r="H350" s="6">
        <v>4.0149832E7</v>
      </c>
      <c r="I350" s="6" t="s">
        <v>26</v>
      </c>
      <c r="J350" s="6" t="s">
        <v>21</v>
      </c>
      <c r="K350" s="6" t="s">
        <v>27</v>
      </c>
      <c r="L350" s="6">
        <v>72.0</v>
      </c>
      <c r="M350" s="5">
        <v>46013.0</v>
      </c>
      <c r="N350" s="6" t="s">
        <v>23</v>
      </c>
      <c r="O350" s="6" t="str">
        <f>SUMIFS([1]order_sku_sales_bb2_report!P:P,[1]order_sku_sales_bb2_report!H:H,C28114,[1]order_sku_sales_bb2_report!J:J,H28114)</f>
        <v>#ERROR!</v>
      </c>
      <c r="P350" s="6" t="str">
        <f>SUMIFS([1]order_sku_sales_bb2_report!O:O,[1]order_sku_sales_bb2_report!H:H,C28114,[1]order_sku_sales_bb2_report!J:J,H28114)</f>
        <v>#ERROR!</v>
      </c>
      <c r="Q350" s="6" t="str">
        <f t="shared" si="1"/>
        <v>22-12-2025</v>
      </c>
      <c r="R350" s="6" t="str">
        <f>IFERROR( VLOOKUP(C28114,[1]expressOrderReport!$S:$AZ,34,0),0)</f>
        <v>#ERROR!</v>
      </c>
      <c r="S350" s="6" t="str">
        <f>ARRAY_CONSTRAIN(ARRAYFORMULA(_xludf.XLOOKUP(D28114,[1]order_Report_SA_ID_BB2.0!V:V,[1]order_Report_SA_ID_BB2.0!AM:AM,"")), 1, 1)</f>
        <v>#ERROR!</v>
      </c>
      <c r="T350" s="6" t="str">
        <f t="shared" si="2"/>
        <v>Dec'25</v>
      </c>
    </row>
    <row r="351" ht="15.75" customHeight="1">
      <c r="A351" s="5">
        <v>46013.0</v>
      </c>
      <c r="B351" s="6">
        <v>3914.0</v>
      </c>
      <c r="C351" s="6">
        <v>1.859166344E9</v>
      </c>
      <c r="D351" s="6">
        <v>1.1771086E7</v>
      </c>
      <c r="E351" s="6" t="s">
        <v>601</v>
      </c>
      <c r="F351" s="6" t="s">
        <v>602</v>
      </c>
      <c r="G351" s="6">
        <v>9.831392911E9</v>
      </c>
      <c r="H351" s="6">
        <v>4.0149834E7</v>
      </c>
      <c r="I351" s="6" t="s">
        <v>40</v>
      </c>
      <c r="J351" s="6" t="s">
        <v>21</v>
      </c>
      <c r="K351" s="6" t="s">
        <v>22</v>
      </c>
      <c r="L351" s="6">
        <v>131.0</v>
      </c>
      <c r="M351" s="5">
        <v>46013.0</v>
      </c>
      <c r="N351" s="6" t="s">
        <v>23</v>
      </c>
      <c r="O351" s="6" t="str">
        <f>SUMIFS([1]order_sku_sales_bb2_report!P:P,[1]order_sku_sales_bb2_report!H:H,C28115,[1]order_sku_sales_bb2_report!J:J,H28115)</f>
        <v>#ERROR!</v>
      </c>
      <c r="P351" s="6" t="str">
        <f>SUMIFS([1]order_sku_sales_bb2_report!O:O,[1]order_sku_sales_bb2_report!H:H,C28115,[1]order_sku_sales_bb2_report!J:J,H28115)</f>
        <v>#ERROR!</v>
      </c>
      <c r="Q351" s="6" t="str">
        <f t="shared" si="1"/>
        <v>22-12-2025</v>
      </c>
      <c r="R351" s="6" t="str">
        <f>IFERROR( VLOOKUP(C28115,[1]expressOrderReport!$S:$AZ,34,0),0)</f>
        <v>#ERROR!</v>
      </c>
      <c r="S351" s="6" t="str">
        <f>ARRAY_CONSTRAIN(ARRAYFORMULA(_xludf.XLOOKUP(D28115,[1]order_Report_SA_ID_BB2.0!V:V,[1]order_Report_SA_ID_BB2.0!AM:AM,"")), 1, 1)</f>
        <v>#ERROR!</v>
      </c>
      <c r="T351" s="6" t="str">
        <f t="shared" si="2"/>
        <v>Dec'25</v>
      </c>
    </row>
    <row r="352" ht="15.75" customHeight="1">
      <c r="A352" s="5">
        <v>46013.0</v>
      </c>
      <c r="B352" s="6">
        <v>3916.0</v>
      </c>
      <c r="C352" s="6">
        <v>1.859166344E9</v>
      </c>
      <c r="D352" s="6">
        <v>1.1771086E7</v>
      </c>
      <c r="E352" s="6" t="s">
        <v>601</v>
      </c>
      <c r="F352" s="6" t="s">
        <v>602</v>
      </c>
      <c r="G352" s="6">
        <v>9.831392911E9</v>
      </c>
      <c r="H352" s="6">
        <v>4.0149833E7</v>
      </c>
      <c r="I352" s="6" t="s">
        <v>40</v>
      </c>
      <c r="J352" s="6" t="s">
        <v>21</v>
      </c>
      <c r="K352" s="6" t="s">
        <v>22</v>
      </c>
      <c r="L352" s="6">
        <v>131.0</v>
      </c>
      <c r="M352" s="5">
        <v>46013.0</v>
      </c>
      <c r="N352" s="6" t="s">
        <v>23</v>
      </c>
      <c r="O352" s="6" t="str">
        <f>SUMIFS([1]order_sku_sales_bb2_report!P:P,[1]order_sku_sales_bb2_report!H:H,C28116,[1]order_sku_sales_bb2_report!J:J,H28116)</f>
        <v>#ERROR!</v>
      </c>
      <c r="P352" s="6" t="str">
        <f>SUMIFS([1]order_sku_sales_bb2_report!O:O,[1]order_sku_sales_bb2_report!H:H,C28116,[1]order_sku_sales_bb2_report!J:J,H28116)</f>
        <v>#ERROR!</v>
      </c>
      <c r="Q352" s="6" t="str">
        <f t="shared" si="1"/>
        <v>22-12-2025</v>
      </c>
      <c r="R352" s="6" t="str">
        <f>IFERROR( VLOOKUP(C28116,[1]expressOrderReport!$S:$AZ,34,0),0)</f>
        <v>#ERROR!</v>
      </c>
      <c r="S352" s="6" t="str">
        <f>ARRAY_CONSTRAIN(ARRAYFORMULA(_xludf.XLOOKUP(D28116,[1]order_Report_SA_ID_BB2.0!V:V,[1]order_Report_SA_ID_BB2.0!AM:AM,"")), 1, 1)</f>
        <v>#ERROR!</v>
      </c>
      <c r="T352" s="6" t="str">
        <f t="shared" si="2"/>
        <v>Dec'25</v>
      </c>
    </row>
    <row r="353" ht="15.75" customHeight="1">
      <c r="A353" s="5">
        <v>46013.0</v>
      </c>
      <c r="B353" s="6">
        <v>3915.0</v>
      </c>
      <c r="C353" s="6">
        <v>1.859166351E9</v>
      </c>
      <c r="D353" s="6">
        <v>1.0051125E7</v>
      </c>
      <c r="E353" s="6" t="s">
        <v>603</v>
      </c>
      <c r="F353" s="6" t="s">
        <v>604</v>
      </c>
      <c r="G353" s="6">
        <v>7.970062262E9</v>
      </c>
      <c r="H353" s="6">
        <v>4.0149834E7</v>
      </c>
      <c r="I353" s="6" t="s">
        <v>40</v>
      </c>
      <c r="J353" s="6" t="s">
        <v>21</v>
      </c>
      <c r="K353" s="6" t="s">
        <v>22</v>
      </c>
      <c r="L353" s="6">
        <v>52.0</v>
      </c>
      <c r="M353" s="5">
        <v>46013.0</v>
      </c>
      <c r="N353" s="6" t="s">
        <v>23</v>
      </c>
      <c r="O353" s="6" t="str">
        <f>SUMIFS([1]order_sku_sales_bb2_report!P:P,[1]order_sku_sales_bb2_report!H:H,C28117,[1]order_sku_sales_bb2_report!J:J,H28117)</f>
        <v>#ERROR!</v>
      </c>
      <c r="P353" s="6" t="str">
        <f>SUMIFS([1]order_sku_sales_bb2_report!O:O,[1]order_sku_sales_bb2_report!H:H,C28117,[1]order_sku_sales_bb2_report!J:J,H28117)</f>
        <v>#ERROR!</v>
      </c>
      <c r="Q353" s="6" t="str">
        <f t="shared" si="1"/>
        <v>22-12-2025</v>
      </c>
      <c r="R353" s="6" t="str">
        <f>IFERROR( VLOOKUP(C28117,[1]expressOrderReport!$S:$AZ,34,0),0)</f>
        <v>#ERROR!</v>
      </c>
      <c r="S353" s="6" t="str">
        <f>ARRAY_CONSTRAIN(ARRAYFORMULA(_xludf.XLOOKUP(D28117,[1]order_Report_SA_ID_BB2.0!V:V,[1]order_Report_SA_ID_BB2.0!AM:AM,"")), 1, 1)</f>
        <v>#ERROR!</v>
      </c>
      <c r="T353" s="6" t="str">
        <f t="shared" si="2"/>
        <v>Dec'25</v>
      </c>
    </row>
    <row r="354" ht="15.75" customHeight="1">
      <c r="A354" s="5">
        <v>46013.0</v>
      </c>
      <c r="B354" s="6">
        <v>3919.0</v>
      </c>
      <c r="C354" s="6">
        <v>1.859166357E9</v>
      </c>
      <c r="D354" s="6">
        <v>3096613.0</v>
      </c>
      <c r="E354" s="6" t="s">
        <v>605</v>
      </c>
      <c r="F354" s="6" t="s">
        <v>606</v>
      </c>
      <c r="G354" s="6">
        <v>9.90183991E9</v>
      </c>
      <c r="H354" s="6">
        <v>4.0149832E7</v>
      </c>
      <c r="I354" s="6" t="s">
        <v>26</v>
      </c>
      <c r="J354" s="6" t="s">
        <v>21</v>
      </c>
      <c r="K354" s="6" t="s">
        <v>22</v>
      </c>
      <c r="L354" s="6">
        <v>72.0</v>
      </c>
      <c r="M354" s="5">
        <v>46013.0</v>
      </c>
      <c r="N354" s="6" t="s">
        <v>23</v>
      </c>
      <c r="O354" s="6" t="str">
        <f>SUMIFS([1]order_sku_sales_bb2_report!P:P,[1]order_sku_sales_bb2_report!H:H,C28118,[1]order_sku_sales_bb2_report!J:J,H28118)</f>
        <v>#ERROR!</v>
      </c>
      <c r="P354" s="6" t="str">
        <f>SUMIFS([1]order_sku_sales_bb2_report!O:O,[1]order_sku_sales_bb2_report!H:H,C28118,[1]order_sku_sales_bb2_report!J:J,H28118)</f>
        <v>#ERROR!</v>
      </c>
      <c r="Q354" s="6" t="str">
        <f t="shared" si="1"/>
        <v>22-12-2025</v>
      </c>
      <c r="R354" s="6" t="str">
        <f>IFERROR( VLOOKUP(C28118,[1]expressOrderReport!$S:$AZ,34,0),0)</f>
        <v>#ERROR!</v>
      </c>
      <c r="S354" s="6" t="str">
        <f>ARRAY_CONSTRAIN(ARRAYFORMULA(_xludf.XLOOKUP(D28118,[1]order_Report_SA_ID_BB2.0!V:V,[1]order_Report_SA_ID_BB2.0!AM:AM,"")), 1, 1)</f>
        <v>#ERROR!</v>
      </c>
      <c r="T354" s="6" t="str">
        <f t="shared" si="2"/>
        <v>Dec'25</v>
      </c>
    </row>
    <row r="355" ht="15.75" customHeight="1">
      <c r="A355" s="5">
        <v>46013.0</v>
      </c>
      <c r="B355" s="6">
        <v>3942.0</v>
      </c>
      <c r="C355" s="6">
        <v>1.859166365E9</v>
      </c>
      <c r="D355" s="6">
        <v>1918784.0</v>
      </c>
      <c r="E355" s="6" t="s">
        <v>414</v>
      </c>
      <c r="F355" s="6" t="s">
        <v>415</v>
      </c>
      <c r="G355" s="6">
        <v>7.760200537E9</v>
      </c>
      <c r="H355" s="6">
        <v>4.0158264E7</v>
      </c>
      <c r="I355" s="6" t="s">
        <v>26</v>
      </c>
      <c r="J355" s="6" t="s">
        <v>21</v>
      </c>
      <c r="K355" s="6" t="s">
        <v>22</v>
      </c>
      <c r="L355" s="6">
        <v>70.0</v>
      </c>
      <c r="M355" s="5">
        <v>46013.0</v>
      </c>
      <c r="N355" s="6" t="s">
        <v>23</v>
      </c>
      <c r="O355" s="6" t="str">
        <f>SUMIFS([1]order_sku_sales_bb2_report!P:P,[1]order_sku_sales_bb2_report!H:H,C28119,[1]order_sku_sales_bb2_report!J:J,H28119)</f>
        <v>#ERROR!</v>
      </c>
      <c r="P355" s="6" t="str">
        <f>SUMIFS([1]order_sku_sales_bb2_report!O:O,[1]order_sku_sales_bb2_report!H:H,C28119,[1]order_sku_sales_bb2_report!J:J,H28119)</f>
        <v>#ERROR!</v>
      </c>
      <c r="Q355" s="6" t="str">
        <f t="shared" si="1"/>
        <v>22-12-2025</v>
      </c>
      <c r="R355" s="6" t="str">
        <f>IFERROR( VLOOKUP(C28119,[1]expressOrderReport!$S:$AZ,34,0),0)</f>
        <v>#ERROR!</v>
      </c>
      <c r="S355" s="6" t="str">
        <f>ARRAY_CONSTRAIN(ARRAYFORMULA(_xludf.XLOOKUP(D28119,[1]order_Report_SA_ID_BB2.0!V:V,[1]order_Report_SA_ID_BB2.0!AM:AM,"")), 1, 1)</f>
        <v>#ERROR!</v>
      </c>
      <c r="T355" s="6" t="str">
        <f t="shared" si="2"/>
        <v>Dec'25</v>
      </c>
    </row>
    <row r="356" ht="15.75" customHeight="1">
      <c r="A356" s="5">
        <v>46013.0</v>
      </c>
      <c r="B356" s="6">
        <v>3943.0</v>
      </c>
      <c r="C356" s="6">
        <v>1.859166365E9</v>
      </c>
      <c r="D356" s="6">
        <v>1918784.0</v>
      </c>
      <c r="E356" s="6" t="s">
        <v>414</v>
      </c>
      <c r="F356" s="6" t="s">
        <v>415</v>
      </c>
      <c r="G356" s="6">
        <v>7.760200537E9</v>
      </c>
      <c r="H356" s="6">
        <v>4.0149832E7</v>
      </c>
      <c r="I356" s="6" t="s">
        <v>26</v>
      </c>
      <c r="J356" s="6" t="s">
        <v>21</v>
      </c>
      <c r="K356" s="6" t="s">
        <v>22</v>
      </c>
      <c r="L356" s="6">
        <v>70.0</v>
      </c>
      <c r="M356" s="5">
        <v>46013.0</v>
      </c>
      <c r="N356" s="6" t="s">
        <v>23</v>
      </c>
      <c r="O356" s="6" t="str">
        <f>SUMIFS([1]order_sku_sales_bb2_report!P:P,[1]order_sku_sales_bb2_report!H:H,C28120,[1]order_sku_sales_bb2_report!J:J,H28120)</f>
        <v>#ERROR!</v>
      </c>
      <c r="P356" s="6" t="str">
        <f>SUMIFS([1]order_sku_sales_bb2_report!O:O,[1]order_sku_sales_bb2_report!H:H,C28120,[1]order_sku_sales_bb2_report!J:J,H28120)</f>
        <v>#ERROR!</v>
      </c>
      <c r="Q356" s="6" t="str">
        <f t="shared" si="1"/>
        <v>22-12-2025</v>
      </c>
      <c r="R356" s="6" t="str">
        <f>IFERROR( VLOOKUP(C28120,[1]expressOrderReport!$S:$AZ,34,0),0)</f>
        <v>#ERROR!</v>
      </c>
      <c r="S356" s="6" t="str">
        <f>ARRAY_CONSTRAIN(ARRAYFORMULA(_xludf.XLOOKUP(D28120,[1]order_Report_SA_ID_BB2.0!V:V,[1]order_Report_SA_ID_BB2.0!AM:AM,"")), 1, 1)</f>
        <v>#ERROR!</v>
      </c>
      <c r="T356" s="6" t="str">
        <f t="shared" si="2"/>
        <v>Dec'25</v>
      </c>
    </row>
    <row r="357" ht="15.75" customHeight="1">
      <c r="A357" s="5">
        <v>46013.0</v>
      </c>
      <c r="B357" s="6">
        <v>3952.0</v>
      </c>
      <c r="C357" s="6">
        <v>1.859166371E9</v>
      </c>
      <c r="D357" s="6">
        <v>6.3371449E7</v>
      </c>
      <c r="E357" s="6" t="s">
        <v>607</v>
      </c>
      <c r="F357" s="6" t="s">
        <v>608</v>
      </c>
      <c r="G357" s="6">
        <v>9.74098089E9</v>
      </c>
      <c r="H357" s="6">
        <v>4.0149833E7</v>
      </c>
      <c r="I357" s="6" t="s">
        <v>40</v>
      </c>
      <c r="J357" s="6" t="s">
        <v>21</v>
      </c>
      <c r="K357" s="6" t="s">
        <v>27</v>
      </c>
      <c r="L357" s="6">
        <v>27.0</v>
      </c>
      <c r="M357" s="5">
        <v>46013.0</v>
      </c>
      <c r="N357" s="6" t="s">
        <v>23</v>
      </c>
      <c r="O357" s="6" t="str">
        <f>SUMIFS([1]order_sku_sales_bb2_report!P:P,[1]order_sku_sales_bb2_report!H:H,C28121,[1]order_sku_sales_bb2_report!J:J,H28121)</f>
        <v>#ERROR!</v>
      </c>
      <c r="P357" s="6" t="str">
        <f>SUMIFS([1]order_sku_sales_bb2_report!O:O,[1]order_sku_sales_bb2_report!H:H,C28121,[1]order_sku_sales_bb2_report!J:J,H28121)</f>
        <v>#ERROR!</v>
      </c>
      <c r="Q357" s="6" t="str">
        <f t="shared" si="1"/>
        <v>22-12-2025</v>
      </c>
      <c r="R357" s="6" t="str">
        <f>IFERROR( VLOOKUP(C28121,[1]expressOrderReport!$S:$AZ,34,0),0)</f>
        <v>#ERROR!</v>
      </c>
      <c r="S357" s="6" t="str">
        <f>ARRAY_CONSTRAIN(ARRAYFORMULA(_xludf.XLOOKUP(D28121,[1]order_Report_SA_ID_BB2.0!V:V,[1]order_Report_SA_ID_BB2.0!AM:AM,"")), 1, 1)</f>
        <v>#ERROR!</v>
      </c>
      <c r="T357" s="6" t="str">
        <f t="shared" si="2"/>
        <v>Dec'25</v>
      </c>
    </row>
    <row r="358" ht="15.75" customHeight="1">
      <c r="A358" s="5">
        <v>46013.0</v>
      </c>
      <c r="B358" s="6">
        <v>4013.0</v>
      </c>
      <c r="C358" s="6">
        <v>1.859166376E9</v>
      </c>
      <c r="D358" s="6">
        <v>3706787.0</v>
      </c>
      <c r="E358" s="6" t="s">
        <v>609</v>
      </c>
      <c r="F358" s="6" t="s">
        <v>610</v>
      </c>
      <c r="G358" s="6">
        <v>7.702082698E9</v>
      </c>
      <c r="H358" s="6">
        <v>4.0147597E7</v>
      </c>
      <c r="I358" s="6" t="s">
        <v>59</v>
      </c>
      <c r="J358" s="6" t="s">
        <v>21</v>
      </c>
      <c r="K358" s="6" t="s">
        <v>22</v>
      </c>
      <c r="L358" s="6">
        <v>26.0</v>
      </c>
      <c r="M358" s="5">
        <v>46013.0</v>
      </c>
      <c r="N358" s="6" t="s">
        <v>23</v>
      </c>
      <c r="O358" s="6" t="str">
        <f>SUMIFS([1]order_sku_sales_bb2_report!P:P,[1]order_sku_sales_bb2_report!H:H,C28122,[1]order_sku_sales_bb2_report!J:J,H28122)</f>
        <v>#ERROR!</v>
      </c>
      <c r="P358" s="6" t="str">
        <f>SUMIFS([1]order_sku_sales_bb2_report!O:O,[1]order_sku_sales_bb2_report!H:H,C28122,[1]order_sku_sales_bb2_report!J:J,H28122)</f>
        <v>#ERROR!</v>
      </c>
      <c r="Q358" s="6" t="str">
        <f t="shared" si="1"/>
        <v>22-12-2025</v>
      </c>
      <c r="R358" s="6" t="str">
        <f>IFERROR( VLOOKUP(C28122,[1]expressOrderReport!$S:$AZ,34,0),0)</f>
        <v>#ERROR!</v>
      </c>
      <c r="S358" s="6" t="str">
        <f>ARRAY_CONSTRAIN(ARRAYFORMULA(_xludf.XLOOKUP(D28122,[1]order_Report_SA_ID_BB2.0!V:V,[1]order_Report_SA_ID_BB2.0!AM:AM,"")), 1, 1)</f>
        <v>#ERROR!</v>
      </c>
      <c r="T358" s="6" t="str">
        <f t="shared" si="2"/>
        <v>Dec'25</v>
      </c>
    </row>
    <row r="359" ht="15.75" customHeight="1">
      <c r="A359" s="5">
        <v>46013.0</v>
      </c>
      <c r="B359" s="6">
        <v>4139.0</v>
      </c>
      <c r="C359" s="6">
        <v>1.85916638E9</v>
      </c>
      <c r="D359" s="6">
        <v>7734748.0</v>
      </c>
      <c r="E359" s="6" t="s">
        <v>588</v>
      </c>
      <c r="F359" s="6"/>
      <c r="G359" s="6">
        <v>9.98013872E9</v>
      </c>
      <c r="H359" s="6">
        <v>4.014983E7</v>
      </c>
      <c r="I359" s="6" t="s">
        <v>30</v>
      </c>
      <c r="J359" s="6" t="s">
        <v>21</v>
      </c>
      <c r="K359" s="6" t="s">
        <v>22</v>
      </c>
      <c r="L359" s="6">
        <v>28.0</v>
      </c>
      <c r="M359" s="5">
        <v>46013.0</v>
      </c>
      <c r="N359" s="6" t="s">
        <v>23</v>
      </c>
      <c r="O359" s="6" t="str">
        <f>SUMIFS([1]order_sku_sales_bb2_report!P:P,[1]order_sku_sales_bb2_report!H:H,C28123,[1]order_sku_sales_bb2_report!J:J,H28123)</f>
        <v>#ERROR!</v>
      </c>
      <c r="P359" s="6" t="str">
        <f>SUMIFS([1]order_sku_sales_bb2_report!O:O,[1]order_sku_sales_bb2_report!H:H,C28123,[1]order_sku_sales_bb2_report!J:J,H28123)</f>
        <v>#ERROR!</v>
      </c>
      <c r="Q359" s="6" t="str">
        <f t="shared" si="1"/>
        <v>22-12-2025</v>
      </c>
      <c r="R359" s="6" t="str">
        <f>IFERROR( VLOOKUP(C28123,[1]expressOrderReport!$S:$AZ,34,0),0)</f>
        <v>#ERROR!</v>
      </c>
      <c r="S359" s="6" t="str">
        <f>ARRAY_CONSTRAIN(ARRAYFORMULA(_xludf.XLOOKUP(D28123,[1]order_Report_SA_ID_BB2.0!V:V,[1]order_Report_SA_ID_BB2.0!AM:AM,"")), 1, 1)</f>
        <v>#ERROR!</v>
      </c>
      <c r="T359" s="6" t="str">
        <f t="shared" si="2"/>
        <v>Dec'25</v>
      </c>
    </row>
    <row r="360" ht="15.75" customHeight="1">
      <c r="A360" s="5">
        <v>46013.0</v>
      </c>
      <c r="B360" s="6">
        <v>5102.0</v>
      </c>
      <c r="C360" s="6">
        <v>1.859166385E9</v>
      </c>
      <c r="D360" s="6">
        <v>5869714.0</v>
      </c>
      <c r="E360" s="6" t="s">
        <v>611</v>
      </c>
      <c r="F360" s="6" t="s">
        <v>612</v>
      </c>
      <c r="G360" s="6">
        <v>7.206606716E9</v>
      </c>
      <c r="H360" s="6">
        <v>4.0090894E7</v>
      </c>
      <c r="I360" s="6" t="s">
        <v>62</v>
      </c>
      <c r="J360" s="6" t="s">
        <v>21</v>
      </c>
      <c r="K360" s="6" t="s">
        <v>22</v>
      </c>
      <c r="L360" s="6">
        <v>28.0</v>
      </c>
      <c r="M360" s="5">
        <v>46013.0</v>
      </c>
      <c r="N360" s="6" t="s">
        <v>23</v>
      </c>
      <c r="O360" s="6" t="str">
        <f>SUMIFS([1]order_sku_sales_bb2_report!P:P,[1]order_sku_sales_bb2_report!H:H,C28124,[1]order_sku_sales_bb2_report!J:J,H28124)</f>
        <v>#ERROR!</v>
      </c>
      <c r="P360" s="6" t="str">
        <f>SUMIFS([1]order_sku_sales_bb2_report!O:O,[1]order_sku_sales_bb2_report!H:H,C28124,[1]order_sku_sales_bb2_report!J:J,H28124)</f>
        <v>#ERROR!</v>
      </c>
      <c r="Q360" s="6" t="str">
        <f t="shared" si="1"/>
        <v>22-12-2025</v>
      </c>
      <c r="R360" s="6" t="str">
        <f>IFERROR( VLOOKUP(C28124,[1]expressOrderReport!$S:$AZ,34,0),0)</f>
        <v>#ERROR!</v>
      </c>
      <c r="S360" s="6" t="str">
        <f>ARRAY_CONSTRAIN(ARRAYFORMULA(_xludf.XLOOKUP(D28124,[1]order_Report_SA_ID_BB2.0!V:V,[1]order_Report_SA_ID_BB2.0!AM:AM,"")), 1, 1)</f>
        <v>#ERROR!</v>
      </c>
      <c r="T360" s="6" t="str">
        <f t="shared" si="2"/>
        <v>Dec'25</v>
      </c>
    </row>
    <row r="361" ht="15.75" customHeight="1">
      <c r="A361" s="5">
        <v>46013.0</v>
      </c>
      <c r="B361" s="6">
        <v>4750.0</v>
      </c>
      <c r="C361" s="6">
        <v>1.859166388E9</v>
      </c>
      <c r="D361" s="6">
        <v>3127566.0</v>
      </c>
      <c r="E361" s="6" t="s">
        <v>613</v>
      </c>
      <c r="F361" s="6" t="s">
        <v>614</v>
      </c>
      <c r="G361" s="6">
        <v>7.559888376E9</v>
      </c>
      <c r="H361" s="6">
        <v>4.0161616E7</v>
      </c>
      <c r="I361" s="6" t="s">
        <v>20</v>
      </c>
      <c r="J361" s="6" t="s">
        <v>21</v>
      </c>
      <c r="K361" s="6" t="s">
        <v>22</v>
      </c>
      <c r="L361" s="6">
        <v>28.0</v>
      </c>
      <c r="M361" s="5">
        <v>46013.0</v>
      </c>
      <c r="N361" s="6" t="s">
        <v>23</v>
      </c>
      <c r="O361" s="6" t="str">
        <f>SUMIFS([1]order_sku_sales_bb2_report!P:P,[1]order_sku_sales_bb2_report!H:H,C28125,[1]order_sku_sales_bb2_report!J:J,H28125)</f>
        <v>#ERROR!</v>
      </c>
      <c r="P361" s="6" t="str">
        <f>SUMIFS([1]order_sku_sales_bb2_report!O:O,[1]order_sku_sales_bb2_report!H:H,C28125,[1]order_sku_sales_bb2_report!J:J,H28125)</f>
        <v>#ERROR!</v>
      </c>
      <c r="Q361" s="6" t="str">
        <f t="shared" si="1"/>
        <v>22-12-2025</v>
      </c>
      <c r="R361" s="6" t="str">
        <f>IFERROR( VLOOKUP(C28125,[1]expressOrderReport!$S:$AZ,34,0),0)</f>
        <v>#ERROR!</v>
      </c>
      <c r="S361" s="6" t="str">
        <f>ARRAY_CONSTRAIN(ARRAYFORMULA(_xludf.XLOOKUP(D28125,[1]order_Report_SA_ID_BB2.0!V:V,[1]order_Report_SA_ID_BB2.0!AM:AM,"")), 1, 1)</f>
        <v>#ERROR!</v>
      </c>
      <c r="T361" s="6" t="str">
        <f t="shared" si="2"/>
        <v>Dec'25</v>
      </c>
    </row>
    <row r="362" ht="15.75" customHeight="1">
      <c r="A362" s="5">
        <v>46013.0</v>
      </c>
      <c r="B362" s="6">
        <v>4640.0</v>
      </c>
      <c r="C362" s="6">
        <v>1.859166397E9</v>
      </c>
      <c r="D362" s="6">
        <v>1.7875843E7</v>
      </c>
      <c r="E362" s="6" t="s">
        <v>615</v>
      </c>
      <c r="F362" s="6" t="s">
        <v>616</v>
      </c>
      <c r="G362" s="6">
        <v>9.629735202E9</v>
      </c>
      <c r="H362" s="6">
        <v>4.0047739E7</v>
      </c>
      <c r="I362" s="6" t="s">
        <v>180</v>
      </c>
      <c r="J362" s="6" t="s">
        <v>21</v>
      </c>
      <c r="K362" s="6" t="s">
        <v>22</v>
      </c>
      <c r="L362" s="6">
        <v>34.0</v>
      </c>
      <c r="M362" s="5">
        <v>46013.0</v>
      </c>
      <c r="N362" s="6" t="s">
        <v>23</v>
      </c>
      <c r="O362" s="6" t="str">
        <f>SUMIFS([1]order_sku_sales_bb2_report!P:P,[1]order_sku_sales_bb2_report!H:H,C28126,[1]order_sku_sales_bb2_report!J:J,H28126)</f>
        <v>#ERROR!</v>
      </c>
      <c r="P362" s="6" t="str">
        <f>SUMIFS([1]order_sku_sales_bb2_report!O:O,[1]order_sku_sales_bb2_report!H:H,C28126,[1]order_sku_sales_bb2_report!J:J,H28126)</f>
        <v>#ERROR!</v>
      </c>
      <c r="Q362" s="6" t="str">
        <f t="shared" si="1"/>
        <v>22-12-2025</v>
      </c>
      <c r="R362" s="6" t="str">
        <f>IFERROR( VLOOKUP(C28126,[1]expressOrderReport!$S:$AZ,34,0),0)</f>
        <v>#ERROR!</v>
      </c>
      <c r="S362" s="6" t="str">
        <f>ARRAY_CONSTRAIN(ARRAYFORMULA(_xludf.XLOOKUP(D28126,[1]order_Report_SA_ID_BB2.0!V:V,[1]order_Report_SA_ID_BB2.0!AM:AM,"")), 1, 1)</f>
        <v>#ERROR!</v>
      </c>
      <c r="T362" s="6" t="str">
        <f t="shared" si="2"/>
        <v>Dec'25</v>
      </c>
    </row>
    <row r="363" ht="15.75" customHeight="1">
      <c r="A363" s="5">
        <v>46013.0</v>
      </c>
      <c r="B363" s="6">
        <v>6040.0</v>
      </c>
      <c r="C363" s="6">
        <v>1.859166403E9</v>
      </c>
      <c r="D363" s="6">
        <v>908412.0</v>
      </c>
      <c r="E363" s="6" t="s">
        <v>617</v>
      </c>
      <c r="F363" s="6" t="s">
        <v>618</v>
      </c>
      <c r="G363" s="6">
        <v>9.900000425E9</v>
      </c>
      <c r="H363" s="6">
        <v>4.0149834E7</v>
      </c>
      <c r="I363" s="6" t="s">
        <v>40</v>
      </c>
      <c r="J363" s="6" t="s">
        <v>21</v>
      </c>
      <c r="K363" s="6" t="s">
        <v>22</v>
      </c>
      <c r="L363" s="6">
        <v>52.0</v>
      </c>
      <c r="M363" s="5">
        <v>46013.0</v>
      </c>
      <c r="N363" s="6" t="s">
        <v>23</v>
      </c>
      <c r="O363" s="6" t="str">
        <f>SUMIFS([1]order_sku_sales_bb2_report!P:P,[1]order_sku_sales_bb2_report!H:H,C28127,[1]order_sku_sales_bb2_report!J:J,H28127)</f>
        <v>#ERROR!</v>
      </c>
      <c r="P363" s="6" t="str">
        <f>SUMIFS([1]order_sku_sales_bb2_report!O:O,[1]order_sku_sales_bb2_report!H:H,C28127,[1]order_sku_sales_bb2_report!J:J,H28127)</f>
        <v>#ERROR!</v>
      </c>
      <c r="Q363" s="6" t="str">
        <f t="shared" si="1"/>
        <v>22-12-2025</v>
      </c>
      <c r="R363" s="6" t="str">
        <f>IFERROR( VLOOKUP(C28127,[1]expressOrderReport!$S:$AZ,34,0),0)</f>
        <v>#ERROR!</v>
      </c>
      <c r="S363" s="6" t="str">
        <f>ARRAY_CONSTRAIN(ARRAYFORMULA(_xludf.XLOOKUP(D28127,[1]order_Report_SA_ID_BB2.0!V:V,[1]order_Report_SA_ID_BB2.0!AM:AM,"")), 1, 1)</f>
        <v>#ERROR!</v>
      </c>
      <c r="T363" s="6" t="str">
        <f t="shared" si="2"/>
        <v>Dec'25</v>
      </c>
    </row>
    <row r="364" ht="15.75" customHeight="1">
      <c r="A364" s="5">
        <v>46013.0</v>
      </c>
      <c r="B364" s="6">
        <v>4865.0</v>
      </c>
      <c r="C364" s="6">
        <v>1.859166408E9</v>
      </c>
      <c r="D364" s="6">
        <v>4.677217E7</v>
      </c>
      <c r="E364" s="6" t="s">
        <v>619</v>
      </c>
      <c r="F364" s="6" t="s">
        <v>620</v>
      </c>
      <c r="G364" s="6">
        <v>9.840095314E9</v>
      </c>
      <c r="H364" s="6">
        <v>4.0158264E7</v>
      </c>
      <c r="I364" s="6" t="s">
        <v>26</v>
      </c>
      <c r="J364" s="6" t="s">
        <v>21</v>
      </c>
      <c r="K364" s="6" t="s">
        <v>22</v>
      </c>
      <c r="L364" s="6">
        <v>46.0</v>
      </c>
      <c r="M364" s="5">
        <v>46013.0</v>
      </c>
      <c r="N364" s="6" t="s">
        <v>23</v>
      </c>
      <c r="O364" s="6" t="str">
        <f>SUMIFS([1]order_sku_sales_bb2_report!P:P,[1]order_sku_sales_bb2_report!H:H,C28128,[1]order_sku_sales_bb2_report!J:J,H28128)</f>
        <v>#ERROR!</v>
      </c>
      <c r="P364" s="6" t="str">
        <f>SUMIFS([1]order_sku_sales_bb2_report!O:O,[1]order_sku_sales_bb2_report!H:H,C28128,[1]order_sku_sales_bb2_report!J:J,H28128)</f>
        <v>#ERROR!</v>
      </c>
      <c r="Q364" s="6" t="str">
        <f t="shared" si="1"/>
        <v>22-12-2025</v>
      </c>
      <c r="R364" s="6" t="str">
        <f>IFERROR( VLOOKUP(C28128,[1]expressOrderReport!$S:$AZ,34,0),0)</f>
        <v>#ERROR!</v>
      </c>
      <c r="S364" s="6" t="str">
        <f>ARRAY_CONSTRAIN(ARRAYFORMULA(_xludf.XLOOKUP(D28128,[1]order_Report_SA_ID_BB2.0!V:V,[1]order_Report_SA_ID_BB2.0!AM:AM,"")), 1, 1)</f>
        <v>#ERROR!</v>
      </c>
      <c r="T364" s="6" t="str">
        <f t="shared" si="2"/>
        <v>Dec'25</v>
      </c>
    </row>
    <row r="365" ht="15.75" customHeight="1">
      <c r="A365" s="5">
        <v>46013.0</v>
      </c>
      <c r="B365" s="6">
        <v>4866.0</v>
      </c>
      <c r="C365" s="6">
        <v>1.859166408E9</v>
      </c>
      <c r="D365" s="6">
        <v>4.677217E7</v>
      </c>
      <c r="E365" s="6" t="s">
        <v>619</v>
      </c>
      <c r="F365" s="6" t="s">
        <v>620</v>
      </c>
      <c r="G365" s="6">
        <v>9.840095314E9</v>
      </c>
      <c r="H365" s="6">
        <v>4.014983E7</v>
      </c>
      <c r="I365" s="6" t="s">
        <v>30</v>
      </c>
      <c r="J365" s="6" t="s">
        <v>21</v>
      </c>
      <c r="K365" s="6" t="s">
        <v>22</v>
      </c>
      <c r="L365" s="6">
        <v>46.0</v>
      </c>
      <c r="M365" s="5">
        <v>46013.0</v>
      </c>
      <c r="N365" s="6" t="s">
        <v>23</v>
      </c>
      <c r="O365" s="6" t="str">
        <f>SUMIFS([1]order_sku_sales_bb2_report!P:P,[1]order_sku_sales_bb2_report!H:H,C28129,[1]order_sku_sales_bb2_report!J:J,H28129)</f>
        <v>#ERROR!</v>
      </c>
      <c r="P365" s="6" t="str">
        <f>SUMIFS([1]order_sku_sales_bb2_report!O:O,[1]order_sku_sales_bb2_report!H:H,C28129,[1]order_sku_sales_bb2_report!J:J,H28129)</f>
        <v>#ERROR!</v>
      </c>
      <c r="Q365" s="6" t="str">
        <f t="shared" si="1"/>
        <v>22-12-2025</v>
      </c>
      <c r="R365" s="6" t="str">
        <f>IFERROR( VLOOKUP(C28129,[1]expressOrderReport!$S:$AZ,34,0),0)</f>
        <v>#ERROR!</v>
      </c>
      <c r="S365" s="6" t="str">
        <f>ARRAY_CONSTRAIN(ARRAYFORMULA(_xludf.XLOOKUP(D28129,[1]order_Report_SA_ID_BB2.0!V:V,[1]order_Report_SA_ID_BB2.0!AM:AM,"")), 1, 1)</f>
        <v>#ERROR!</v>
      </c>
      <c r="T365" s="6" t="str">
        <f t="shared" si="2"/>
        <v>Dec'25</v>
      </c>
    </row>
    <row r="366" ht="15.75" customHeight="1">
      <c r="A366" s="5">
        <v>46013.0</v>
      </c>
      <c r="B366" s="6">
        <v>4352.0</v>
      </c>
      <c r="C366" s="6">
        <v>1.859166416E9</v>
      </c>
      <c r="D366" s="6">
        <v>250743.0</v>
      </c>
      <c r="E366" s="6" t="s">
        <v>621</v>
      </c>
      <c r="F366" s="6" t="s">
        <v>622</v>
      </c>
      <c r="G366" s="6">
        <v>9.845201666E9</v>
      </c>
      <c r="H366" s="6">
        <v>4.0161616E7</v>
      </c>
      <c r="I366" s="6" t="s">
        <v>20</v>
      </c>
      <c r="J366" s="6" t="s">
        <v>21</v>
      </c>
      <c r="K366" s="6" t="s">
        <v>22</v>
      </c>
      <c r="L366" s="6">
        <v>28.0</v>
      </c>
      <c r="M366" s="5">
        <v>46013.0</v>
      </c>
      <c r="N366" s="6" t="s">
        <v>23</v>
      </c>
      <c r="O366" s="6" t="str">
        <f>SUMIFS([1]order_sku_sales_bb2_report!P:P,[1]order_sku_sales_bb2_report!H:H,C28130,[1]order_sku_sales_bb2_report!J:J,H28130)</f>
        <v>#ERROR!</v>
      </c>
      <c r="P366" s="6" t="str">
        <f>SUMIFS([1]order_sku_sales_bb2_report!O:O,[1]order_sku_sales_bb2_report!H:H,C28130,[1]order_sku_sales_bb2_report!J:J,H28130)</f>
        <v>#ERROR!</v>
      </c>
      <c r="Q366" s="6" t="str">
        <f t="shared" si="1"/>
        <v>22-12-2025</v>
      </c>
      <c r="R366" s="6" t="str">
        <f>IFERROR( VLOOKUP(C28130,[1]expressOrderReport!$S:$AZ,34,0),0)</f>
        <v>#ERROR!</v>
      </c>
      <c r="S366" s="6" t="str">
        <f>ARRAY_CONSTRAIN(ARRAYFORMULA(_xludf.XLOOKUP(D28130,[1]order_Report_SA_ID_BB2.0!V:V,[1]order_Report_SA_ID_BB2.0!AM:AM,"")), 1, 1)</f>
        <v>#ERROR!</v>
      </c>
      <c r="T366" s="6" t="str">
        <f t="shared" si="2"/>
        <v>Dec'25</v>
      </c>
    </row>
    <row r="367" ht="15.75" customHeight="1">
      <c r="A367" s="5">
        <v>46013.0</v>
      </c>
      <c r="B367" s="6">
        <v>4353.0</v>
      </c>
      <c r="C367" s="6">
        <v>1.859166426E9</v>
      </c>
      <c r="D367" s="6">
        <v>1241458.0</v>
      </c>
      <c r="E367" s="6" t="s">
        <v>623</v>
      </c>
      <c r="F367" s="6" t="s">
        <v>624</v>
      </c>
      <c r="G367" s="6">
        <v>9.90059478E9</v>
      </c>
      <c r="H367" s="6">
        <v>4.0149831E7</v>
      </c>
      <c r="I367" s="6" t="s">
        <v>65</v>
      </c>
      <c r="J367" s="6" t="s">
        <v>21</v>
      </c>
      <c r="K367" s="6" t="s">
        <v>22</v>
      </c>
      <c r="L367" s="6">
        <v>26.0</v>
      </c>
      <c r="M367" s="5">
        <v>46013.0</v>
      </c>
      <c r="N367" s="6" t="s">
        <v>23</v>
      </c>
      <c r="O367" s="6" t="str">
        <f>SUMIFS([1]order_sku_sales_bb2_report!P:P,[1]order_sku_sales_bb2_report!H:H,C28131,[1]order_sku_sales_bb2_report!J:J,H28131)</f>
        <v>#ERROR!</v>
      </c>
      <c r="P367" s="6" t="str">
        <f>SUMIFS([1]order_sku_sales_bb2_report!O:O,[1]order_sku_sales_bb2_report!H:H,C28131,[1]order_sku_sales_bb2_report!J:J,H28131)</f>
        <v>#ERROR!</v>
      </c>
      <c r="Q367" s="6" t="str">
        <f t="shared" si="1"/>
        <v>22-12-2025</v>
      </c>
      <c r="R367" s="6" t="str">
        <f>IFERROR( VLOOKUP(C28131,[1]expressOrderReport!$S:$AZ,34,0),0)</f>
        <v>#ERROR!</v>
      </c>
      <c r="S367" s="6" t="str">
        <f>ARRAY_CONSTRAIN(ARRAYFORMULA(_xludf.XLOOKUP(D28131,[1]order_Report_SA_ID_BB2.0!V:V,[1]order_Report_SA_ID_BB2.0!AM:AM,"")), 1, 1)</f>
        <v>#ERROR!</v>
      </c>
      <c r="T367" s="6" t="str">
        <f t="shared" si="2"/>
        <v>Dec'25</v>
      </c>
    </row>
    <row r="368" ht="15.75" customHeight="1">
      <c r="A368" s="5">
        <v>46013.0</v>
      </c>
      <c r="B368" s="6">
        <v>4361.0</v>
      </c>
      <c r="C368" s="6">
        <v>1.859166431E9</v>
      </c>
      <c r="D368" s="6">
        <v>7.4074261E7</v>
      </c>
      <c r="E368" s="6" t="s">
        <v>625</v>
      </c>
      <c r="F368" s="6" t="s">
        <v>626</v>
      </c>
      <c r="G368" s="6">
        <v>7.899513764E9</v>
      </c>
      <c r="H368" s="6">
        <v>2.0001185E7</v>
      </c>
      <c r="I368" s="6" t="s">
        <v>627</v>
      </c>
      <c r="J368" s="6" t="s">
        <v>21</v>
      </c>
      <c r="K368" s="6" t="s">
        <v>22</v>
      </c>
      <c r="L368" s="6">
        <v>7.56</v>
      </c>
      <c r="M368" s="5">
        <v>46013.0</v>
      </c>
      <c r="N368" s="6" t="s">
        <v>23</v>
      </c>
      <c r="O368" s="6" t="str">
        <f>SUMIFS([1]order_sku_sales_bb2_report!P:P,[1]order_sku_sales_bb2_report!H:H,C28132,[1]order_sku_sales_bb2_report!J:J,H28132)</f>
        <v>#ERROR!</v>
      </c>
      <c r="P368" s="6" t="str">
        <f>SUMIFS([1]order_sku_sales_bb2_report!O:O,[1]order_sku_sales_bb2_report!H:H,C28132,[1]order_sku_sales_bb2_report!J:J,H28132)</f>
        <v>#ERROR!</v>
      </c>
      <c r="Q368" s="6" t="str">
        <f t="shared" si="1"/>
        <v>22-12-2025</v>
      </c>
      <c r="R368" s="6" t="str">
        <f>IFERROR( VLOOKUP(C28132,[1]expressOrderReport!$S:$AZ,34,0),0)</f>
        <v>#ERROR!</v>
      </c>
      <c r="S368" s="6" t="str">
        <f>ARRAY_CONSTRAIN(ARRAYFORMULA(_xludf.XLOOKUP(D28132,[1]order_Report_SA_ID_BB2.0!V:V,[1]order_Report_SA_ID_BB2.0!AM:AM,"")), 1, 1)</f>
        <v>#ERROR!</v>
      </c>
      <c r="T368" s="6" t="str">
        <f t="shared" si="2"/>
        <v>Dec'25</v>
      </c>
    </row>
    <row r="369" ht="15.75" customHeight="1">
      <c r="A369" s="5">
        <v>46013.0</v>
      </c>
      <c r="B369" s="6">
        <v>4402.0</v>
      </c>
      <c r="C369" s="6">
        <v>1.859166436E9</v>
      </c>
      <c r="D369" s="6">
        <v>2.0046656E7</v>
      </c>
      <c r="E369" s="6" t="s">
        <v>628</v>
      </c>
      <c r="F369" s="6" t="s">
        <v>629</v>
      </c>
      <c r="G369" s="6">
        <v>9.07501768E9</v>
      </c>
      <c r="H369" s="6">
        <v>4.0149834E7</v>
      </c>
      <c r="I369" s="6" t="s">
        <v>40</v>
      </c>
      <c r="J369" s="6" t="s">
        <v>21</v>
      </c>
      <c r="K369" s="6" t="s">
        <v>22</v>
      </c>
      <c r="L369" s="6">
        <v>52.0</v>
      </c>
      <c r="M369" s="5">
        <v>46013.0</v>
      </c>
      <c r="N369" s="6" t="s">
        <v>23</v>
      </c>
      <c r="O369" s="6" t="str">
        <f>SUMIFS([1]order_sku_sales_bb2_report!P:P,[1]order_sku_sales_bb2_report!H:H,C28133,[1]order_sku_sales_bb2_report!J:J,H28133)</f>
        <v>#ERROR!</v>
      </c>
      <c r="P369" s="6" t="str">
        <f>SUMIFS([1]order_sku_sales_bb2_report!O:O,[1]order_sku_sales_bb2_report!H:H,C28133,[1]order_sku_sales_bb2_report!J:J,H28133)</f>
        <v>#ERROR!</v>
      </c>
      <c r="Q369" s="6" t="str">
        <f t="shared" si="1"/>
        <v>22-12-2025</v>
      </c>
      <c r="R369" s="6" t="str">
        <f>IFERROR( VLOOKUP(C28133,[1]expressOrderReport!$S:$AZ,34,0),0)</f>
        <v>#ERROR!</v>
      </c>
      <c r="S369" s="6" t="str">
        <f>ARRAY_CONSTRAIN(ARRAYFORMULA(_xludf.XLOOKUP(D28133,[1]order_Report_SA_ID_BB2.0!V:V,[1]order_Report_SA_ID_BB2.0!AM:AM,"")), 1, 1)</f>
        <v>#ERROR!</v>
      </c>
      <c r="T369" s="6" t="str">
        <f t="shared" si="2"/>
        <v>Dec'25</v>
      </c>
    </row>
    <row r="370" ht="15.75" customHeight="1">
      <c r="A370" s="5">
        <v>46013.0</v>
      </c>
      <c r="B370" s="6">
        <v>4419.0</v>
      </c>
      <c r="C370" s="6">
        <v>1.859166443E9</v>
      </c>
      <c r="D370" s="6">
        <v>2.80771E7</v>
      </c>
      <c r="E370" s="6" t="s">
        <v>630</v>
      </c>
      <c r="F370" s="6" t="s">
        <v>631</v>
      </c>
      <c r="G370" s="6">
        <v>7.763807711E9</v>
      </c>
      <c r="H370" s="6">
        <v>4.0161616E7</v>
      </c>
      <c r="I370" s="6" t="s">
        <v>20</v>
      </c>
      <c r="J370" s="6" t="s">
        <v>21</v>
      </c>
      <c r="K370" s="6" t="s">
        <v>22</v>
      </c>
      <c r="L370" s="6">
        <v>28.0</v>
      </c>
      <c r="M370" s="5">
        <v>46013.0</v>
      </c>
      <c r="N370" s="6" t="s">
        <v>23</v>
      </c>
      <c r="O370" s="6" t="str">
        <f>SUMIFS([1]order_sku_sales_bb2_report!P:P,[1]order_sku_sales_bb2_report!H:H,C28134,[1]order_sku_sales_bb2_report!J:J,H28134)</f>
        <v>#ERROR!</v>
      </c>
      <c r="P370" s="6" t="str">
        <f>SUMIFS([1]order_sku_sales_bb2_report!O:O,[1]order_sku_sales_bb2_report!H:H,C28134,[1]order_sku_sales_bb2_report!J:J,H28134)</f>
        <v>#ERROR!</v>
      </c>
      <c r="Q370" s="6" t="str">
        <f t="shared" si="1"/>
        <v>22-12-2025</v>
      </c>
      <c r="R370" s="6" t="str">
        <f>IFERROR( VLOOKUP(C28134,[1]expressOrderReport!$S:$AZ,34,0),0)</f>
        <v>#ERROR!</v>
      </c>
      <c r="S370" s="6" t="str">
        <f>ARRAY_CONSTRAIN(ARRAYFORMULA(_xludf.XLOOKUP(D28134,[1]order_Report_SA_ID_BB2.0!V:V,[1]order_Report_SA_ID_BB2.0!AM:AM,"")), 1, 1)</f>
        <v>#ERROR!</v>
      </c>
      <c r="T370" s="6" t="str">
        <f t="shared" si="2"/>
        <v>Dec'25</v>
      </c>
    </row>
    <row r="371" ht="15.75" customHeight="1">
      <c r="A371" s="5">
        <v>46013.0</v>
      </c>
      <c r="B371" s="6">
        <v>6880.0</v>
      </c>
      <c r="C371" s="6">
        <v>1.859166592E9</v>
      </c>
      <c r="D371" s="6">
        <v>1.5929907E7</v>
      </c>
      <c r="E371" s="6" t="s">
        <v>632</v>
      </c>
      <c r="F371" s="6" t="s">
        <v>633</v>
      </c>
      <c r="G371" s="6">
        <v>9.59131267E9</v>
      </c>
      <c r="H371" s="6">
        <v>4.0158264E7</v>
      </c>
      <c r="I371" s="6" t="s">
        <v>26</v>
      </c>
      <c r="J371" s="6" t="s">
        <v>21</v>
      </c>
      <c r="K371" s="6" t="s">
        <v>22</v>
      </c>
      <c r="L371" s="6">
        <v>46.0</v>
      </c>
      <c r="M371" s="5">
        <v>46013.0</v>
      </c>
      <c r="N371" s="6" t="s">
        <v>23</v>
      </c>
      <c r="O371" s="6" t="str">
        <f>SUMIFS([1]order_sku_sales_bb2_report!P:P,[1]order_sku_sales_bb2_report!H:H,C28135,[1]order_sku_sales_bb2_report!J:J,H28135)</f>
        <v>#ERROR!</v>
      </c>
      <c r="P371" s="6" t="str">
        <f>SUMIFS([1]order_sku_sales_bb2_report!O:O,[1]order_sku_sales_bb2_report!H:H,C28135,[1]order_sku_sales_bb2_report!J:J,H28135)</f>
        <v>#ERROR!</v>
      </c>
      <c r="Q371" s="6" t="str">
        <f t="shared" si="1"/>
        <v>22-12-2025</v>
      </c>
      <c r="R371" s="6" t="str">
        <f>IFERROR( VLOOKUP(C28135,[1]expressOrderReport!$S:$AZ,34,0),0)</f>
        <v>#ERROR!</v>
      </c>
      <c r="S371" s="6" t="str">
        <f>ARRAY_CONSTRAIN(ARRAYFORMULA(_xludf.XLOOKUP(D28135,[1]order_Report_SA_ID_BB2.0!V:V,[1]order_Report_SA_ID_BB2.0!AM:AM,"")), 1, 1)</f>
        <v>#ERROR!</v>
      </c>
      <c r="T371" s="6" t="str">
        <f t="shared" si="2"/>
        <v>Dec'25</v>
      </c>
    </row>
    <row r="372" ht="15.75" customHeight="1">
      <c r="A372" s="5">
        <v>46013.0</v>
      </c>
      <c r="B372" s="6">
        <v>6882.0</v>
      </c>
      <c r="C372" s="6">
        <v>1.859166597E9</v>
      </c>
      <c r="D372" s="6">
        <v>1.6490345E7</v>
      </c>
      <c r="E372" s="6" t="s">
        <v>634</v>
      </c>
      <c r="F372" s="6" t="s">
        <v>635</v>
      </c>
      <c r="G372" s="6">
        <v>9.001992508E9</v>
      </c>
      <c r="H372" s="6">
        <v>4.0161616E7</v>
      </c>
      <c r="I372" s="6" t="s">
        <v>20</v>
      </c>
      <c r="J372" s="6" t="s">
        <v>21</v>
      </c>
      <c r="K372" s="6" t="s">
        <v>22</v>
      </c>
      <c r="L372" s="6">
        <v>28.0</v>
      </c>
      <c r="M372" s="5">
        <v>46013.0</v>
      </c>
      <c r="N372" s="6" t="s">
        <v>23</v>
      </c>
      <c r="O372" s="6" t="str">
        <f>SUMIFS([1]order_sku_sales_bb2_report!P:P,[1]order_sku_sales_bb2_report!H:H,C28136,[1]order_sku_sales_bb2_report!J:J,H28136)</f>
        <v>#ERROR!</v>
      </c>
      <c r="P372" s="6" t="str">
        <f>SUMIFS([1]order_sku_sales_bb2_report!O:O,[1]order_sku_sales_bb2_report!H:H,C28136,[1]order_sku_sales_bb2_report!J:J,H28136)</f>
        <v>#ERROR!</v>
      </c>
      <c r="Q372" s="6" t="str">
        <f t="shared" si="1"/>
        <v>22-12-2025</v>
      </c>
      <c r="R372" s="6" t="str">
        <f>IFERROR( VLOOKUP(C28136,[1]expressOrderReport!$S:$AZ,34,0),0)</f>
        <v>#ERROR!</v>
      </c>
      <c r="S372" s="6" t="str">
        <f>ARRAY_CONSTRAIN(ARRAYFORMULA(_xludf.XLOOKUP(D28136,[1]order_Report_SA_ID_BB2.0!V:V,[1]order_Report_SA_ID_BB2.0!AM:AM,"")), 1, 1)</f>
        <v>#ERROR!</v>
      </c>
      <c r="T372" s="6" t="str">
        <f t="shared" si="2"/>
        <v>Dec'25</v>
      </c>
    </row>
    <row r="373" ht="15.75" customHeight="1">
      <c r="A373" s="5">
        <v>46013.0</v>
      </c>
      <c r="B373" s="6">
        <v>6884.0</v>
      </c>
      <c r="C373" s="6">
        <v>1.859166602E9</v>
      </c>
      <c r="D373" s="6">
        <v>1.1156906E7</v>
      </c>
      <c r="E373" s="6" t="s">
        <v>636</v>
      </c>
      <c r="F373" s="6" t="s">
        <v>637</v>
      </c>
      <c r="G373" s="6">
        <v>8.884735682E9</v>
      </c>
      <c r="H373" s="6">
        <v>4.0149832E7</v>
      </c>
      <c r="I373" s="6" t="s">
        <v>26</v>
      </c>
      <c r="J373" s="6" t="s">
        <v>21</v>
      </c>
      <c r="K373" s="6" t="s">
        <v>22</v>
      </c>
      <c r="L373" s="6">
        <v>24.0</v>
      </c>
      <c r="M373" s="5">
        <v>46013.0</v>
      </c>
      <c r="N373" s="6" t="s">
        <v>23</v>
      </c>
      <c r="O373" s="6" t="str">
        <f>SUMIFS([1]order_sku_sales_bb2_report!P:P,[1]order_sku_sales_bb2_report!H:H,C28137,[1]order_sku_sales_bb2_report!J:J,H28137)</f>
        <v>#ERROR!</v>
      </c>
      <c r="P373" s="6" t="str">
        <f>SUMIFS([1]order_sku_sales_bb2_report!O:O,[1]order_sku_sales_bb2_report!H:H,C28137,[1]order_sku_sales_bb2_report!J:J,H28137)</f>
        <v>#ERROR!</v>
      </c>
      <c r="Q373" s="6" t="str">
        <f t="shared" si="1"/>
        <v>22-12-2025</v>
      </c>
      <c r="R373" s="6" t="str">
        <f>IFERROR( VLOOKUP(C28137,[1]expressOrderReport!$S:$AZ,34,0),0)</f>
        <v>#ERROR!</v>
      </c>
      <c r="S373" s="6" t="str">
        <f>ARRAY_CONSTRAIN(ARRAYFORMULA(_xludf.XLOOKUP(D28137,[1]order_Report_SA_ID_BB2.0!V:V,[1]order_Report_SA_ID_BB2.0!AM:AM,"")), 1, 1)</f>
        <v>#ERROR!</v>
      </c>
      <c r="T373" s="6" t="str">
        <f t="shared" si="2"/>
        <v>Dec'25</v>
      </c>
    </row>
    <row r="374" ht="15.75" customHeight="1">
      <c r="A374" s="5">
        <v>46013.0</v>
      </c>
      <c r="B374" s="6">
        <v>6887.0</v>
      </c>
      <c r="C374" s="6">
        <v>1.85916661E9</v>
      </c>
      <c r="D374" s="6">
        <v>1.6496332E7</v>
      </c>
      <c r="E374" s="6" t="s">
        <v>638</v>
      </c>
      <c r="F374" s="6" t="s">
        <v>639</v>
      </c>
      <c r="G374" s="6">
        <v>9.481806577E9</v>
      </c>
      <c r="H374" s="6">
        <v>4.0149832E7</v>
      </c>
      <c r="I374" s="6" t="s">
        <v>26</v>
      </c>
      <c r="J374" s="6" t="s">
        <v>21</v>
      </c>
      <c r="K374" s="6" t="s">
        <v>22</v>
      </c>
      <c r="L374" s="6">
        <v>96.0</v>
      </c>
      <c r="M374" s="5">
        <v>46013.0</v>
      </c>
      <c r="N374" s="6" t="s">
        <v>23</v>
      </c>
      <c r="O374" s="6" t="str">
        <f>SUMIFS([1]order_sku_sales_bb2_report!P:P,[1]order_sku_sales_bb2_report!H:H,C28138,[1]order_sku_sales_bb2_report!J:J,H28138)</f>
        <v>#ERROR!</v>
      </c>
      <c r="P374" s="6" t="str">
        <f>SUMIFS([1]order_sku_sales_bb2_report!O:O,[1]order_sku_sales_bb2_report!H:H,C28138,[1]order_sku_sales_bb2_report!J:J,H28138)</f>
        <v>#ERROR!</v>
      </c>
      <c r="Q374" s="6" t="str">
        <f t="shared" si="1"/>
        <v>22-12-2025</v>
      </c>
      <c r="R374" s="6" t="str">
        <f>IFERROR( VLOOKUP(C28138,[1]expressOrderReport!$S:$AZ,34,0),0)</f>
        <v>#ERROR!</v>
      </c>
      <c r="S374" s="6" t="str">
        <f>ARRAY_CONSTRAIN(ARRAYFORMULA(_xludf.XLOOKUP(D28138,[1]order_Report_SA_ID_BB2.0!V:V,[1]order_Report_SA_ID_BB2.0!AM:AM,"")), 1, 1)</f>
        <v>#ERROR!</v>
      </c>
      <c r="T374" s="6" t="str">
        <f t="shared" si="2"/>
        <v>Dec'25</v>
      </c>
    </row>
    <row r="375" ht="15.75" customHeight="1">
      <c r="A375" s="5">
        <v>46013.0</v>
      </c>
      <c r="B375" s="6">
        <v>6897.0</v>
      </c>
      <c r="C375" s="6">
        <v>1.859166616E9</v>
      </c>
      <c r="D375" s="6">
        <v>1.7459156E7</v>
      </c>
      <c r="E375" s="6" t="s">
        <v>625</v>
      </c>
      <c r="F375" s="6" t="s">
        <v>640</v>
      </c>
      <c r="G375" s="6">
        <v>9.036852795E9</v>
      </c>
      <c r="H375" s="6">
        <v>4.0149832E7</v>
      </c>
      <c r="I375" s="6" t="s">
        <v>26</v>
      </c>
      <c r="J375" s="6" t="s">
        <v>21</v>
      </c>
      <c r="K375" s="6" t="s">
        <v>22</v>
      </c>
      <c r="L375" s="6">
        <v>24.0</v>
      </c>
      <c r="M375" s="5">
        <v>46013.0</v>
      </c>
      <c r="N375" s="6" t="s">
        <v>23</v>
      </c>
      <c r="O375" s="6" t="str">
        <f>SUMIFS([1]order_sku_sales_bb2_report!P:P,[1]order_sku_sales_bb2_report!H:H,C28139,[1]order_sku_sales_bb2_report!J:J,H28139)</f>
        <v>#ERROR!</v>
      </c>
      <c r="P375" s="6" t="str">
        <f>SUMIFS([1]order_sku_sales_bb2_report!O:O,[1]order_sku_sales_bb2_report!H:H,C28139,[1]order_sku_sales_bb2_report!J:J,H28139)</f>
        <v>#ERROR!</v>
      </c>
      <c r="Q375" s="6" t="str">
        <f t="shared" si="1"/>
        <v>22-12-2025</v>
      </c>
      <c r="R375" s="6" t="str">
        <f>IFERROR( VLOOKUP(C28139,[1]expressOrderReport!$S:$AZ,34,0),0)</f>
        <v>#ERROR!</v>
      </c>
      <c r="S375" s="6" t="str">
        <f>ARRAY_CONSTRAIN(ARRAYFORMULA(_xludf.XLOOKUP(D28139,[1]order_Report_SA_ID_BB2.0!V:V,[1]order_Report_SA_ID_BB2.0!AM:AM,"")), 1, 1)</f>
        <v>#ERROR!</v>
      </c>
      <c r="T375" s="6" t="str">
        <f t="shared" si="2"/>
        <v>Dec'25</v>
      </c>
    </row>
    <row r="376" ht="15.75" customHeight="1">
      <c r="A376" s="5">
        <v>46013.0</v>
      </c>
      <c r="B376" s="6">
        <v>6905.0</v>
      </c>
      <c r="C376" s="6">
        <v>1.859166623E9</v>
      </c>
      <c r="D376" s="6">
        <v>1.8749883E7</v>
      </c>
      <c r="E376" s="6" t="s">
        <v>641</v>
      </c>
      <c r="F376" s="6" t="s">
        <v>642</v>
      </c>
      <c r="G376" s="6">
        <v>9.84901496E9</v>
      </c>
      <c r="H376" s="6">
        <v>4.0047739E7</v>
      </c>
      <c r="I376" s="6" t="s">
        <v>180</v>
      </c>
      <c r="J376" s="6" t="s">
        <v>21</v>
      </c>
      <c r="K376" s="6" t="s">
        <v>22</v>
      </c>
      <c r="L376" s="6">
        <v>68.0</v>
      </c>
      <c r="M376" s="5">
        <v>46013.0</v>
      </c>
      <c r="N376" s="6" t="s">
        <v>23</v>
      </c>
      <c r="O376" s="6" t="str">
        <f>SUMIFS([1]order_sku_sales_bb2_report!P:P,[1]order_sku_sales_bb2_report!H:H,C28140,[1]order_sku_sales_bb2_report!J:J,H28140)</f>
        <v>#ERROR!</v>
      </c>
      <c r="P376" s="6" t="str">
        <f>SUMIFS([1]order_sku_sales_bb2_report!O:O,[1]order_sku_sales_bb2_report!H:H,C28140,[1]order_sku_sales_bb2_report!J:J,H28140)</f>
        <v>#ERROR!</v>
      </c>
      <c r="Q376" s="6" t="str">
        <f t="shared" si="1"/>
        <v>22-12-2025</v>
      </c>
      <c r="R376" s="6" t="str">
        <f>IFERROR( VLOOKUP(C28140,[1]expressOrderReport!$S:$AZ,34,0),0)</f>
        <v>#ERROR!</v>
      </c>
      <c r="S376" s="6" t="str">
        <f>ARRAY_CONSTRAIN(ARRAYFORMULA(_xludf.XLOOKUP(D28140,[1]order_Report_SA_ID_BB2.0!V:V,[1]order_Report_SA_ID_BB2.0!AM:AM,"")), 1, 1)</f>
        <v>#ERROR!</v>
      </c>
      <c r="T376" s="6" t="str">
        <f t="shared" si="2"/>
        <v>Dec'25</v>
      </c>
    </row>
    <row r="377" ht="15.75" customHeight="1">
      <c r="A377" s="5">
        <v>46013.0</v>
      </c>
      <c r="B377" s="6">
        <v>6911.0</v>
      </c>
      <c r="C377" s="6">
        <v>1.859166628E9</v>
      </c>
      <c r="D377" s="6">
        <v>1.9922205E7</v>
      </c>
      <c r="E377" s="6" t="s">
        <v>643</v>
      </c>
      <c r="F377" s="6" t="s">
        <v>644</v>
      </c>
      <c r="G377" s="6">
        <v>9.496089829E9</v>
      </c>
      <c r="H377" s="6">
        <v>4.0149832E7</v>
      </c>
      <c r="I377" s="6" t="s">
        <v>26</v>
      </c>
      <c r="J377" s="6" t="s">
        <v>21</v>
      </c>
      <c r="K377" s="6" t="s">
        <v>22</v>
      </c>
      <c r="L377" s="6">
        <v>24.0</v>
      </c>
      <c r="M377" s="5">
        <v>46013.0</v>
      </c>
      <c r="N377" s="6" t="s">
        <v>23</v>
      </c>
      <c r="O377" s="6" t="str">
        <f>SUMIFS([1]order_sku_sales_bb2_report!P:P,[1]order_sku_sales_bb2_report!H:H,C28141,[1]order_sku_sales_bb2_report!J:J,H28141)</f>
        <v>#ERROR!</v>
      </c>
      <c r="P377" s="6" t="str">
        <f>SUMIFS([1]order_sku_sales_bb2_report!O:O,[1]order_sku_sales_bb2_report!H:H,C28141,[1]order_sku_sales_bb2_report!J:J,H28141)</f>
        <v>#ERROR!</v>
      </c>
      <c r="Q377" s="6" t="str">
        <f t="shared" si="1"/>
        <v>22-12-2025</v>
      </c>
      <c r="R377" s="6" t="str">
        <f>IFERROR( VLOOKUP(C28141,[1]expressOrderReport!$S:$AZ,34,0),0)</f>
        <v>#ERROR!</v>
      </c>
      <c r="S377" s="6" t="str">
        <f>ARRAY_CONSTRAIN(ARRAYFORMULA(_xludf.XLOOKUP(D28141,[1]order_Report_SA_ID_BB2.0!V:V,[1]order_Report_SA_ID_BB2.0!AM:AM,"")), 1, 1)</f>
        <v>#ERROR!</v>
      </c>
      <c r="T377" s="6" t="str">
        <f t="shared" si="2"/>
        <v>Dec'25</v>
      </c>
    </row>
    <row r="378" ht="15.75" customHeight="1">
      <c r="A378" s="5">
        <v>46013.0</v>
      </c>
      <c r="B378" s="6">
        <v>6918.0</v>
      </c>
      <c r="C378" s="6">
        <v>1.859166635E9</v>
      </c>
      <c r="D378" s="6">
        <v>3453637.0</v>
      </c>
      <c r="E378" s="6" t="s">
        <v>645</v>
      </c>
      <c r="F378" s="6" t="s">
        <v>646</v>
      </c>
      <c r="G378" s="6">
        <v>9.916346639E9</v>
      </c>
      <c r="H378" s="6">
        <v>4.0253864E7</v>
      </c>
      <c r="I378" s="6" t="s">
        <v>647</v>
      </c>
      <c r="J378" s="6" t="s">
        <v>21</v>
      </c>
      <c r="K378" s="6" t="s">
        <v>22</v>
      </c>
      <c r="L378" s="6">
        <v>149.0</v>
      </c>
      <c r="M378" s="5">
        <v>46013.0</v>
      </c>
      <c r="N378" s="6" t="s">
        <v>23</v>
      </c>
      <c r="O378" s="6" t="str">
        <f>SUMIFS([1]order_sku_sales_bb2_report!P:P,[1]order_sku_sales_bb2_report!H:H,C28142,[1]order_sku_sales_bb2_report!J:J,H28142)</f>
        <v>#ERROR!</v>
      </c>
      <c r="P378" s="6" t="str">
        <f>SUMIFS([1]order_sku_sales_bb2_report!O:O,[1]order_sku_sales_bb2_report!H:H,C28142,[1]order_sku_sales_bb2_report!J:J,H28142)</f>
        <v>#ERROR!</v>
      </c>
      <c r="Q378" s="6" t="str">
        <f t="shared" si="1"/>
        <v>22-12-2025</v>
      </c>
      <c r="R378" s="6" t="str">
        <f>IFERROR( VLOOKUP(C28142,[1]expressOrderReport!$S:$AZ,34,0),0)</f>
        <v>#ERROR!</v>
      </c>
      <c r="S378" s="6" t="str">
        <f>ARRAY_CONSTRAIN(ARRAYFORMULA(_xludf.XLOOKUP(D28142,[1]order_Report_SA_ID_BB2.0!V:V,[1]order_Report_SA_ID_BB2.0!AM:AM,"")), 1, 1)</f>
        <v>#ERROR!</v>
      </c>
      <c r="T378" s="6" t="str">
        <f t="shared" si="2"/>
        <v>Dec'25</v>
      </c>
    </row>
    <row r="379" ht="15.75" customHeight="1">
      <c r="A379" s="5">
        <v>46013.0</v>
      </c>
      <c r="B379" s="6">
        <v>6919.0</v>
      </c>
      <c r="C379" s="6">
        <v>1.859166635E9</v>
      </c>
      <c r="D379" s="6">
        <v>3453637.0</v>
      </c>
      <c r="E379" s="6" t="s">
        <v>645</v>
      </c>
      <c r="F379" s="6" t="s">
        <v>646</v>
      </c>
      <c r="G379" s="6">
        <v>9.916346639E9</v>
      </c>
      <c r="H379" s="6">
        <v>4.0149833E7</v>
      </c>
      <c r="I379" s="6" t="s">
        <v>40</v>
      </c>
      <c r="J379" s="6" t="s">
        <v>21</v>
      </c>
      <c r="K379" s="6" t="s">
        <v>22</v>
      </c>
      <c r="L379" s="6">
        <v>149.0</v>
      </c>
      <c r="M379" s="5">
        <v>46013.0</v>
      </c>
      <c r="N379" s="6" t="s">
        <v>23</v>
      </c>
      <c r="O379" s="6" t="str">
        <f>SUMIFS([1]order_sku_sales_bb2_report!P:P,[1]order_sku_sales_bb2_report!H:H,C28143,[1]order_sku_sales_bb2_report!J:J,H28143)</f>
        <v>#ERROR!</v>
      </c>
      <c r="P379" s="6" t="str">
        <f>SUMIFS([1]order_sku_sales_bb2_report!O:O,[1]order_sku_sales_bb2_report!H:H,C28143,[1]order_sku_sales_bb2_report!J:J,H28143)</f>
        <v>#ERROR!</v>
      </c>
      <c r="Q379" s="6" t="str">
        <f t="shared" si="1"/>
        <v>22-12-2025</v>
      </c>
      <c r="R379" s="6" t="str">
        <f>IFERROR( VLOOKUP(C28143,[1]expressOrderReport!$S:$AZ,34,0),0)</f>
        <v>#ERROR!</v>
      </c>
      <c r="S379" s="6" t="str">
        <f>ARRAY_CONSTRAIN(ARRAYFORMULA(_xludf.XLOOKUP(D28143,[1]order_Report_SA_ID_BB2.0!V:V,[1]order_Report_SA_ID_BB2.0!AM:AM,"")), 1, 1)</f>
        <v>#ERROR!</v>
      </c>
      <c r="T379" s="6" t="str">
        <f t="shared" si="2"/>
        <v>Dec'25</v>
      </c>
    </row>
    <row r="380" ht="15.75" customHeight="1">
      <c r="A380" s="5">
        <v>46013.0</v>
      </c>
      <c r="B380" s="6">
        <v>6922.0</v>
      </c>
      <c r="C380" s="6">
        <v>1.859166642E9</v>
      </c>
      <c r="D380" s="6">
        <v>576608.0</v>
      </c>
      <c r="E380" s="6" t="s">
        <v>648</v>
      </c>
      <c r="F380" s="6" t="s">
        <v>649</v>
      </c>
      <c r="G380" s="6">
        <v>9.632215356E9</v>
      </c>
      <c r="H380" s="6">
        <v>4.016372E7</v>
      </c>
      <c r="I380" s="6" t="s">
        <v>72</v>
      </c>
      <c r="J380" s="6" t="s">
        <v>21</v>
      </c>
      <c r="K380" s="6" t="s">
        <v>22</v>
      </c>
      <c r="L380" s="6">
        <v>39.9</v>
      </c>
      <c r="M380" s="5">
        <v>46013.0</v>
      </c>
      <c r="N380" s="6" t="s">
        <v>23</v>
      </c>
      <c r="O380" s="6" t="str">
        <f>SUMIFS([1]order_sku_sales_bb2_report!P:P,[1]order_sku_sales_bb2_report!H:H,C28144,[1]order_sku_sales_bb2_report!J:J,H28144)</f>
        <v>#ERROR!</v>
      </c>
      <c r="P380" s="6" t="str">
        <f>SUMIFS([1]order_sku_sales_bb2_report!O:O,[1]order_sku_sales_bb2_report!H:H,C28144,[1]order_sku_sales_bb2_report!J:J,H28144)</f>
        <v>#ERROR!</v>
      </c>
      <c r="Q380" s="6" t="str">
        <f t="shared" si="1"/>
        <v>22-12-2025</v>
      </c>
      <c r="R380" s="6" t="str">
        <f>IFERROR( VLOOKUP(C28144,[1]expressOrderReport!$S:$AZ,34,0),0)</f>
        <v>#ERROR!</v>
      </c>
      <c r="S380" s="6" t="str">
        <f>ARRAY_CONSTRAIN(ARRAYFORMULA(_xludf.XLOOKUP(D28144,[1]order_Report_SA_ID_BB2.0!V:V,[1]order_Report_SA_ID_BB2.0!AM:AM,"")), 1, 1)</f>
        <v>#ERROR!</v>
      </c>
      <c r="T380" s="6" t="str">
        <f t="shared" si="2"/>
        <v>Dec'25</v>
      </c>
    </row>
    <row r="381" ht="15.75" customHeight="1">
      <c r="A381" s="5">
        <v>46013.0</v>
      </c>
      <c r="B381" s="6">
        <v>6924.0</v>
      </c>
      <c r="C381" s="6">
        <v>1.859166652E9</v>
      </c>
      <c r="D381" s="6">
        <v>2745806.0</v>
      </c>
      <c r="E381" s="6" t="s">
        <v>650</v>
      </c>
      <c r="F381" s="6" t="s">
        <v>651</v>
      </c>
      <c r="G381" s="6">
        <v>9.6868778E9</v>
      </c>
      <c r="H381" s="6">
        <v>4.0149832E7</v>
      </c>
      <c r="I381" s="6" t="s">
        <v>26</v>
      </c>
      <c r="J381" s="6" t="s">
        <v>21</v>
      </c>
      <c r="K381" s="6" t="s">
        <v>22</v>
      </c>
      <c r="L381" s="6">
        <v>72.0</v>
      </c>
      <c r="M381" s="5">
        <v>46013.0</v>
      </c>
      <c r="N381" s="6" t="s">
        <v>23</v>
      </c>
      <c r="O381" s="6" t="str">
        <f>SUMIFS([1]order_sku_sales_bb2_report!P:P,[1]order_sku_sales_bb2_report!H:H,C28145,[1]order_sku_sales_bb2_report!J:J,H28145)</f>
        <v>#ERROR!</v>
      </c>
      <c r="P381" s="6" t="str">
        <f>SUMIFS([1]order_sku_sales_bb2_report!O:O,[1]order_sku_sales_bb2_report!H:H,C28145,[1]order_sku_sales_bb2_report!J:J,H28145)</f>
        <v>#ERROR!</v>
      </c>
      <c r="Q381" s="6" t="str">
        <f t="shared" si="1"/>
        <v>22-12-2025</v>
      </c>
      <c r="R381" s="6" t="str">
        <f>IFERROR( VLOOKUP(C28145,[1]expressOrderReport!$S:$AZ,34,0),0)</f>
        <v>#ERROR!</v>
      </c>
      <c r="S381" s="6" t="str">
        <f>ARRAY_CONSTRAIN(ARRAYFORMULA(_xludf.XLOOKUP(D28145,[1]order_Report_SA_ID_BB2.0!V:V,[1]order_Report_SA_ID_BB2.0!AM:AM,"")), 1, 1)</f>
        <v>#ERROR!</v>
      </c>
      <c r="T381" s="6" t="str">
        <f t="shared" si="2"/>
        <v>Dec'25</v>
      </c>
    </row>
    <row r="382" ht="15.75" customHeight="1">
      <c r="A382" s="5">
        <v>46013.0</v>
      </c>
      <c r="B382" s="6">
        <v>10320.0</v>
      </c>
      <c r="C382" s="6">
        <v>1.859166657E9</v>
      </c>
      <c r="D382" s="6">
        <v>2.148923E7</v>
      </c>
      <c r="E382" s="6" t="s">
        <v>652</v>
      </c>
      <c r="F382" s="6" t="s">
        <v>653</v>
      </c>
      <c r="G382" s="6">
        <v>7.08081018E9</v>
      </c>
      <c r="H382" s="6">
        <v>4.0090894E7</v>
      </c>
      <c r="I382" s="6" t="s">
        <v>62</v>
      </c>
      <c r="J382" s="6" t="s">
        <v>21</v>
      </c>
      <c r="K382" s="6" t="s">
        <v>22</v>
      </c>
      <c r="L382" s="6">
        <v>56.0</v>
      </c>
      <c r="M382" s="5">
        <v>46013.0</v>
      </c>
      <c r="N382" s="6" t="s">
        <v>23</v>
      </c>
      <c r="O382" s="6" t="str">
        <f>SUMIFS([1]order_sku_sales_bb2_report!P:P,[1]order_sku_sales_bb2_report!H:H,C28146,[1]order_sku_sales_bb2_report!J:J,H28146)</f>
        <v>#ERROR!</v>
      </c>
      <c r="P382" s="6" t="str">
        <f>SUMIFS([1]order_sku_sales_bb2_report!O:O,[1]order_sku_sales_bb2_report!H:H,C28146,[1]order_sku_sales_bb2_report!J:J,H28146)</f>
        <v>#ERROR!</v>
      </c>
      <c r="Q382" s="6" t="str">
        <f t="shared" si="1"/>
        <v>22-12-2025</v>
      </c>
      <c r="R382" s="6" t="str">
        <f>IFERROR( VLOOKUP(C28146,[1]expressOrderReport!$S:$AZ,34,0),0)</f>
        <v>#ERROR!</v>
      </c>
      <c r="S382" s="6" t="str">
        <f>ARRAY_CONSTRAIN(ARRAYFORMULA(_xludf.XLOOKUP(D28146,[1]order_Report_SA_ID_BB2.0!V:V,[1]order_Report_SA_ID_BB2.0!AM:AM,"")), 1, 1)</f>
        <v>#ERROR!</v>
      </c>
      <c r="T382" s="6" t="str">
        <f t="shared" si="2"/>
        <v>Dec'25</v>
      </c>
    </row>
    <row r="383" ht="15.75" customHeight="1">
      <c r="A383" s="5">
        <v>46013.0</v>
      </c>
      <c r="B383" s="6">
        <v>6937.0</v>
      </c>
      <c r="C383" s="6">
        <v>1.859166664E9</v>
      </c>
      <c r="D383" s="6">
        <v>1000798.0</v>
      </c>
      <c r="E383" s="6" t="s">
        <v>654</v>
      </c>
      <c r="F383" s="6" t="s">
        <v>655</v>
      </c>
      <c r="G383" s="6">
        <v>9.740352647E9</v>
      </c>
      <c r="H383" s="6">
        <v>4.0149834E7</v>
      </c>
      <c r="I383" s="6" t="s">
        <v>40</v>
      </c>
      <c r="J383" s="6" t="s">
        <v>21</v>
      </c>
      <c r="K383" s="6" t="s">
        <v>22</v>
      </c>
      <c r="L383" s="6">
        <v>52.0</v>
      </c>
      <c r="M383" s="5">
        <v>46013.0</v>
      </c>
      <c r="N383" s="6" t="s">
        <v>23</v>
      </c>
      <c r="O383" s="6" t="str">
        <f>SUMIFS([1]order_sku_sales_bb2_report!P:P,[1]order_sku_sales_bb2_report!H:H,C28147,[1]order_sku_sales_bb2_report!J:J,H28147)</f>
        <v>#ERROR!</v>
      </c>
      <c r="P383" s="6" t="str">
        <f>SUMIFS([1]order_sku_sales_bb2_report!O:O,[1]order_sku_sales_bb2_report!H:H,C28147,[1]order_sku_sales_bb2_report!J:J,H28147)</f>
        <v>#ERROR!</v>
      </c>
      <c r="Q383" s="6" t="str">
        <f t="shared" si="1"/>
        <v>22-12-2025</v>
      </c>
      <c r="R383" s="6" t="str">
        <f>IFERROR( VLOOKUP(C28147,[1]expressOrderReport!$S:$AZ,34,0),0)</f>
        <v>#ERROR!</v>
      </c>
      <c r="S383" s="6" t="str">
        <f>ARRAY_CONSTRAIN(ARRAYFORMULA(_xludf.XLOOKUP(D28147,[1]order_Report_SA_ID_BB2.0!V:V,[1]order_Report_SA_ID_BB2.0!AM:AM,"")), 1, 1)</f>
        <v>#ERROR!</v>
      </c>
      <c r="T383" s="6" t="str">
        <f t="shared" si="2"/>
        <v>Dec'25</v>
      </c>
    </row>
    <row r="384" ht="15.75" customHeight="1">
      <c r="A384" s="5">
        <v>46013.0</v>
      </c>
      <c r="B384" s="6">
        <v>6938.0</v>
      </c>
      <c r="C384" s="6">
        <v>1.859166669E9</v>
      </c>
      <c r="D384" s="6">
        <v>2.3888745E7</v>
      </c>
      <c r="E384" s="6" t="s">
        <v>656</v>
      </c>
      <c r="F384" s="6" t="s">
        <v>657</v>
      </c>
      <c r="G384" s="6">
        <v>8.123000888E9</v>
      </c>
      <c r="H384" s="6">
        <v>4.0148717E7</v>
      </c>
      <c r="I384" s="6" t="s">
        <v>226</v>
      </c>
      <c r="J384" s="6" t="s">
        <v>21</v>
      </c>
      <c r="K384" s="6" t="s">
        <v>22</v>
      </c>
      <c r="L384" s="6">
        <v>107.0</v>
      </c>
      <c r="M384" s="5">
        <v>46013.0</v>
      </c>
      <c r="N384" s="6" t="s">
        <v>23</v>
      </c>
      <c r="O384" s="6" t="str">
        <f>SUMIFS([1]order_sku_sales_bb2_report!P:P,[1]order_sku_sales_bb2_report!H:H,C28148,[1]order_sku_sales_bb2_report!J:J,H28148)</f>
        <v>#ERROR!</v>
      </c>
      <c r="P384" s="6" t="str">
        <f>SUMIFS([1]order_sku_sales_bb2_report!O:O,[1]order_sku_sales_bb2_report!H:H,C28148,[1]order_sku_sales_bb2_report!J:J,H28148)</f>
        <v>#ERROR!</v>
      </c>
      <c r="Q384" s="6" t="str">
        <f t="shared" si="1"/>
        <v>22-12-2025</v>
      </c>
      <c r="R384" s="6" t="str">
        <f>IFERROR( VLOOKUP(C28148,[1]expressOrderReport!$S:$AZ,34,0),0)</f>
        <v>#ERROR!</v>
      </c>
      <c r="S384" s="6" t="str">
        <f>ARRAY_CONSTRAIN(ARRAYFORMULA(_xludf.XLOOKUP(D28148,[1]order_Report_SA_ID_BB2.0!V:V,[1]order_Report_SA_ID_BB2.0!AM:AM,"")), 1, 1)</f>
        <v>#ERROR!</v>
      </c>
      <c r="T384" s="6" t="str">
        <f t="shared" si="2"/>
        <v>Dec'25</v>
      </c>
    </row>
    <row r="385" ht="15.75" customHeight="1">
      <c r="A385" s="5">
        <v>46013.0</v>
      </c>
      <c r="B385" s="6">
        <v>6939.0</v>
      </c>
      <c r="C385" s="6">
        <v>1.859166669E9</v>
      </c>
      <c r="D385" s="6">
        <v>2.3888745E7</v>
      </c>
      <c r="E385" s="6" t="s">
        <v>656</v>
      </c>
      <c r="F385" s="6" t="s">
        <v>657</v>
      </c>
      <c r="G385" s="6">
        <v>8.123000888E9</v>
      </c>
      <c r="H385" s="6">
        <v>4.0149833E7</v>
      </c>
      <c r="I385" s="6" t="s">
        <v>40</v>
      </c>
      <c r="J385" s="6" t="s">
        <v>21</v>
      </c>
      <c r="K385" s="6" t="s">
        <v>22</v>
      </c>
      <c r="L385" s="6">
        <v>107.0</v>
      </c>
      <c r="M385" s="5">
        <v>46013.0</v>
      </c>
      <c r="N385" s="6" t="s">
        <v>23</v>
      </c>
      <c r="O385" s="6" t="str">
        <f>SUMIFS([1]order_sku_sales_bb2_report!P:P,[1]order_sku_sales_bb2_report!H:H,C28149,[1]order_sku_sales_bb2_report!J:J,H28149)</f>
        <v>#ERROR!</v>
      </c>
      <c r="P385" s="6" t="str">
        <f>SUMIFS([1]order_sku_sales_bb2_report!O:O,[1]order_sku_sales_bb2_report!H:H,C28149,[1]order_sku_sales_bb2_report!J:J,H28149)</f>
        <v>#ERROR!</v>
      </c>
      <c r="Q385" s="6" t="str">
        <f t="shared" si="1"/>
        <v>22-12-2025</v>
      </c>
      <c r="R385" s="6" t="str">
        <f>IFERROR( VLOOKUP(C28149,[1]expressOrderReport!$S:$AZ,34,0),0)</f>
        <v>#ERROR!</v>
      </c>
      <c r="S385" s="6" t="str">
        <f>ARRAY_CONSTRAIN(ARRAYFORMULA(_xludf.XLOOKUP(D28149,[1]order_Report_SA_ID_BB2.0!V:V,[1]order_Report_SA_ID_BB2.0!AM:AM,"")), 1, 1)</f>
        <v>#ERROR!</v>
      </c>
      <c r="T385" s="6" t="str">
        <f t="shared" si="2"/>
        <v>Dec'25</v>
      </c>
    </row>
    <row r="386" ht="15.75" customHeight="1">
      <c r="A386" s="5">
        <v>46013.0</v>
      </c>
      <c r="B386" s="6">
        <v>6941.0</v>
      </c>
      <c r="C386" s="6">
        <v>1.859166674E9</v>
      </c>
      <c r="D386" s="6">
        <v>2.4197999E7</v>
      </c>
      <c r="E386" s="6" t="s">
        <v>293</v>
      </c>
      <c r="F386" s="6" t="s">
        <v>294</v>
      </c>
      <c r="G386" s="6">
        <v>7.428137157E9</v>
      </c>
      <c r="H386" s="6">
        <v>4.014983E7</v>
      </c>
      <c r="I386" s="6" t="s">
        <v>30</v>
      </c>
      <c r="J386" s="6" t="s">
        <v>21</v>
      </c>
      <c r="K386" s="6" t="s">
        <v>22</v>
      </c>
      <c r="L386" s="6">
        <v>28.0</v>
      </c>
      <c r="M386" s="5">
        <v>46013.0</v>
      </c>
      <c r="N386" s="6" t="s">
        <v>23</v>
      </c>
      <c r="O386" s="6" t="str">
        <f>SUMIFS([1]order_sku_sales_bb2_report!P:P,[1]order_sku_sales_bb2_report!H:H,C28150,[1]order_sku_sales_bb2_report!J:J,H28150)</f>
        <v>#ERROR!</v>
      </c>
      <c r="P386" s="6" t="str">
        <f>SUMIFS([1]order_sku_sales_bb2_report!O:O,[1]order_sku_sales_bb2_report!H:H,C28150,[1]order_sku_sales_bb2_report!J:J,H28150)</f>
        <v>#ERROR!</v>
      </c>
      <c r="Q386" s="6" t="str">
        <f t="shared" si="1"/>
        <v>22-12-2025</v>
      </c>
      <c r="R386" s="6" t="str">
        <f>IFERROR( VLOOKUP(C28150,[1]expressOrderReport!$S:$AZ,34,0),0)</f>
        <v>#ERROR!</v>
      </c>
      <c r="S386" s="6" t="str">
        <f>ARRAY_CONSTRAIN(ARRAYFORMULA(_xludf.XLOOKUP(D28150,[1]order_Report_SA_ID_BB2.0!V:V,[1]order_Report_SA_ID_BB2.0!AM:AM,"")), 1, 1)</f>
        <v>#ERROR!</v>
      </c>
      <c r="T386" s="6" t="str">
        <f t="shared" si="2"/>
        <v>Dec'25</v>
      </c>
    </row>
    <row r="387" ht="15.75" customHeight="1">
      <c r="A387" s="5">
        <v>46013.0</v>
      </c>
      <c r="B387" s="6">
        <v>6949.0</v>
      </c>
      <c r="C387" s="6">
        <v>1.859166678E9</v>
      </c>
      <c r="D387" s="6">
        <v>2.577001E7</v>
      </c>
      <c r="E387" s="6" t="s">
        <v>625</v>
      </c>
      <c r="F387" s="6" t="s">
        <v>658</v>
      </c>
      <c r="G387" s="6">
        <v>9.916502035E9</v>
      </c>
      <c r="H387" s="6">
        <v>4.0149833E7</v>
      </c>
      <c r="I387" s="6" t="s">
        <v>40</v>
      </c>
      <c r="J387" s="6" t="s">
        <v>21</v>
      </c>
      <c r="K387" s="6" t="s">
        <v>22</v>
      </c>
      <c r="L387" s="6">
        <v>27.0</v>
      </c>
      <c r="M387" s="5">
        <v>46013.0</v>
      </c>
      <c r="N387" s="6" t="s">
        <v>23</v>
      </c>
      <c r="O387" s="6" t="str">
        <f>SUMIFS([1]order_sku_sales_bb2_report!P:P,[1]order_sku_sales_bb2_report!H:H,C28151,[1]order_sku_sales_bb2_report!J:J,H28151)</f>
        <v>#ERROR!</v>
      </c>
      <c r="P387" s="6" t="str">
        <f>SUMIFS([1]order_sku_sales_bb2_report!O:O,[1]order_sku_sales_bb2_report!H:H,C28151,[1]order_sku_sales_bb2_report!J:J,H28151)</f>
        <v>#ERROR!</v>
      </c>
      <c r="Q387" s="6" t="str">
        <f t="shared" si="1"/>
        <v>22-12-2025</v>
      </c>
      <c r="R387" s="6" t="str">
        <f>IFERROR( VLOOKUP(C28151,[1]expressOrderReport!$S:$AZ,34,0),0)</f>
        <v>#ERROR!</v>
      </c>
      <c r="S387" s="6" t="str">
        <f>ARRAY_CONSTRAIN(ARRAYFORMULA(_xludf.XLOOKUP(D28151,[1]order_Report_SA_ID_BB2.0!V:V,[1]order_Report_SA_ID_BB2.0!AM:AM,"")), 1, 1)</f>
        <v>#ERROR!</v>
      </c>
      <c r="T387" s="6" t="str">
        <f t="shared" si="2"/>
        <v>Dec'25</v>
      </c>
    </row>
    <row r="388" ht="15.75" customHeight="1">
      <c r="A388" s="5">
        <v>46013.0</v>
      </c>
      <c r="B388" s="6">
        <v>6950.0</v>
      </c>
      <c r="C388" s="6">
        <v>1.859166685E9</v>
      </c>
      <c r="D388" s="6">
        <v>2.7010765E7</v>
      </c>
      <c r="E388" s="6" t="s">
        <v>659</v>
      </c>
      <c r="F388" s="6" t="s">
        <v>660</v>
      </c>
      <c r="G388" s="6">
        <v>9.500066298E9</v>
      </c>
      <c r="H388" s="6">
        <v>4.0147597E7</v>
      </c>
      <c r="I388" s="6" t="s">
        <v>59</v>
      </c>
      <c r="J388" s="6" t="s">
        <v>21</v>
      </c>
      <c r="K388" s="6" t="s">
        <v>22</v>
      </c>
      <c r="L388" s="6">
        <v>26.0</v>
      </c>
      <c r="M388" s="5">
        <v>46013.0</v>
      </c>
      <c r="N388" s="6" t="s">
        <v>23</v>
      </c>
      <c r="O388" s="6" t="str">
        <f>SUMIFS([1]order_sku_sales_bb2_report!P:P,[1]order_sku_sales_bb2_report!H:H,C28152,[1]order_sku_sales_bb2_report!J:J,H28152)</f>
        <v>#ERROR!</v>
      </c>
      <c r="P388" s="6" t="str">
        <f>SUMIFS([1]order_sku_sales_bb2_report!O:O,[1]order_sku_sales_bb2_report!H:H,C28152,[1]order_sku_sales_bb2_report!J:J,H28152)</f>
        <v>#ERROR!</v>
      </c>
      <c r="Q388" s="6" t="str">
        <f t="shared" si="1"/>
        <v>22-12-2025</v>
      </c>
      <c r="R388" s="6" t="str">
        <f>IFERROR( VLOOKUP(C28152,[1]expressOrderReport!$S:$AZ,34,0),0)</f>
        <v>#ERROR!</v>
      </c>
      <c r="S388" s="6" t="str">
        <f>ARRAY_CONSTRAIN(ARRAYFORMULA(_xludf.XLOOKUP(D28152,[1]order_Report_SA_ID_BB2.0!V:V,[1]order_Report_SA_ID_BB2.0!AM:AM,"")), 1, 1)</f>
        <v>#ERROR!</v>
      </c>
      <c r="T388" s="6" t="str">
        <f t="shared" si="2"/>
        <v>Dec'25</v>
      </c>
    </row>
    <row r="389" ht="15.75" customHeight="1">
      <c r="A389" s="5">
        <v>46013.0</v>
      </c>
      <c r="B389" s="6">
        <v>6952.0</v>
      </c>
      <c r="C389" s="6">
        <v>1.859166693E9</v>
      </c>
      <c r="D389" s="6">
        <v>3.0331743E7</v>
      </c>
      <c r="E389" s="6" t="s">
        <v>661</v>
      </c>
      <c r="F389" s="6" t="s">
        <v>662</v>
      </c>
      <c r="G389" s="6">
        <v>9.945617775E9</v>
      </c>
      <c r="H389" s="6">
        <v>4.0149832E7</v>
      </c>
      <c r="I389" s="6" t="s">
        <v>26</v>
      </c>
      <c r="J389" s="6" t="s">
        <v>21</v>
      </c>
      <c r="K389" s="6" t="s">
        <v>22</v>
      </c>
      <c r="L389" s="6">
        <v>48.0</v>
      </c>
      <c r="M389" s="5">
        <v>46013.0</v>
      </c>
      <c r="N389" s="6" t="s">
        <v>23</v>
      </c>
      <c r="O389" s="6" t="str">
        <f>SUMIFS([1]order_sku_sales_bb2_report!P:P,[1]order_sku_sales_bb2_report!H:H,C28153,[1]order_sku_sales_bb2_report!J:J,H28153)</f>
        <v>#ERROR!</v>
      </c>
      <c r="P389" s="6" t="str">
        <f>SUMIFS([1]order_sku_sales_bb2_report!O:O,[1]order_sku_sales_bb2_report!H:H,C28153,[1]order_sku_sales_bb2_report!J:J,H28153)</f>
        <v>#ERROR!</v>
      </c>
      <c r="Q389" s="6" t="str">
        <f t="shared" si="1"/>
        <v>22-12-2025</v>
      </c>
      <c r="R389" s="6" t="str">
        <f>IFERROR( VLOOKUP(C28153,[1]expressOrderReport!$S:$AZ,34,0),0)</f>
        <v>#ERROR!</v>
      </c>
      <c r="S389" s="6" t="str">
        <f>ARRAY_CONSTRAIN(ARRAYFORMULA(_xludf.XLOOKUP(D28153,[1]order_Report_SA_ID_BB2.0!V:V,[1]order_Report_SA_ID_BB2.0!AM:AM,"")), 1, 1)</f>
        <v>#ERROR!</v>
      </c>
      <c r="T389" s="6" t="str">
        <f t="shared" si="2"/>
        <v>Dec'25</v>
      </c>
    </row>
    <row r="390" ht="15.75" customHeight="1">
      <c r="A390" s="5">
        <v>46013.0</v>
      </c>
      <c r="B390" s="6">
        <v>6955.0</v>
      </c>
      <c r="C390" s="6">
        <v>1.859166702E9</v>
      </c>
      <c r="D390" s="6">
        <v>5057849.0</v>
      </c>
      <c r="E390" s="6" t="s">
        <v>222</v>
      </c>
      <c r="F390" s="6" t="s">
        <v>663</v>
      </c>
      <c r="G390" s="6">
        <v>9.899294277E9</v>
      </c>
      <c r="H390" s="6">
        <v>4.016372E7</v>
      </c>
      <c r="I390" s="6" t="s">
        <v>72</v>
      </c>
      <c r="J390" s="6" t="s">
        <v>21</v>
      </c>
      <c r="K390" s="6" t="s">
        <v>22</v>
      </c>
      <c r="L390" s="6">
        <v>119.7</v>
      </c>
      <c r="M390" s="5">
        <v>46013.0</v>
      </c>
      <c r="N390" s="6" t="s">
        <v>23</v>
      </c>
      <c r="O390" s="6" t="str">
        <f>SUMIFS([1]order_sku_sales_bb2_report!P:P,[1]order_sku_sales_bb2_report!H:H,C28154,[1]order_sku_sales_bb2_report!J:J,H28154)</f>
        <v>#ERROR!</v>
      </c>
      <c r="P390" s="6" t="str">
        <f>SUMIFS([1]order_sku_sales_bb2_report!O:O,[1]order_sku_sales_bb2_report!H:H,C28154,[1]order_sku_sales_bb2_report!J:J,H28154)</f>
        <v>#ERROR!</v>
      </c>
      <c r="Q390" s="6" t="str">
        <f t="shared" si="1"/>
        <v>22-12-2025</v>
      </c>
      <c r="R390" s="6" t="str">
        <f>IFERROR( VLOOKUP(C28154,[1]expressOrderReport!$S:$AZ,34,0),0)</f>
        <v>#ERROR!</v>
      </c>
      <c r="S390" s="6" t="str">
        <f>ARRAY_CONSTRAIN(ARRAYFORMULA(_xludf.XLOOKUP(D28154,[1]order_Report_SA_ID_BB2.0!V:V,[1]order_Report_SA_ID_BB2.0!AM:AM,"")), 1, 1)</f>
        <v>#ERROR!</v>
      </c>
      <c r="T390" s="6" t="str">
        <f t="shared" si="2"/>
        <v>Dec'25</v>
      </c>
    </row>
    <row r="391" ht="15.75" customHeight="1">
      <c r="A391" s="5">
        <v>46013.0</v>
      </c>
      <c r="B391" s="6">
        <v>9965.0</v>
      </c>
      <c r="C391" s="6">
        <v>1.859166713E9</v>
      </c>
      <c r="D391" s="6">
        <v>5182092.0</v>
      </c>
      <c r="E391" s="6" t="s">
        <v>664</v>
      </c>
      <c r="F391" s="6" t="s">
        <v>665</v>
      </c>
      <c r="G391" s="6">
        <v>9.81098165E9</v>
      </c>
      <c r="H391" s="6">
        <v>4.0148716E7</v>
      </c>
      <c r="I391" s="6" t="s">
        <v>148</v>
      </c>
      <c r="J391" s="6" t="s">
        <v>21</v>
      </c>
      <c r="K391" s="6" t="s">
        <v>22</v>
      </c>
      <c r="L391" s="6">
        <v>90.0</v>
      </c>
      <c r="M391" s="5">
        <v>46013.0</v>
      </c>
      <c r="N391" s="6" t="s">
        <v>23</v>
      </c>
      <c r="O391" s="6" t="str">
        <f>SUMIFS([1]order_sku_sales_bb2_report!P:P,[1]order_sku_sales_bb2_report!H:H,C28155,[1]order_sku_sales_bb2_report!J:J,H28155)</f>
        <v>#ERROR!</v>
      </c>
      <c r="P391" s="6" t="str">
        <f>SUMIFS([1]order_sku_sales_bb2_report!O:O,[1]order_sku_sales_bb2_report!H:H,C28155,[1]order_sku_sales_bb2_report!J:J,H28155)</f>
        <v>#ERROR!</v>
      </c>
      <c r="Q391" s="6" t="str">
        <f t="shared" si="1"/>
        <v>22-12-2025</v>
      </c>
      <c r="R391" s="6" t="str">
        <f>IFERROR( VLOOKUP(C28155,[1]expressOrderReport!$S:$AZ,34,0),0)</f>
        <v>#ERROR!</v>
      </c>
      <c r="S391" s="6" t="str">
        <f>ARRAY_CONSTRAIN(ARRAYFORMULA(_xludf.XLOOKUP(D28155,[1]order_Report_SA_ID_BB2.0!V:V,[1]order_Report_SA_ID_BB2.0!AM:AM,"")), 1, 1)</f>
        <v>#ERROR!</v>
      </c>
      <c r="T391" s="6" t="str">
        <f t="shared" si="2"/>
        <v>Dec'25</v>
      </c>
    </row>
    <row r="392" ht="15.75" customHeight="1">
      <c r="A392" s="5">
        <v>46013.0</v>
      </c>
      <c r="B392" s="6">
        <v>6965.0</v>
      </c>
      <c r="C392" s="6">
        <v>1.85916672E9</v>
      </c>
      <c r="D392" s="6">
        <v>1.2205698E7</v>
      </c>
      <c r="E392" s="6" t="s">
        <v>625</v>
      </c>
      <c r="F392" s="6" t="s">
        <v>666</v>
      </c>
      <c r="G392" s="6">
        <v>9.731985327E9</v>
      </c>
      <c r="H392" s="6">
        <v>4.0149831E7</v>
      </c>
      <c r="I392" s="6" t="s">
        <v>65</v>
      </c>
      <c r="J392" s="6" t="s">
        <v>21</v>
      </c>
      <c r="K392" s="6" t="s">
        <v>22</v>
      </c>
      <c r="L392" s="6">
        <v>26.0</v>
      </c>
      <c r="M392" s="5">
        <v>46013.0</v>
      </c>
      <c r="N392" s="6" t="s">
        <v>23</v>
      </c>
      <c r="O392" s="6" t="str">
        <f>SUMIFS([1]order_sku_sales_bb2_report!P:P,[1]order_sku_sales_bb2_report!H:H,C28156,[1]order_sku_sales_bb2_report!J:J,H28156)</f>
        <v>#ERROR!</v>
      </c>
      <c r="P392" s="6" t="str">
        <f>SUMIFS([1]order_sku_sales_bb2_report!O:O,[1]order_sku_sales_bb2_report!H:H,C28156,[1]order_sku_sales_bb2_report!J:J,H28156)</f>
        <v>#ERROR!</v>
      </c>
      <c r="Q392" s="6" t="str">
        <f t="shared" si="1"/>
        <v>22-12-2025</v>
      </c>
      <c r="R392" s="6" t="str">
        <f>IFERROR( VLOOKUP(C28156,[1]expressOrderReport!$S:$AZ,34,0),0)</f>
        <v>#ERROR!</v>
      </c>
      <c r="S392" s="6" t="str">
        <f>ARRAY_CONSTRAIN(ARRAYFORMULA(_xludf.XLOOKUP(D28156,[1]order_Report_SA_ID_BB2.0!V:V,[1]order_Report_SA_ID_BB2.0!AM:AM,"")), 1, 1)</f>
        <v>#ERROR!</v>
      </c>
      <c r="T392" s="6" t="str">
        <f t="shared" si="2"/>
        <v>Dec'25</v>
      </c>
    </row>
    <row r="393" ht="15.75" customHeight="1">
      <c r="A393" s="5">
        <v>46013.0</v>
      </c>
      <c r="B393" s="6">
        <v>6979.0</v>
      </c>
      <c r="C393" s="6">
        <v>1.859166725E9</v>
      </c>
      <c r="D393" s="6">
        <v>3.553324E7</v>
      </c>
      <c r="E393" s="6" t="s">
        <v>625</v>
      </c>
      <c r="F393" s="6" t="s">
        <v>667</v>
      </c>
      <c r="G393" s="6">
        <v>7.204364659E9</v>
      </c>
      <c r="H393" s="6">
        <v>4.0149833E7</v>
      </c>
      <c r="I393" s="6" t="s">
        <v>40</v>
      </c>
      <c r="J393" s="6" t="s">
        <v>21</v>
      </c>
      <c r="K393" s="6" t="s">
        <v>22</v>
      </c>
      <c r="L393" s="6">
        <v>81.0</v>
      </c>
      <c r="M393" s="5">
        <v>46013.0</v>
      </c>
      <c r="N393" s="6" t="s">
        <v>23</v>
      </c>
      <c r="O393" s="6" t="str">
        <f>SUMIFS([1]order_sku_sales_bb2_report!P:P,[1]order_sku_sales_bb2_report!H:H,C28157,[1]order_sku_sales_bb2_report!J:J,H28157)</f>
        <v>#ERROR!</v>
      </c>
      <c r="P393" s="6" t="str">
        <f>SUMIFS([1]order_sku_sales_bb2_report!O:O,[1]order_sku_sales_bb2_report!H:H,C28157,[1]order_sku_sales_bb2_report!J:J,H28157)</f>
        <v>#ERROR!</v>
      </c>
      <c r="Q393" s="6" t="str">
        <f t="shared" si="1"/>
        <v>22-12-2025</v>
      </c>
      <c r="R393" s="6" t="str">
        <f>IFERROR( VLOOKUP(C28157,[1]expressOrderReport!$S:$AZ,34,0),0)</f>
        <v>#ERROR!</v>
      </c>
      <c r="S393" s="6" t="str">
        <f>ARRAY_CONSTRAIN(ARRAYFORMULA(_xludf.XLOOKUP(D28157,[1]order_Report_SA_ID_BB2.0!V:V,[1]order_Report_SA_ID_BB2.0!AM:AM,"")), 1, 1)</f>
        <v>#ERROR!</v>
      </c>
      <c r="T393" s="6" t="str">
        <f t="shared" si="2"/>
        <v>Dec'25</v>
      </c>
    </row>
    <row r="394" ht="15.75" customHeight="1">
      <c r="A394" s="5">
        <v>46013.0</v>
      </c>
      <c r="B394" s="6">
        <v>6982.0</v>
      </c>
      <c r="C394" s="6">
        <v>1.859166733E9</v>
      </c>
      <c r="D394" s="6">
        <v>4.1191181E7</v>
      </c>
      <c r="E394" s="6" t="s">
        <v>668</v>
      </c>
      <c r="F394" s="6" t="s">
        <v>669</v>
      </c>
      <c r="G394" s="6">
        <v>9.686609073E9</v>
      </c>
      <c r="H394" s="6">
        <v>4.0161616E7</v>
      </c>
      <c r="I394" s="6" t="s">
        <v>20</v>
      </c>
      <c r="J394" s="6" t="s">
        <v>21</v>
      </c>
      <c r="K394" s="6" t="s">
        <v>22</v>
      </c>
      <c r="L394" s="6">
        <v>56.0</v>
      </c>
      <c r="M394" s="5">
        <v>46013.0</v>
      </c>
      <c r="N394" s="6" t="s">
        <v>23</v>
      </c>
      <c r="O394" s="6" t="str">
        <f>SUMIFS([1]order_sku_sales_bb2_report!P:P,[1]order_sku_sales_bb2_report!H:H,C28158,[1]order_sku_sales_bb2_report!J:J,H28158)</f>
        <v>#ERROR!</v>
      </c>
      <c r="P394" s="6" t="str">
        <f>SUMIFS([1]order_sku_sales_bb2_report!O:O,[1]order_sku_sales_bb2_report!H:H,C28158,[1]order_sku_sales_bb2_report!J:J,H28158)</f>
        <v>#ERROR!</v>
      </c>
      <c r="Q394" s="6" t="str">
        <f t="shared" si="1"/>
        <v>22-12-2025</v>
      </c>
      <c r="R394" s="6" t="str">
        <f>IFERROR( VLOOKUP(C28158,[1]expressOrderReport!$S:$AZ,34,0),0)</f>
        <v>#ERROR!</v>
      </c>
      <c r="S394" s="6" t="str">
        <f>ARRAY_CONSTRAIN(ARRAYFORMULA(_xludf.XLOOKUP(D28158,[1]order_Report_SA_ID_BB2.0!V:V,[1]order_Report_SA_ID_BB2.0!AM:AM,"")), 1, 1)</f>
        <v>#ERROR!</v>
      </c>
      <c r="T394" s="6" t="str">
        <f t="shared" si="2"/>
        <v>Dec'25</v>
      </c>
    </row>
    <row r="395" ht="15.75" customHeight="1">
      <c r="A395" s="5">
        <v>46013.0</v>
      </c>
      <c r="B395" s="6">
        <v>7010.0</v>
      </c>
      <c r="C395" s="6">
        <v>1.859166741E9</v>
      </c>
      <c r="D395" s="6">
        <v>1.8436393E7</v>
      </c>
      <c r="E395" s="6" t="s">
        <v>670</v>
      </c>
      <c r="F395" s="6" t="s">
        <v>671</v>
      </c>
      <c r="G395" s="6">
        <v>7.406543798E9</v>
      </c>
      <c r="H395" s="6">
        <v>4.0158264E7</v>
      </c>
      <c r="I395" s="6" t="s">
        <v>26</v>
      </c>
      <c r="J395" s="6" t="s">
        <v>21</v>
      </c>
      <c r="K395" s="6" t="s">
        <v>22</v>
      </c>
      <c r="L395" s="6">
        <v>46.0</v>
      </c>
      <c r="M395" s="5">
        <v>46013.0</v>
      </c>
      <c r="N395" s="6" t="s">
        <v>23</v>
      </c>
      <c r="O395" s="6" t="str">
        <f>SUMIFS([1]order_sku_sales_bb2_report!P:P,[1]order_sku_sales_bb2_report!H:H,C28159,[1]order_sku_sales_bb2_report!J:J,H28159)</f>
        <v>#ERROR!</v>
      </c>
      <c r="P395" s="6" t="str">
        <f>SUMIFS([1]order_sku_sales_bb2_report!O:O,[1]order_sku_sales_bb2_report!H:H,C28159,[1]order_sku_sales_bb2_report!J:J,H28159)</f>
        <v>#ERROR!</v>
      </c>
      <c r="Q395" s="6" t="str">
        <f t="shared" si="1"/>
        <v>22-12-2025</v>
      </c>
      <c r="R395" s="6" t="str">
        <f>IFERROR( VLOOKUP(C28159,[1]expressOrderReport!$S:$AZ,34,0),0)</f>
        <v>#ERROR!</v>
      </c>
      <c r="S395" s="6" t="str">
        <f>ARRAY_CONSTRAIN(ARRAYFORMULA(_xludf.XLOOKUP(D28159,[1]order_Report_SA_ID_BB2.0!V:V,[1]order_Report_SA_ID_BB2.0!AM:AM,"")), 1, 1)</f>
        <v>#ERROR!</v>
      </c>
      <c r="T395" s="6" t="str">
        <f t="shared" si="2"/>
        <v>Dec'25</v>
      </c>
    </row>
    <row r="396" ht="15.75" customHeight="1">
      <c r="A396" s="5">
        <v>46013.0</v>
      </c>
      <c r="B396" s="6">
        <v>7015.0</v>
      </c>
      <c r="C396" s="6">
        <v>1.859166749E9</v>
      </c>
      <c r="D396" s="6">
        <v>7780260.0</v>
      </c>
      <c r="E396" s="6" t="s">
        <v>625</v>
      </c>
      <c r="F396" s="6" t="s">
        <v>672</v>
      </c>
      <c r="G396" s="6">
        <v>9.711190417E9</v>
      </c>
      <c r="H396" s="6">
        <v>4.0158264E7</v>
      </c>
      <c r="I396" s="6" t="s">
        <v>26</v>
      </c>
      <c r="J396" s="6" t="s">
        <v>21</v>
      </c>
      <c r="K396" s="6" t="s">
        <v>22</v>
      </c>
      <c r="L396" s="6">
        <v>46.0</v>
      </c>
      <c r="M396" s="5">
        <v>46013.0</v>
      </c>
      <c r="N396" s="6" t="s">
        <v>23</v>
      </c>
      <c r="O396" s="6" t="str">
        <f>SUMIFS([1]order_sku_sales_bb2_report!P:P,[1]order_sku_sales_bb2_report!H:H,C28160,[1]order_sku_sales_bb2_report!J:J,H28160)</f>
        <v>#ERROR!</v>
      </c>
      <c r="P396" s="6" t="str">
        <f>SUMIFS([1]order_sku_sales_bb2_report!O:O,[1]order_sku_sales_bb2_report!H:H,C28160,[1]order_sku_sales_bb2_report!J:J,H28160)</f>
        <v>#ERROR!</v>
      </c>
      <c r="Q396" s="6" t="str">
        <f t="shared" si="1"/>
        <v>22-12-2025</v>
      </c>
      <c r="R396" s="6" t="str">
        <f>IFERROR( VLOOKUP(C28160,[1]expressOrderReport!$S:$AZ,34,0),0)</f>
        <v>#ERROR!</v>
      </c>
      <c r="S396" s="6" t="str">
        <f>ARRAY_CONSTRAIN(ARRAYFORMULA(_xludf.XLOOKUP(D28160,[1]order_Report_SA_ID_BB2.0!V:V,[1]order_Report_SA_ID_BB2.0!AM:AM,"")), 1, 1)</f>
        <v>#ERROR!</v>
      </c>
      <c r="T396" s="6" t="str">
        <f t="shared" si="2"/>
        <v>Dec'25</v>
      </c>
    </row>
    <row r="397" ht="15.75" customHeight="1">
      <c r="A397" s="5">
        <v>46013.0</v>
      </c>
      <c r="B397" s="6">
        <v>10509.0</v>
      </c>
      <c r="C397" s="6">
        <v>1.859166761E9</v>
      </c>
      <c r="D397" s="6">
        <v>2.0712906E7</v>
      </c>
      <c r="E397" s="6" t="s">
        <v>673</v>
      </c>
      <c r="F397" s="6" t="s">
        <v>674</v>
      </c>
      <c r="G397" s="6">
        <v>8.660117269E9</v>
      </c>
      <c r="H397" s="6">
        <v>4.0149834E7</v>
      </c>
      <c r="I397" s="6" t="s">
        <v>40</v>
      </c>
      <c r="J397" s="6" t="s">
        <v>21</v>
      </c>
      <c r="K397" s="6" t="s">
        <v>22</v>
      </c>
      <c r="L397" s="6">
        <v>52.0</v>
      </c>
      <c r="M397" s="5">
        <v>46013.0</v>
      </c>
      <c r="N397" s="6" t="s">
        <v>23</v>
      </c>
      <c r="O397" s="6" t="str">
        <f>SUMIFS([1]order_sku_sales_bb2_report!P:P,[1]order_sku_sales_bb2_report!H:H,C28161,[1]order_sku_sales_bb2_report!J:J,H28161)</f>
        <v>#ERROR!</v>
      </c>
      <c r="P397" s="6" t="str">
        <f>SUMIFS([1]order_sku_sales_bb2_report!O:O,[1]order_sku_sales_bb2_report!H:H,C28161,[1]order_sku_sales_bb2_report!J:J,H28161)</f>
        <v>#ERROR!</v>
      </c>
      <c r="Q397" s="6" t="str">
        <f t="shared" si="1"/>
        <v>22-12-2025</v>
      </c>
      <c r="R397" s="6" t="str">
        <f>IFERROR( VLOOKUP(C28161,[1]expressOrderReport!$S:$AZ,34,0),0)</f>
        <v>#ERROR!</v>
      </c>
      <c r="S397" s="6" t="str">
        <f>ARRAY_CONSTRAIN(ARRAYFORMULA(_xludf.XLOOKUP(D28161,[1]order_Report_SA_ID_BB2.0!V:V,[1]order_Report_SA_ID_BB2.0!AM:AM,"")), 1, 1)</f>
        <v>#ERROR!</v>
      </c>
      <c r="T397" s="6" t="str">
        <f t="shared" si="2"/>
        <v>Dec'25</v>
      </c>
    </row>
    <row r="398" ht="15.75" customHeight="1">
      <c r="A398" s="5">
        <v>46013.0</v>
      </c>
      <c r="B398" s="6">
        <v>7024.0</v>
      </c>
      <c r="C398" s="6">
        <v>1.859166768E9</v>
      </c>
      <c r="D398" s="6">
        <v>6.519407E7</v>
      </c>
      <c r="E398" s="6" t="s">
        <v>625</v>
      </c>
      <c r="F398" s="6" t="s">
        <v>675</v>
      </c>
      <c r="G398" s="6">
        <v>8.890984433E9</v>
      </c>
      <c r="H398" s="6">
        <v>4.014983E7</v>
      </c>
      <c r="I398" s="6" t="s">
        <v>30</v>
      </c>
      <c r="J398" s="6" t="s">
        <v>21</v>
      </c>
      <c r="K398" s="6" t="s">
        <v>22</v>
      </c>
      <c r="L398" s="6">
        <v>118.86</v>
      </c>
      <c r="M398" s="5">
        <v>46013.0</v>
      </c>
      <c r="N398" s="6" t="s">
        <v>23</v>
      </c>
      <c r="O398" s="6" t="str">
        <f>SUMIFS([1]order_sku_sales_bb2_report!P:P,[1]order_sku_sales_bb2_report!H:H,C28162,[1]order_sku_sales_bb2_report!J:J,H28162)</f>
        <v>#ERROR!</v>
      </c>
      <c r="P398" s="6" t="str">
        <f>SUMIFS([1]order_sku_sales_bb2_report!O:O,[1]order_sku_sales_bb2_report!H:H,C28162,[1]order_sku_sales_bb2_report!J:J,H28162)</f>
        <v>#ERROR!</v>
      </c>
      <c r="Q398" s="6" t="str">
        <f t="shared" si="1"/>
        <v>22-12-2025</v>
      </c>
      <c r="R398" s="6" t="str">
        <f>IFERROR( VLOOKUP(C28162,[1]expressOrderReport!$S:$AZ,34,0),0)</f>
        <v>#ERROR!</v>
      </c>
      <c r="S398" s="6" t="str">
        <f>ARRAY_CONSTRAIN(ARRAYFORMULA(_xludf.XLOOKUP(D28162,[1]order_Report_SA_ID_BB2.0!V:V,[1]order_Report_SA_ID_BB2.0!AM:AM,"")), 1, 1)</f>
        <v>#ERROR!</v>
      </c>
      <c r="T398" s="6" t="str">
        <f t="shared" si="2"/>
        <v>Dec'25</v>
      </c>
    </row>
    <row r="399" ht="15.75" customHeight="1">
      <c r="A399" s="5">
        <v>46013.0</v>
      </c>
      <c r="B399" s="6">
        <v>7026.0</v>
      </c>
      <c r="C399" s="6">
        <v>1.859166768E9</v>
      </c>
      <c r="D399" s="6">
        <v>6.519407E7</v>
      </c>
      <c r="E399" s="6" t="s">
        <v>625</v>
      </c>
      <c r="F399" s="6" t="s">
        <v>675</v>
      </c>
      <c r="G399" s="6">
        <v>8.890984433E9</v>
      </c>
      <c r="H399" s="6">
        <v>4.0054183E7</v>
      </c>
      <c r="I399" s="6" t="s">
        <v>157</v>
      </c>
      <c r="J399" s="6" t="s">
        <v>21</v>
      </c>
      <c r="K399" s="6" t="s">
        <v>22</v>
      </c>
      <c r="L399" s="6">
        <v>118.86</v>
      </c>
      <c r="M399" s="5">
        <v>46013.0</v>
      </c>
      <c r="N399" s="6" t="s">
        <v>23</v>
      </c>
      <c r="O399" s="6" t="str">
        <f>SUMIFS([1]order_sku_sales_bb2_report!P:P,[1]order_sku_sales_bb2_report!H:H,C28163,[1]order_sku_sales_bb2_report!J:J,H28163)</f>
        <v>#ERROR!</v>
      </c>
      <c r="P399" s="6" t="str">
        <f>SUMIFS([1]order_sku_sales_bb2_report!O:O,[1]order_sku_sales_bb2_report!H:H,C28163,[1]order_sku_sales_bb2_report!J:J,H28163)</f>
        <v>#ERROR!</v>
      </c>
      <c r="Q399" s="6" t="str">
        <f t="shared" si="1"/>
        <v>22-12-2025</v>
      </c>
      <c r="R399" s="6" t="str">
        <f>IFERROR( VLOOKUP(C28163,[1]expressOrderReport!$S:$AZ,34,0),0)</f>
        <v>#ERROR!</v>
      </c>
      <c r="S399" s="6" t="str">
        <f>ARRAY_CONSTRAIN(ARRAYFORMULA(_xludf.XLOOKUP(D28163,[1]order_Report_SA_ID_BB2.0!V:V,[1]order_Report_SA_ID_BB2.0!AM:AM,"")), 1, 1)</f>
        <v>#ERROR!</v>
      </c>
      <c r="T399" s="6" t="str">
        <f t="shared" si="2"/>
        <v>Dec'25</v>
      </c>
    </row>
    <row r="400" ht="15.75" customHeight="1">
      <c r="A400" s="5">
        <v>46013.0</v>
      </c>
      <c r="B400" s="6">
        <v>9867.0</v>
      </c>
      <c r="C400" s="6">
        <v>1.859166768E9</v>
      </c>
      <c r="D400" s="6">
        <v>6.519407E7</v>
      </c>
      <c r="E400" s="6" t="s">
        <v>625</v>
      </c>
      <c r="F400" s="6" t="s">
        <v>675</v>
      </c>
      <c r="G400" s="6">
        <v>8.890984433E9</v>
      </c>
      <c r="H400" s="6">
        <v>4.0149834E7</v>
      </c>
      <c r="I400" s="6" t="s">
        <v>40</v>
      </c>
      <c r="J400" s="6" t="s">
        <v>21</v>
      </c>
      <c r="K400" s="6" t="s">
        <v>22</v>
      </c>
      <c r="L400" s="6">
        <v>118.86</v>
      </c>
      <c r="M400" s="5">
        <v>46013.0</v>
      </c>
      <c r="N400" s="6" t="s">
        <v>23</v>
      </c>
      <c r="O400" s="6" t="str">
        <f>SUMIFS([1]order_sku_sales_bb2_report!P:P,[1]order_sku_sales_bb2_report!H:H,C28164,[1]order_sku_sales_bb2_report!J:J,H28164)</f>
        <v>#ERROR!</v>
      </c>
      <c r="P400" s="6" t="str">
        <f>SUMIFS([1]order_sku_sales_bb2_report!O:O,[1]order_sku_sales_bb2_report!H:H,C28164,[1]order_sku_sales_bb2_report!J:J,H28164)</f>
        <v>#ERROR!</v>
      </c>
      <c r="Q400" s="6" t="str">
        <f t="shared" si="1"/>
        <v>22-12-2025</v>
      </c>
      <c r="R400" s="6" t="str">
        <f>IFERROR( VLOOKUP(C28164,[1]expressOrderReport!$S:$AZ,34,0),0)</f>
        <v>#ERROR!</v>
      </c>
      <c r="S400" s="6" t="str">
        <f>ARRAY_CONSTRAIN(ARRAYFORMULA(_xludf.XLOOKUP(D28164,[1]order_Report_SA_ID_BB2.0!V:V,[1]order_Report_SA_ID_BB2.0!AM:AM,"")), 1, 1)</f>
        <v>#ERROR!</v>
      </c>
      <c r="T400" s="6" t="str">
        <f t="shared" si="2"/>
        <v>Dec'25</v>
      </c>
    </row>
    <row r="401" ht="15.75" customHeight="1">
      <c r="A401" s="5">
        <v>46013.0</v>
      </c>
      <c r="B401" s="6">
        <v>7073.0</v>
      </c>
      <c r="C401" s="6">
        <v>1.859166783E9</v>
      </c>
      <c r="D401" s="6">
        <v>5.7370106E7</v>
      </c>
      <c r="E401" s="6" t="s">
        <v>625</v>
      </c>
      <c r="F401" s="6" t="s">
        <v>676</v>
      </c>
      <c r="G401" s="6">
        <v>7.892978802E9</v>
      </c>
      <c r="H401" s="6">
        <v>4.0308499E7</v>
      </c>
      <c r="I401" s="6" t="s">
        <v>371</v>
      </c>
      <c r="J401" s="6" t="s">
        <v>21</v>
      </c>
      <c r="K401" s="6" t="s">
        <v>22</v>
      </c>
      <c r="L401" s="6">
        <v>58.0</v>
      </c>
      <c r="M401" s="5">
        <v>46013.0</v>
      </c>
      <c r="N401" s="6" t="s">
        <v>23</v>
      </c>
      <c r="O401" s="6" t="str">
        <f>SUMIFS([1]order_sku_sales_bb2_report!P:P,[1]order_sku_sales_bb2_report!H:H,C28166,[1]order_sku_sales_bb2_report!J:J,H28166)</f>
        <v>#ERROR!</v>
      </c>
      <c r="P401" s="6" t="str">
        <f>SUMIFS([1]order_sku_sales_bb2_report!O:O,[1]order_sku_sales_bb2_report!H:H,C28166,[1]order_sku_sales_bb2_report!J:J,H28166)</f>
        <v>#ERROR!</v>
      </c>
      <c r="Q401" s="6" t="str">
        <f t="shared" si="1"/>
        <v>22-12-2025</v>
      </c>
      <c r="R401" s="6" t="str">
        <f>IFERROR( VLOOKUP(C28166,[1]expressOrderReport!$S:$AZ,34,0),0)</f>
        <v>#ERROR!</v>
      </c>
      <c r="S401" s="6" t="str">
        <f>ARRAY_CONSTRAIN(ARRAYFORMULA(_xludf.XLOOKUP(D28166,[1]order_Report_SA_ID_BB2.0!V:V,[1]order_Report_SA_ID_BB2.0!AM:AM,"")), 1, 1)</f>
        <v>#ERROR!</v>
      </c>
      <c r="T401" s="6" t="str">
        <f t="shared" si="2"/>
        <v>Dec'25</v>
      </c>
    </row>
    <row r="402" ht="15.75" customHeight="1">
      <c r="A402" s="5">
        <v>46013.0</v>
      </c>
      <c r="B402" s="6">
        <v>10142.0</v>
      </c>
      <c r="C402" s="6">
        <v>1.859166783E9</v>
      </c>
      <c r="D402" s="6">
        <v>5.7370106E7</v>
      </c>
      <c r="E402" s="6" t="s">
        <v>625</v>
      </c>
      <c r="F402" s="6" t="s">
        <v>676</v>
      </c>
      <c r="G402" s="6">
        <v>7.892978802E9</v>
      </c>
      <c r="H402" s="6">
        <v>4.0149832E7</v>
      </c>
      <c r="I402" s="6" t="s">
        <v>26</v>
      </c>
      <c r="J402" s="6" t="s">
        <v>21</v>
      </c>
      <c r="K402" s="6" t="s">
        <v>22</v>
      </c>
      <c r="L402" s="6">
        <v>58.0</v>
      </c>
      <c r="M402" s="5">
        <v>46013.0</v>
      </c>
      <c r="N402" s="6" t="s">
        <v>23</v>
      </c>
      <c r="O402" s="6" t="str">
        <f>SUMIFS([1]order_sku_sales_bb2_report!P:P,[1]order_sku_sales_bb2_report!H:H,C28167,[1]order_sku_sales_bb2_report!J:J,H28167)</f>
        <v>#ERROR!</v>
      </c>
      <c r="P402" s="6" t="str">
        <f>SUMIFS([1]order_sku_sales_bb2_report!O:O,[1]order_sku_sales_bb2_report!H:H,C28167,[1]order_sku_sales_bb2_report!J:J,H28167)</f>
        <v>#ERROR!</v>
      </c>
      <c r="Q402" s="6" t="str">
        <f t="shared" si="1"/>
        <v>22-12-2025</v>
      </c>
      <c r="R402" s="6" t="str">
        <f>IFERROR( VLOOKUP(C28167,[1]expressOrderReport!$S:$AZ,34,0),0)</f>
        <v>#ERROR!</v>
      </c>
      <c r="S402" s="6" t="str">
        <f>ARRAY_CONSTRAIN(ARRAYFORMULA(_xludf.XLOOKUP(D28167,[1]order_Report_SA_ID_BB2.0!V:V,[1]order_Report_SA_ID_BB2.0!AM:AM,"")), 1, 1)</f>
        <v>#ERROR!</v>
      </c>
      <c r="T402" s="6" t="str">
        <f t="shared" si="2"/>
        <v>Dec'25</v>
      </c>
    </row>
    <row r="403" ht="15.75" customHeight="1">
      <c r="A403" s="5">
        <v>46013.0</v>
      </c>
      <c r="B403" s="6">
        <v>7079.0</v>
      </c>
      <c r="C403" s="6">
        <v>1.859166796E9</v>
      </c>
      <c r="D403" s="6">
        <v>1123519.0</v>
      </c>
      <c r="E403" s="6" t="s">
        <v>677</v>
      </c>
      <c r="F403" s="6" t="s">
        <v>678</v>
      </c>
      <c r="G403" s="6">
        <v>9.98647877E9</v>
      </c>
      <c r="H403" s="6">
        <v>4.0149832E7</v>
      </c>
      <c r="I403" s="6" t="s">
        <v>26</v>
      </c>
      <c r="J403" s="6" t="s">
        <v>21</v>
      </c>
      <c r="K403" s="6" t="s">
        <v>22</v>
      </c>
      <c r="L403" s="6">
        <v>72.0</v>
      </c>
      <c r="M403" s="5">
        <v>46013.0</v>
      </c>
      <c r="N403" s="6" t="s">
        <v>23</v>
      </c>
      <c r="O403" s="6" t="str">
        <f>SUMIFS([1]order_sku_sales_bb2_report!P:P,[1]order_sku_sales_bb2_report!H:H,C28168,[1]order_sku_sales_bb2_report!J:J,H28168)</f>
        <v>#ERROR!</v>
      </c>
      <c r="P403" s="6" t="str">
        <f>SUMIFS([1]order_sku_sales_bb2_report!O:O,[1]order_sku_sales_bb2_report!H:H,C28168,[1]order_sku_sales_bb2_report!J:J,H28168)</f>
        <v>#ERROR!</v>
      </c>
      <c r="Q403" s="6" t="str">
        <f t="shared" si="1"/>
        <v>22-12-2025</v>
      </c>
      <c r="R403" s="6" t="str">
        <f>IFERROR( VLOOKUP(C28168,[1]expressOrderReport!$S:$AZ,34,0),0)</f>
        <v>#ERROR!</v>
      </c>
      <c r="S403" s="6" t="str">
        <f>ARRAY_CONSTRAIN(ARRAYFORMULA(_xludf.XLOOKUP(D28168,[1]order_Report_SA_ID_BB2.0!V:V,[1]order_Report_SA_ID_BB2.0!AM:AM,"")), 1, 1)</f>
        <v>#ERROR!</v>
      </c>
      <c r="T403" s="6" t="str">
        <f t="shared" si="2"/>
        <v>Dec'25</v>
      </c>
    </row>
    <row r="404" ht="15.75" customHeight="1">
      <c r="A404" s="5">
        <v>46013.0</v>
      </c>
      <c r="B404" s="6">
        <v>7086.0</v>
      </c>
      <c r="C404" s="6">
        <v>1.859166805E9</v>
      </c>
      <c r="D404" s="6">
        <v>2.2746668E7</v>
      </c>
      <c r="E404" s="6" t="s">
        <v>625</v>
      </c>
      <c r="F404" s="6" t="s">
        <v>679</v>
      </c>
      <c r="G404" s="6">
        <v>9.8103226E9</v>
      </c>
      <c r="H404" s="6">
        <v>4.0149834E7</v>
      </c>
      <c r="I404" s="6" t="s">
        <v>40</v>
      </c>
      <c r="J404" s="6" t="s">
        <v>21</v>
      </c>
      <c r="K404" s="6" t="s">
        <v>22</v>
      </c>
      <c r="L404" s="6">
        <v>132.0</v>
      </c>
      <c r="M404" s="5">
        <v>46013.0</v>
      </c>
      <c r="N404" s="6" t="s">
        <v>23</v>
      </c>
      <c r="O404" s="6" t="str">
        <f>SUMIFS([1]order_sku_sales_bb2_report!P:P,[1]order_sku_sales_bb2_report!H:H,C28169,[1]order_sku_sales_bb2_report!J:J,H28169)</f>
        <v>#ERROR!</v>
      </c>
      <c r="P404" s="6" t="str">
        <f>SUMIFS([1]order_sku_sales_bb2_report!O:O,[1]order_sku_sales_bb2_report!H:H,C28169,[1]order_sku_sales_bb2_report!J:J,H28169)</f>
        <v>#ERROR!</v>
      </c>
      <c r="Q404" s="6" t="str">
        <f t="shared" si="1"/>
        <v>22-12-2025</v>
      </c>
      <c r="R404" s="6" t="str">
        <f>IFERROR( VLOOKUP(C28169,[1]expressOrderReport!$S:$AZ,34,0),0)</f>
        <v>#ERROR!</v>
      </c>
      <c r="S404" s="6" t="str">
        <f>ARRAY_CONSTRAIN(ARRAYFORMULA(_xludf.XLOOKUP(D28169,[1]order_Report_SA_ID_BB2.0!V:V,[1]order_Report_SA_ID_BB2.0!AM:AM,"")), 1, 1)</f>
        <v>#ERROR!</v>
      </c>
      <c r="T404" s="6" t="str">
        <f t="shared" si="2"/>
        <v>Dec'25</v>
      </c>
    </row>
    <row r="405" ht="15.75" customHeight="1">
      <c r="A405" s="5">
        <v>46013.0</v>
      </c>
      <c r="B405" s="6">
        <v>7088.0</v>
      </c>
      <c r="C405" s="6">
        <v>1.859166805E9</v>
      </c>
      <c r="D405" s="6">
        <v>2.2746668E7</v>
      </c>
      <c r="E405" s="6" t="s">
        <v>625</v>
      </c>
      <c r="F405" s="6" t="s">
        <v>679</v>
      </c>
      <c r="G405" s="6">
        <v>9.8103226E9</v>
      </c>
      <c r="H405" s="6">
        <v>4.014983E7</v>
      </c>
      <c r="I405" s="6" t="s">
        <v>30</v>
      </c>
      <c r="J405" s="6" t="s">
        <v>21</v>
      </c>
      <c r="K405" s="6" t="s">
        <v>22</v>
      </c>
      <c r="L405" s="6">
        <v>132.0</v>
      </c>
      <c r="M405" s="5">
        <v>46013.0</v>
      </c>
      <c r="N405" s="6" t="s">
        <v>23</v>
      </c>
      <c r="O405" s="6" t="str">
        <f>SUMIFS([1]order_sku_sales_bb2_report!P:P,[1]order_sku_sales_bb2_report!H:H,C28170,[1]order_sku_sales_bb2_report!J:J,H28170)</f>
        <v>#ERROR!</v>
      </c>
      <c r="P405" s="6" t="str">
        <f>SUMIFS([1]order_sku_sales_bb2_report!O:O,[1]order_sku_sales_bb2_report!H:H,C28170,[1]order_sku_sales_bb2_report!J:J,H28170)</f>
        <v>#ERROR!</v>
      </c>
      <c r="Q405" s="6" t="str">
        <f t="shared" si="1"/>
        <v>22-12-2025</v>
      </c>
      <c r="R405" s="6" t="str">
        <f>IFERROR( VLOOKUP(C28170,[1]expressOrderReport!$S:$AZ,34,0),0)</f>
        <v>#ERROR!</v>
      </c>
      <c r="S405" s="6" t="str">
        <f>ARRAY_CONSTRAIN(ARRAYFORMULA(_xludf.XLOOKUP(D28170,[1]order_Report_SA_ID_BB2.0!V:V,[1]order_Report_SA_ID_BB2.0!AM:AM,"")), 1, 1)</f>
        <v>#ERROR!</v>
      </c>
      <c r="T405" s="6" t="str">
        <f t="shared" si="2"/>
        <v>Dec'25</v>
      </c>
    </row>
    <row r="406" ht="15.75" customHeight="1">
      <c r="A406" s="5">
        <v>46013.0</v>
      </c>
      <c r="B406" s="6">
        <v>7177.0</v>
      </c>
      <c r="C406" s="6">
        <v>1.859166813E9</v>
      </c>
      <c r="D406" s="6">
        <v>4.8188335E7</v>
      </c>
      <c r="E406" s="6" t="s">
        <v>680</v>
      </c>
      <c r="F406" s="6" t="s">
        <v>681</v>
      </c>
      <c r="G406" s="6">
        <v>9.48273394E9</v>
      </c>
      <c r="H406" s="6">
        <v>4.0212327E7</v>
      </c>
      <c r="I406" s="6" t="s">
        <v>682</v>
      </c>
      <c r="J406" s="6" t="s">
        <v>21</v>
      </c>
      <c r="K406" s="6" t="s">
        <v>22</v>
      </c>
      <c r="L406" s="6">
        <v>27.0</v>
      </c>
      <c r="M406" s="5">
        <v>46013.0</v>
      </c>
      <c r="N406" s="6" t="s">
        <v>23</v>
      </c>
      <c r="O406" s="6" t="str">
        <f>SUMIFS([1]order_sku_sales_bb2_report!P:P,[1]order_sku_sales_bb2_report!H:H,C28172,[1]order_sku_sales_bb2_report!J:J,H28172)</f>
        <v>#ERROR!</v>
      </c>
      <c r="P406" s="6" t="str">
        <f>SUMIFS([1]order_sku_sales_bb2_report!O:O,[1]order_sku_sales_bb2_report!H:H,C28172,[1]order_sku_sales_bb2_report!J:J,H28172)</f>
        <v>#ERROR!</v>
      </c>
      <c r="Q406" s="6" t="str">
        <f t="shared" si="1"/>
        <v>22-12-2025</v>
      </c>
      <c r="R406" s="6" t="str">
        <f>IFERROR( VLOOKUP(C28172,[1]expressOrderReport!$S:$AZ,34,0),0)</f>
        <v>#ERROR!</v>
      </c>
      <c r="S406" s="6" t="str">
        <f>ARRAY_CONSTRAIN(ARRAYFORMULA(_xludf.XLOOKUP(D28172,[1]order_Report_SA_ID_BB2.0!V:V,[1]order_Report_SA_ID_BB2.0!AM:AM,"")), 1, 1)</f>
        <v>#ERROR!</v>
      </c>
      <c r="T406" s="6" t="str">
        <f t="shared" si="2"/>
        <v>Dec'25</v>
      </c>
    </row>
    <row r="407" ht="15.75" customHeight="1">
      <c r="A407" s="5">
        <v>46013.0</v>
      </c>
      <c r="B407" s="6">
        <v>7180.0</v>
      </c>
      <c r="C407" s="6">
        <v>1.859166822E9</v>
      </c>
      <c r="D407" s="6">
        <v>5.2085711E7</v>
      </c>
      <c r="E407" s="6" t="s">
        <v>683</v>
      </c>
      <c r="F407" s="6" t="s">
        <v>684</v>
      </c>
      <c r="G407" s="6">
        <v>8.978962599E9</v>
      </c>
      <c r="H407" s="6">
        <v>4.0047739E7</v>
      </c>
      <c r="I407" s="6" t="s">
        <v>180</v>
      </c>
      <c r="J407" s="6" t="s">
        <v>21</v>
      </c>
      <c r="K407" s="6" t="s">
        <v>22</v>
      </c>
      <c r="L407" s="6">
        <v>68.0</v>
      </c>
      <c r="M407" s="5">
        <v>46013.0</v>
      </c>
      <c r="N407" s="6" t="s">
        <v>23</v>
      </c>
      <c r="O407" s="6" t="str">
        <f>SUMIFS([1]order_sku_sales_bb2_report!P:P,[1]order_sku_sales_bb2_report!H:H,C28173,[1]order_sku_sales_bb2_report!J:J,H28173)</f>
        <v>#ERROR!</v>
      </c>
      <c r="P407" s="6" t="str">
        <f>SUMIFS([1]order_sku_sales_bb2_report!O:O,[1]order_sku_sales_bb2_report!H:H,C28173,[1]order_sku_sales_bb2_report!J:J,H28173)</f>
        <v>#ERROR!</v>
      </c>
      <c r="Q407" s="6" t="str">
        <f t="shared" si="1"/>
        <v>22-12-2025</v>
      </c>
      <c r="R407" s="6" t="str">
        <f>IFERROR( VLOOKUP(C28173,[1]expressOrderReport!$S:$AZ,34,0),0)</f>
        <v>#ERROR!</v>
      </c>
      <c r="S407" s="6" t="str">
        <f>ARRAY_CONSTRAIN(ARRAYFORMULA(_xludf.XLOOKUP(D28173,[1]order_Report_SA_ID_BB2.0!V:V,[1]order_Report_SA_ID_BB2.0!AM:AM,"")), 1, 1)</f>
        <v>#ERROR!</v>
      </c>
      <c r="T407" s="6" t="str">
        <f t="shared" si="2"/>
        <v>Dec'25</v>
      </c>
    </row>
    <row r="408" ht="15.75" customHeight="1">
      <c r="A408" s="5">
        <v>46013.0</v>
      </c>
      <c r="B408" s="6">
        <v>7207.0</v>
      </c>
      <c r="C408" s="6">
        <v>1.859166838E9</v>
      </c>
      <c r="D408" s="6">
        <v>8653013.0</v>
      </c>
      <c r="E408" s="6" t="s">
        <v>685</v>
      </c>
      <c r="F408" s="6" t="s">
        <v>686</v>
      </c>
      <c r="G408" s="6">
        <v>7.259200297E9</v>
      </c>
      <c r="H408" s="6">
        <v>4.007376E7</v>
      </c>
      <c r="I408" s="6" t="s">
        <v>687</v>
      </c>
      <c r="J408" s="6" t="s">
        <v>21</v>
      </c>
      <c r="K408" s="6" t="s">
        <v>22</v>
      </c>
      <c r="L408" s="6">
        <v>45.6</v>
      </c>
      <c r="M408" s="5">
        <v>46013.0</v>
      </c>
      <c r="N408" s="6" t="s">
        <v>23</v>
      </c>
      <c r="O408" s="6" t="str">
        <f>SUMIFS([1]order_sku_sales_bb2_report!P:P,[1]order_sku_sales_bb2_report!H:H,C28175,[1]order_sku_sales_bb2_report!J:J,H28175)</f>
        <v>#ERROR!</v>
      </c>
      <c r="P408" s="6" t="str">
        <f>SUMIFS([1]order_sku_sales_bb2_report!O:O,[1]order_sku_sales_bb2_report!H:H,C28175,[1]order_sku_sales_bb2_report!J:J,H28175)</f>
        <v>#ERROR!</v>
      </c>
      <c r="Q408" s="6" t="str">
        <f t="shared" si="1"/>
        <v>22-12-2025</v>
      </c>
      <c r="R408" s="6" t="str">
        <f>IFERROR( VLOOKUP(C28175,[1]expressOrderReport!$S:$AZ,34,0),0)</f>
        <v>#ERROR!</v>
      </c>
      <c r="S408" s="6" t="str">
        <f>ARRAY_CONSTRAIN(ARRAYFORMULA(_xludf.XLOOKUP(D28175,[1]order_Report_SA_ID_BB2.0!V:V,[1]order_Report_SA_ID_BB2.0!AM:AM,"")), 1, 1)</f>
        <v>#ERROR!</v>
      </c>
      <c r="T408" s="6" t="str">
        <f t="shared" si="2"/>
        <v>Dec'25</v>
      </c>
    </row>
    <row r="409" ht="15.75" customHeight="1">
      <c r="A409" s="5">
        <v>46013.0</v>
      </c>
      <c r="B409" s="6">
        <v>7220.0</v>
      </c>
      <c r="C409" s="6">
        <v>1.859166847E9</v>
      </c>
      <c r="D409" s="6">
        <v>5363198.0</v>
      </c>
      <c r="E409" s="6" t="s">
        <v>688</v>
      </c>
      <c r="F409" s="6" t="s">
        <v>689</v>
      </c>
      <c r="G409" s="6">
        <v>9.980996223E9</v>
      </c>
      <c r="H409" s="6">
        <v>4.0149832E7</v>
      </c>
      <c r="I409" s="6" t="s">
        <v>26</v>
      </c>
      <c r="J409" s="6" t="s">
        <v>21</v>
      </c>
      <c r="K409" s="6" t="s">
        <v>22</v>
      </c>
      <c r="L409" s="6">
        <v>24.0</v>
      </c>
      <c r="M409" s="5">
        <v>46013.0</v>
      </c>
      <c r="N409" s="6" t="s">
        <v>23</v>
      </c>
      <c r="O409" s="6" t="str">
        <f>SUMIFS([1]order_sku_sales_bb2_report!P:P,[1]order_sku_sales_bb2_report!H:H,C28176,[1]order_sku_sales_bb2_report!J:J,H28176)</f>
        <v>#ERROR!</v>
      </c>
      <c r="P409" s="6" t="str">
        <f>SUMIFS([1]order_sku_sales_bb2_report!O:O,[1]order_sku_sales_bb2_report!H:H,C28176,[1]order_sku_sales_bb2_report!J:J,H28176)</f>
        <v>#ERROR!</v>
      </c>
      <c r="Q409" s="6" t="str">
        <f t="shared" si="1"/>
        <v>22-12-2025</v>
      </c>
      <c r="R409" s="6" t="str">
        <f>IFERROR( VLOOKUP(C28176,[1]expressOrderReport!$S:$AZ,34,0),0)</f>
        <v>#ERROR!</v>
      </c>
      <c r="S409" s="6" t="str">
        <f>ARRAY_CONSTRAIN(ARRAYFORMULA(_xludf.XLOOKUP(D28176,[1]order_Report_SA_ID_BB2.0!V:V,[1]order_Report_SA_ID_BB2.0!AM:AM,"")), 1, 1)</f>
        <v>#ERROR!</v>
      </c>
      <c r="T409" s="6" t="str">
        <f t="shared" si="2"/>
        <v>Dec'25</v>
      </c>
    </row>
    <row r="410" ht="15.75" customHeight="1">
      <c r="A410" s="5">
        <v>46013.0</v>
      </c>
      <c r="B410" s="6">
        <v>7238.0</v>
      </c>
      <c r="C410" s="6">
        <v>1.859166852E9</v>
      </c>
      <c r="D410" s="6">
        <v>4.2885259E7</v>
      </c>
      <c r="E410" s="6" t="s">
        <v>625</v>
      </c>
      <c r="F410" s="6" t="s">
        <v>690</v>
      </c>
      <c r="G410" s="6">
        <v>8.847533246E9</v>
      </c>
      <c r="H410" s="6">
        <v>4.0158264E7</v>
      </c>
      <c r="I410" s="6" t="s">
        <v>26</v>
      </c>
      <c r="J410" s="6" t="s">
        <v>21</v>
      </c>
      <c r="K410" s="6" t="s">
        <v>22</v>
      </c>
      <c r="L410" s="6">
        <v>71.0</v>
      </c>
      <c r="M410" s="5">
        <v>46013.0</v>
      </c>
      <c r="N410" s="6" t="s">
        <v>23</v>
      </c>
      <c r="O410" s="6" t="str">
        <f>SUMIFS([1]order_sku_sales_bb2_report!P:P,[1]order_sku_sales_bb2_report!H:H,C28177,[1]order_sku_sales_bb2_report!J:J,H28177)</f>
        <v>#ERROR!</v>
      </c>
      <c r="P410" s="6" t="str">
        <f>SUMIFS([1]order_sku_sales_bb2_report!O:O,[1]order_sku_sales_bb2_report!H:H,C28177,[1]order_sku_sales_bb2_report!J:J,H28177)</f>
        <v>#ERROR!</v>
      </c>
      <c r="Q410" s="6" t="str">
        <f t="shared" si="1"/>
        <v>22-12-2025</v>
      </c>
      <c r="R410" s="6" t="str">
        <f>IFERROR( VLOOKUP(C28177,[1]expressOrderReport!$S:$AZ,34,0),0)</f>
        <v>#ERROR!</v>
      </c>
      <c r="S410" s="6" t="str">
        <f>ARRAY_CONSTRAIN(ARRAYFORMULA(_xludf.XLOOKUP(D28177,[1]order_Report_SA_ID_BB2.0!V:V,[1]order_Report_SA_ID_BB2.0!AM:AM,"")), 1, 1)</f>
        <v>#ERROR!</v>
      </c>
      <c r="T410" s="6" t="str">
        <f t="shared" si="2"/>
        <v>Dec'25</v>
      </c>
    </row>
    <row r="411" ht="15.75" customHeight="1">
      <c r="A411" s="5">
        <v>46013.0</v>
      </c>
      <c r="B411" s="6">
        <v>10048.0</v>
      </c>
      <c r="C411" s="6">
        <v>1.859166852E9</v>
      </c>
      <c r="D411" s="6">
        <v>4.2885259E7</v>
      </c>
      <c r="E411" s="6" t="s">
        <v>625</v>
      </c>
      <c r="F411" s="6" t="s">
        <v>690</v>
      </c>
      <c r="G411" s="6">
        <v>8.847533246E9</v>
      </c>
      <c r="H411" s="6">
        <v>4.0332424E7</v>
      </c>
      <c r="I411" s="6" t="s">
        <v>110</v>
      </c>
      <c r="J411" s="6" t="s">
        <v>21</v>
      </c>
      <c r="K411" s="6" t="s">
        <v>22</v>
      </c>
      <c r="L411" s="6">
        <v>71.0</v>
      </c>
      <c r="M411" s="5">
        <v>46013.0</v>
      </c>
      <c r="N411" s="6" t="s">
        <v>23</v>
      </c>
      <c r="O411" s="6" t="str">
        <f>SUMIFS([1]order_sku_sales_bb2_report!P:P,[1]order_sku_sales_bb2_report!H:H,C28178,[1]order_sku_sales_bb2_report!J:J,H28178)</f>
        <v>#ERROR!</v>
      </c>
      <c r="P411" s="6" t="str">
        <f>SUMIFS([1]order_sku_sales_bb2_report!O:O,[1]order_sku_sales_bb2_report!H:H,C28178,[1]order_sku_sales_bb2_report!J:J,H28178)</f>
        <v>#ERROR!</v>
      </c>
      <c r="Q411" s="6" t="str">
        <f t="shared" si="1"/>
        <v>22-12-2025</v>
      </c>
      <c r="R411" s="6" t="str">
        <f>IFERROR( VLOOKUP(C28178,[1]expressOrderReport!$S:$AZ,34,0),0)</f>
        <v>#ERROR!</v>
      </c>
      <c r="S411" s="6" t="str">
        <f>ARRAY_CONSTRAIN(ARRAYFORMULA(_xludf.XLOOKUP(D28178,[1]order_Report_SA_ID_BB2.0!V:V,[1]order_Report_SA_ID_BB2.0!AM:AM,"")), 1, 1)</f>
        <v>#ERROR!</v>
      </c>
      <c r="T411" s="6" t="str">
        <f t="shared" si="2"/>
        <v>Dec'25</v>
      </c>
    </row>
    <row r="412" ht="15.75" customHeight="1">
      <c r="A412" s="5">
        <v>46013.0</v>
      </c>
      <c r="B412" s="6">
        <v>9848.0</v>
      </c>
      <c r="C412" s="6">
        <v>1.859166859E9</v>
      </c>
      <c r="D412" s="6">
        <v>2.1693463E7</v>
      </c>
      <c r="E412" s="6" t="s">
        <v>691</v>
      </c>
      <c r="F412" s="6" t="s">
        <v>692</v>
      </c>
      <c r="G412" s="6">
        <v>9.487333233E9</v>
      </c>
      <c r="H412" s="6">
        <v>4.0149831E7</v>
      </c>
      <c r="I412" s="6" t="s">
        <v>65</v>
      </c>
      <c r="J412" s="6" t="s">
        <v>21</v>
      </c>
      <c r="K412" s="6" t="s">
        <v>22</v>
      </c>
      <c r="L412" s="6">
        <v>52.0</v>
      </c>
      <c r="M412" s="5">
        <v>46013.0</v>
      </c>
      <c r="N412" s="6" t="s">
        <v>23</v>
      </c>
      <c r="O412" s="6" t="str">
        <f>SUMIFS([1]order_sku_sales_bb2_report!P:P,[1]order_sku_sales_bb2_report!H:H,C28179,[1]order_sku_sales_bb2_report!J:J,H28179)</f>
        <v>#ERROR!</v>
      </c>
      <c r="P412" s="6" t="str">
        <f>SUMIFS([1]order_sku_sales_bb2_report!O:O,[1]order_sku_sales_bb2_report!H:H,C28179,[1]order_sku_sales_bb2_report!J:J,H28179)</f>
        <v>#ERROR!</v>
      </c>
      <c r="Q412" s="6" t="str">
        <f t="shared" si="1"/>
        <v>22-12-2025</v>
      </c>
      <c r="R412" s="6" t="str">
        <f>IFERROR( VLOOKUP(C28179,[1]expressOrderReport!$S:$AZ,34,0),0)</f>
        <v>#ERROR!</v>
      </c>
      <c r="S412" s="6" t="str">
        <f>ARRAY_CONSTRAIN(ARRAYFORMULA(_xludf.XLOOKUP(D28179,[1]order_Report_SA_ID_BB2.0!V:V,[1]order_Report_SA_ID_BB2.0!AM:AM,"")), 1, 1)</f>
        <v>#ERROR!</v>
      </c>
      <c r="T412" s="6" t="str">
        <f t="shared" si="2"/>
        <v>Dec'25</v>
      </c>
    </row>
    <row r="413" ht="15.75" customHeight="1">
      <c r="A413" s="5">
        <v>46013.0</v>
      </c>
      <c r="B413" s="6">
        <v>7247.0</v>
      </c>
      <c r="C413" s="6">
        <v>1.859166868E9</v>
      </c>
      <c r="D413" s="6">
        <v>5595400.0</v>
      </c>
      <c r="E413" s="6" t="s">
        <v>693</v>
      </c>
      <c r="F413" s="6" t="s">
        <v>694</v>
      </c>
      <c r="G413" s="6">
        <v>9.632000443E9</v>
      </c>
      <c r="H413" s="6">
        <v>4.0149831E7</v>
      </c>
      <c r="I413" s="6" t="s">
        <v>65</v>
      </c>
      <c r="J413" s="6" t="s">
        <v>21</v>
      </c>
      <c r="K413" s="6" t="s">
        <v>22</v>
      </c>
      <c r="L413" s="6">
        <v>74.0</v>
      </c>
      <c r="M413" s="5">
        <v>46013.0</v>
      </c>
      <c r="N413" s="6" t="s">
        <v>23</v>
      </c>
      <c r="O413" s="6" t="str">
        <f>SUMIFS([1]order_sku_sales_bb2_report!P:P,[1]order_sku_sales_bb2_report!H:H,C28180,[1]order_sku_sales_bb2_report!J:J,H28180)</f>
        <v>#ERROR!</v>
      </c>
      <c r="P413" s="6" t="str">
        <f>SUMIFS([1]order_sku_sales_bb2_report!O:O,[1]order_sku_sales_bb2_report!H:H,C28180,[1]order_sku_sales_bb2_report!J:J,H28180)</f>
        <v>#ERROR!</v>
      </c>
      <c r="Q413" s="6" t="str">
        <f t="shared" si="1"/>
        <v>22-12-2025</v>
      </c>
      <c r="R413" s="6" t="str">
        <f>IFERROR( VLOOKUP(C28180,[1]expressOrderReport!$S:$AZ,34,0),0)</f>
        <v>#ERROR!</v>
      </c>
      <c r="S413" s="6" t="str">
        <f>ARRAY_CONSTRAIN(ARRAYFORMULA(_xludf.XLOOKUP(D28180,[1]order_Report_SA_ID_BB2.0!V:V,[1]order_Report_SA_ID_BB2.0!AM:AM,"")), 1, 1)</f>
        <v>#ERROR!</v>
      </c>
      <c r="T413" s="6" t="str">
        <f t="shared" si="2"/>
        <v>Dec'25</v>
      </c>
    </row>
    <row r="414" ht="15.75" customHeight="1">
      <c r="A414" s="5">
        <v>46013.0</v>
      </c>
      <c r="B414" s="6">
        <v>7248.0</v>
      </c>
      <c r="C414" s="6">
        <v>1.859166868E9</v>
      </c>
      <c r="D414" s="6">
        <v>5595400.0</v>
      </c>
      <c r="E414" s="6" t="s">
        <v>693</v>
      </c>
      <c r="F414" s="6" t="s">
        <v>694</v>
      </c>
      <c r="G414" s="6">
        <v>9.632000443E9</v>
      </c>
      <c r="H414" s="6">
        <v>4.0149832E7</v>
      </c>
      <c r="I414" s="6" t="s">
        <v>26</v>
      </c>
      <c r="J414" s="6" t="s">
        <v>21</v>
      </c>
      <c r="K414" s="6" t="s">
        <v>22</v>
      </c>
      <c r="L414" s="6">
        <v>74.0</v>
      </c>
      <c r="M414" s="5">
        <v>46013.0</v>
      </c>
      <c r="N414" s="6" t="s">
        <v>23</v>
      </c>
      <c r="O414" s="6" t="str">
        <f>SUMIFS([1]order_sku_sales_bb2_report!P:P,[1]order_sku_sales_bb2_report!H:H,C28181,[1]order_sku_sales_bb2_report!J:J,H28181)</f>
        <v>#ERROR!</v>
      </c>
      <c r="P414" s="6" t="str">
        <f>SUMIFS([1]order_sku_sales_bb2_report!O:O,[1]order_sku_sales_bb2_report!H:H,C28181,[1]order_sku_sales_bb2_report!J:J,H28181)</f>
        <v>#ERROR!</v>
      </c>
      <c r="Q414" s="6" t="str">
        <f t="shared" si="1"/>
        <v>22-12-2025</v>
      </c>
      <c r="R414" s="6" t="str">
        <f>IFERROR( VLOOKUP(C28181,[1]expressOrderReport!$S:$AZ,34,0),0)</f>
        <v>#ERROR!</v>
      </c>
      <c r="S414" s="6" t="str">
        <f>ARRAY_CONSTRAIN(ARRAYFORMULA(_xludf.XLOOKUP(D28181,[1]order_Report_SA_ID_BB2.0!V:V,[1]order_Report_SA_ID_BB2.0!AM:AM,"")), 1, 1)</f>
        <v>#ERROR!</v>
      </c>
      <c r="T414" s="6" t="str">
        <f t="shared" si="2"/>
        <v>Dec'25</v>
      </c>
    </row>
    <row r="415" ht="15.75" customHeight="1">
      <c r="A415" s="5">
        <v>46013.0</v>
      </c>
      <c r="B415" s="6">
        <v>7251.0</v>
      </c>
      <c r="C415" s="6">
        <v>1.859166875E9</v>
      </c>
      <c r="D415" s="6">
        <v>1.6758095E7</v>
      </c>
      <c r="E415" s="6" t="s">
        <v>695</v>
      </c>
      <c r="F415" s="6" t="s">
        <v>696</v>
      </c>
      <c r="G415" s="6">
        <v>9.845703241E9</v>
      </c>
      <c r="H415" s="6">
        <v>4.0158264E7</v>
      </c>
      <c r="I415" s="6" t="s">
        <v>26</v>
      </c>
      <c r="J415" s="6" t="s">
        <v>21</v>
      </c>
      <c r="K415" s="6" t="s">
        <v>22</v>
      </c>
      <c r="L415" s="6">
        <v>46.0</v>
      </c>
      <c r="M415" s="5">
        <v>46013.0</v>
      </c>
      <c r="N415" s="6" t="s">
        <v>23</v>
      </c>
      <c r="O415" s="6" t="str">
        <f>SUMIFS([1]order_sku_sales_bb2_report!P:P,[1]order_sku_sales_bb2_report!H:H,C28182,[1]order_sku_sales_bb2_report!J:J,H28182)</f>
        <v>#ERROR!</v>
      </c>
      <c r="P415" s="6" t="str">
        <f>SUMIFS([1]order_sku_sales_bb2_report!O:O,[1]order_sku_sales_bb2_report!H:H,C28182,[1]order_sku_sales_bb2_report!J:J,H28182)</f>
        <v>#ERROR!</v>
      </c>
      <c r="Q415" s="6" t="str">
        <f t="shared" si="1"/>
        <v>22-12-2025</v>
      </c>
      <c r="R415" s="6" t="str">
        <f>IFERROR( VLOOKUP(C28182,[1]expressOrderReport!$S:$AZ,34,0),0)</f>
        <v>#ERROR!</v>
      </c>
      <c r="S415" s="6" t="str">
        <f>ARRAY_CONSTRAIN(ARRAYFORMULA(_xludf.XLOOKUP(D28182,[1]order_Report_SA_ID_BB2.0!V:V,[1]order_Report_SA_ID_BB2.0!AM:AM,"")), 1, 1)</f>
        <v>#ERROR!</v>
      </c>
      <c r="T415" s="6" t="str">
        <f t="shared" si="2"/>
        <v>Dec'25</v>
      </c>
    </row>
    <row r="416" ht="15.75" customHeight="1">
      <c r="A416" s="5">
        <v>46013.0</v>
      </c>
      <c r="B416" s="6">
        <v>7254.0</v>
      </c>
      <c r="C416" s="6">
        <v>1.859166884E9</v>
      </c>
      <c r="D416" s="6">
        <v>2.6224053E7</v>
      </c>
      <c r="E416" s="6" t="s">
        <v>625</v>
      </c>
      <c r="F416" s="6" t="s">
        <v>697</v>
      </c>
      <c r="G416" s="6">
        <v>9.849551344E9</v>
      </c>
      <c r="H416" s="6">
        <v>4.0149833E7</v>
      </c>
      <c r="I416" s="6" t="s">
        <v>40</v>
      </c>
      <c r="J416" s="6" t="s">
        <v>21</v>
      </c>
      <c r="K416" s="6" t="s">
        <v>22</v>
      </c>
      <c r="L416" s="6">
        <v>54.0</v>
      </c>
      <c r="M416" s="5">
        <v>46013.0</v>
      </c>
      <c r="N416" s="6" t="s">
        <v>23</v>
      </c>
      <c r="O416" s="6" t="str">
        <f>SUMIFS([1]order_sku_sales_bb2_report!P:P,[1]order_sku_sales_bb2_report!H:H,C28184,[1]order_sku_sales_bb2_report!J:J,H28184)</f>
        <v>#ERROR!</v>
      </c>
      <c r="P416" s="6" t="str">
        <f>SUMIFS([1]order_sku_sales_bb2_report!O:O,[1]order_sku_sales_bb2_report!H:H,C28184,[1]order_sku_sales_bb2_report!J:J,H28184)</f>
        <v>#ERROR!</v>
      </c>
      <c r="Q416" s="6" t="str">
        <f t="shared" si="1"/>
        <v>22-12-2025</v>
      </c>
      <c r="R416" s="6" t="str">
        <f>IFERROR( VLOOKUP(C28184,[1]expressOrderReport!$S:$AZ,34,0),0)</f>
        <v>#ERROR!</v>
      </c>
      <c r="S416" s="6" t="str">
        <f>ARRAY_CONSTRAIN(ARRAYFORMULA(_xludf.XLOOKUP(D28184,[1]order_Report_SA_ID_BB2.0!V:V,[1]order_Report_SA_ID_BB2.0!AM:AM,"")), 1, 1)</f>
        <v>#ERROR!</v>
      </c>
      <c r="T416" s="6" t="str">
        <f t="shared" si="2"/>
        <v>Dec'25</v>
      </c>
    </row>
    <row r="417" ht="15.75" customHeight="1">
      <c r="A417" s="5">
        <v>46013.0</v>
      </c>
      <c r="B417" s="6">
        <v>7266.0</v>
      </c>
      <c r="C417" s="6">
        <v>1.859166891E9</v>
      </c>
      <c r="D417" s="6">
        <v>3.0552762E7</v>
      </c>
      <c r="E417" s="6" t="s">
        <v>625</v>
      </c>
      <c r="F417" s="6" t="s">
        <v>698</v>
      </c>
      <c r="G417" s="6">
        <v>9.900788481E9</v>
      </c>
      <c r="H417" s="6">
        <v>4.0149832E7</v>
      </c>
      <c r="I417" s="6" t="s">
        <v>26</v>
      </c>
      <c r="J417" s="6" t="s">
        <v>21</v>
      </c>
      <c r="K417" s="6" t="s">
        <v>22</v>
      </c>
      <c r="L417" s="6">
        <v>72.0</v>
      </c>
      <c r="M417" s="5">
        <v>46013.0</v>
      </c>
      <c r="N417" s="6" t="s">
        <v>23</v>
      </c>
      <c r="O417" s="6" t="str">
        <f>SUMIFS([1]order_sku_sales_bb2_report!P:P,[1]order_sku_sales_bb2_report!H:H,C28186,[1]order_sku_sales_bb2_report!J:J,H28186)</f>
        <v>#ERROR!</v>
      </c>
      <c r="P417" s="6" t="str">
        <f>SUMIFS([1]order_sku_sales_bb2_report!O:O,[1]order_sku_sales_bb2_report!H:H,C28186,[1]order_sku_sales_bb2_report!J:J,H28186)</f>
        <v>#ERROR!</v>
      </c>
      <c r="Q417" s="6" t="str">
        <f t="shared" si="1"/>
        <v>22-12-2025</v>
      </c>
      <c r="R417" s="6" t="str">
        <f>IFERROR( VLOOKUP(C28186,[1]expressOrderReport!$S:$AZ,34,0),0)</f>
        <v>#ERROR!</v>
      </c>
      <c r="S417" s="6" t="str">
        <f>ARRAY_CONSTRAIN(ARRAYFORMULA(_xludf.XLOOKUP(D28186,[1]order_Report_SA_ID_BB2.0!V:V,[1]order_Report_SA_ID_BB2.0!AM:AM,"")), 1, 1)</f>
        <v>#ERROR!</v>
      </c>
      <c r="T417" s="6" t="str">
        <f t="shared" si="2"/>
        <v>Dec'25</v>
      </c>
    </row>
    <row r="418" ht="15.75" customHeight="1">
      <c r="A418" s="5">
        <v>46013.0</v>
      </c>
      <c r="B418" s="6">
        <v>7271.0</v>
      </c>
      <c r="C418" s="6">
        <v>1.859166898E9</v>
      </c>
      <c r="D418" s="6">
        <v>1.5885825E7</v>
      </c>
      <c r="E418" s="6" t="s">
        <v>699</v>
      </c>
      <c r="F418" s="6" t="s">
        <v>700</v>
      </c>
      <c r="G418" s="6">
        <v>9.844189238E9</v>
      </c>
      <c r="H418" s="6">
        <v>4.0149832E7</v>
      </c>
      <c r="I418" s="6" t="s">
        <v>26</v>
      </c>
      <c r="J418" s="6" t="s">
        <v>21</v>
      </c>
      <c r="K418" s="6" t="s">
        <v>22</v>
      </c>
      <c r="L418" s="6">
        <v>48.0</v>
      </c>
      <c r="M418" s="5">
        <v>46013.0</v>
      </c>
      <c r="N418" s="6" t="s">
        <v>23</v>
      </c>
      <c r="O418" s="6" t="str">
        <f>SUMIFS([1]order_sku_sales_bb2_report!P:P,[1]order_sku_sales_bb2_report!H:H,C28187,[1]order_sku_sales_bb2_report!J:J,H28187)</f>
        <v>#ERROR!</v>
      </c>
      <c r="P418" s="6" t="str">
        <f>SUMIFS([1]order_sku_sales_bb2_report!O:O,[1]order_sku_sales_bb2_report!H:H,C28187,[1]order_sku_sales_bb2_report!J:J,H28187)</f>
        <v>#ERROR!</v>
      </c>
      <c r="Q418" s="6" t="str">
        <f t="shared" si="1"/>
        <v>22-12-2025</v>
      </c>
      <c r="R418" s="6" t="str">
        <f>IFERROR( VLOOKUP(C28187,[1]expressOrderReport!$S:$AZ,34,0),0)</f>
        <v>#ERROR!</v>
      </c>
      <c r="S418" s="6" t="str">
        <f>ARRAY_CONSTRAIN(ARRAYFORMULA(_xludf.XLOOKUP(D28187,[1]order_Report_SA_ID_BB2.0!V:V,[1]order_Report_SA_ID_BB2.0!AM:AM,"")), 1, 1)</f>
        <v>#ERROR!</v>
      </c>
      <c r="T418" s="6" t="str">
        <f t="shared" si="2"/>
        <v>Dec'25</v>
      </c>
    </row>
    <row r="419" ht="15.75" customHeight="1">
      <c r="A419" s="5">
        <v>46013.0</v>
      </c>
      <c r="B419" s="6">
        <v>7286.0</v>
      </c>
      <c r="C419" s="6">
        <v>1.859166905E9</v>
      </c>
      <c r="D419" s="6">
        <v>2781640.0</v>
      </c>
      <c r="E419" s="6" t="s">
        <v>701</v>
      </c>
      <c r="F419" s="6" t="s">
        <v>702</v>
      </c>
      <c r="G419" s="6">
        <v>9.448928866E9</v>
      </c>
      <c r="H419" s="6">
        <v>4.0161616E7</v>
      </c>
      <c r="I419" s="6" t="s">
        <v>20</v>
      </c>
      <c r="J419" s="6" t="s">
        <v>21</v>
      </c>
      <c r="K419" s="6" t="s">
        <v>22</v>
      </c>
      <c r="L419" s="6">
        <v>56.0</v>
      </c>
      <c r="M419" s="5">
        <v>46013.0</v>
      </c>
      <c r="N419" s="6" t="s">
        <v>23</v>
      </c>
      <c r="O419" s="6" t="str">
        <f>SUMIFS([1]order_sku_sales_bb2_report!P:P,[1]order_sku_sales_bb2_report!H:H,C28188,[1]order_sku_sales_bb2_report!J:J,H28188)</f>
        <v>#ERROR!</v>
      </c>
      <c r="P419" s="6" t="str">
        <f>SUMIFS([1]order_sku_sales_bb2_report!O:O,[1]order_sku_sales_bb2_report!H:H,C28188,[1]order_sku_sales_bb2_report!J:J,H28188)</f>
        <v>#ERROR!</v>
      </c>
      <c r="Q419" s="6" t="str">
        <f t="shared" si="1"/>
        <v>22-12-2025</v>
      </c>
      <c r="R419" s="6" t="str">
        <f>IFERROR( VLOOKUP(C28188,[1]expressOrderReport!$S:$AZ,34,0),0)</f>
        <v>#ERROR!</v>
      </c>
      <c r="S419" s="6" t="str">
        <f>ARRAY_CONSTRAIN(ARRAYFORMULA(_xludf.XLOOKUP(D28188,[1]order_Report_SA_ID_BB2.0!V:V,[1]order_Report_SA_ID_BB2.0!AM:AM,"")), 1, 1)</f>
        <v>#ERROR!</v>
      </c>
      <c r="T419" s="6" t="str">
        <f t="shared" si="2"/>
        <v>Dec'25</v>
      </c>
    </row>
    <row r="420" ht="15.75" customHeight="1">
      <c r="A420" s="5">
        <v>46013.0</v>
      </c>
      <c r="B420" s="6">
        <v>7287.0</v>
      </c>
      <c r="C420" s="6">
        <v>1.859166908E9</v>
      </c>
      <c r="D420" s="6">
        <v>2.0079216E7</v>
      </c>
      <c r="E420" s="6" t="s">
        <v>625</v>
      </c>
      <c r="F420" s="6" t="s">
        <v>703</v>
      </c>
      <c r="G420" s="6">
        <v>9.886155828E9</v>
      </c>
      <c r="H420" s="6">
        <v>4.0149831E7</v>
      </c>
      <c r="I420" s="6" t="s">
        <v>65</v>
      </c>
      <c r="J420" s="6" t="s">
        <v>21</v>
      </c>
      <c r="K420" s="6" t="s">
        <v>22</v>
      </c>
      <c r="L420" s="6">
        <v>52.0</v>
      </c>
      <c r="M420" s="5">
        <v>46013.0</v>
      </c>
      <c r="N420" s="6" t="s">
        <v>23</v>
      </c>
      <c r="O420" s="6" t="str">
        <f>SUMIFS([1]order_sku_sales_bb2_report!P:P,[1]order_sku_sales_bb2_report!H:H,C28189,[1]order_sku_sales_bb2_report!J:J,H28189)</f>
        <v>#ERROR!</v>
      </c>
      <c r="P420" s="6" t="str">
        <f>SUMIFS([1]order_sku_sales_bb2_report!O:O,[1]order_sku_sales_bb2_report!H:H,C28189,[1]order_sku_sales_bb2_report!J:J,H28189)</f>
        <v>#ERROR!</v>
      </c>
      <c r="Q420" s="6" t="str">
        <f t="shared" si="1"/>
        <v>22-12-2025</v>
      </c>
      <c r="R420" s="6" t="str">
        <f>IFERROR( VLOOKUP(C28189,[1]expressOrderReport!$S:$AZ,34,0),0)</f>
        <v>#ERROR!</v>
      </c>
      <c r="S420" s="6" t="str">
        <f>ARRAY_CONSTRAIN(ARRAYFORMULA(_xludf.XLOOKUP(D28189,[1]order_Report_SA_ID_BB2.0!V:V,[1]order_Report_SA_ID_BB2.0!AM:AM,"")), 1, 1)</f>
        <v>#ERROR!</v>
      </c>
      <c r="T420" s="6" t="str">
        <f t="shared" si="2"/>
        <v>Dec'25</v>
      </c>
    </row>
    <row r="421" ht="15.75" customHeight="1">
      <c r="A421" s="5">
        <v>46013.0</v>
      </c>
      <c r="B421" s="6">
        <v>7294.0</v>
      </c>
      <c r="C421" s="6">
        <v>1.859166913E9</v>
      </c>
      <c r="D421" s="6">
        <v>5.5339858E7</v>
      </c>
      <c r="E421" s="6" t="s">
        <v>625</v>
      </c>
      <c r="F421" s="6" t="s">
        <v>704</v>
      </c>
      <c r="G421" s="6">
        <v>9.886714527E9</v>
      </c>
      <c r="H421" s="6">
        <v>4.0149832E7</v>
      </c>
      <c r="I421" s="6" t="s">
        <v>26</v>
      </c>
      <c r="J421" s="6" t="s">
        <v>21</v>
      </c>
      <c r="K421" s="6" t="s">
        <v>22</v>
      </c>
      <c r="L421" s="6">
        <v>24.0</v>
      </c>
      <c r="M421" s="5">
        <v>46013.0</v>
      </c>
      <c r="N421" s="6" t="s">
        <v>23</v>
      </c>
      <c r="O421" s="6" t="str">
        <f>SUMIFS([1]order_sku_sales_bb2_report!P:P,[1]order_sku_sales_bb2_report!H:H,C28190,[1]order_sku_sales_bb2_report!J:J,H28190)</f>
        <v>#ERROR!</v>
      </c>
      <c r="P421" s="6" t="str">
        <f>SUMIFS([1]order_sku_sales_bb2_report!O:O,[1]order_sku_sales_bb2_report!H:H,C28190,[1]order_sku_sales_bb2_report!J:J,H28190)</f>
        <v>#ERROR!</v>
      </c>
      <c r="Q421" s="6" t="str">
        <f t="shared" si="1"/>
        <v>22-12-2025</v>
      </c>
      <c r="R421" s="6" t="str">
        <f>IFERROR( VLOOKUP(C28190,[1]expressOrderReport!$S:$AZ,34,0),0)</f>
        <v>#ERROR!</v>
      </c>
      <c r="S421" s="6" t="str">
        <f>ARRAY_CONSTRAIN(ARRAYFORMULA(_xludf.XLOOKUP(D28190,[1]order_Report_SA_ID_BB2.0!V:V,[1]order_Report_SA_ID_BB2.0!AM:AM,"")), 1, 1)</f>
        <v>#ERROR!</v>
      </c>
      <c r="T421" s="6" t="str">
        <f t="shared" si="2"/>
        <v>Dec'25</v>
      </c>
    </row>
    <row r="422" ht="15.75" customHeight="1">
      <c r="A422" s="5">
        <v>46013.0</v>
      </c>
      <c r="B422" s="6">
        <v>7296.0</v>
      </c>
      <c r="C422" s="6">
        <v>1.859166918E9</v>
      </c>
      <c r="D422" s="6">
        <v>4517472.0</v>
      </c>
      <c r="E422" s="6" t="s">
        <v>705</v>
      </c>
      <c r="F422" s="6" t="s">
        <v>706</v>
      </c>
      <c r="G422" s="6">
        <v>9.81914485E9</v>
      </c>
      <c r="H422" s="6">
        <v>4.0149832E7</v>
      </c>
      <c r="I422" s="6" t="s">
        <v>26</v>
      </c>
      <c r="J422" s="6" t="s">
        <v>21</v>
      </c>
      <c r="K422" s="6" t="s">
        <v>22</v>
      </c>
      <c r="L422" s="6">
        <v>48.0</v>
      </c>
      <c r="M422" s="5">
        <v>46013.0</v>
      </c>
      <c r="N422" s="6" t="s">
        <v>23</v>
      </c>
      <c r="O422" s="6" t="str">
        <f>SUMIFS([1]order_sku_sales_bb2_report!P:P,[1]order_sku_sales_bb2_report!H:H,C28191,[1]order_sku_sales_bb2_report!J:J,H28191)</f>
        <v>#ERROR!</v>
      </c>
      <c r="P422" s="6" t="str">
        <f>SUMIFS([1]order_sku_sales_bb2_report!O:O,[1]order_sku_sales_bb2_report!H:H,C28191,[1]order_sku_sales_bb2_report!J:J,H28191)</f>
        <v>#ERROR!</v>
      </c>
      <c r="Q422" s="6" t="str">
        <f t="shared" si="1"/>
        <v>22-12-2025</v>
      </c>
      <c r="R422" s="6" t="str">
        <f>IFERROR( VLOOKUP(C28191,[1]expressOrderReport!$S:$AZ,34,0),0)</f>
        <v>#ERROR!</v>
      </c>
      <c r="S422" s="6" t="str">
        <f>ARRAY_CONSTRAIN(ARRAYFORMULA(_xludf.XLOOKUP(D28191,[1]order_Report_SA_ID_BB2.0!V:V,[1]order_Report_SA_ID_BB2.0!AM:AM,"")), 1, 1)</f>
        <v>#ERROR!</v>
      </c>
      <c r="T422" s="6" t="str">
        <f t="shared" si="2"/>
        <v>Dec'25</v>
      </c>
    </row>
    <row r="423" ht="15.75" customHeight="1">
      <c r="A423" s="5">
        <v>46013.0</v>
      </c>
      <c r="B423" s="6">
        <v>9958.0</v>
      </c>
      <c r="C423" s="6">
        <v>1.859166918E9</v>
      </c>
      <c r="D423" s="6">
        <v>4517472.0</v>
      </c>
      <c r="E423" s="6" t="s">
        <v>705</v>
      </c>
      <c r="F423" s="6" t="s">
        <v>706</v>
      </c>
      <c r="G423" s="6">
        <v>9.81914485E9</v>
      </c>
      <c r="H423" s="6">
        <v>4.0054182E7</v>
      </c>
      <c r="I423" s="6" t="s">
        <v>707</v>
      </c>
      <c r="J423" s="6" t="s">
        <v>21</v>
      </c>
      <c r="K423" s="6" t="s">
        <v>22</v>
      </c>
      <c r="L423" s="6">
        <v>48.0</v>
      </c>
      <c r="M423" s="5">
        <v>46013.0</v>
      </c>
      <c r="N423" s="6" t="s">
        <v>23</v>
      </c>
      <c r="O423" s="6" t="str">
        <f>SUMIFS([1]order_sku_sales_bb2_report!P:P,[1]order_sku_sales_bb2_report!H:H,C28192,[1]order_sku_sales_bb2_report!J:J,H28192)</f>
        <v>#ERROR!</v>
      </c>
      <c r="P423" s="6" t="str">
        <f>SUMIFS([1]order_sku_sales_bb2_report!O:O,[1]order_sku_sales_bb2_report!H:H,C28192,[1]order_sku_sales_bb2_report!J:J,H28192)</f>
        <v>#ERROR!</v>
      </c>
      <c r="Q423" s="6" t="str">
        <f t="shared" si="1"/>
        <v>22-12-2025</v>
      </c>
      <c r="R423" s="6" t="str">
        <f>IFERROR( VLOOKUP(C28192,[1]expressOrderReport!$S:$AZ,34,0),0)</f>
        <v>#ERROR!</v>
      </c>
      <c r="S423" s="6" t="str">
        <f>ARRAY_CONSTRAIN(ARRAYFORMULA(_xludf.XLOOKUP(D28192,[1]order_Report_SA_ID_BB2.0!V:V,[1]order_Report_SA_ID_BB2.0!AM:AM,"")), 1, 1)</f>
        <v>#ERROR!</v>
      </c>
      <c r="T423" s="6" t="str">
        <f t="shared" si="2"/>
        <v>Dec'25</v>
      </c>
    </row>
    <row r="424" ht="15.75" customHeight="1">
      <c r="A424" s="5">
        <v>46013.0</v>
      </c>
      <c r="B424" s="6">
        <v>7305.0</v>
      </c>
      <c r="C424" s="6">
        <v>1.859166927E9</v>
      </c>
      <c r="D424" s="6">
        <v>3.5717673E7</v>
      </c>
      <c r="E424" s="6" t="s">
        <v>625</v>
      </c>
      <c r="F424" s="6" t="s">
        <v>708</v>
      </c>
      <c r="G424" s="6">
        <v>9.44938076E9</v>
      </c>
      <c r="H424" s="6">
        <v>4.0158264E7</v>
      </c>
      <c r="I424" s="6" t="s">
        <v>26</v>
      </c>
      <c r="J424" s="6" t="s">
        <v>21</v>
      </c>
      <c r="K424" s="6" t="s">
        <v>22</v>
      </c>
      <c r="L424" s="6">
        <v>46.0</v>
      </c>
      <c r="M424" s="5">
        <v>46013.0</v>
      </c>
      <c r="N424" s="6" t="s">
        <v>23</v>
      </c>
      <c r="O424" s="6" t="str">
        <f>SUMIFS([1]order_sku_sales_bb2_report!P:P,[1]order_sku_sales_bb2_report!H:H,C28193,[1]order_sku_sales_bb2_report!J:J,H28193)</f>
        <v>#ERROR!</v>
      </c>
      <c r="P424" s="6" t="str">
        <f>SUMIFS([1]order_sku_sales_bb2_report!O:O,[1]order_sku_sales_bb2_report!H:H,C28193,[1]order_sku_sales_bb2_report!J:J,H28193)</f>
        <v>#ERROR!</v>
      </c>
      <c r="Q424" s="6" t="str">
        <f t="shared" si="1"/>
        <v>22-12-2025</v>
      </c>
      <c r="R424" s="6" t="str">
        <f>IFERROR( VLOOKUP(C28193,[1]expressOrderReport!$S:$AZ,34,0),0)</f>
        <v>#ERROR!</v>
      </c>
      <c r="S424" s="6" t="str">
        <f>ARRAY_CONSTRAIN(ARRAYFORMULA(_xludf.XLOOKUP(D28193,[1]order_Report_SA_ID_BB2.0!V:V,[1]order_Report_SA_ID_BB2.0!AM:AM,"")), 1, 1)</f>
        <v>#ERROR!</v>
      </c>
      <c r="T424" s="6" t="str">
        <f t="shared" si="2"/>
        <v>Dec'25</v>
      </c>
    </row>
    <row r="425" ht="15.75" customHeight="1">
      <c r="A425" s="5">
        <v>46013.0</v>
      </c>
      <c r="B425" s="6">
        <v>7325.0</v>
      </c>
      <c r="C425" s="6">
        <v>1.859166932E9</v>
      </c>
      <c r="D425" s="6">
        <v>217677.0</v>
      </c>
      <c r="E425" s="6" t="s">
        <v>709</v>
      </c>
      <c r="F425" s="6" t="s">
        <v>710</v>
      </c>
      <c r="G425" s="6">
        <v>9.818036025E9</v>
      </c>
      <c r="H425" s="6">
        <v>4.0161616E7</v>
      </c>
      <c r="I425" s="6" t="s">
        <v>20</v>
      </c>
      <c r="J425" s="6" t="s">
        <v>21</v>
      </c>
      <c r="K425" s="6" t="s">
        <v>22</v>
      </c>
      <c r="L425" s="6">
        <v>140.0</v>
      </c>
      <c r="M425" s="5">
        <v>46013.0</v>
      </c>
      <c r="N425" s="6" t="s">
        <v>23</v>
      </c>
      <c r="O425" s="6" t="str">
        <f>SUMIFS([1]order_sku_sales_bb2_report!P:P,[1]order_sku_sales_bb2_report!H:H,C28196,[1]order_sku_sales_bb2_report!J:J,H28196)</f>
        <v>#ERROR!</v>
      </c>
      <c r="P425" s="6" t="str">
        <f>SUMIFS([1]order_sku_sales_bb2_report!O:O,[1]order_sku_sales_bb2_report!H:H,C28196,[1]order_sku_sales_bb2_report!J:J,H28196)</f>
        <v>#ERROR!</v>
      </c>
      <c r="Q425" s="6" t="str">
        <f t="shared" si="1"/>
        <v>22-12-2025</v>
      </c>
      <c r="R425" s="6" t="str">
        <f>IFERROR( VLOOKUP(C28196,[1]expressOrderReport!$S:$AZ,34,0),0)</f>
        <v>#ERROR!</v>
      </c>
      <c r="S425" s="6" t="str">
        <f>ARRAY_CONSTRAIN(ARRAYFORMULA(_xludf.XLOOKUP(D28196,[1]order_Report_SA_ID_BB2.0!V:V,[1]order_Report_SA_ID_BB2.0!AM:AM,"")), 1, 1)</f>
        <v>#ERROR!</v>
      </c>
      <c r="T425" s="6" t="str">
        <f t="shared" si="2"/>
        <v>Dec'25</v>
      </c>
    </row>
    <row r="426" ht="15.75" customHeight="1">
      <c r="A426" s="5">
        <v>46013.0</v>
      </c>
      <c r="B426" s="6">
        <v>7328.0</v>
      </c>
      <c r="C426" s="6">
        <v>1.859166942E9</v>
      </c>
      <c r="D426" s="6">
        <v>8731460.0</v>
      </c>
      <c r="E426" s="6" t="s">
        <v>711</v>
      </c>
      <c r="F426" s="6" t="s">
        <v>712</v>
      </c>
      <c r="G426" s="6">
        <v>8.527134433E9</v>
      </c>
      <c r="H426" s="6">
        <v>4.0149831E7</v>
      </c>
      <c r="I426" s="6" t="s">
        <v>65</v>
      </c>
      <c r="J426" s="6" t="s">
        <v>21</v>
      </c>
      <c r="K426" s="6" t="s">
        <v>22</v>
      </c>
      <c r="L426" s="6">
        <v>54.0</v>
      </c>
      <c r="M426" s="5">
        <v>46013.0</v>
      </c>
      <c r="N426" s="6" t="s">
        <v>23</v>
      </c>
      <c r="O426" s="6" t="str">
        <f>SUMIFS([1]order_sku_sales_bb2_report!P:P,[1]order_sku_sales_bb2_report!H:H,C28197,[1]order_sku_sales_bb2_report!J:J,H28197)</f>
        <v>#ERROR!</v>
      </c>
      <c r="P426" s="6" t="str">
        <f>SUMIFS([1]order_sku_sales_bb2_report!O:O,[1]order_sku_sales_bb2_report!H:H,C28197,[1]order_sku_sales_bb2_report!J:J,H28197)</f>
        <v>#ERROR!</v>
      </c>
      <c r="Q426" s="6" t="str">
        <f t="shared" si="1"/>
        <v>22-12-2025</v>
      </c>
      <c r="R426" s="6" t="str">
        <f>IFERROR( VLOOKUP(C28197,[1]expressOrderReport!$S:$AZ,34,0),0)</f>
        <v>#ERROR!</v>
      </c>
      <c r="S426" s="6" t="str">
        <f>ARRAY_CONSTRAIN(ARRAYFORMULA(_xludf.XLOOKUP(D28197,[1]order_Report_SA_ID_BB2.0!V:V,[1]order_Report_SA_ID_BB2.0!AM:AM,"")), 1, 1)</f>
        <v>#ERROR!</v>
      </c>
      <c r="T426" s="6" t="str">
        <f t="shared" si="2"/>
        <v>Dec'25</v>
      </c>
    </row>
    <row r="427" ht="15.75" customHeight="1">
      <c r="A427" s="5">
        <v>46013.0</v>
      </c>
      <c r="B427" s="6">
        <v>7329.0</v>
      </c>
      <c r="C427" s="6">
        <v>1.859166942E9</v>
      </c>
      <c r="D427" s="6">
        <v>8731460.0</v>
      </c>
      <c r="E427" s="6" t="s">
        <v>711</v>
      </c>
      <c r="F427" s="6" t="s">
        <v>712</v>
      </c>
      <c r="G427" s="6">
        <v>8.527134433E9</v>
      </c>
      <c r="H427" s="6">
        <v>4.014983E7</v>
      </c>
      <c r="I427" s="6" t="s">
        <v>30</v>
      </c>
      <c r="J427" s="6" t="s">
        <v>21</v>
      </c>
      <c r="K427" s="6" t="s">
        <v>22</v>
      </c>
      <c r="L427" s="6">
        <v>54.0</v>
      </c>
      <c r="M427" s="5">
        <v>46013.0</v>
      </c>
      <c r="N427" s="6" t="s">
        <v>23</v>
      </c>
      <c r="O427" s="6" t="str">
        <f>SUMIFS([1]order_sku_sales_bb2_report!P:P,[1]order_sku_sales_bb2_report!H:H,C28198,[1]order_sku_sales_bb2_report!J:J,H28198)</f>
        <v>#ERROR!</v>
      </c>
      <c r="P427" s="6" t="str">
        <f>SUMIFS([1]order_sku_sales_bb2_report!O:O,[1]order_sku_sales_bb2_report!H:H,C28198,[1]order_sku_sales_bb2_report!J:J,H28198)</f>
        <v>#ERROR!</v>
      </c>
      <c r="Q427" s="6" t="str">
        <f t="shared" si="1"/>
        <v>22-12-2025</v>
      </c>
      <c r="R427" s="6" t="str">
        <f>IFERROR( VLOOKUP(C28198,[1]expressOrderReport!$S:$AZ,34,0),0)</f>
        <v>#ERROR!</v>
      </c>
      <c r="S427" s="6" t="str">
        <f>ARRAY_CONSTRAIN(ARRAYFORMULA(_xludf.XLOOKUP(D28198,[1]order_Report_SA_ID_BB2.0!V:V,[1]order_Report_SA_ID_BB2.0!AM:AM,"")), 1, 1)</f>
        <v>#ERROR!</v>
      </c>
      <c r="T427" s="6" t="str">
        <f t="shared" si="2"/>
        <v>Dec'25</v>
      </c>
    </row>
    <row r="428" ht="15.75" customHeight="1">
      <c r="A428" s="5">
        <v>46013.0</v>
      </c>
      <c r="B428" s="6">
        <v>7358.0</v>
      </c>
      <c r="C428" s="6">
        <v>1.859166949E9</v>
      </c>
      <c r="D428" s="6">
        <v>6.1524999E7</v>
      </c>
      <c r="E428" s="6" t="s">
        <v>625</v>
      </c>
      <c r="F428" s="6" t="s">
        <v>713</v>
      </c>
      <c r="G428" s="6">
        <v>8.310285096E9</v>
      </c>
      <c r="H428" s="6">
        <v>4.0212327E7</v>
      </c>
      <c r="I428" s="6" t="s">
        <v>682</v>
      </c>
      <c r="J428" s="6" t="s">
        <v>21</v>
      </c>
      <c r="K428" s="6" t="s">
        <v>22</v>
      </c>
      <c r="L428" s="6">
        <v>54.0</v>
      </c>
      <c r="M428" s="5">
        <v>46013.0</v>
      </c>
      <c r="N428" s="6" t="s">
        <v>23</v>
      </c>
      <c r="O428" s="6" t="str">
        <f>SUMIFS([1]order_sku_sales_bb2_report!P:P,[1]order_sku_sales_bb2_report!H:H,C28200,[1]order_sku_sales_bb2_report!J:J,H28200)</f>
        <v>#ERROR!</v>
      </c>
      <c r="P428" s="6" t="str">
        <f>SUMIFS([1]order_sku_sales_bb2_report!O:O,[1]order_sku_sales_bb2_report!H:H,C28200,[1]order_sku_sales_bb2_report!J:J,H28200)</f>
        <v>#ERROR!</v>
      </c>
      <c r="Q428" s="6" t="str">
        <f t="shared" si="1"/>
        <v>22-12-2025</v>
      </c>
      <c r="R428" s="6" t="str">
        <f>IFERROR( VLOOKUP(C28200,[1]expressOrderReport!$S:$AZ,34,0),0)</f>
        <v>#ERROR!</v>
      </c>
      <c r="S428" s="6" t="str">
        <f>ARRAY_CONSTRAIN(ARRAYFORMULA(_xludf.XLOOKUP(D28200,[1]order_Report_SA_ID_BB2.0!V:V,[1]order_Report_SA_ID_BB2.0!AM:AM,"")), 1, 1)</f>
        <v>#ERROR!</v>
      </c>
      <c r="T428" s="6" t="str">
        <f t="shared" si="2"/>
        <v>Dec'25</v>
      </c>
    </row>
    <row r="429" ht="15.75" customHeight="1">
      <c r="A429" s="5">
        <v>46013.0</v>
      </c>
      <c r="B429" s="6">
        <v>7360.0</v>
      </c>
      <c r="C429" s="6">
        <v>1.859166958E9</v>
      </c>
      <c r="D429" s="6">
        <v>6.152518E7</v>
      </c>
      <c r="E429" s="6" t="s">
        <v>625</v>
      </c>
      <c r="F429" s="6" t="s">
        <v>714</v>
      </c>
      <c r="G429" s="6">
        <v>7.907994113E9</v>
      </c>
      <c r="H429" s="6">
        <v>4.0148723E7</v>
      </c>
      <c r="I429" s="6" t="s">
        <v>69</v>
      </c>
      <c r="J429" s="6" t="s">
        <v>21</v>
      </c>
      <c r="K429" s="6" t="s">
        <v>22</v>
      </c>
      <c r="L429" s="6">
        <v>42.0</v>
      </c>
      <c r="M429" s="5">
        <v>46013.0</v>
      </c>
      <c r="N429" s="6" t="s">
        <v>23</v>
      </c>
      <c r="O429" s="6" t="str">
        <f>SUMIFS([1]order_sku_sales_bb2_report!P:P,[1]order_sku_sales_bb2_report!H:H,C28201,[1]order_sku_sales_bb2_report!J:J,H28201)</f>
        <v>#ERROR!</v>
      </c>
      <c r="P429" s="6" t="str">
        <f>SUMIFS([1]order_sku_sales_bb2_report!O:O,[1]order_sku_sales_bb2_report!H:H,C28201,[1]order_sku_sales_bb2_report!J:J,H28201)</f>
        <v>#ERROR!</v>
      </c>
      <c r="Q429" s="6" t="str">
        <f t="shared" si="1"/>
        <v>22-12-2025</v>
      </c>
      <c r="R429" s="6" t="str">
        <f>IFERROR( VLOOKUP(C28201,[1]expressOrderReport!$S:$AZ,34,0),0)</f>
        <v>#ERROR!</v>
      </c>
      <c r="S429" s="6" t="str">
        <f>ARRAY_CONSTRAIN(ARRAYFORMULA(_xludf.XLOOKUP(D28201,[1]order_Report_SA_ID_BB2.0!V:V,[1]order_Report_SA_ID_BB2.0!AM:AM,"")), 1, 1)</f>
        <v>#ERROR!</v>
      </c>
      <c r="T429" s="6" t="str">
        <f t="shared" si="2"/>
        <v>Dec'25</v>
      </c>
    </row>
    <row r="430" ht="15.75" customHeight="1">
      <c r="A430" s="5">
        <v>46013.0</v>
      </c>
      <c r="B430" s="6">
        <v>7375.0</v>
      </c>
      <c r="C430" s="6">
        <v>1.859166962E9</v>
      </c>
      <c r="D430" s="6">
        <v>8.0319981E7</v>
      </c>
      <c r="E430" s="6" t="s">
        <v>625</v>
      </c>
      <c r="F430" s="6" t="s">
        <v>715</v>
      </c>
      <c r="G430" s="6">
        <v>9.448129776E9</v>
      </c>
      <c r="H430" s="6">
        <v>4.0149834E7</v>
      </c>
      <c r="I430" s="6" t="s">
        <v>40</v>
      </c>
      <c r="J430" s="6" t="s">
        <v>21</v>
      </c>
      <c r="K430" s="6" t="s">
        <v>22</v>
      </c>
      <c r="L430" s="6">
        <v>104.0</v>
      </c>
      <c r="M430" s="5">
        <v>46013.0</v>
      </c>
      <c r="N430" s="6" t="s">
        <v>23</v>
      </c>
      <c r="O430" s="6" t="str">
        <f>SUMIFS([1]order_sku_sales_bb2_report!P:P,[1]order_sku_sales_bb2_report!H:H,C28202,[1]order_sku_sales_bb2_report!J:J,H28202)</f>
        <v>#ERROR!</v>
      </c>
      <c r="P430" s="6" t="str">
        <f>SUMIFS([1]order_sku_sales_bb2_report!O:O,[1]order_sku_sales_bb2_report!H:H,C28202,[1]order_sku_sales_bb2_report!J:J,H28202)</f>
        <v>#ERROR!</v>
      </c>
      <c r="Q430" s="6" t="str">
        <f t="shared" si="1"/>
        <v>22-12-2025</v>
      </c>
      <c r="R430" s="6" t="str">
        <f>IFERROR( VLOOKUP(C28202,[1]expressOrderReport!$S:$AZ,34,0),0)</f>
        <v>#ERROR!</v>
      </c>
      <c r="S430" s="6" t="str">
        <f>ARRAY_CONSTRAIN(ARRAYFORMULA(_xludf.XLOOKUP(D28202,[1]order_Report_SA_ID_BB2.0!V:V,[1]order_Report_SA_ID_BB2.0!AM:AM,"")), 1, 1)</f>
        <v>#ERROR!</v>
      </c>
      <c r="T430" s="6" t="str">
        <f t="shared" si="2"/>
        <v>Dec'25</v>
      </c>
    </row>
    <row r="431" ht="15.75" customHeight="1">
      <c r="A431" s="5">
        <v>46013.0</v>
      </c>
      <c r="B431" s="6">
        <v>7377.0</v>
      </c>
      <c r="C431" s="6">
        <v>1.859166965E9</v>
      </c>
      <c r="D431" s="6">
        <v>4.5368275E7</v>
      </c>
      <c r="E431" s="6" t="s">
        <v>625</v>
      </c>
      <c r="F431" s="6" t="s">
        <v>716</v>
      </c>
      <c r="G431" s="6">
        <v>7.995254179E9</v>
      </c>
      <c r="H431" s="6">
        <v>4.0147597E7</v>
      </c>
      <c r="I431" s="6" t="s">
        <v>59</v>
      </c>
      <c r="J431" s="6" t="s">
        <v>21</v>
      </c>
      <c r="K431" s="6" t="s">
        <v>22</v>
      </c>
      <c r="L431" s="6">
        <v>26.0</v>
      </c>
      <c r="M431" s="5">
        <v>46013.0</v>
      </c>
      <c r="N431" s="6" t="s">
        <v>23</v>
      </c>
      <c r="O431" s="6" t="str">
        <f>SUMIFS([1]order_sku_sales_bb2_report!P:P,[1]order_sku_sales_bb2_report!H:H,C28203,[1]order_sku_sales_bb2_report!J:J,H28203)</f>
        <v>#ERROR!</v>
      </c>
      <c r="P431" s="6" t="str">
        <f>SUMIFS([1]order_sku_sales_bb2_report!O:O,[1]order_sku_sales_bb2_report!H:H,C28203,[1]order_sku_sales_bb2_report!J:J,H28203)</f>
        <v>#ERROR!</v>
      </c>
      <c r="Q431" s="6" t="str">
        <f t="shared" si="1"/>
        <v>22-12-2025</v>
      </c>
      <c r="R431" s="6" t="str">
        <f>IFERROR( VLOOKUP(C28203,[1]expressOrderReport!$S:$AZ,34,0),0)</f>
        <v>#ERROR!</v>
      </c>
      <c r="S431" s="6" t="str">
        <f>ARRAY_CONSTRAIN(ARRAYFORMULA(_xludf.XLOOKUP(D28203,[1]order_Report_SA_ID_BB2.0!V:V,[1]order_Report_SA_ID_BB2.0!AM:AM,"")), 1, 1)</f>
        <v>#ERROR!</v>
      </c>
      <c r="T431" s="6" t="str">
        <f t="shared" si="2"/>
        <v>Dec'25</v>
      </c>
    </row>
    <row r="432" ht="15.75" customHeight="1">
      <c r="A432" s="5">
        <v>46013.0</v>
      </c>
      <c r="B432" s="6">
        <v>7378.0</v>
      </c>
      <c r="C432" s="6">
        <v>1.859166969E9</v>
      </c>
      <c r="D432" s="6">
        <v>8.0346548E7</v>
      </c>
      <c r="E432" s="6" t="s">
        <v>625</v>
      </c>
      <c r="F432" s="6" t="s">
        <v>717</v>
      </c>
      <c r="G432" s="6">
        <v>9.424410389E9</v>
      </c>
      <c r="H432" s="6">
        <v>4.0149833E7</v>
      </c>
      <c r="I432" s="6" t="s">
        <v>40</v>
      </c>
      <c r="J432" s="6" t="s">
        <v>21</v>
      </c>
      <c r="K432" s="6" t="s">
        <v>22</v>
      </c>
      <c r="L432" s="6">
        <v>85.45</v>
      </c>
      <c r="M432" s="5">
        <v>46013.0</v>
      </c>
      <c r="N432" s="6" t="s">
        <v>23</v>
      </c>
      <c r="O432" s="6" t="str">
        <f>SUMIFS([1]order_sku_sales_bb2_report!P:P,[1]order_sku_sales_bb2_report!H:H,C28204,[1]order_sku_sales_bb2_report!J:J,H28204)</f>
        <v>#ERROR!</v>
      </c>
      <c r="P432" s="6" t="str">
        <f>SUMIFS([1]order_sku_sales_bb2_report!O:O,[1]order_sku_sales_bb2_report!H:H,C28204,[1]order_sku_sales_bb2_report!J:J,H28204)</f>
        <v>#ERROR!</v>
      </c>
      <c r="Q432" s="6" t="str">
        <f t="shared" si="1"/>
        <v>22-12-2025</v>
      </c>
      <c r="R432" s="6" t="str">
        <f>IFERROR( VLOOKUP(C28204,[1]expressOrderReport!$S:$AZ,34,0),0)</f>
        <v>#ERROR!</v>
      </c>
      <c r="S432" s="6" t="str">
        <f>ARRAY_CONSTRAIN(ARRAYFORMULA(_xludf.XLOOKUP(D28204,[1]order_Report_SA_ID_BB2.0!V:V,[1]order_Report_SA_ID_BB2.0!AM:AM,"")), 1, 1)</f>
        <v>#ERROR!</v>
      </c>
      <c r="T432" s="6" t="str">
        <f t="shared" si="2"/>
        <v>Dec'25</v>
      </c>
    </row>
    <row r="433" ht="15.75" customHeight="1">
      <c r="A433" s="5">
        <v>46013.0</v>
      </c>
      <c r="B433" s="6">
        <v>9608.0</v>
      </c>
      <c r="C433" s="6">
        <v>1.859166969E9</v>
      </c>
      <c r="D433" s="6">
        <v>8.0346548E7</v>
      </c>
      <c r="E433" s="6" t="s">
        <v>625</v>
      </c>
      <c r="F433" s="6" t="s">
        <v>717</v>
      </c>
      <c r="G433" s="6">
        <v>9.424410389E9</v>
      </c>
      <c r="H433" s="6">
        <v>2.0005924E7</v>
      </c>
      <c r="I433" s="6" t="s">
        <v>718</v>
      </c>
      <c r="J433" s="6" t="s">
        <v>21</v>
      </c>
      <c r="K433" s="6" t="s">
        <v>22</v>
      </c>
      <c r="L433" s="6">
        <v>85.45</v>
      </c>
      <c r="M433" s="5">
        <v>46013.0</v>
      </c>
      <c r="N433" s="6" t="s">
        <v>23</v>
      </c>
      <c r="O433" s="6" t="str">
        <f>SUMIFS([1]order_sku_sales_bb2_report!P:P,[1]order_sku_sales_bb2_report!H:H,C28205,[1]order_sku_sales_bb2_report!J:J,H28205)</f>
        <v>#ERROR!</v>
      </c>
      <c r="P433" s="6" t="str">
        <f>SUMIFS([1]order_sku_sales_bb2_report!O:O,[1]order_sku_sales_bb2_report!H:H,C28205,[1]order_sku_sales_bb2_report!J:J,H28205)</f>
        <v>#ERROR!</v>
      </c>
      <c r="Q433" s="6" t="str">
        <f t="shared" si="1"/>
        <v>22-12-2025</v>
      </c>
      <c r="R433" s="6" t="str">
        <f>IFERROR( VLOOKUP(C28205,[1]expressOrderReport!$S:$AZ,34,0),0)</f>
        <v>#ERROR!</v>
      </c>
      <c r="S433" s="6" t="str">
        <f>ARRAY_CONSTRAIN(ARRAYFORMULA(_xludf.XLOOKUP(D28205,[1]order_Report_SA_ID_BB2.0!V:V,[1]order_Report_SA_ID_BB2.0!AM:AM,"")), 1, 1)</f>
        <v>#ERROR!</v>
      </c>
      <c r="T433" s="6" t="str">
        <f t="shared" si="2"/>
        <v>Dec'25</v>
      </c>
    </row>
    <row r="434" ht="15.75" customHeight="1">
      <c r="A434" s="5">
        <v>46013.0</v>
      </c>
      <c r="B434" s="6">
        <v>7395.0</v>
      </c>
      <c r="C434" s="6">
        <v>1.859166973E9</v>
      </c>
      <c r="D434" s="6">
        <v>1.0557786E7</v>
      </c>
      <c r="E434" s="6" t="s">
        <v>719</v>
      </c>
      <c r="F434" s="6" t="s">
        <v>720</v>
      </c>
      <c r="G434" s="6">
        <v>8.220132379E9</v>
      </c>
      <c r="H434" s="6">
        <v>4.0185393E7</v>
      </c>
      <c r="I434" s="6" t="s">
        <v>721</v>
      </c>
      <c r="J434" s="6" t="s">
        <v>21</v>
      </c>
      <c r="K434" s="6" t="s">
        <v>22</v>
      </c>
      <c r="L434" s="6">
        <v>32.0</v>
      </c>
      <c r="M434" s="5">
        <v>46013.0</v>
      </c>
      <c r="N434" s="6" t="s">
        <v>54</v>
      </c>
      <c r="O434" s="6" t="str">
        <f>SUMIFS([1]order_sku_sales_bb2_report!P:P,[1]order_sku_sales_bb2_report!H:H,C28206,[1]order_sku_sales_bb2_report!J:J,H28206)</f>
        <v>#ERROR!</v>
      </c>
      <c r="P434" s="6" t="str">
        <f>SUMIFS([1]order_sku_sales_bb2_report!O:O,[1]order_sku_sales_bb2_report!H:H,C28206,[1]order_sku_sales_bb2_report!J:J,H28206)</f>
        <v>#ERROR!</v>
      </c>
      <c r="Q434" s="6" t="str">
        <f t="shared" si="1"/>
        <v>22-12-2025</v>
      </c>
      <c r="R434" s="6" t="str">
        <f>IFERROR( VLOOKUP(C28206,[1]expressOrderReport!$S:$AZ,34,0),0)</f>
        <v>#ERROR!</v>
      </c>
      <c r="S434" s="6" t="str">
        <f>ARRAY_CONSTRAIN(ARRAYFORMULA(_xludf.XLOOKUP(D28206,[1]order_Report_SA_ID_BB2.0!V:V,[1]order_Report_SA_ID_BB2.0!AM:AM,"")), 1, 1)</f>
        <v>#ERROR!</v>
      </c>
      <c r="T434" s="6" t="str">
        <f t="shared" si="2"/>
        <v>Dec'25</v>
      </c>
    </row>
    <row r="435" ht="15.75" customHeight="1">
      <c r="A435" s="5">
        <v>46013.0</v>
      </c>
      <c r="B435" s="6">
        <v>7408.0</v>
      </c>
      <c r="C435" s="6">
        <v>1.859166978E9</v>
      </c>
      <c r="D435" s="6">
        <v>5.2123123E7</v>
      </c>
      <c r="E435" s="6" t="s">
        <v>722</v>
      </c>
      <c r="F435" s="6" t="s">
        <v>723</v>
      </c>
      <c r="G435" s="6">
        <v>9.884939251E9</v>
      </c>
      <c r="H435" s="6">
        <v>4.0149833E7</v>
      </c>
      <c r="I435" s="6" t="s">
        <v>40</v>
      </c>
      <c r="J435" s="6" t="s">
        <v>21</v>
      </c>
      <c r="K435" s="6" t="s">
        <v>22</v>
      </c>
      <c r="L435" s="6">
        <v>54.0</v>
      </c>
      <c r="M435" s="5">
        <v>46013.0</v>
      </c>
      <c r="N435" s="6" t="s">
        <v>23</v>
      </c>
      <c r="O435" s="6" t="str">
        <f>SUMIFS([1]order_sku_sales_bb2_report!P:P,[1]order_sku_sales_bb2_report!H:H,C28207,[1]order_sku_sales_bb2_report!J:J,H28207)</f>
        <v>#ERROR!</v>
      </c>
      <c r="P435" s="6" t="str">
        <f>SUMIFS([1]order_sku_sales_bb2_report!O:O,[1]order_sku_sales_bb2_report!H:H,C28207,[1]order_sku_sales_bb2_report!J:J,H28207)</f>
        <v>#ERROR!</v>
      </c>
      <c r="Q435" s="6" t="str">
        <f t="shared" si="1"/>
        <v>22-12-2025</v>
      </c>
      <c r="R435" s="6" t="str">
        <f>IFERROR( VLOOKUP(C28207,[1]expressOrderReport!$S:$AZ,34,0),0)</f>
        <v>#ERROR!</v>
      </c>
      <c r="S435" s="6" t="str">
        <f>ARRAY_CONSTRAIN(ARRAYFORMULA(_xludf.XLOOKUP(D28207,[1]order_Report_SA_ID_BB2.0!V:V,[1]order_Report_SA_ID_BB2.0!AM:AM,"")), 1, 1)</f>
        <v>#ERROR!</v>
      </c>
      <c r="T435" s="6" t="str">
        <f t="shared" si="2"/>
        <v>Dec'25</v>
      </c>
    </row>
    <row r="436" ht="15.75" customHeight="1">
      <c r="A436" s="5">
        <v>46013.0</v>
      </c>
      <c r="B436" s="6">
        <v>7412.0</v>
      </c>
      <c r="C436" s="6">
        <v>1.859166985E9</v>
      </c>
      <c r="D436" s="6">
        <v>6.7027117E7</v>
      </c>
      <c r="E436" s="6" t="s">
        <v>724</v>
      </c>
      <c r="F436" s="6" t="s">
        <v>725</v>
      </c>
      <c r="G436" s="6">
        <v>9.535408727E9</v>
      </c>
      <c r="H436" s="6">
        <v>4.0149833E7</v>
      </c>
      <c r="I436" s="6" t="s">
        <v>40</v>
      </c>
      <c r="J436" s="6" t="s">
        <v>21</v>
      </c>
      <c r="K436" s="6" t="s">
        <v>22</v>
      </c>
      <c r="L436" s="6">
        <v>55.0</v>
      </c>
      <c r="M436" s="5">
        <v>46013.0</v>
      </c>
      <c r="N436" s="6" t="s">
        <v>23</v>
      </c>
      <c r="O436" s="6" t="str">
        <f>SUMIFS([1]order_sku_sales_bb2_report!P:P,[1]order_sku_sales_bb2_report!H:H,C28208,[1]order_sku_sales_bb2_report!J:J,H28208)</f>
        <v>#ERROR!</v>
      </c>
      <c r="P436" s="6" t="str">
        <f>SUMIFS([1]order_sku_sales_bb2_report!O:O,[1]order_sku_sales_bb2_report!H:H,C28208,[1]order_sku_sales_bb2_report!J:J,H28208)</f>
        <v>#ERROR!</v>
      </c>
      <c r="Q436" s="6" t="str">
        <f t="shared" si="1"/>
        <v>22-12-2025</v>
      </c>
      <c r="R436" s="6" t="str">
        <f>IFERROR( VLOOKUP(C28208,[1]expressOrderReport!$S:$AZ,34,0),0)</f>
        <v>#ERROR!</v>
      </c>
      <c r="S436" s="6" t="str">
        <f>ARRAY_CONSTRAIN(ARRAYFORMULA(_xludf.XLOOKUP(D28208,[1]order_Report_SA_ID_BB2.0!V:V,[1]order_Report_SA_ID_BB2.0!AM:AM,"")), 1, 1)</f>
        <v>#ERROR!</v>
      </c>
      <c r="T436" s="6" t="str">
        <f t="shared" si="2"/>
        <v>Dec'25</v>
      </c>
    </row>
    <row r="437" ht="15.75" customHeight="1">
      <c r="A437" s="5">
        <v>46013.0</v>
      </c>
      <c r="B437" s="6">
        <v>7413.0</v>
      </c>
      <c r="C437" s="6">
        <v>1.859166985E9</v>
      </c>
      <c r="D437" s="6">
        <v>6.7027117E7</v>
      </c>
      <c r="E437" s="6" t="s">
        <v>724</v>
      </c>
      <c r="F437" s="6" t="s">
        <v>725</v>
      </c>
      <c r="G437" s="6">
        <v>9.535408727E9</v>
      </c>
      <c r="H437" s="6">
        <v>4.0161616E7</v>
      </c>
      <c r="I437" s="6" t="s">
        <v>20</v>
      </c>
      <c r="J437" s="6" t="s">
        <v>21</v>
      </c>
      <c r="K437" s="6" t="s">
        <v>22</v>
      </c>
      <c r="L437" s="6">
        <v>55.0</v>
      </c>
      <c r="M437" s="5">
        <v>46013.0</v>
      </c>
      <c r="N437" s="6" t="s">
        <v>23</v>
      </c>
      <c r="O437" s="6" t="str">
        <f>SUMIFS([1]order_sku_sales_bb2_report!P:P,[1]order_sku_sales_bb2_report!H:H,C28209,[1]order_sku_sales_bb2_report!J:J,H28209)</f>
        <v>#ERROR!</v>
      </c>
      <c r="P437" s="6" t="str">
        <f>SUMIFS([1]order_sku_sales_bb2_report!O:O,[1]order_sku_sales_bb2_report!H:H,C28209,[1]order_sku_sales_bb2_report!J:J,H28209)</f>
        <v>#ERROR!</v>
      </c>
      <c r="Q437" s="6" t="str">
        <f t="shared" si="1"/>
        <v>22-12-2025</v>
      </c>
      <c r="R437" s="6" t="str">
        <f>IFERROR( VLOOKUP(C28209,[1]expressOrderReport!$S:$AZ,34,0),0)</f>
        <v>#ERROR!</v>
      </c>
      <c r="S437" s="6" t="str">
        <f>ARRAY_CONSTRAIN(ARRAYFORMULA(_xludf.XLOOKUP(D28209,[1]order_Report_SA_ID_BB2.0!V:V,[1]order_Report_SA_ID_BB2.0!AM:AM,"")), 1, 1)</f>
        <v>#ERROR!</v>
      </c>
      <c r="T437" s="6" t="str">
        <f t="shared" si="2"/>
        <v>Dec'25</v>
      </c>
    </row>
    <row r="438" ht="15.75" customHeight="1">
      <c r="A438" s="5">
        <v>46013.0</v>
      </c>
      <c r="B438" s="6">
        <v>7414.0</v>
      </c>
      <c r="C438" s="6">
        <v>1.859166995E9</v>
      </c>
      <c r="D438" s="6">
        <v>1.6688384E7</v>
      </c>
      <c r="E438" s="6" t="s">
        <v>726</v>
      </c>
      <c r="F438" s="6" t="s">
        <v>727</v>
      </c>
      <c r="G438" s="6">
        <v>9.886031272E9</v>
      </c>
      <c r="H438" s="6">
        <v>4.0147597E7</v>
      </c>
      <c r="I438" s="6" t="s">
        <v>59</v>
      </c>
      <c r="J438" s="6" t="s">
        <v>21</v>
      </c>
      <c r="K438" s="6" t="s">
        <v>22</v>
      </c>
      <c r="L438" s="6">
        <v>26.0</v>
      </c>
      <c r="M438" s="5">
        <v>46013.0</v>
      </c>
      <c r="N438" s="6" t="s">
        <v>23</v>
      </c>
      <c r="O438" s="6" t="str">
        <f>SUMIFS([1]order_sku_sales_bb2_report!P:P,[1]order_sku_sales_bb2_report!H:H,C28210,[1]order_sku_sales_bb2_report!J:J,H28210)</f>
        <v>#ERROR!</v>
      </c>
      <c r="P438" s="6" t="str">
        <f>SUMIFS([1]order_sku_sales_bb2_report!O:O,[1]order_sku_sales_bb2_report!H:H,C28210,[1]order_sku_sales_bb2_report!J:J,H28210)</f>
        <v>#ERROR!</v>
      </c>
      <c r="Q438" s="6" t="str">
        <f t="shared" si="1"/>
        <v>22-12-2025</v>
      </c>
      <c r="R438" s="6" t="str">
        <f>IFERROR( VLOOKUP(C28210,[1]expressOrderReport!$S:$AZ,34,0),0)</f>
        <v>#ERROR!</v>
      </c>
      <c r="S438" s="6" t="str">
        <f>ARRAY_CONSTRAIN(ARRAYFORMULA(_xludf.XLOOKUP(D28210,[1]order_Report_SA_ID_BB2.0!V:V,[1]order_Report_SA_ID_BB2.0!AM:AM,"")), 1, 1)</f>
        <v>#ERROR!</v>
      </c>
      <c r="T438" s="6" t="str">
        <f t="shared" si="2"/>
        <v>Dec'25</v>
      </c>
    </row>
    <row r="439" ht="15.75" customHeight="1">
      <c r="A439" s="5">
        <v>46013.0</v>
      </c>
      <c r="B439" s="6">
        <v>7437.0</v>
      </c>
      <c r="C439" s="6">
        <v>1.859167003E9</v>
      </c>
      <c r="D439" s="6">
        <v>2.0004702E7</v>
      </c>
      <c r="E439" s="6" t="s">
        <v>728</v>
      </c>
      <c r="F439" s="6" t="s">
        <v>729</v>
      </c>
      <c r="G439" s="6">
        <v>9.686833361E9</v>
      </c>
      <c r="H439" s="6">
        <v>4.0149832E7</v>
      </c>
      <c r="I439" s="6" t="s">
        <v>26</v>
      </c>
      <c r="J439" s="6" t="s">
        <v>21</v>
      </c>
      <c r="K439" s="6" t="s">
        <v>22</v>
      </c>
      <c r="L439" s="6">
        <v>72.0</v>
      </c>
      <c r="M439" s="5">
        <v>46013.0</v>
      </c>
      <c r="N439" s="6" t="s">
        <v>23</v>
      </c>
      <c r="O439" s="6" t="str">
        <f>SUMIFS([1]order_sku_sales_bb2_report!P:P,[1]order_sku_sales_bb2_report!H:H,C28211,[1]order_sku_sales_bb2_report!J:J,H28211)</f>
        <v>#ERROR!</v>
      </c>
      <c r="P439" s="6" t="str">
        <f>SUMIFS([1]order_sku_sales_bb2_report!O:O,[1]order_sku_sales_bb2_report!H:H,C28211,[1]order_sku_sales_bb2_report!J:J,H28211)</f>
        <v>#ERROR!</v>
      </c>
      <c r="Q439" s="6" t="str">
        <f t="shared" si="1"/>
        <v>22-12-2025</v>
      </c>
      <c r="R439" s="6" t="str">
        <f>IFERROR( VLOOKUP(C28211,[1]expressOrderReport!$S:$AZ,34,0),0)</f>
        <v>#ERROR!</v>
      </c>
      <c r="S439" s="6" t="str">
        <f>ARRAY_CONSTRAIN(ARRAYFORMULA(_xludf.XLOOKUP(D28211,[1]order_Report_SA_ID_BB2.0!V:V,[1]order_Report_SA_ID_BB2.0!AM:AM,"")), 1, 1)</f>
        <v>#ERROR!</v>
      </c>
      <c r="T439" s="6" t="str">
        <f t="shared" si="2"/>
        <v>Dec'25</v>
      </c>
    </row>
    <row r="440" ht="15.75" customHeight="1">
      <c r="A440" s="5">
        <v>46013.0</v>
      </c>
      <c r="B440" s="6">
        <v>11082.0</v>
      </c>
      <c r="C440" s="6">
        <v>1.859167011E9</v>
      </c>
      <c r="D440" s="6">
        <v>1816133.0</v>
      </c>
      <c r="E440" s="6" t="s">
        <v>210</v>
      </c>
      <c r="F440" s="6" t="s">
        <v>211</v>
      </c>
      <c r="G440" s="6">
        <v>9.686380808E9</v>
      </c>
      <c r="H440" s="6">
        <v>4.0149833E7</v>
      </c>
      <c r="I440" s="6" t="s">
        <v>40</v>
      </c>
      <c r="J440" s="6" t="s">
        <v>21</v>
      </c>
      <c r="K440" s="6" t="s">
        <v>22</v>
      </c>
      <c r="L440" s="6">
        <v>27.0</v>
      </c>
      <c r="M440" s="5">
        <v>46013.0</v>
      </c>
      <c r="N440" s="6" t="s">
        <v>23</v>
      </c>
      <c r="O440" s="6" t="str">
        <f>SUMIFS([1]order_sku_sales_bb2_report!P:P,[1]order_sku_sales_bb2_report!H:H,C28212,[1]order_sku_sales_bb2_report!J:J,H28212)</f>
        <v>#ERROR!</v>
      </c>
      <c r="P440" s="6" t="str">
        <f>SUMIFS([1]order_sku_sales_bb2_report!O:O,[1]order_sku_sales_bb2_report!H:H,C28212,[1]order_sku_sales_bb2_report!J:J,H28212)</f>
        <v>#ERROR!</v>
      </c>
      <c r="Q440" s="6" t="str">
        <f t="shared" si="1"/>
        <v>22-12-2025</v>
      </c>
      <c r="R440" s="6" t="str">
        <f>IFERROR( VLOOKUP(C28212,[1]expressOrderReport!$S:$AZ,34,0),0)</f>
        <v>#ERROR!</v>
      </c>
      <c r="S440" s="6" t="str">
        <f>ARRAY_CONSTRAIN(ARRAYFORMULA(_xludf.XLOOKUP(D28212,[1]order_Report_SA_ID_BB2.0!V:V,[1]order_Report_SA_ID_BB2.0!AM:AM,"")), 1, 1)</f>
        <v>#ERROR!</v>
      </c>
      <c r="T440" s="6" t="str">
        <f t="shared" si="2"/>
        <v>Dec'25</v>
      </c>
    </row>
    <row r="441" ht="15.75" customHeight="1">
      <c r="A441" s="5">
        <v>46013.0</v>
      </c>
      <c r="B441" s="6">
        <v>7483.0</v>
      </c>
      <c r="C441" s="6">
        <v>1.859167015E9</v>
      </c>
      <c r="D441" s="6">
        <v>8411994.0</v>
      </c>
      <c r="E441" s="6" t="s">
        <v>111</v>
      </c>
      <c r="F441" s="6" t="s">
        <v>112</v>
      </c>
      <c r="G441" s="6">
        <v>9.545995934E9</v>
      </c>
      <c r="H441" s="6">
        <v>4.0148714E7</v>
      </c>
      <c r="I441" s="6" t="s">
        <v>183</v>
      </c>
      <c r="J441" s="6" t="s">
        <v>21</v>
      </c>
      <c r="K441" s="6" t="s">
        <v>22</v>
      </c>
      <c r="L441" s="6">
        <v>47.0</v>
      </c>
      <c r="M441" s="5">
        <v>46013.0</v>
      </c>
      <c r="N441" s="6" t="s">
        <v>23</v>
      </c>
      <c r="O441" s="6" t="str">
        <f>SUMIFS([1]order_sku_sales_bb2_report!P:P,[1]order_sku_sales_bb2_report!H:H,C28214,[1]order_sku_sales_bb2_report!J:J,H28214)</f>
        <v>#ERROR!</v>
      </c>
      <c r="P441" s="6" t="str">
        <f>SUMIFS([1]order_sku_sales_bb2_report!O:O,[1]order_sku_sales_bb2_report!H:H,C28214,[1]order_sku_sales_bb2_report!J:J,H28214)</f>
        <v>#ERROR!</v>
      </c>
      <c r="Q441" s="6" t="str">
        <f t="shared" si="1"/>
        <v>22-12-2025</v>
      </c>
      <c r="R441" s="6" t="str">
        <f>IFERROR( VLOOKUP(C28214,[1]expressOrderReport!$S:$AZ,34,0),0)</f>
        <v>#ERROR!</v>
      </c>
      <c r="S441" s="6" t="str">
        <f>ARRAY_CONSTRAIN(ARRAYFORMULA(_xludf.XLOOKUP(D28214,[1]order_Report_SA_ID_BB2.0!V:V,[1]order_Report_SA_ID_BB2.0!AM:AM,"")), 1, 1)</f>
        <v>#ERROR!</v>
      </c>
      <c r="T441" s="6" t="str">
        <f t="shared" si="2"/>
        <v>Dec'25</v>
      </c>
    </row>
    <row r="442" ht="15.75" customHeight="1">
      <c r="A442" s="5">
        <v>46013.0</v>
      </c>
      <c r="B442" s="6">
        <v>7507.0</v>
      </c>
      <c r="C442" s="6">
        <v>1.859167019E9</v>
      </c>
      <c r="D442" s="6">
        <v>286042.0</v>
      </c>
      <c r="E442" s="6" t="s">
        <v>730</v>
      </c>
      <c r="F442" s="6" t="s">
        <v>731</v>
      </c>
      <c r="G442" s="6">
        <v>9.986111898E9</v>
      </c>
      <c r="H442" s="6">
        <v>4.0212327E7</v>
      </c>
      <c r="I442" s="6" t="s">
        <v>682</v>
      </c>
      <c r="J442" s="6" t="s">
        <v>21</v>
      </c>
      <c r="K442" s="6" t="s">
        <v>22</v>
      </c>
      <c r="L442" s="6">
        <v>27.0</v>
      </c>
      <c r="M442" s="5">
        <v>46013.0</v>
      </c>
      <c r="N442" s="6" t="s">
        <v>23</v>
      </c>
      <c r="O442" s="6" t="str">
        <f>SUMIFS([1]order_sku_sales_bb2_report!P:P,[1]order_sku_sales_bb2_report!H:H,C28215,[1]order_sku_sales_bb2_report!J:J,H28215)</f>
        <v>#ERROR!</v>
      </c>
      <c r="P442" s="6" t="str">
        <f>SUMIFS([1]order_sku_sales_bb2_report!O:O,[1]order_sku_sales_bb2_report!H:H,C28215,[1]order_sku_sales_bb2_report!J:J,H28215)</f>
        <v>#ERROR!</v>
      </c>
      <c r="Q442" s="6" t="str">
        <f t="shared" si="1"/>
        <v>22-12-2025</v>
      </c>
      <c r="R442" s="6" t="str">
        <f>IFERROR( VLOOKUP(C28215,[1]expressOrderReport!$S:$AZ,34,0),0)</f>
        <v>#ERROR!</v>
      </c>
      <c r="S442" s="6" t="str">
        <f>ARRAY_CONSTRAIN(ARRAYFORMULA(_xludf.XLOOKUP(D28215,[1]order_Report_SA_ID_BB2.0!V:V,[1]order_Report_SA_ID_BB2.0!AM:AM,"")), 1, 1)</f>
        <v>#ERROR!</v>
      </c>
      <c r="T442" s="6" t="str">
        <f t="shared" si="2"/>
        <v>Dec'25</v>
      </c>
    </row>
    <row r="443" ht="15.75" customHeight="1">
      <c r="A443" s="5">
        <v>46013.0</v>
      </c>
      <c r="B443" s="6">
        <v>7517.0</v>
      </c>
      <c r="C443" s="6">
        <v>1.859167028E9</v>
      </c>
      <c r="D443" s="6">
        <v>4380122.0</v>
      </c>
      <c r="E443" s="6" t="s">
        <v>732</v>
      </c>
      <c r="F443" s="6" t="s">
        <v>733</v>
      </c>
      <c r="G443" s="6">
        <v>9.900578478E9</v>
      </c>
      <c r="H443" s="6">
        <v>4.0149832E7</v>
      </c>
      <c r="I443" s="6" t="s">
        <v>26</v>
      </c>
      <c r="J443" s="6" t="s">
        <v>21</v>
      </c>
      <c r="K443" s="6" t="s">
        <v>22</v>
      </c>
      <c r="L443" s="6">
        <v>24.0</v>
      </c>
      <c r="M443" s="5">
        <v>46013.0</v>
      </c>
      <c r="N443" s="6" t="s">
        <v>23</v>
      </c>
      <c r="O443" s="6" t="str">
        <f>SUMIFS([1]order_sku_sales_bb2_report!P:P,[1]order_sku_sales_bb2_report!H:H,C28216,[1]order_sku_sales_bb2_report!J:J,H28216)</f>
        <v>#ERROR!</v>
      </c>
      <c r="P443" s="6" t="str">
        <f>SUMIFS([1]order_sku_sales_bb2_report!O:O,[1]order_sku_sales_bb2_report!H:H,C28216,[1]order_sku_sales_bb2_report!J:J,H28216)</f>
        <v>#ERROR!</v>
      </c>
      <c r="Q443" s="6" t="str">
        <f t="shared" si="1"/>
        <v>22-12-2025</v>
      </c>
      <c r="R443" s="6" t="str">
        <f>IFERROR( VLOOKUP(C28216,[1]expressOrderReport!$S:$AZ,34,0),0)</f>
        <v>#ERROR!</v>
      </c>
      <c r="S443" s="6" t="str">
        <f>ARRAY_CONSTRAIN(ARRAYFORMULA(_xludf.XLOOKUP(D28216,[1]order_Report_SA_ID_BB2.0!V:V,[1]order_Report_SA_ID_BB2.0!AM:AM,"")), 1, 1)</f>
        <v>#ERROR!</v>
      </c>
      <c r="T443" s="6" t="str">
        <f t="shared" si="2"/>
        <v>Dec'25</v>
      </c>
    </row>
    <row r="444" ht="15.75" customHeight="1">
      <c r="A444" s="5">
        <v>46013.0</v>
      </c>
      <c r="B444" s="6">
        <v>7530.0</v>
      </c>
      <c r="C444" s="6">
        <v>1.859167035E9</v>
      </c>
      <c r="D444" s="6">
        <v>6533051.0</v>
      </c>
      <c r="E444" s="6" t="s">
        <v>734</v>
      </c>
      <c r="F444" s="6" t="s">
        <v>735</v>
      </c>
      <c r="G444" s="6">
        <v>9.343317495E9</v>
      </c>
      <c r="H444" s="6">
        <v>4.0149833E7</v>
      </c>
      <c r="I444" s="6" t="s">
        <v>40</v>
      </c>
      <c r="J444" s="6" t="s">
        <v>21</v>
      </c>
      <c r="K444" s="6" t="s">
        <v>22</v>
      </c>
      <c r="L444" s="6">
        <v>27.0</v>
      </c>
      <c r="M444" s="5">
        <v>46013.0</v>
      </c>
      <c r="N444" s="6" t="s">
        <v>23</v>
      </c>
      <c r="O444" s="6" t="str">
        <f>SUMIFS([1]order_sku_sales_bb2_report!P:P,[1]order_sku_sales_bb2_report!H:H,C28217,[1]order_sku_sales_bb2_report!J:J,H28217)</f>
        <v>#ERROR!</v>
      </c>
      <c r="P444" s="6" t="str">
        <f>SUMIFS([1]order_sku_sales_bb2_report!O:O,[1]order_sku_sales_bb2_report!H:H,C28217,[1]order_sku_sales_bb2_report!J:J,H28217)</f>
        <v>#ERROR!</v>
      </c>
      <c r="Q444" s="6" t="str">
        <f t="shared" si="1"/>
        <v>22-12-2025</v>
      </c>
      <c r="R444" s="6" t="str">
        <f>IFERROR( VLOOKUP(C28217,[1]expressOrderReport!$S:$AZ,34,0),0)</f>
        <v>#ERROR!</v>
      </c>
      <c r="S444" s="6" t="str">
        <f>ARRAY_CONSTRAIN(ARRAYFORMULA(_xludf.XLOOKUP(D28217,[1]order_Report_SA_ID_BB2.0!V:V,[1]order_Report_SA_ID_BB2.0!AM:AM,"")), 1, 1)</f>
        <v>#ERROR!</v>
      </c>
      <c r="T444" s="6" t="str">
        <f t="shared" si="2"/>
        <v>Dec'25</v>
      </c>
    </row>
    <row r="445" ht="15.75" customHeight="1">
      <c r="A445" s="5">
        <v>46013.0</v>
      </c>
      <c r="B445" s="6">
        <v>7538.0</v>
      </c>
      <c r="C445" s="6">
        <v>1.859167041E9</v>
      </c>
      <c r="D445" s="6">
        <v>3783379.0</v>
      </c>
      <c r="E445" s="6" t="s">
        <v>736</v>
      </c>
      <c r="F445" s="6" t="s">
        <v>737</v>
      </c>
      <c r="G445" s="6">
        <v>9.53502388E9</v>
      </c>
      <c r="H445" s="6">
        <v>4.0149827E7</v>
      </c>
      <c r="I445" s="6" t="s">
        <v>738</v>
      </c>
      <c r="J445" s="6" t="s">
        <v>21</v>
      </c>
      <c r="K445" s="6" t="s">
        <v>22</v>
      </c>
      <c r="L445" s="6">
        <v>97.0</v>
      </c>
      <c r="M445" s="5">
        <v>46013.0</v>
      </c>
      <c r="N445" s="6" t="s">
        <v>23</v>
      </c>
      <c r="O445" s="6" t="str">
        <f>SUMIFS([1]order_sku_sales_bb2_report!P:P,[1]order_sku_sales_bb2_report!H:H,C28218,[1]order_sku_sales_bb2_report!J:J,H28218)</f>
        <v>#ERROR!</v>
      </c>
      <c r="P445" s="6" t="str">
        <f>SUMIFS([1]order_sku_sales_bb2_report!O:O,[1]order_sku_sales_bb2_report!H:H,C28218,[1]order_sku_sales_bb2_report!J:J,H28218)</f>
        <v>#ERROR!</v>
      </c>
      <c r="Q445" s="6" t="str">
        <f t="shared" si="1"/>
        <v>22-12-2025</v>
      </c>
      <c r="R445" s="6" t="str">
        <f>IFERROR( VLOOKUP(C28218,[1]expressOrderReport!$S:$AZ,34,0),0)</f>
        <v>#ERROR!</v>
      </c>
      <c r="S445" s="6" t="str">
        <f>ARRAY_CONSTRAIN(ARRAYFORMULA(_xludf.XLOOKUP(D28218,[1]order_Report_SA_ID_BB2.0!V:V,[1]order_Report_SA_ID_BB2.0!AM:AM,"")), 1, 1)</f>
        <v>#ERROR!</v>
      </c>
      <c r="T445" s="6" t="str">
        <f t="shared" si="2"/>
        <v>Dec'25</v>
      </c>
    </row>
    <row r="446" ht="15.75" customHeight="1">
      <c r="A446" s="5">
        <v>46013.0</v>
      </c>
      <c r="B446" s="6">
        <v>7539.0</v>
      </c>
      <c r="C446" s="6">
        <v>1.859167041E9</v>
      </c>
      <c r="D446" s="6">
        <v>3783379.0</v>
      </c>
      <c r="E446" s="6" t="s">
        <v>736</v>
      </c>
      <c r="F446" s="6" t="s">
        <v>737</v>
      </c>
      <c r="G446" s="6">
        <v>9.53502388E9</v>
      </c>
      <c r="H446" s="6">
        <v>4.0149829E7</v>
      </c>
      <c r="I446" s="6" t="s">
        <v>355</v>
      </c>
      <c r="J446" s="6" t="s">
        <v>21</v>
      </c>
      <c r="K446" s="6" t="s">
        <v>22</v>
      </c>
      <c r="L446" s="6">
        <v>97.0</v>
      </c>
      <c r="M446" s="5">
        <v>46013.0</v>
      </c>
      <c r="N446" s="6" t="s">
        <v>23</v>
      </c>
      <c r="O446" s="6" t="str">
        <f>SUMIFS([1]order_sku_sales_bb2_report!P:P,[1]order_sku_sales_bb2_report!H:H,C28219,[1]order_sku_sales_bb2_report!J:J,H28219)</f>
        <v>#ERROR!</v>
      </c>
      <c r="P446" s="6" t="str">
        <f>SUMIFS([1]order_sku_sales_bb2_report!O:O,[1]order_sku_sales_bb2_report!H:H,C28219,[1]order_sku_sales_bb2_report!J:J,H28219)</f>
        <v>#ERROR!</v>
      </c>
      <c r="Q446" s="6" t="str">
        <f t="shared" si="1"/>
        <v>22-12-2025</v>
      </c>
      <c r="R446" s="6" t="str">
        <f>IFERROR( VLOOKUP(C28219,[1]expressOrderReport!$S:$AZ,34,0),0)</f>
        <v>#ERROR!</v>
      </c>
      <c r="S446" s="6" t="str">
        <f>ARRAY_CONSTRAIN(ARRAYFORMULA(_xludf.XLOOKUP(D28219,[1]order_Report_SA_ID_BB2.0!V:V,[1]order_Report_SA_ID_BB2.0!AM:AM,"")), 1, 1)</f>
        <v>#ERROR!</v>
      </c>
      <c r="T446" s="6" t="str">
        <f t="shared" si="2"/>
        <v>Dec'25</v>
      </c>
    </row>
    <row r="447" ht="15.75" customHeight="1">
      <c r="A447" s="5">
        <v>46013.0</v>
      </c>
      <c r="B447" s="6">
        <v>9673.0</v>
      </c>
      <c r="C447" s="6">
        <v>1.859167041E9</v>
      </c>
      <c r="D447" s="6">
        <v>3783379.0</v>
      </c>
      <c r="E447" s="6" t="s">
        <v>736</v>
      </c>
      <c r="F447" s="6" t="s">
        <v>737</v>
      </c>
      <c r="G447" s="6">
        <v>9.53502388E9</v>
      </c>
      <c r="H447" s="6">
        <v>2.0005539E7</v>
      </c>
      <c r="I447" s="6" t="s">
        <v>520</v>
      </c>
      <c r="J447" s="6" t="s">
        <v>21</v>
      </c>
      <c r="K447" s="6" t="s">
        <v>22</v>
      </c>
      <c r="L447" s="6">
        <v>97.0</v>
      </c>
      <c r="M447" s="5">
        <v>46013.0</v>
      </c>
      <c r="N447" s="6" t="s">
        <v>23</v>
      </c>
      <c r="O447" s="6" t="str">
        <f>SUMIFS([1]order_sku_sales_bb2_report!P:P,[1]order_sku_sales_bb2_report!H:H,C28220,[1]order_sku_sales_bb2_report!J:J,H28220)</f>
        <v>#ERROR!</v>
      </c>
      <c r="P447" s="6" t="str">
        <f>SUMIFS([1]order_sku_sales_bb2_report!O:O,[1]order_sku_sales_bb2_report!H:H,C28220,[1]order_sku_sales_bb2_report!J:J,H28220)</f>
        <v>#ERROR!</v>
      </c>
      <c r="Q447" s="6" t="str">
        <f t="shared" si="1"/>
        <v>22-12-2025</v>
      </c>
      <c r="R447" s="6" t="str">
        <f>IFERROR( VLOOKUP(C28220,[1]expressOrderReport!$S:$AZ,34,0),0)</f>
        <v>#ERROR!</v>
      </c>
      <c r="S447" s="6" t="str">
        <f>ARRAY_CONSTRAIN(ARRAYFORMULA(_xludf.XLOOKUP(D28220,[1]order_Report_SA_ID_BB2.0!V:V,[1]order_Report_SA_ID_BB2.0!AM:AM,"")), 1, 1)</f>
        <v>#ERROR!</v>
      </c>
      <c r="T447" s="6" t="str">
        <f t="shared" si="2"/>
        <v>Dec'25</v>
      </c>
    </row>
    <row r="448" ht="15.75" customHeight="1">
      <c r="A448" s="5">
        <v>46013.0</v>
      </c>
      <c r="B448" s="6">
        <v>7545.0</v>
      </c>
      <c r="C448" s="6">
        <v>1.859167045E9</v>
      </c>
      <c r="D448" s="6">
        <v>1.6491908E7</v>
      </c>
      <c r="E448" s="6" t="s">
        <v>739</v>
      </c>
      <c r="F448" s="6" t="s">
        <v>740</v>
      </c>
      <c r="G448" s="6">
        <v>9.481606716E9</v>
      </c>
      <c r="H448" s="6">
        <v>4.0149833E7</v>
      </c>
      <c r="I448" s="6" t="s">
        <v>40</v>
      </c>
      <c r="J448" s="6" t="s">
        <v>21</v>
      </c>
      <c r="K448" s="6" t="s">
        <v>22</v>
      </c>
      <c r="L448" s="6">
        <v>83.8</v>
      </c>
      <c r="M448" s="5">
        <v>46013.0</v>
      </c>
      <c r="N448" s="6" t="s">
        <v>23</v>
      </c>
      <c r="O448" s="6" t="str">
        <f>SUMIFS([1]order_sku_sales_bb2_report!P:P,[1]order_sku_sales_bb2_report!H:H,C28221,[1]order_sku_sales_bb2_report!J:J,H28221)</f>
        <v>#ERROR!</v>
      </c>
      <c r="P448" s="6" t="str">
        <f>SUMIFS([1]order_sku_sales_bb2_report!O:O,[1]order_sku_sales_bb2_report!H:H,C28221,[1]order_sku_sales_bb2_report!J:J,H28221)</f>
        <v>#ERROR!</v>
      </c>
      <c r="Q448" s="6" t="str">
        <f t="shared" si="1"/>
        <v>22-12-2025</v>
      </c>
      <c r="R448" s="6" t="str">
        <f>IFERROR( VLOOKUP(C28221,[1]expressOrderReport!$S:$AZ,34,0),0)</f>
        <v>#ERROR!</v>
      </c>
      <c r="S448" s="6" t="str">
        <f>ARRAY_CONSTRAIN(ARRAYFORMULA(_xludf.XLOOKUP(D28221,[1]order_Report_SA_ID_BB2.0!V:V,[1]order_Report_SA_ID_BB2.0!AM:AM,"")), 1, 1)</f>
        <v>#ERROR!</v>
      </c>
      <c r="T448" s="6" t="str">
        <f t="shared" si="2"/>
        <v>Dec'25</v>
      </c>
    </row>
    <row r="449" ht="15.75" customHeight="1">
      <c r="A449" s="5">
        <v>46013.0</v>
      </c>
      <c r="B449" s="6">
        <v>7546.0</v>
      </c>
      <c r="C449" s="6">
        <v>1.859167045E9</v>
      </c>
      <c r="D449" s="6">
        <v>1.6491908E7</v>
      </c>
      <c r="E449" s="6" t="s">
        <v>739</v>
      </c>
      <c r="F449" s="6" t="s">
        <v>740</v>
      </c>
      <c r="G449" s="6">
        <v>9.481606716E9</v>
      </c>
      <c r="H449" s="6">
        <v>4.0148717E7</v>
      </c>
      <c r="I449" s="6" t="s">
        <v>226</v>
      </c>
      <c r="J449" s="6" t="s">
        <v>21</v>
      </c>
      <c r="K449" s="6" t="s">
        <v>22</v>
      </c>
      <c r="L449" s="6">
        <v>83.8</v>
      </c>
      <c r="M449" s="5">
        <v>46013.0</v>
      </c>
      <c r="N449" s="6" t="s">
        <v>23</v>
      </c>
      <c r="O449" s="6" t="str">
        <f>SUMIFS([1]order_sku_sales_bb2_report!P:P,[1]order_sku_sales_bb2_report!H:H,C28222,[1]order_sku_sales_bb2_report!J:J,H28222)</f>
        <v>#ERROR!</v>
      </c>
      <c r="P449" s="6" t="str">
        <f>SUMIFS([1]order_sku_sales_bb2_report!O:O,[1]order_sku_sales_bb2_report!H:H,C28222,[1]order_sku_sales_bb2_report!J:J,H28222)</f>
        <v>#ERROR!</v>
      </c>
      <c r="Q449" s="6" t="str">
        <f t="shared" si="1"/>
        <v>22-12-2025</v>
      </c>
      <c r="R449" s="6" t="str">
        <f>IFERROR( VLOOKUP(C28222,[1]expressOrderReport!$S:$AZ,34,0),0)</f>
        <v>#ERROR!</v>
      </c>
      <c r="S449" s="6" t="str">
        <f>ARRAY_CONSTRAIN(ARRAYFORMULA(_xludf.XLOOKUP(D28222,[1]order_Report_SA_ID_BB2.0!V:V,[1]order_Report_SA_ID_BB2.0!AM:AM,"")), 1, 1)</f>
        <v>#ERROR!</v>
      </c>
      <c r="T449" s="6" t="str">
        <f t="shared" si="2"/>
        <v>Dec'25</v>
      </c>
    </row>
    <row r="450" ht="15.75" customHeight="1">
      <c r="A450" s="5">
        <v>46013.0</v>
      </c>
      <c r="B450" s="6">
        <v>7547.0</v>
      </c>
      <c r="C450" s="6">
        <v>1.859167045E9</v>
      </c>
      <c r="D450" s="6">
        <v>1.6491908E7</v>
      </c>
      <c r="E450" s="6" t="s">
        <v>739</v>
      </c>
      <c r="F450" s="6" t="s">
        <v>740</v>
      </c>
      <c r="G450" s="6">
        <v>9.481606716E9</v>
      </c>
      <c r="H450" s="6">
        <v>1.0000103E7</v>
      </c>
      <c r="I450" s="6" t="s">
        <v>741</v>
      </c>
      <c r="J450" s="6" t="s">
        <v>21</v>
      </c>
      <c r="K450" s="6" t="s">
        <v>22</v>
      </c>
      <c r="L450" s="6">
        <v>83.8</v>
      </c>
      <c r="M450" s="5">
        <v>46013.0</v>
      </c>
      <c r="N450" s="6" t="s">
        <v>23</v>
      </c>
      <c r="O450" s="6" t="str">
        <f>SUMIFS([1]order_sku_sales_bb2_report!P:P,[1]order_sku_sales_bb2_report!H:H,C28223,[1]order_sku_sales_bb2_report!J:J,H28223)</f>
        <v>#ERROR!</v>
      </c>
      <c r="P450" s="6" t="str">
        <f>SUMIFS([1]order_sku_sales_bb2_report!O:O,[1]order_sku_sales_bb2_report!H:H,C28223,[1]order_sku_sales_bb2_report!J:J,H28223)</f>
        <v>#ERROR!</v>
      </c>
      <c r="Q450" s="6" t="str">
        <f t="shared" si="1"/>
        <v>22-12-2025</v>
      </c>
      <c r="R450" s="6" t="str">
        <f>IFERROR( VLOOKUP(C28223,[1]expressOrderReport!$S:$AZ,34,0),0)</f>
        <v>#ERROR!</v>
      </c>
      <c r="S450" s="6" t="str">
        <f>ARRAY_CONSTRAIN(ARRAYFORMULA(_xludf.XLOOKUP(D28223,[1]order_Report_SA_ID_BB2.0!V:V,[1]order_Report_SA_ID_BB2.0!AM:AM,"")), 1, 1)</f>
        <v>#ERROR!</v>
      </c>
      <c r="T450" s="6" t="str">
        <f t="shared" si="2"/>
        <v>Dec'25</v>
      </c>
    </row>
    <row r="451" ht="15.75" customHeight="1">
      <c r="A451" s="5">
        <v>46013.0</v>
      </c>
      <c r="B451" s="6">
        <v>7551.0</v>
      </c>
      <c r="C451" s="6">
        <v>1.859166342E9</v>
      </c>
      <c r="D451" s="6">
        <v>4914884.0</v>
      </c>
      <c r="E451" s="6" t="s">
        <v>742</v>
      </c>
      <c r="F451" s="6" t="s">
        <v>743</v>
      </c>
      <c r="G451" s="6">
        <v>9.886733633E9</v>
      </c>
      <c r="H451" s="6">
        <v>4.0149833E7</v>
      </c>
      <c r="I451" s="6" t="s">
        <v>40</v>
      </c>
      <c r="J451" s="6" t="s">
        <v>21</v>
      </c>
      <c r="K451" s="6" t="s">
        <v>22</v>
      </c>
      <c r="L451" s="6">
        <v>136.0</v>
      </c>
      <c r="M451" s="5">
        <v>46013.0</v>
      </c>
      <c r="N451" s="6" t="s">
        <v>23</v>
      </c>
      <c r="O451" s="6" t="str">
        <f>SUMIFS([1]order_sku_sales_bb2_report!P:P,[1]order_sku_sales_bb2_report!H:H,C28224,[1]order_sku_sales_bb2_report!J:J,H28224)</f>
        <v>#ERROR!</v>
      </c>
      <c r="P451" s="6" t="str">
        <f>SUMIFS([1]order_sku_sales_bb2_report!O:O,[1]order_sku_sales_bb2_report!H:H,C28224,[1]order_sku_sales_bb2_report!J:J,H28224)</f>
        <v>#ERROR!</v>
      </c>
      <c r="Q451" s="6" t="str">
        <f t="shared" si="1"/>
        <v>22-12-2025</v>
      </c>
      <c r="R451" s="6" t="str">
        <f>IFERROR( VLOOKUP(C28224,[1]expressOrderReport!$S:$AZ,34,0),0)</f>
        <v>#ERROR!</v>
      </c>
      <c r="S451" s="6" t="str">
        <f>ARRAY_CONSTRAIN(ARRAYFORMULA(_xludf.XLOOKUP(D28224,[1]order_Report_SA_ID_BB2.0!V:V,[1]order_Report_SA_ID_BB2.0!AM:AM,"")), 1, 1)</f>
        <v>#ERROR!</v>
      </c>
      <c r="T451" s="6" t="str">
        <f t="shared" si="2"/>
        <v>Dec'25</v>
      </c>
    </row>
    <row r="452" ht="15.75" customHeight="1">
      <c r="A452" s="5">
        <v>46013.0</v>
      </c>
      <c r="B452" s="6">
        <v>7552.0</v>
      </c>
      <c r="C452" s="6">
        <v>1.859166342E9</v>
      </c>
      <c r="D452" s="6">
        <v>4914884.0</v>
      </c>
      <c r="E452" s="6" t="s">
        <v>742</v>
      </c>
      <c r="F452" s="6" t="s">
        <v>743</v>
      </c>
      <c r="G452" s="6">
        <v>9.886733633E9</v>
      </c>
      <c r="H452" s="6">
        <v>4.014983E7</v>
      </c>
      <c r="I452" s="6" t="s">
        <v>30</v>
      </c>
      <c r="J452" s="6" t="s">
        <v>21</v>
      </c>
      <c r="K452" s="6" t="s">
        <v>22</v>
      </c>
      <c r="L452" s="6">
        <v>136.0</v>
      </c>
      <c r="M452" s="5">
        <v>46013.0</v>
      </c>
      <c r="N452" s="6" t="s">
        <v>23</v>
      </c>
      <c r="O452" s="6" t="str">
        <f>SUMIFS([1]order_sku_sales_bb2_report!P:P,[1]order_sku_sales_bb2_report!H:H,C28225,[1]order_sku_sales_bb2_report!J:J,H28225)</f>
        <v>#ERROR!</v>
      </c>
      <c r="P452" s="6" t="str">
        <f>SUMIFS([1]order_sku_sales_bb2_report!O:O,[1]order_sku_sales_bb2_report!H:H,C28225,[1]order_sku_sales_bb2_report!J:J,H28225)</f>
        <v>#ERROR!</v>
      </c>
      <c r="Q452" s="6" t="str">
        <f t="shared" si="1"/>
        <v>22-12-2025</v>
      </c>
      <c r="R452" s="6" t="str">
        <f>IFERROR( VLOOKUP(C28225,[1]expressOrderReport!$S:$AZ,34,0),0)</f>
        <v>#ERROR!</v>
      </c>
      <c r="S452" s="6" t="str">
        <f>ARRAY_CONSTRAIN(ARRAYFORMULA(_xludf.XLOOKUP(D28225,[1]order_Report_SA_ID_BB2.0!V:V,[1]order_Report_SA_ID_BB2.0!AM:AM,"")), 1, 1)</f>
        <v>#ERROR!</v>
      </c>
      <c r="T452" s="6" t="str">
        <f t="shared" si="2"/>
        <v>Dec'25</v>
      </c>
    </row>
    <row r="453" ht="15.75" customHeight="1">
      <c r="A453" s="5">
        <v>46013.0</v>
      </c>
      <c r="B453" s="6">
        <v>7553.0</v>
      </c>
      <c r="C453" s="6">
        <v>1.859166352E9</v>
      </c>
      <c r="D453" s="6">
        <v>9494750.0</v>
      </c>
      <c r="E453" s="6" t="s">
        <v>744</v>
      </c>
      <c r="F453" s="6" t="s">
        <v>745</v>
      </c>
      <c r="G453" s="6">
        <v>9.500191764E9</v>
      </c>
      <c r="H453" s="6">
        <v>4.0149832E7</v>
      </c>
      <c r="I453" s="6" t="s">
        <v>26</v>
      </c>
      <c r="J453" s="6" t="s">
        <v>21</v>
      </c>
      <c r="K453" s="6" t="s">
        <v>22</v>
      </c>
      <c r="L453" s="6">
        <v>24.0</v>
      </c>
      <c r="M453" s="5">
        <v>46013.0</v>
      </c>
      <c r="N453" s="6" t="s">
        <v>23</v>
      </c>
      <c r="O453" s="6" t="str">
        <f>SUMIFS([1]order_sku_sales_bb2_report!P:P,[1]order_sku_sales_bb2_report!H:H,C28226,[1]order_sku_sales_bb2_report!J:J,H28226)</f>
        <v>#ERROR!</v>
      </c>
      <c r="P453" s="6" t="str">
        <f>SUMIFS([1]order_sku_sales_bb2_report!O:O,[1]order_sku_sales_bb2_report!H:H,C28226,[1]order_sku_sales_bb2_report!J:J,H28226)</f>
        <v>#ERROR!</v>
      </c>
      <c r="Q453" s="6" t="str">
        <f t="shared" si="1"/>
        <v>22-12-2025</v>
      </c>
      <c r="R453" s="6" t="str">
        <f>IFERROR( VLOOKUP(C28226,[1]expressOrderReport!$S:$AZ,34,0),0)</f>
        <v>#ERROR!</v>
      </c>
      <c r="S453" s="6" t="str">
        <f>ARRAY_CONSTRAIN(ARRAYFORMULA(_xludf.XLOOKUP(D28226,[1]order_Report_SA_ID_BB2.0!V:V,[1]order_Report_SA_ID_BB2.0!AM:AM,"")), 1, 1)</f>
        <v>#ERROR!</v>
      </c>
      <c r="T453" s="6" t="str">
        <f t="shared" si="2"/>
        <v>Dec'25</v>
      </c>
    </row>
    <row r="454" ht="15.75" customHeight="1">
      <c r="A454" s="5">
        <v>46013.0</v>
      </c>
      <c r="B454" s="6">
        <v>7577.0</v>
      </c>
      <c r="C454" s="6">
        <v>1.859166358E9</v>
      </c>
      <c r="D454" s="6">
        <v>942082.0</v>
      </c>
      <c r="E454" s="6" t="s">
        <v>746</v>
      </c>
      <c r="F454" s="6" t="s">
        <v>747</v>
      </c>
      <c r="G454" s="6">
        <v>9.6202068E9</v>
      </c>
      <c r="H454" s="6">
        <v>4.0149833E7</v>
      </c>
      <c r="I454" s="6" t="s">
        <v>40</v>
      </c>
      <c r="J454" s="6" t="s">
        <v>21</v>
      </c>
      <c r="K454" s="6" t="s">
        <v>22</v>
      </c>
      <c r="L454" s="6">
        <v>54.0</v>
      </c>
      <c r="M454" s="5">
        <v>46013.0</v>
      </c>
      <c r="N454" s="6" t="s">
        <v>23</v>
      </c>
      <c r="O454" s="6" t="str">
        <f>SUMIFS([1]order_sku_sales_bb2_report!P:P,[1]order_sku_sales_bb2_report!H:H,C28227,[1]order_sku_sales_bb2_report!J:J,H28227)</f>
        <v>#ERROR!</v>
      </c>
      <c r="P454" s="6" t="str">
        <f>SUMIFS([1]order_sku_sales_bb2_report!O:O,[1]order_sku_sales_bb2_report!H:H,C28227,[1]order_sku_sales_bb2_report!J:J,H28227)</f>
        <v>#ERROR!</v>
      </c>
      <c r="Q454" s="6" t="str">
        <f t="shared" si="1"/>
        <v>22-12-2025</v>
      </c>
      <c r="R454" s="6" t="str">
        <f>IFERROR( VLOOKUP(C28227,[1]expressOrderReport!$S:$AZ,34,0),0)</f>
        <v>#ERROR!</v>
      </c>
      <c r="S454" s="6" t="str">
        <f>ARRAY_CONSTRAIN(ARRAYFORMULA(_xludf.XLOOKUP(D28227,[1]order_Report_SA_ID_BB2.0!V:V,[1]order_Report_SA_ID_BB2.0!AM:AM,"")), 1, 1)</f>
        <v>#ERROR!</v>
      </c>
      <c r="T454" s="6" t="str">
        <f t="shared" si="2"/>
        <v>Dec'25</v>
      </c>
    </row>
    <row r="455" ht="15.75" customHeight="1">
      <c r="A455" s="5">
        <v>46013.0</v>
      </c>
      <c r="B455" s="6">
        <v>10756.0</v>
      </c>
      <c r="C455" s="6">
        <v>1.859167388E9</v>
      </c>
      <c r="D455" s="6">
        <v>4.3244631E7</v>
      </c>
      <c r="E455" s="6" t="s">
        <v>625</v>
      </c>
      <c r="F455" s="6" t="s">
        <v>748</v>
      </c>
      <c r="G455" s="6">
        <v>9.742740324E9</v>
      </c>
      <c r="H455" s="6">
        <v>4.0158264E7</v>
      </c>
      <c r="I455" s="6" t="s">
        <v>26</v>
      </c>
      <c r="J455" s="6" t="s">
        <v>21</v>
      </c>
      <c r="K455" s="6" t="s">
        <v>22</v>
      </c>
      <c r="L455" s="6">
        <v>46.0</v>
      </c>
      <c r="M455" s="5">
        <v>46013.0</v>
      </c>
      <c r="N455" s="6" t="s">
        <v>23</v>
      </c>
      <c r="O455" s="6" t="str">
        <f>SUMIFS([1]order_sku_sales_bb2_report!P:P,[1]order_sku_sales_bb2_report!H:H,C28228,[1]order_sku_sales_bb2_report!J:J,H28228)</f>
        <v>#ERROR!</v>
      </c>
      <c r="P455" s="6" t="str">
        <f>SUMIFS([1]order_sku_sales_bb2_report!O:O,[1]order_sku_sales_bb2_report!H:H,C28228,[1]order_sku_sales_bb2_report!J:J,H28228)</f>
        <v>#ERROR!</v>
      </c>
      <c r="Q455" s="6" t="str">
        <f t="shared" si="1"/>
        <v>22-12-2025</v>
      </c>
      <c r="R455" s="6" t="str">
        <f>IFERROR( VLOOKUP(C28228,[1]expressOrderReport!$S:$AZ,34,0),0)</f>
        <v>#ERROR!</v>
      </c>
      <c r="S455" s="6" t="str">
        <f>ARRAY_CONSTRAIN(ARRAYFORMULA(_xludf.XLOOKUP(D28228,[1]order_Report_SA_ID_BB2.0!V:V,[1]order_Report_SA_ID_BB2.0!AM:AM,"")), 1, 1)</f>
        <v>#ERROR!</v>
      </c>
      <c r="T455" s="6" t="str">
        <f t="shared" si="2"/>
        <v>Dec'25</v>
      </c>
    </row>
    <row r="456" ht="15.75" customHeight="1">
      <c r="A456" s="5">
        <v>46013.0</v>
      </c>
      <c r="B456" s="6">
        <v>7601.0</v>
      </c>
      <c r="C456" s="6">
        <v>1.859167397E9</v>
      </c>
      <c r="D456" s="6">
        <v>2.0380519E7</v>
      </c>
      <c r="E456" s="6" t="s">
        <v>749</v>
      </c>
      <c r="F456" s="6" t="s">
        <v>750</v>
      </c>
      <c r="G456" s="6">
        <v>9.900416601E9</v>
      </c>
      <c r="H456" s="6">
        <v>4.0149834E7</v>
      </c>
      <c r="I456" s="6" t="s">
        <v>40</v>
      </c>
      <c r="J456" s="6" t="s">
        <v>21</v>
      </c>
      <c r="K456" s="6" t="s">
        <v>22</v>
      </c>
      <c r="L456" s="6">
        <v>132.0</v>
      </c>
      <c r="M456" s="5">
        <v>46013.0</v>
      </c>
      <c r="N456" s="6" t="s">
        <v>23</v>
      </c>
      <c r="O456" s="6" t="str">
        <f>SUMIFS([1]order_sku_sales_bb2_report!P:P,[1]order_sku_sales_bb2_report!H:H,C28229,[1]order_sku_sales_bb2_report!J:J,H28229)</f>
        <v>#ERROR!</v>
      </c>
      <c r="P456" s="6" t="str">
        <f>SUMIFS([1]order_sku_sales_bb2_report!O:O,[1]order_sku_sales_bb2_report!H:H,C28229,[1]order_sku_sales_bb2_report!J:J,H28229)</f>
        <v>#ERROR!</v>
      </c>
      <c r="Q456" s="6" t="str">
        <f t="shared" si="1"/>
        <v>22-12-2025</v>
      </c>
      <c r="R456" s="6" t="str">
        <f>IFERROR( VLOOKUP(C28229,[1]expressOrderReport!$S:$AZ,34,0),0)</f>
        <v>#ERROR!</v>
      </c>
      <c r="S456" s="6" t="str">
        <f>ARRAY_CONSTRAIN(ARRAYFORMULA(_xludf.XLOOKUP(D28229,[1]order_Report_SA_ID_BB2.0!V:V,[1]order_Report_SA_ID_BB2.0!AM:AM,"")), 1, 1)</f>
        <v>#ERROR!</v>
      </c>
      <c r="T456" s="6" t="str">
        <f t="shared" si="2"/>
        <v>Dec'25</v>
      </c>
    </row>
    <row r="457" ht="15.75" customHeight="1">
      <c r="A457" s="5">
        <v>46013.0</v>
      </c>
      <c r="B457" s="6">
        <v>7602.0</v>
      </c>
      <c r="C457" s="6">
        <v>1.859167397E9</v>
      </c>
      <c r="D457" s="6">
        <v>2.0380519E7</v>
      </c>
      <c r="E457" s="6" t="s">
        <v>749</v>
      </c>
      <c r="F457" s="6" t="s">
        <v>750</v>
      </c>
      <c r="G457" s="6">
        <v>9.900416601E9</v>
      </c>
      <c r="H457" s="6">
        <v>4.014983E7</v>
      </c>
      <c r="I457" s="6" t="s">
        <v>30</v>
      </c>
      <c r="J457" s="6" t="s">
        <v>21</v>
      </c>
      <c r="K457" s="6" t="s">
        <v>22</v>
      </c>
      <c r="L457" s="6">
        <v>132.0</v>
      </c>
      <c r="M457" s="5">
        <v>46013.0</v>
      </c>
      <c r="N457" s="6" t="s">
        <v>23</v>
      </c>
      <c r="O457" s="6" t="str">
        <f>SUMIFS([1]order_sku_sales_bb2_report!P:P,[1]order_sku_sales_bb2_report!H:H,C28230,[1]order_sku_sales_bb2_report!J:J,H28230)</f>
        <v>#ERROR!</v>
      </c>
      <c r="P457" s="6" t="str">
        <f>SUMIFS([1]order_sku_sales_bb2_report!O:O,[1]order_sku_sales_bb2_report!H:H,C28230,[1]order_sku_sales_bb2_report!J:J,H28230)</f>
        <v>#ERROR!</v>
      </c>
      <c r="Q457" s="6" t="str">
        <f t="shared" si="1"/>
        <v>22-12-2025</v>
      </c>
      <c r="R457" s="6" t="str">
        <f>IFERROR( VLOOKUP(C28230,[1]expressOrderReport!$S:$AZ,34,0),0)</f>
        <v>#ERROR!</v>
      </c>
      <c r="S457" s="6" t="str">
        <f>ARRAY_CONSTRAIN(ARRAYFORMULA(_xludf.XLOOKUP(D28230,[1]order_Report_SA_ID_BB2.0!V:V,[1]order_Report_SA_ID_BB2.0!AM:AM,"")), 1, 1)</f>
        <v>#ERROR!</v>
      </c>
      <c r="T457" s="6" t="str">
        <f t="shared" si="2"/>
        <v>Dec'25</v>
      </c>
    </row>
    <row r="458" ht="15.75" customHeight="1">
      <c r="A458" s="5">
        <v>46013.0</v>
      </c>
      <c r="B458" s="6">
        <v>7640.0</v>
      </c>
      <c r="C458" s="6">
        <v>1.859167401E9</v>
      </c>
      <c r="D458" s="6">
        <v>1102026.0</v>
      </c>
      <c r="E458" s="6" t="s">
        <v>751</v>
      </c>
      <c r="F458" s="6" t="s">
        <v>752</v>
      </c>
      <c r="G458" s="6">
        <v>9.900094042E9</v>
      </c>
      <c r="H458" s="6">
        <v>4.0149833E7</v>
      </c>
      <c r="I458" s="6" t="s">
        <v>40</v>
      </c>
      <c r="J458" s="6" t="s">
        <v>21</v>
      </c>
      <c r="K458" s="6" t="s">
        <v>22</v>
      </c>
      <c r="L458" s="6">
        <v>27.0</v>
      </c>
      <c r="M458" s="5">
        <v>46013.0</v>
      </c>
      <c r="N458" s="6" t="s">
        <v>23</v>
      </c>
      <c r="O458" s="6" t="str">
        <f>SUMIFS([1]order_sku_sales_bb2_report!P:P,[1]order_sku_sales_bb2_report!H:H,C28231,[1]order_sku_sales_bb2_report!J:J,H28231)</f>
        <v>#ERROR!</v>
      </c>
      <c r="P458" s="6" t="str">
        <f>SUMIFS([1]order_sku_sales_bb2_report!O:O,[1]order_sku_sales_bb2_report!H:H,C28231,[1]order_sku_sales_bb2_report!J:J,H28231)</f>
        <v>#ERROR!</v>
      </c>
      <c r="Q458" s="6" t="str">
        <f t="shared" si="1"/>
        <v>22-12-2025</v>
      </c>
      <c r="R458" s="6" t="str">
        <f>IFERROR( VLOOKUP(C28231,[1]expressOrderReport!$S:$AZ,34,0),0)</f>
        <v>#ERROR!</v>
      </c>
      <c r="S458" s="6" t="str">
        <f>ARRAY_CONSTRAIN(ARRAYFORMULA(_xludf.XLOOKUP(D28231,[1]order_Report_SA_ID_BB2.0!V:V,[1]order_Report_SA_ID_BB2.0!AM:AM,"")), 1, 1)</f>
        <v>#ERROR!</v>
      </c>
      <c r="T458" s="6" t="str">
        <f t="shared" si="2"/>
        <v>Dec'25</v>
      </c>
    </row>
    <row r="459" ht="15.75" customHeight="1">
      <c r="A459" s="5">
        <v>46013.0</v>
      </c>
      <c r="B459" s="6">
        <v>7681.0</v>
      </c>
      <c r="C459" s="6">
        <v>1.859167411E9</v>
      </c>
      <c r="D459" s="6">
        <v>4.0403893E7</v>
      </c>
      <c r="E459" s="6" t="s">
        <v>753</v>
      </c>
      <c r="F459" s="6" t="s">
        <v>754</v>
      </c>
      <c r="G459" s="6">
        <v>9.456590005E9</v>
      </c>
      <c r="H459" s="6">
        <v>4.0158264E7</v>
      </c>
      <c r="I459" s="6" t="s">
        <v>26</v>
      </c>
      <c r="J459" s="6" t="s">
        <v>21</v>
      </c>
      <c r="K459" s="6" t="s">
        <v>22</v>
      </c>
      <c r="L459" s="6">
        <v>99.6</v>
      </c>
      <c r="M459" s="5">
        <v>46013.0</v>
      </c>
      <c r="N459" s="6" t="s">
        <v>23</v>
      </c>
      <c r="O459" s="6" t="str">
        <f>SUMIFS([1]order_sku_sales_bb2_report!P:P,[1]order_sku_sales_bb2_report!H:H,C28232,[1]order_sku_sales_bb2_report!J:J,H28232)</f>
        <v>#ERROR!</v>
      </c>
      <c r="P459" s="6" t="str">
        <f>SUMIFS([1]order_sku_sales_bb2_report!O:O,[1]order_sku_sales_bb2_report!H:H,C28232,[1]order_sku_sales_bb2_report!J:J,H28232)</f>
        <v>#ERROR!</v>
      </c>
      <c r="Q459" s="6" t="str">
        <f t="shared" si="1"/>
        <v>22-12-2025</v>
      </c>
      <c r="R459" s="6" t="str">
        <f>IFERROR( VLOOKUP(C28232,[1]expressOrderReport!$S:$AZ,34,0),0)</f>
        <v>#ERROR!</v>
      </c>
      <c r="S459" s="6" t="str">
        <f>ARRAY_CONSTRAIN(ARRAYFORMULA(_xludf.XLOOKUP(D28232,[1]order_Report_SA_ID_BB2.0!V:V,[1]order_Report_SA_ID_BB2.0!AM:AM,"")), 1, 1)</f>
        <v>#ERROR!</v>
      </c>
      <c r="T459" s="6" t="str">
        <f t="shared" si="2"/>
        <v>Dec'25</v>
      </c>
    </row>
    <row r="460" ht="15.75" customHeight="1">
      <c r="A460" s="5">
        <v>46013.0</v>
      </c>
      <c r="B460" s="6">
        <v>7682.0</v>
      </c>
      <c r="C460" s="6">
        <v>1.859167411E9</v>
      </c>
      <c r="D460" s="6">
        <v>4.0403893E7</v>
      </c>
      <c r="E460" s="6" t="s">
        <v>753</v>
      </c>
      <c r="F460" s="6" t="s">
        <v>754</v>
      </c>
      <c r="G460" s="6">
        <v>9.456590005E9</v>
      </c>
      <c r="H460" s="6">
        <v>4.0057966E7</v>
      </c>
      <c r="I460" s="6" t="s">
        <v>173</v>
      </c>
      <c r="J460" s="6" t="s">
        <v>21</v>
      </c>
      <c r="K460" s="6" t="s">
        <v>22</v>
      </c>
      <c r="L460" s="6">
        <v>99.6</v>
      </c>
      <c r="M460" s="5">
        <v>46013.0</v>
      </c>
      <c r="N460" s="6" t="s">
        <v>23</v>
      </c>
      <c r="O460" s="6" t="str">
        <f>SUMIFS([1]order_sku_sales_bb2_report!P:P,[1]order_sku_sales_bb2_report!H:H,C28233,[1]order_sku_sales_bb2_report!J:J,H28233)</f>
        <v>#ERROR!</v>
      </c>
      <c r="P460" s="6" t="str">
        <f>SUMIFS([1]order_sku_sales_bb2_report!O:O,[1]order_sku_sales_bb2_report!H:H,C28233,[1]order_sku_sales_bb2_report!J:J,H28233)</f>
        <v>#ERROR!</v>
      </c>
      <c r="Q460" s="6" t="str">
        <f t="shared" si="1"/>
        <v>22-12-2025</v>
      </c>
      <c r="R460" s="6" t="str">
        <f>IFERROR( VLOOKUP(C28233,[1]expressOrderReport!$S:$AZ,34,0),0)</f>
        <v>#ERROR!</v>
      </c>
      <c r="S460" s="6" t="str">
        <f>ARRAY_CONSTRAIN(ARRAYFORMULA(_xludf.XLOOKUP(D28233,[1]order_Report_SA_ID_BB2.0!V:V,[1]order_Report_SA_ID_BB2.0!AM:AM,"")), 1, 1)</f>
        <v>#ERROR!</v>
      </c>
      <c r="T460" s="6" t="str">
        <f t="shared" si="2"/>
        <v>Dec'25</v>
      </c>
    </row>
    <row r="461" ht="15.75" customHeight="1">
      <c r="A461" s="5">
        <v>46013.0</v>
      </c>
      <c r="B461" s="6">
        <v>7689.0</v>
      </c>
      <c r="C461" s="6">
        <v>1.859167421E9</v>
      </c>
      <c r="D461" s="6">
        <v>6.3083606E7</v>
      </c>
      <c r="E461" s="6" t="s">
        <v>625</v>
      </c>
      <c r="F461" s="6" t="s">
        <v>755</v>
      </c>
      <c r="G461" s="6">
        <v>8.550885009E9</v>
      </c>
      <c r="H461" s="6">
        <v>4.0197868E7</v>
      </c>
      <c r="I461" s="6" t="s">
        <v>756</v>
      </c>
      <c r="J461" s="6" t="s">
        <v>21</v>
      </c>
      <c r="K461" s="6" t="s">
        <v>22</v>
      </c>
      <c r="L461" s="6">
        <v>49.0</v>
      </c>
      <c r="M461" s="5">
        <v>46013.0</v>
      </c>
      <c r="N461" s="6" t="s">
        <v>54</v>
      </c>
      <c r="O461" s="6" t="str">
        <f>SUMIFS([1]order_sku_sales_bb2_report!P:P,[1]order_sku_sales_bb2_report!H:H,C28234,[1]order_sku_sales_bb2_report!J:J,H28234)</f>
        <v>#ERROR!</v>
      </c>
      <c r="P461" s="6" t="str">
        <f>SUMIFS([1]order_sku_sales_bb2_report!O:O,[1]order_sku_sales_bb2_report!H:H,C28234,[1]order_sku_sales_bb2_report!J:J,H28234)</f>
        <v>#ERROR!</v>
      </c>
      <c r="Q461" s="6" t="str">
        <f t="shared" si="1"/>
        <v>22-12-2025</v>
      </c>
      <c r="R461" s="6" t="str">
        <f>IFERROR( VLOOKUP(C28234,[1]expressOrderReport!$S:$AZ,34,0),0)</f>
        <v>#ERROR!</v>
      </c>
      <c r="S461" s="6" t="str">
        <f>ARRAY_CONSTRAIN(ARRAYFORMULA(_xludf.XLOOKUP(D28234,[1]order_Report_SA_ID_BB2.0!V:V,[1]order_Report_SA_ID_BB2.0!AM:AM,"")), 1, 1)</f>
        <v>#ERROR!</v>
      </c>
      <c r="T461" s="6" t="str">
        <f t="shared" si="2"/>
        <v>Dec'25</v>
      </c>
    </row>
    <row r="462" ht="15.75" customHeight="1">
      <c r="A462" s="5">
        <v>46013.0</v>
      </c>
      <c r="B462" s="6">
        <v>7694.0</v>
      </c>
      <c r="C462" s="6">
        <v>1.859167428E9</v>
      </c>
      <c r="D462" s="6">
        <v>1.1547361E7</v>
      </c>
      <c r="E462" s="6" t="s">
        <v>757</v>
      </c>
      <c r="F462" s="6" t="s">
        <v>758</v>
      </c>
      <c r="G462" s="6">
        <v>9.886444189E9</v>
      </c>
      <c r="H462" s="6">
        <v>4.0149831E7</v>
      </c>
      <c r="I462" s="6" t="s">
        <v>65</v>
      </c>
      <c r="J462" s="6" t="s">
        <v>21</v>
      </c>
      <c r="K462" s="6" t="s">
        <v>22</v>
      </c>
      <c r="L462" s="6">
        <v>52.0</v>
      </c>
      <c r="M462" s="5">
        <v>46013.0</v>
      </c>
      <c r="N462" s="6" t="s">
        <v>23</v>
      </c>
      <c r="O462" s="6" t="str">
        <f>SUMIFS([1]order_sku_sales_bb2_report!P:P,[1]order_sku_sales_bb2_report!H:H,C28235,[1]order_sku_sales_bb2_report!J:J,H28235)</f>
        <v>#ERROR!</v>
      </c>
      <c r="P462" s="6" t="str">
        <f>SUMIFS([1]order_sku_sales_bb2_report!O:O,[1]order_sku_sales_bb2_report!H:H,C28235,[1]order_sku_sales_bb2_report!J:J,H28235)</f>
        <v>#ERROR!</v>
      </c>
      <c r="Q462" s="6" t="str">
        <f t="shared" si="1"/>
        <v>22-12-2025</v>
      </c>
      <c r="R462" s="6" t="str">
        <f>IFERROR( VLOOKUP(C28235,[1]expressOrderReport!$S:$AZ,34,0),0)</f>
        <v>#ERROR!</v>
      </c>
      <c r="S462" s="6" t="str">
        <f>ARRAY_CONSTRAIN(ARRAYFORMULA(_xludf.XLOOKUP(D28235,[1]order_Report_SA_ID_BB2.0!V:V,[1]order_Report_SA_ID_BB2.0!AM:AM,"")), 1, 1)</f>
        <v>#ERROR!</v>
      </c>
      <c r="T462" s="6" t="str">
        <f t="shared" si="2"/>
        <v>Dec'25</v>
      </c>
    </row>
    <row r="463" ht="15.75" customHeight="1">
      <c r="A463" s="5">
        <v>46013.0</v>
      </c>
      <c r="B463" s="6">
        <v>7695.0</v>
      </c>
      <c r="C463" s="6">
        <v>1.859167434E9</v>
      </c>
      <c r="D463" s="6">
        <v>1.2225765E7</v>
      </c>
      <c r="E463" s="6" t="s">
        <v>759</v>
      </c>
      <c r="F463" s="6" t="s">
        <v>760</v>
      </c>
      <c r="G463" s="6">
        <v>9.620586444E9</v>
      </c>
      <c r="H463" s="6">
        <v>4.0148715E7</v>
      </c>
      <c r="I463" s="6" t="s">
        <v>398</v>
      </c>
      <c r="J463" s="6" t="s">
        <v>21</v>
      </c>
      <c r="K463" s="6" t="s">
        <v>22</v>
      </c>
      <c r="L463" s="6">
        <v>65.0</v>
      </c>
      <c r="M463" s="5">
        <v>46013.0</v>
      </c>
      <c r="N463" s="6" t="s">
        <v>23</v>
      </c>
      <c r="O463" s="6" t="str">
        <f>SUMIFS([1]order_sku_sales_bb2_report!P:P,[1]order_sku_sales_bb2_report!H:H,C28236,[1]order_sku_sales_bb2_report!J:J,H28236)</f>
        <v>#ERROR!</v>
      </c>
      <c r="P463" s="6" t="str">
        <f>SUMIFS([1]order_sku_sales_bb2_report!O:O,[1]order_sku_sales_bb2_report!H:H,C28236,[1]order_sku_sales_bb2_report!J:J,H28236)</f>
        <v>#ERROR!</v>
      </c>
      <c r="Q463" s="6" t="str">
        <f t="shared" si="1"/>
        <v>22-12-2025</v>
      </c>
      <c r="R463" s="6" t="str">
        <f>IFERROR( VLOOKUP(C28236,[1]expressOrderReport!$S:$AZ,34,0),0)</f>
        <v>#ERROR!</v>
      </c>
      <c r="S463" s="6" t="str">
        <f>ARRAY_CONSTRAIN(ARRAYFORMULA(_xludf.XLOOKUP(D28236,[1]order_Report_SA_ID_BB2.0!V:V,[1]order_Report_SA_ID_BB2.0!AM:AM,"")), 1, 1)</f>
        <v>#ERROR!</v>
      </c>
      <c r="T463" s="6" t="str">
        <f t="shared" si="2"/>
        <v>Dec'25</v>
      </c>
    </row>
    <row r="464" ht="15.75" customHeight="1">
      <c r="A464" s="5">
        <v>46013.0</v>
      </c>
      <c r="B464" s="6">
        <v>7696.0</v>
      </c>
      <c r="C464" s="6">
        <v>1.859167434E9</v>
      </c>
      <c r="D464" s="6">
        <v>1.2225765E7</v>
      </c>
      <c r="E464" s="6" t="s">
        <v>759</v>
      </c>
      <c r="F464" s="6" t="s">
        <v>760</v>
      </c>
      <c r="G464" s="6">
        <v>9.620586444E9</v>
      </c>
      <c r="H464" s="6">
        <v>4.014983E7</v>
      </c>
      <c r="I464" s="6" t="s">
        <v>30</v>
      </c>
      <c r="J464" s="6" t="s">
        <v>21</v>
      </c>
      <c r="K464" s="6" t="s">
        <v>22</v>
      </c>
      <c r="L464" s="6">
        <v>65.0</v>
      </c>
      <c r="M464" s="5">
        <v>46013.0</v>
      </c>
      <c r="N464" s="6" t="s">
        <v>23</v>
      </c>
      <c r="O464" s="6" t="str">
        <f>SUMIFS([1]order_sku_sales_bb2_report!P:P,[1]order_sku_sales_bb2_report!H:H,C28237,[1]order_sku_sales_bb2_report!J:J,H28237)</f>
        <v>#ERROR!</v>
      </c>
      <c r="P464" s="6" t="str">
        <f>SUMIFS([1]order_sku_sales_bb2_report!O:O,[1]order_sku_sales_bb2_report!H:H,C28237,[1]order_sku_sales_bb2_report!J:J,H28237)</f>
        <v>#ERROR!</v>
      </c>
      <c r="Q464" s="6" t="str">
        <f t="shared" si="1"/>
        <v>22-12-2025</v>
      </c>
      <c r="R464" s="6" t="str">
        <f>IFERROR( VLOOKUP(C28237,[1]expressOrderReport!$S:$AZ,34,0),0)</f>
        <v>#ERROR!</v>
      </c>
      <c r="S464" s="6" t="str">
        <f>ARRAY_CONSTRAIN(ARRAYFORMULA(_xludf.XLOOKUP(D28237,[1]order_Report_SA_ID_BB2.0!V:V,[1]order_Report_SA_ID_BB2.0!AM:AM,"")), 1, 1)</f>
        <v>#ERROR!</v>
      </c>
      <c r="T464" s="6" t="str">
        <f t="shared" si="2"/>
        <v>Dec'25</v>
      </c>
    </row>
    <row r="465" ht="15.75" customHeight="1">
      <c r="A465" s="5">
        <v>46013.0</v>
      </c>
      <c r="B465" s="6">
        <v>7707.0</v>
      </c>
      <c r="C465" s="6">
        <v>1.85916744E9</v>
      </c>
      <c r="D465" s="6">
        <v>1.6766257E7</v>
      </c>
      <c r="E465" s="6" t="s">
        <v>761</v>
      </c>
      <c r="F465" s="6" t="s">
        <v>762</v>
      </c>
      <c r="G465" s="6">
        <v>9.739756799E9</v>
      </c>
      <c r="H465" s="6">
        <v>4.0047739E7</v>
      </c>
      <c r="I465" s="6" t="s">
        <v>180</v>
      </c>
      <c r="J465" s="6" t="s">
        <v>21</v>
      </c>
      <c r="K465" s="6" t="s">
        <v>27</v>
      </c>
      <c r="L465" s="6">
        <v>89.0</v>
      </c>
      <c r="M465" s="5">
        <v>46013.0</v>
      </c>
      <c r="N465" s="6" t="s">
        <v>23</v>
      </c>
      <c r="O465" s="6" t="str">
        <f>SUMIFS([1]order_sku_sales_bb2_report!P:P,[1]order_sku_sales_bb2_report!H:H,C28238,[1]order_sku_sales_bb2_report!J:J,H28238)</f>
        <v>#ERROR!</v>
      </c>
      <c r="P465" s="6" t="str">
        <f>SUMIFS([1]order_sku_sales_bb2_report!O:O,[1]order_sku_sales_bb2_report!H:H,C28238,[1]order_sku_sales_bb2_report!J:J,H28238)</f>
        <v>#ERROR!</v>
      </c>
      <c r="Q465" s="6" t="str">
        <f t="shared" si="1"/>
        <v>22-12-2025</v>
      </c>
      <c r="R465" s="6" t="str">
        <f>IFERROR( VLOOKUP(C28238,[1]expressOrderReport!$S:$AZ,34,0),0)</f>
        <v>#ERROR!</v>
      </c>
      <c r="S465" s="6" t="str">
        <f>ARRAY_CONSTRAIN(ARRAYFORMULA(_xludf.XLOOKUP(D28238,[1]order_Report_SA_ID_BB2.0!V:V,[1]order_Report_SA_ID_BB2.0!AM:AM,"")), 1, 1)</f>
        <v>#ERROR!</v>
      </c>
      <c r="T465" s="6" t="str">
        <f t="shared" si="2"/>
        <v>Dec'25</v>
      </c>
    </row>
    <row r="466" ht="15.75" customHeight="1">
      <c r="A466" s="5">
        <v>46013.0</v>
      </c>
      <c r="B466" s="6">
        <v>7708.0</v>
      </c>
      <c r="C466" s="6">
        <v>1.85916744E9</v>
      </c>
      <c r="D466" s="6">
        <v>1.6766257E7</v>
      </c>
      <c r="E466" s="6" t="s">
        <v>761</v>
      </c>
      <c r="F466" s="6" t="s">
        <v>762</v>
      </c>
      <c r="G466" s="6">
        <v>9.739756799E9</v>
      </c>
      <c r="H466" s="6">
        <v>4.014983E7</v>
      </c>
      <c r="I466" s="6" t="s">
        <v>30</v>
      </c>
      <c r="J466" s="6" t="s">
        <v>21</v>
      </c>
      <c r="K466" s="6" t="s">
        <v>27</v>
      </c>
      <c r="L466" s="6">
        <v>89.0</v>
      </c>
      <c r="M466" s="5">
        <v>46013.0</v>
      </c>
      <c r="N466" s="6" t="s">
        <v>23</v>
      </c>
      <c r="O466" s="6" t="str">
        <f>SUMIFS([1]order_sku_sales_bb2_report!P:P,[1]order_sku_sales_bb2_report!H:H,C28239,[1]order_sku_sales_bb2_report!J:J,H28239)</f>
        <v>#ERROR!</v>
      </c>
      <c r="P466" s="6" t="str">
        <f>SUMIFS([1]order_sku_sales_bb2_report!O:O,[1]order_sku_sales_bb2_report!H:H,C28239,[1]order_sku_sales_bb2_report!J:J,H28239)</f>
        <v>#ERROR!</v>
      </c>
      <c r="Q466" s="6" t="str">
        <f t="shared" si="1"/>
        <v>22-12-2025</v>
      </c>
      <c r="R466" s="6" t="str">
        <f>IFERROR( VLOOKUP(C28239,[1]expressOrderReport!$S:$AZ,34,0),0)</f>
        <v>#ERROR!</v>
      </c>
      <c r="S466" s="6" t="str">
        <f>ARRAY_CONSTRAIN(ARRAYFORMULA(_xludf.XLOOKUP(D28239,[1]order_Report_SA_ID_BB2.0!V:V,[1]order_Report_SA_ID_BB2.0!AM:AM,"")), 1, 1)</f>
        <v>#ERROR!</v>
      </c>
      <c r="T466" s="6" t="str">
        <f t="shared" si="2"/>
        <v>Dec'25</v>
      </c>
    </row>
    <row r="467" ht="15.75" customHeight="1">
      <c r="A467" s="5">
        <v>46013.0</v>
      </c>
      <c r="B467" s="6">
        <v>11276.0</v>
      </c>
      <c r="C467" s="6">
        <v>1.85916744E9</v>
      </c>
      <c r="D467" s="6">
        <v>1.6766257E7</v>
      </c>
      <c r="E467" s="6" t="s">
        <v>761</v>
      </c>
      <c r="F467" s="6" t="s">
        <v>762</v>
      </c>
      <c r="G467" s="6">
        <v>9.739756799E9</v>
      </c>
      <c r="H467" s="6">
        <v>4.0149833E7</v>
      </c>
      <c r="I467" s="6" t="s">
        <v>40</v>
      </c>
      <c r="J467" s="6" t="s">
        <v>21</v>
      </c>
      <c r="K467" s="6" t="s">
        <v>27</v>
      </c>
      <c r="L467" s="6">
        <v>89.0</v>
      </c>
      <c r="M467" s="5">
        <v>46013.0</v>
      </c>
      <c r="N467" s="6" t="s">
        <v>23</v>
      </c>
      <c r="O467" s="6" t="str">
        <f>SUMIFS([1]order_sku_sales_bb2_report!P:P,[1]order_sku_sales_bb2_report!H:H,C28240,[1]order_sku_sales_bb2_report!J:J,H28240)</f>
        <v>#ERROR!</v>
      </c>
      <c r="P467" s="6" t="str">
        <f>SUMIFS([1]order_sku_sales_bb2_report!O:O,[1]order_sku_sales_bb2_report!H:H,C28240,[1]order_sku_sales_bb2_report!J:J,H28240)</f>
        <v>#ERROR!</v>
      </c>
      <c r="Q467" s="6" t="str">
        <f t="shared" si="1"/>
        <v>22-12-2025</v>
      </c>
      <c r="R467" s="6" t="str">
        <f>IFERROR( VLOOKUP(C28240,[1]expressOrderReport!$S:$AZ,34,0),0)</f>
        <v>#ERROR!</v>
      </c>
      <c r="S467" s="6" t="str">
        <f>ARRAY_CONSTRAIN(ARRAYFORMULA(_xludf.XLOOKUP(D28240,[1]order_Report_SA_ID_BB2.0!V:V,[1]order_Report_SA_ID_BB2.0!AM:AM,"")), 1, 1)</f>
        <v>#ERROR!</v>
      </c>
      <c r="T467" s="6" t="str">
        <f t="shared" si="2"/>
        <v>Dec'25</v>
      </c>
    </row>
    <row r="468" ht="15.75" customHeight="1">
      <c r="A468" s="5">
        <v>46013.0</v>
      </c>
      <c r="B468" s="6">
        <v>7779.0</v>
      </c>
      <c r="C468" s="6">
        <v>1.859167444E9</v>
      </c>
      <c r="D468" s="6">
        <v>2.0468743E7</v>
      </c>
      <c r="E468" s="6" t="s">
        <v>763</v>
      </c>
      <c r="F468" s="6" t="s">
        <v>764</v>
      </c>
      <c r="G468" s="6">
        <v>9.24276952E9</v>
      </c>
      <c r="H468" s="6">
        <v>4.0147597E7</v>
      </c>
      <c r="I468" s="6" t="s">
        <v>59</v>
      </c>
      <c r="J468" s="6" t="s">
        <v>21</v>
      </c>
      <c r="K468" s="6" t="s">
        <v>22</v>
      </c>
      <c r="L468" s="6">
        <v>156.0</v>
      </c>
      <c r="M468" s="5">
        <v>46013.0</v>
      </c>
      <c r="N468" s="6" t="s">
        <v>23</v>
      </c>
      <c r="O468" s="6" t="str">
        <f>SUMIFS([1]order_sku_sales_bb2_report!P:P,[1]order_sku_sales_bb2_report!H:H,C28241,[1]order_sku_sales_bb2_report!J:J,H28241)</f>
        <v>#ERROR!</v>
      </c>
      <c r="P468" s="6" t="str">
        <f>SUMIFS([1]order_sku_sales_bb2_report!O:O,[1]order_sku_sales_bb2_report!H:H,C28241,[1]order_sku_sales_bb2_report!J:J,H28241)</f>
        <v>#ERROR!</v>
      </c>
      <c r="Q468" s="6" t="str">
        <f t="shared" si="1"/>
        <v>22-12-2025</v>
      </c>
      <c r="R468" s="6" t="str">
        <f>IFERROR( VLOOKUP(C28241,[1]expressOrderReport!$S:$AZ,34,0),0)</f>
        <v>#ERROR!</v>
      </c>
      <c r="S468" s="6" t="str">
        <f>ARRAY_CONSTRAIN(ARRAYFORMULA(_xludf.XLOOKUP(D28241,[1]order_Report_SA_ID_BB2.0!V:V,[1]order_Report_SA_ID_BB2.0!AM:AM,"")), 1, 1)</f>
        <v>#ERROR!</v>
      </c>
      <c r="T468" s="6" t="str">
        <f t="shared" si="2"/>
        <v>Dec'25</v>
      </c>
    </row>
    <row r="469" ht="15.75" customHeight="1">
      <c r="A469" s="5">
        <v>46013.0</v>
      </c>
      <c r="B469" s="6">
        <v>7782.0</v>
      </c>
      <c r="C469" s="6">
        <v>1.859167451E9</v>
      </c>
      <c r="D469" s="6">
        <v>1.1866568E7</v>
      </c>
      <c r="E469" s="6" t="s">
        <v>765</v>
      </c>
      <c r="F469" s="6" t="s">
        <v>766</v>
      </c>
      <c r="G469" s="6">
        <v>8.317309047E9</v>
      </c>
      <c r="H469" s="6">
        <v>4.0163722E7</v>
      </c>
      <c r="I469" s="6" t="s">
        <v>385</v>
      </c>
      <c r="J469" s="6" t="s">
        <v>21</v>
      </c>
      <c r="K469" s="6" t="s">
        <v>22</v>
      </c>
      <c r="L469" s="6">
        <v>60.8</v>
      </c>
      <c r="M469" s="5">
        <v>46013.0</v>
      </c>
      <c r="N469" s="6" t="s">
        <v>23</v>
      </c>
      <c r="O469" s="6" t="str">
        <f>SUMIFS([1]order_sku_sales_bb2_report!P:P,[1]order_sku_sales_bb2_report!H:H,C28242,[1]order_sku_sales_bb2_report!J:J,H28242)</f>
        <v>#ERROR!</v>
      </c>
      <c r="P469" s="6" t="str">
        <f>SUMIFS([1]order_sku_sales_bb2_report!O:O,[1]order_sku_sales_bb2_report!H:H,C28242,[1]order_sku_sales_bb2_report!J:J,H28242)</f>
        <v>#ERROR!</v>
      </c>
      <c r="Q469" s="6" t="str">
        <f t="shared" si="1"/>
        <v>22-12-2025</v>
      </c>
      <c r="R469" s="6" t="str">
        <f>IFERROR( VLOOKUP(C28242,[1]expressOrderReport!$S:$AZ,34,0),0)</f>
        <v>#ERROR!</v>
      </c>
      <c r="S469" s="6" t="str">
        <f>ARRAY_CONSTRAIN(ARRAYFORMULA(_xludf.XLOOKUP(D28242,[1]order_Report_SA_ID_BB2.0!V:V,[1]order_Report_SA_ID_BB2.0!AM:AM,"")), 1, 1)</f>
        <v>#ERROR!</v>
      </c>
      <c r="T469" s="6" t="str">
        <f t="shared" si="2"/>
        <v>Dec'25</v>
      </c>
    </row>
    <row r="470" ht="15.75" customHeight="1">
      <c r="A470" s="5">
        <v>46013.0</v>
      </c>
      <c r="B470" s="6">
        <v>7783.0</v>
      </c>
      <c r="C470" s="6">
        <v>1.859167459E9</v>
      </c>
      <c r="D470" s="6">
        <v>1.7385469E7</v>
      </c>
      <c r="E470" s="6" t="s">
        <v>767</v>
      </c>
      <c r="F470" s="6" t="s">
        <v>768</v>
      </c>
      <c r="G470" s="6">
        <v>9.343782259E9</v>
      </c>
      <c r="H470" s="6">
        <v>4.0148716E7</v>
      </c>
      <c r="I470" s="6" t="s">
        <v>148</v>
      </c>
      <c r="J470" s="6" t="s">
        <v>21</v>
      </c>
      <c r="K470" s="6" t="s">
        <v>22</v>
      </c>
      <c r="L470" s="6">
        <v>135.0</v>
      </c>
      <c r="M470" s="5">
        <v>46013.0</v>
      </c>
      <c r="N470" s="6" t="s">
        <v>23</v>
      </c>
      <c r="O470" s="6" t="str">
        <f>SUMIFS([1]order_sku_sales_bb2_report!P:P,[1]order_sku_sales_bb2_report!H:H,C28243,[1]order_sku_sales_bb2_report!J:J,H28243)</f>
        <v>#ERROR!</v>
      </c>
      <c r="P470" s="6" t="str">
        <f>SUMIFS([1]order_sku_sales_bb2_report!O:O,[1]order_sku_sales_bb2_report!H:H,C28243,[1]order_sku_sales_bb2_report!J:J,H28243)</f>
        <v>#ERROR!</v>
      </c>
      <c r="Q470" s="6" t="str">
        <f t="shared" si="1"/>
        <v>22-12-2025</v>
      </c>
      <c r="R470" s="6" t="str">
        <f>IFERROR( VLOOKUP(C28243,[1]expressOrderReport!$S:$AZ,34,0),0)</f>
        <v>#ERROR!</v>
      </c>
      <c r="S470" s="6" t="str">
        <f>ARRAY_CONSTRAIN(ARRAYFORMULA(_xludf.XLOOKUP(D28243,[1]order_Report_SA_ID_BB2.0!V:V,[1]order_Report_SA_ID_BB2.0!AM:AM,"")), 1, 1)</f>
        <v>#ERROR!</v>
      </c>
      <c r="T470" s="6" t="str">
        <f t="shared" si="2"/>
        <v>Dec'25</v>
      </c>
    </row>
    <row r="471" ht="15.75" customHeight="1">
      <c r="A471" s="5">
        <v>46013.0</v>
      </c>
      <c r="B471" s="6">
        <v>7789.0</v>
      </c>
      <c r="C471" s="6">
        <v>1.859167467E9</v>
      </c>
      <c r="D471" s="6">
        <v>3.8709659E7</v>
      </c>
      <c r="E471" s="6" t="s">
        <v>625</v>
      </c>
      <c r="F471" s="6" t="s">
        <v>769</v>
      </c>
      <c r="G471" s="6">
        <v>9.840271709E9</v>
      </c>
      <c r="H471" s="6">
        <v>4.0090893E7</v>
      </c>
      <c r="I471" s="6" t="s">
        <v>35</v>
      </c>
      <c r="J471" s="6" t="s">
        <v>21</v>
      </c>
      <c r="K471" s="6" t="s">
        <v>22</v>
      </c>
      <c r="L471" s="6">
        <v>66.0</v>
      </c>
      <c r="M471" s="5">
        <v>46013.0</v>
      </c>
      <c r="N471" s="6" t="s">
        <v>23</v>
      </c>
      <c r="O471" s="6" t="str">
        <f>SUMIFS([1]order_sku_sales_bb2_report!P:P,[1]order_sku_sales_bb2_report!H:H,C28244,[1]order_sku_sales_bb2_report!J:J,H28244)</f>
        <v>#ERROR!</v>
      </c>
      <c r="P471" s="6" t="str">
        <f>SUMIFS([1]order_sku_sales_bb2_report!O:O,[1]order_sku_sales_bb2_report!H:H,C28244,[1]order_sku_sales_bb2_report!J:J,H28244)</f>
        <v>#ERROR!</v>
      </c>
      <c r="Q471" s="6" t="str">
        <f t="shared" si="1"/>
        <v>22-12-2025</v>
      </c>
      <c r="R471" s="6" t="str">
        <f>IFERROR( VLOOKUP(C28244,[1]expressOrderReport!$S:$AZ,34,0),0)</f>
        <v>#ERROR!</v>
      </c>
      <c r="S471" s="6" t="str">
        <f>ARRAY_CONSTRAIN(ARRAYFORMULA(_xludf.XLOOKUP(D28244,[1]order_Report_SA_ID_BB2.0!V:V,[1]order_Report_SA_ID_BB2.0!AM:AM,"")), 1, 1)</f>
        <v>#ERROR!</v>
      </c>
      <c r="T471" s="6" t="str">
        <f t="shared" si="2"/>
        <v>Dec'25</v>
      </c>
    </row>
    <row r="472" ht="15.75" customHeight="1">
      <c r="A472" s="5">
        <v>46013.0</v>
      </c>
      <c r="B472" s="6">
        <v>11002.0</v>
      </c>
      <c r="C472" s="6">
        <v>1.859167472E9</v>
      </c>
      <c r="D472" s="6">
        <v>2.4397639E7</v>
      </c>
      <c r="E472" s="6" t="s">
        <v>625</v>
      </c>
      <c r="F472" s="6" t="s">
        <v>770</v>
      </c>
      <c r="G472" s="6">
        <v>9.886996985E9</v>
      </c>
      <c r="H472" s="6">
        <v>4.0149832E7</v>
      </c>
      <c r="I472" s="6" t="s">
        <v>26</v>
      </c>
      <c r="J472" s="6" t="s">
        <v>21</v>
      </c>
      <c r="K472" s="6" t="s">
        <v>22</v>
      </c>
      <c r="L472" s="6">
        <v>75.0</v>
      </c>
      <c r="M472" s="5">
        <v>46013.0</v>
      </c>
      <c r="N472" s="6" t="s">
        <v>23</v>
      </c>
      <c r="O472" s="6" t="str">
        <f>SUMIFS([1]order_sku_sales_bb2_report!P:P,[1]order_sku_sales_bb2_report!H:H,C28245,[1]order_sku_sales_bb2_report!J:J,H28245)</f>
        <v>#ERROR!</v>
      </c>
      <c r="P472" s="6" t="str">
        <f>SUMIFS([1]order_sku_sales_bb2_report!O:O,[1]order_sku_sales_bb2_report!H:H,C28245,[1]order_sku_sales_bb2_report!J:J,H28245)</f>
        <v>#ERROR!</v>
      </c>
      <c r="Q472" s="6" t="str">
        <f t="shared" si="1"/>
        <v>22-12-2025</v>
      </c>
      <c r="R472" s="6" t="str">
        <f>IFERROR( VLOOKUP(C28245,[1]expressOrderReport!$S:$AZ,34,0),0)</f>
        <v>#ERROR!</v>
      </c>
      <c r="S472" s="6" t="str">
        <f>ARRAY_CONSTRAIN(ARRAYFORMULA(_xludf.XLOOKUP(D28245,[1]order_Report_SA_ID_BB2.0!V:V,[1]order_Report_SA_ID_BB2.0!AM:AM,"")), 1, 1)</f>
        <v>#ERROR!</v>
      </c>
      <c r="T472" s="6" t="str">
        <f t="shared" si="2"/>
        <v>Dec'25</v>
      </c>
    </row>
    <row r="473" ht="15.75" customHeight="1">
      <c r="A473" s="5">
        <v>46013.0</v>
      </c>
      <c r="B473" s="6">
        <v>11003.0</v>
      </c>
      <c r="C473" s="6">
        <v>1.859167472E9</v>
      </c>
      <c r="D473" s="6">
        <v>2.4397639E7</v>
      </c>
      <c r="E473" s="6" t="s">
        <v>625</v>
      </c>
      <c r="F473" s="6" t="s">
        <v>770</v>
      </c>
      <c r="G473" s="6">
        <v>9.886996985E9</v>
      </c>
      <c r="H473" s="6">
        <v>4.0149833E7</v>
      </c>
      <c r="I473" s="6" t="s">
        <v>40</v>
      </c>
      <c r="J473" s="6" t="s">
        <v>21</v>
      </c>
      <c r="K473" s="6" t="s">
        <v>22</v>
      </c>
      <c r="L473" s="6">
        <v>75.0</v>
      </c>
      <c r="M473" s="5">
        <v>46013.0</v>
      </c>
      <c r="N473" s="6" t="s">
        <v>23</v>
      </c>
      <c r="O473" s="6" t="str">
        <f>SUMIFS([1]order_sku_sales_bb2_report!P:P,[1]order_sku_sales_bb2_report!H:H,C28246,[1]order_sku_sales_bb2_report!J:J,H28246)</f>
        <v>#ERROR!</v>
      </c>
      <c r="P473" s="6" t="str">
        <f>SUMIFS([1]order_sku_sales_bb2_report!O:O,[1]order_sku_sales_bb2_report!H:H,C28246,[1]order_sku_sales_bb2_report!J:J,H28246)</f>
        <v>#ERROR!</v>
      </c>
      <c r="Q473" s="6" t="str">
        <f t="shared" si="1"/>
        <v>22-12-2025</v>
      </c>
      <c r="R473" s="6" t="str">
        <f>IFERROR( VLOOKUP(C28246,[1]expressOrderReport!$S:$AZ,34,0),0)</f>
        <v>#ERROR!</v>
      </c>
      <c r="S473" s="6" t="str">
        <f>ARRAY_CONSTRAIN(ARRAYFORMULA(_xludf.XLOOKUP(D28246,[1]order_Report_SA_ID_BB2.0!V:V,[1]order_Report_SA_ID_BB2.0!AM:AM,"")), 1, 1)</f>
        <v>#ERROR!</v>
      </c>
      <c r="T473" s="6" t="str">
        <f t="shared" si="2"/>
        <v>Dec'25</v>
      </c>
    </row>
    <row r="474" ht="15.75" customHeight="1">
      <c r="A474" s="5">
        <v>46013.0</v>
      </c>
      <c r="B474" s="6">
        <v>7793.0</v>
      </c>
      <c r="C474" s="6">
        <v>1.85916748E9</v>
      </c>
      <c r="D474" s="6">
        <v>6.9443912E7</v>
      </c>
      <c r="E474" s="6" t="s">
        <v>625</v>
      </c>
      <c r="F474" s="6"/>
      <c r="G474" s="6">
        <v>8.147853559E9</v>
      </c>
      <c r="H474" s="6">
        <v>4.0147597E7</v>
      </c>
      <c r="I474" s="6" t="s">
        <v>59</v>
      </c>
      <c r="J474" s="6" t="s">
        <v>21</v>
      </c>
      <c r="K474" s="6" t="s">
        <v>22</v>
      </c>
      <c r="L474" s="6">
        <v>53.0</v>
      </c>
      <c r="M474" s="5">
        <v>46013.0</v>
      </c>
      <c r="N474" s="6" t="s">
        <v>23</v>
      </c>
      <c r="O474" s="6" t="str">
        <f>SUMIFS([1]order_sku_sales_bb2_report!P:P,[1]order_sku_sales_bb2_report!H:H,C28247,[1]order_sku_sales_bb2_report!J:J,H28247)</f>
        <v>#ERROR!</v>
      </c>
      <c r="P474" s="6" t="str">
        <f>SUMIFS([1]order_sku_sales_bb2_report!O:O,[1]order_sku_sales_bb2_report!H:H,C28247,[1]order_sku_sales_bb2_report!J:J,H28247)</f>
        <v>#ERROR!</v>
      </c>
      <c r="Q474" s="6" t="str">
        <f t="shared" si="1"/>
        <v>22-12-2025</v>
      </c>
      <c r="R474" s="6" t="str">
        <f>IFERROR( VLOOKUP(C28247,[1]expressOrderReport!$S:$AZ,34,0),0)</f>
        <v>#ERROR!</v>
      </c>
      <c r="S474" s="6" t="str">
        <f>ARRAY_CONSTRAIN(ARRAYFORMULA(_xludf.XLOOKUP(D28247,[1]order_Report_SA_ID_BB2.0!V:V,[1]order_Report_SA_ID_BB2.0!AM:AM,"")), 1, 1)</f>
        <v>#ERROR!</v>
      </c>
      <c r="T474" s="6" t="str">
        <f t="shared" si="2"/>
        <v>Dec'25</v>
      </c>
    </row>
    <row r="475" ht="15.75" customHeight="1">
      <c r="A475" s="5">
        <v>46013.0</v>
      </c>
      <c r="B475" s="6">
        <v>7794.0</v>
      </c>
      <c r="C475" s="6">
        <v>1.85916748E9</v>
      </c>
      <c r="D475" s="6">
        <v>6.9443912E7</v>
      </c>
      <c r="E475" s="6" t="s">
        <v>625</v>
      </c>
      <c r="F475" s="6"/>
      <c r="G475" s="6">
        <v>8.147853559E9</v>
      </c>
      <c r="H475" s="6">
        <v>4.0149833E7</v>
      </c>
      <c r="I475" s="6" t="s">
        <v>40</v>
      </c>
      <c r="J475" s="6" t="s">
        <v>21</v>
      </c>
      <c r="K475" s="6" t="s">
        <v>22</v>
      </c>
      <c r="L475" s="6">
        <v>53.0</v>
      </c>
      <c r="M475" s="5">
        <v>46013.0</v>
      </c>
      <c r="N475" s="6" t="s">
        <v>23</v>
      </c>
      <c r="O475" s="6" t="str">
        <f>SUMIFS([1]order_sku_sales_bb2_report!P:P,[1]order_sku_sales_bb2_report!H:H,C28248,[1]order_sku_sales_bb2_report!J:J,H28248)</f>
        <v>#ERROR!</v>
      </c>
      <c r="P475" s="6" t="str">
        <f>SUMIFS([1]order_sku_sales_bb2_report!O:O,[1]order_sku_sales_bb2_report!H:H,C28248,[1]order_sku_sales_bb2_report!J:J,H28248)</f>
        <v>#ERROR!</v>
      </c>
      <c r="Q475" s="6" t="str">
        <f t="shared" si="1"/>
        <v>22-12-2025</v>
      </c>
      <c r="R475" s="6" t="str">
        <f>IFERROR( VLOOKUP(C28248,[1]expressOrderReport!$S:$AZ,34,0),0)</f>
        <v>#ERROR!</v>
      </c>
      <c r="S475" s="6" t="str">
        <f>ARRAY_CONSTRAIN(ARRAYFORMULA(_xludf.XLOOKUP(D28248,[1]order_Report_SA_ID_BB2.0!V:V,[1]order_Report_SA_ID_BB2.0!AM:AM,"")), 1, 1)</f>
        <v>#ERROR!</v>
      </c>
      <c r="T475" s="6" t="str">
        <f t="shared" si="2"/>
        <v>Dec'25</v>
      </c>
    </row>
    <row r="476" ht="15.75" customHeight="1">
      <c r="A476" s="5">
        <v>46013.0</v>
      </c>
      <c r="B476" s="6">
        <v>7797.0</v>
      </c>
      <c r="C476" s="6">
        <v>1.859167488E9</v>
      </c>
      <c r="D476" s="6">
        <v>1656954.0</v>
      </c>
      <c r="E476" s="6" t="s">
        <v>771</v>
      </c>
      <c r="F476" s="6" t="s">
        <v>772</v>
      </c>
      <c r="G476" s="6">
        <v>9.986039918E9</v>
      </c>
      <c r="H476" s="6">
        <v>4.0149832E7</v>
      </c>
      <c r="I476" s="6" t="s">
        <v>26</v>
      </c>
      <c r="J476" s="6" t="s">
        <v>21</v>
      </c>
      <c r="K476" s="6" t="s">
        <v>22</v>
      </c>
      <c r="L476" s="6">
        <v>70.0</v>
      </c>
      <c r="M476" s="5">
        <v>46013.0</v>
      </c>
      <c r="N476" s="6" t="s">
        <v>23</v>
      </c>
      <c r="O476" s="6" t="str">
        <f>SUMIFS([1]order_sku_sales_bb2_report!P:P,[1]order_sku_sales_bb2_report!H:H,C28249,[1]order_sku_sales_bb2_report!J:J,H28249)</f>
        <v>#ERROR!</v>
      </c>
      <c r="P476" s="6" t="str">
        <f>SUMIFS([1]order_sku_sales_bb2_report!O:O,[1]order_sku_sales_bb2_report!H:H,C28249,[1]order_sku_sales_bb2_report!J:J,H28249)</f>
        <v>#ERROR!</v>
      </c>
      <c r="Q476" s="6" t="str">
        <f t="shared" si="1"/>
        <v>22-12-2025</v>
      </c>
      <c r="R476" s="6" t="str">
        <f>IFERROR( VLOOKUP(C28249,[1]expressOrderReport!$S:$AZ,34,0),0)</f>
        <v>#ERROR!</v>
      </c>
      <c r="S476" s="6" t="str">
        <f>ARRAY_CONSTRAIN(ARRAYFORMULA(_xludf.XLOOKUP(D28249,[1]order_Report_SA_ID_BB2.0!V:V,[1]order_Report_SA_ID_BB2.0!AM:AM,"")), 1, 1)</f>
        <v>#ERROR!</v>
      </c>
      <c r="T476" s="6" t="str">
        <f t="shared" si="2"/>
        <v>Dec'25</v>
      </c>
    </row>
    <row r="477" ht="15.75" customHeight="1">
      <c r="A477" s="5">
        <v>46013.0</v>
      </c>
      <c r="B477" s="6">
        <v>7798.0</v>
      </c>
      <c r="C477" s="6">
        <v>1.859167488E9</v>
      </c>
      <c r="D477" s="6">
        <v>1656954.0</v>
      </c>
      <c r="E477" s="6" t="s">
        <v>771</v>
      </c>
      <c r="F477" s="6" t="s">
        <v>772</v>
      </c>
      <c r="G477" s="6">
        <v>9.986039918E9</v>
      </c>
      <c r="H477" s="6">
        <v>4.0158264E7</v>
      </c>
      <c r="I477" s="6" t="s">
        <v>26</v>
      </c>
      <c r="J477" s="6" t="s">
        <v>21</v>
      </c>
      <c r="K477" s="6" t="s">
        <v>22</v>
      </c>
      <c r="L477" s="6">
        <v>70.0</v>
      </c>
      <c r="M477" s="5">
        <v>46013.0</v>
      </c>
      <c r="N477" s="6" t="s">
        <v>23</v>
      </c>
      <c r="O477" s="6" t="str">
        <f>SUMIFS([1]order_sku_sales_bb2_report!P:P,[1]order_sku_sales_bb2_report!H:H,C28250,[1]order_sku_sales_bb2_report!J:J,H28250)</f>
        <v>#ERROR!</v>
      </c>
      <c r="P477" s="6" t="str">
        <f>SUMIFS([1]order_sku_sales_bb2_report!O:O,[1]order_sku_sales_bb2_report!H:H,C28250,[1]order_sku_sales_bb2_report!J:J,H28250)</f>
        <v>#ERROR!</v>
      </c>
      <c r="Q477" s="6" t="str">
        <f t="shared" si="1"/>
        <v>22-12-2025</v>
      </c>
      <c r="R477" s="6" t="str">
        <f>IFERROR( VLOOKUP(C28250,[1]expressOrderReport!$S:$AZ,34,0),0)</f>
        <v>#ERROR!</v>
      </c>
      <c r="S477" s="6" t="str">
        <f>ARRAY_CONSTRAIN(ARRAYFORMULA(_xludf.XLOOKUP(D28250,[1]order_Report_SA_ID_BB2.0!V:V,[1]order_Report_SA_ID_BB2.0!AM:AM,"")), 1, 1)</f>
        <v>#ERROR!</v>
      </c>
      <c r="T477" s="6" t="str">
        <f t="shared" si="2"/>
        <v>Dec'25</v>
      </c>
    </row>
    <row r="478" ht="15.75" customHeight="1">
      <c r="A478" s="5">
        <v>46013.0</v>
      </c>
      <c r="B478" s="6">
        <v>7806.0</v>
      </c>
      <c r="C478" s="6">
        <v>1.859167498E9</v>
      </c>
      <c r="D478" s="6">
        <v>1.6221458E7</v>
      </c>
      <c r="E478" s="6" t="s">
        <v>773</v>
      </c>
      <c r="F478" s="6" t="s">
        <v>774</v>
      </c>
      <c r="G478" s="6">
        <v>7.675912931E9</v>
      </c>
      <c r="H478" s="6">
        <v>4.0161616E7</v>
      </c>
      <c r="I478" s="6" t="s">
        <v>20</v>
      </c>
      <c r="J478" s="6" t="s">
        <v>21</v>
      </c>
      <c r="K478" s="6" t="s">
        <v>22</v>
      </c>
      <c r="L478" s="6">
        <v>56.0</v>
      </c>
      <c r="M478" s="5">
        <v>46013.0</v>
      </c>
      <c r="N478" s="6" t="s">
        <v>23</v>
      </c>
      <c r="O478" s="6" t="str">
        <f>SUMIFS([1]order_sku_sales_bb2_report!P:P,[1]order_sku_sales_bb2_report!H:H,C28251,[1]order_sku_sales_bb2_report!J:J,H28251)</f>
        <v>#ERROR!</v>
      </c>
      <c r="P478" s="6" t="str">
        <f>SUMIFS([1]order_sku_sales_bb2_report!O:O,[1]order_sku_sales_bb2_report!H:H,C28251,[1]order_sku_sales_bb2_report!J:J,H28251)</f>
        <v>#ERROR!</v>
      </c>
      <c r="Q478" s="6" t="str">
        <f t="shared" si="1"/>
        <v>22-12-2025</v>
      </c>
      <c r="R478" s="6" t="str">
        <f>IFERROR( VLOOKUP(C28251,[1]expressOrderReport!$S:$AZ,34,0),0)</f>
        <v>#ERROR!</v>
      </c>
      <c r="S478" s="6" t="str">
        <f>ARRAY_CONSTRAIN(ARRAYFORMULA(_xludf.XLOOKUP(D28251,[1]order_Report_SA_ID_BB2.0!V:V,[1]order_Report_SA_ID_BB2.0!AM:AM,"")), 1, 1)</f>
        <v>#ERROR!</v>
      </c>
      <c r="T478" s="6" t="str">
        <f t="shared" si="2"/>
        <v>Dec'25</v>
      </c>
    </row>
    <row r="479" ht="15.75" customHeight="1">
      <c r="A479" s="5">
        <v>46013.0</v>
      </c>
      <c r="B479" s="6">
        <v>11204.0</v>
      </c>
      <c r="C479" s="6">
        <v>1.859167501E9</v>
      </c>
      <c r="D479" s="6">
        <v>9396470.0</v>
      </c>
      <c r="E479" s="6" t="s">
        <v>775</v>
      </c>
      <c r="F479" s="6" t="s">
        <v>776</v>
      </c>
      <c r="G479" s="6">
        <v>9.94516442E9</v>
      </c>
      <c r="H479" s="6">
        <v>4.0149833E7</v>
      </c>
      <c r="I479" s="6" t="s">
        <v>40</v>
      </c>
      <c r="J479" s="6" t="s">
        <v>21</v>
      </c>
      <c r="K479" s="6" t="s">
        <v>22</v>
      </c>
      <c r="L479" s="6">
        <v>81.0</v>
      </c>
      <c r="M479" s="5">
        <v>46013.0</v>
      </c>
      <c r="N479" s="6" t="s">
        <v>23</v>
      </c>
      <c r="O479" s="6" t="str">
        <f>SUMIFS([1]order_sku_sales_bb2_report!P:P,[1]order_sku_sales_bb2_report!H:H,C28252,[1]order_sku_sales_bb2_report!J:J,H28252)</f>
        <v>#ERROR!</v>
      </c>
      <c r="P479" s="6" t="str">
        <f>SUMIFS([1]order_sku_sales_bb2_report!O:O,[1]order_sku_sales_bb2_report!H:H,C28252,[1]order_sku_sales_bb2_report!J:J,H28252)</f>
        <v>#ERROR!</v>
      </c>
      <c r="Q479" s="6" t="str">
        <f t="shared" si="1"/>
        <v>22-12-2025</v>
      </c>
      <c r="R479" s="6" t="str">
        <f>IFERROR( VLOOKUP(C28252,[1]expressOrderReport!$S:$AZ,34,0),0)</f>
        <v>#ERROR!</v>
      </c>
      <c r="S479" s="6" t="str">
        <f>ARRAY_CONSTRAIN(ARRAYFORMULA(_xludf.XLOOKUP(D28252,[1]order_Report_SA_ID_BB2.0!V:V,[1]order_Report_SA_ID_BB2.0!AM:AM,"")), 1, 1)</f>
        <v>#ERROR!</v>
      </c>
      <c r="T479" s="6" t="str">
        <f t="shared" si="2"/>
        <v>Dec'25</v>
      </c>
    </row>
    <row r="480" ht="15.75" customHeight="1">
      <c r="A480" s="5">
        <v>46013.0</v>
      </c>
      <c r="B480" s="6">
        <v>9684.0</v>
      </c>
      <c r="C480" s="6">
        <v>1.859167504E9</v>
      </c>
      <c r="D480" s="6">
        <v>4705750.0</v>
      </c>
      <c r="E480" s="6" t="s">
        <v>777</v>
      </c>
      <c r="F480" s="6" t="s">
        <v>778</v>
      </c>
      <c r="G480" s="6">
        <v>8.860707206E9</v>
      </c>
      <c r="H480" s="6">
        <v>4.0149831E7</v>
      </c>
      <c r="I480" s="6" t="s">
        <v>65</v>
      </c>
      <c r="J480" s="6" t="s">
        <v>21</v>
      </c>
      <c r="K480" s="6" t="s">
        <v>22</v>
      </c>
      <c r="L480" s="6">
        <v>78.0</v>
      </c>
      <c r="M480" s="5">
        <v>46013.0</v>
      </c>
      <c r="N480" s="6" t="s">
        <v>23</v>
      </c>
      <c r="O480" s="6" t="str">
        <f>SUMIFS([1]order_sku_sales_bb2_report!P:P,[1]order_sku_sales_bb2_report!H:H,C28254,[1]order_sku_sales_bb2_report!J:J,H28254)</f>
        <v>#ERROR!</v>
      </c>
      <c r="P480" s="6" t="str">
        <f>SUMIFS([1]order_sku_sales_bb2_report!O:O,[1]order_sku_sales_bb2_report!H:H,C28254,[1]order_sku_sales_bb2_report!J:J,H28254)</f>
        <v>#ERROR!</v>
      </c>
      <c r="Q480" s="6" t="str">
        <f t="shared" si="1"/>
        <v>22-12-2025</v>
      </c>
      <c r="R480" s="6" t="str">
        <f>IFERROR( VLOOKUP(C28254,[1]expressOrderReport!$S:$AZ,34,0),0)</f>
        <v>#ERROR!</v>
      </c>
      <c r="S480" s="6" t="str">
        <f>ARRAY_CONSTRAIN(ARRAYFORMULA(_xludf.XLOOKUP(D28254,[1]order_Report_SA_ID_BB2.0!V:V,[1]order_Report_SA_ID_BB2.0!AM:AM,"")), 1, 1)</f>
        <v>#ERROR!</v>
      </c>
      <c r="T480" s="6" t="str">
        <f t="shared" si="2"/>
        <v>Dec'25</v>
      </c>
    </row>
    <row r="481" ht="15.75" customHeight="1">
      <c r="A481" s="5">
        <v>46013.0</v>
      </c>
      <c r="B481" s="6">
        <v>7866.0</v>
      </c>
      <c r="C481" s="6">
        <v>1.859167511E9</v>
      </c>
      <c r="D481" s="6">
        <v>3968429.0</v>
      </c>
      <c r="E481" s="6" t="s">
        <v>779</v>
      </c>
      <c r="F481" s="6" t="s">
        <v>780</v>
      </c>
      <c r="G481" s="6">
        <v>9.874113543E9</v>
      </c>
      <c r="H481" s="6">
        <v>4.0149832E7</v>
      </c>
      <c r="I481" s="6" t="s">
        <v>26</v>
      </c>
      <c r="J481" s="6" t="s">
        <v>21</v>
      </c>
      <c r="K481" s="6" t="s">
        <v>22</v>
      </c>
      <c r="L481" s="6">
        <v>142.0</v>
      </c>
      <c r="M481" s="5">
        <v>46013.0</v>
      </c>
      <c r="N481" s="6" t="s">
        <v>23</v>
      </c>
      <c r="O481" s="6" t="str">
        <f>SUMIFS([1]order_sku_sales_bb2_report!P:P,[1]order_sku_sales_bb2_report!H:H,C28255,[1]order_sku_sales_bb2_report!J:J,H28255)</f>
        <v>#ERROR!</v>
      </c>
      <c r="P481" s="6" t="str">
        <f>SUMIFS([1]order_sku_sales_bb2_report!O:O,[1]order_sku_sales_bb2_report!H:H,C28255,[1]order_sku_sales_bb2_report!J:J,H28255)</f>
        <v>#ERROR!</v>
      </c>
      <c r="Q481" s="6" t="str">
        <f t="shared" si="1"/>
        <v>22-12-2025</v>
      </c>
      <c r="R481" s="6" t="str">
        <f>IFERROR( VLOOKUP(C28255,[1]expressOrderReport!$S:$AZ,34,0),0)</f>
        <v>#ERROR!</v>
      </c>
      <c r="S481" s="6" t="str">
        <f>ARRAY_CONSTRAIN(ARRAYFORMULA(_xludf.XLOOKUP(D28255,[1]order_Report_SA_ID_BB2.0!V:V,[1]order_Report_SA_ID_BB2.0!AM:AM,"")), 1, 1)</f>
        <v>#ERROR!</v>
      </c>
      <c r="T481" s="6" t="str">
        <f t="shared" si="2"/>
        <v>Dec'25</v>
      </c>
    </row>
    <row r="482" ht="15.75" customHeight="1">
      <c r="A482" s="5">
        <v>46013.0</v>
      </c>
      <c r="B482" s="6">
        <v>7867.0</v>
      </c>
      <c r="C482" s="6">
        <v>1.859167511E9</v>
      </c>
      <c r="D482" s="6">
        <v>3968429.0</v>
      </c>
      <c r="E482" s="6" t="s">
        <v>779</v>
      </c>
      <c r="F482" s="6" t="s">
        <v>780</v>
      </c>
      <c r="G482" s="6">
        <v>9.874113543E9</v>
      </c>
      <c r="H482" s="6">
        <v>4.0148714E7</v>
      </c>
      <c r="I482" s="6" t="s">
        <v>183</v>
      </c>
      <c r="J482" s="6" t="s">
        <v>21</v>
      </c>
      <c r="K482" s="6" t="s">
        <v>22</v>
      </c>
      <c r="L482" s="6">
        <v>142.0</v>
      </c>
      <c r="M482" s="5">
        <v>46013.0</v>
      </c>
      <c r="N482" s="6" t="s">
        <v>23</v>
      </c>
      <c r="O482" s="6" t="str">
        <f>SUMIFS([1]order_sku_sales_bb2_report!P:P,[1]order_sku_sales_bb2_report!H:H,C28256,[1]order_sku_sales_bb2_report!J:J,H28256)</f>
        <v>#ERROR!</v>
      </c>
      <c r="P482" s="6" t="str">
        <f>SUMIFS([1]order_sku_sales_bb2_report!O:O,[1]order_sku_sales_bb2_report!H:H,C28256,[1]order_sku_sales_bb2_report!J:J,H28256)</f>
        <v>#ERROR!</v>
      </c>
      <c r="Q482" s="6" t="str">
        <f t="shared" si="1"/>
        <v>22-12-2025</v>
      </c>
      <c r="R482" s="6" t="str">
        <f>IFERROR( VLOOKUP(C28256,[1]expressOrderReport!$S:$AZ,34,0),0)</f>
        <v>#ERROR!</v>
      </c>
      <c r="S482" s="6" t="str">
        <f>ARRAY_CONSTRAIN(ARRAYFORMULA(_xludf.XLOOKUP(D28256,[1]order_Report_SA_ID_BB2.0!V:V,[1]order_Report_SA_ID_BB2.0!AM:AM,"")), 1, 1)</f>
        <v>#ERROR!</v>
      </c>
      <c r="T482" s="6" t="str">
        <f t="shared" si="2"/>
        <v>Dec'25</v>
      </c>
    </row>
    <row r="483" ht="15.75" customHeight="1">
      <c r="A483" s="5">
        <v>46013.0</v>
      </c>
      <c r="B483" s="6">
        <v>7870.0</v>
      </c>
      <c r="C483" s="6">
        <v>1.859167518E9</v>
      </c>
      <c r="D483" s="6">
        <v>1.9878228E7</v>
      </c>
      <c r="E483" s="6" t="s">
        <v>781</v>
      </c>
      <c r="F483" s="6" t="s">
        <v>782</v>
      </c>
      <c r="G483" s="6">
        <v>9.343402356E9</v>
      </c>
      <c r="H483" s="6">
        <v>4.0149827E7</v>
      </c>
      <c r="I483" s="6" t="s">
        <v>738</v>
      </c>
      <c r="J483" s="6" t="s">
        <v>21</v>
      </c>
      <c r="K483" s="6" t="s">
        <v>22</v>
      </c>
      <c r="L483" s="6">
        <v>31.0</v>
      </c>
      <c r="M483" s="5">
        <v>46013.0</v>
      </c>
      <c r="N483" s="6" t="s">
        <v>23</v>
      </c>
      <c r="O483" s="6" t="str">
        <f>SUMIFS([1]order_sku_sales_bb2_report!P:P,[1]order_sku_sales_bb2_report!H:H,C28257,[1]order_sku_sales_bb2_report!J:J,H28257)</f>
        <v>#ERROR!</v>
      </c>
      <c r="P483" s="6" t="str">
        <f>SUMIFS([1]order_sku_sales_bb2_report!O:O,[1]order_sku_sales_bb2_report!H:H,C28257,[1]order_sku_sales_bb2_report!J:J,H28257)</f>
        <v>#ERROR!</v>
      </c>
      <c r="Q483" s="6" t="str">
        <f t="shared" si="1"/>
        <v>22-12-2025</v>
      </c>
      <c r="R483" s="6" t="str">
        <f>IFERROR( VLOOKUP(C28257,[1]expressOrderReport!$S:$AZ,34,0),0)</f>
        <v>#ERROR!</v>
      </c>
      <c r="S483" s="6" t="str">
        <f>ARRAY_CONSTRAIN(ARRAYFORMULA(_xludf.XLOOKUP(D28257,[1]order_Report_SA_ID_BB2.0!V:V,[1]order_Report_SA_ID_BB2.0!AM:AM,"")), 1, 1)</f>
        <v>#ERROR!</v>
      </c>
      <c r="T483" s="6" t="str">
        <f t="shared" si="2"/>
        <v>Dec'25</v>
      </c>
    </row>
    <row r="484" ht="15.75" customHeight="1">
      <c r="A484" s="5">
        <v>46013.0</v>
      </c>
      <c r="B484" s="6">
        <v>7888.0</v>
      </c>
      <c r="C484" s="6">
        <v>1.859167529E9</v>
      </c>
      <c r="D484" s="6">
        <v>7463090.0</v>
      </c>
      <c r="E484" s="6" t="s">
        <v>783</v>
      </c>
      <c r="F484" s="6" t="s">
        <v>784</v>
      </c>
      <c r="G484" s="6">
        <v>9.611412774E9</v>
      </c>
      <c r="H484" s="6">
        <v>4.0161616E7</v>
      </c>
      <c r="I484" s="6" t="s">
        <v>20</v>
      </c>
      <c r="J484" s="6" t="s">
        <v>21</v>
      </c>
      <c r="K484" s="6" t="s">
        <v>22</v>
      </c>
      <c r="L484" s="6">
        <v>52.0</v>
      </c>
      <c r="M484" s="5">
        <v>46013.0</v>
      </c>
      <c r="N484" s="6" t="s">
        <v>23</v>
      </c>
      <c r="O484" s="6" t="str">
        <f>SUMIFS([1]order_sku_sales_bb2_report!P:P,[1]order_sku_sales_bb2_report!H:H,C28258,[1]order_sku_sales_bb2_report!J:J,H28258)</f>
        <v>#ERROR!</v>
      </c>
      <c r="P484" s="6" t="str">
        <f>SUMIFS([1]order_sku_sales_bb2_report!O:O,[1]order_sku_sales_bb2_report!H:H,C28258,[1]order_sku_sales_bb2_report!J:J,H28258)</f>
        <v>#ERROR!</v>
      </c>
      <c r="Q484" s="6" t="str">
        <f t="shared" si="1"/>
        <v>22-12-2025</v>
      </c>
      <c r="R484" s="6" t="str">
        <f>IFERROR( VLOOKUP(C28258,[1]expressOrderReport!$S:$AZ,34,0),0)</f>
        <v>#ERROR!</v>
      </c>
      <c r="S484" s="6" t="str">
        <f>ARRAY_CONSTRAIN(ARRAYFORMULA(_xludf.XLOOKUP(D28258,[1]order_Report_SA_ID_BB2.0!V:V,[1]order_Report_SA_ID_BB2.0!AM:AM,"")), 1, 1)</f>
        <v>#ERROR!</v>
      </c>
      <c r="T484" s="6" t="str">
        <f t="shared" si="2"/>
        <v>Dec'25</v>
      </c>
    </row>
    <row r="485" ht="15.75" customHeight="1">
      <c r="A485" s="5">
        <v>46013.0</v>
      </c>
      <c r="B485" s="6">
        <v>7890.0</v>
      </c>
      <c r="C485" s="6">
        <v>1.859167529E9</v>
      </c>
      <c r="D485" s="6">
        <v>7463090.0</v>
      </c>
      <c r="E485" s="6" t="s">
        <v>783</v>
      </c>
      <c r="F485" s="6" t="s">
        <v>784</v>
      </c>
      <c r="G485" s="6">
        <v>9.611412774E9</v>
      </c>
      <c r="H485" s="6">
        <v>4.0149832E7</v>
      </c>
      <c r="I485" s="6" t="s">
        <v>26</v>
      </c>
      <c r="J485" s="6" t="s">
        <v>21</v>
      </c>
      <c r="K485" s="6" t="s">
        <v>22</v>
      </c>
      <c r="L485" s="6">
        <v>52.0</v>
      </c>
      <c r="M485" s="5">
        <v>46013.0</v>
      </c>
      <c r="N485" s="6" t="s">
        <v>23</v>
      </c>
      <c r="O485" s="6" t="str">
        <f>SUMIFS([1]order_sku_sales_bb2_report!P:P,[1]order_sku_sales_bb2_report!H:H,C28259,[1]order_sku_sales_bb2_report!J:J,H28259)</f>
        <v>#ERROR!</v>
      </c>
      <c r="P485" s="6" t="str">
        <f>SUMIFS([1]order_sku_sales_bb2_report!O:O,[1]order_sku_sales_bb2_report!H:H,C28259,[1]order_sku_sales_bb2_report!J:J,H28259)</f>
        <v>#ERROR!</v>
      </c>
      <c r="Q485" s="6" t="str">
        <f t="shared" si="1"/>
        <v>22-12-2025</v>
      </c>
      <c r="R485" s="6" t="str">
        <f>IFERROR( VLOOKUP(C28259,[1]expressOrderReport!$S:$AZ,34,0),0)</f>
        <v>#ERROR!</v>
      </c>
      <c r="S485" s="6" t="str">
        <f>ARRAY_CONSTRAIN(ARRAYFORMULA(_xludf.XLOOKUP(D28259,[1]order_Report_SA_ID_BB2.0!V:V,[1]order_Report_SA_ID_BB2.0!AM:AM,"")), 1, 1)</f>
        <v>#ERROR!</v>
      </c>
      <c r="T485" s="6" t="str">
        <f t="shared" si="2"/>
        <v>Dec'25</v>
      </c>
    </row>
    <row r="486" ht="15.75" customHeight="1">
      <c r="A486" s="5">
        <v>46013.0</v>
      </c>
      <c r="B486" s="6">
        <v>7897.0</v>
      </c>
      <c r="C486" s="6">
        <v>1.85916754E9</v>
      </c>
      <c r="D486" s="6">
        <v>2.4925222E7</v>
      </c>
      <c r="E486" s="6" t="s">
        <v>625</v>
      </c>
      <c r="F486" s="6" t="s">
        <v>785</v>
      </c>
      <c r="G486" s="6">
        <v>8.892690203E9</v>
      </c>
      <c r="H486" s="6">
        <v>4.0148723E7</v>
      </c>
      <c r="I486" s="6" t="s">
        <v>69</v>
      </c>
      <c r="J486" s="6" t="s">
        <v>21</v>
      </c>
      <c r="K486" s="6" t="s">
        <v>22</v>
      </c>
      <c r="L486" s="6">
        <v>108.0</v>
      </c>
      <c r="M486" s="5">
        <v>46013.0</v>
      </c>
      <c r="N486" s="6" t="s">
        <v>23</v>
      </c>
      <c r="O486" s="6" t="str">
        <f>SUMIFS([1]order_sku_sales_bb2_report!P:P,[1]order_sku_sales_bb2_report!H:H,C28260,[1]order_sku_sales_bb2_report!J:J,H28260)</f>
        <v>#ERROR!</v>
      </c>
      <c r="P486" s="6" t="str">
        <f>SUMIFS([1]order_sku_sales_bb2_report!O:O,[1]order_sku_sales_bb2_report!H:H,C28260,[1]order_sku_sales_bb2_report!J:J,H28260)</f>
        <v>#ERROR!</v>
      </c>
      <c r="Q486" s="6" t="str">
        <f t="shared" si="1"/>
        <v>22-12-2025</v>
      </c>
      <c r="R486" s="6" t="str">
        <f>IFERROR( VLOOKUP(C28260,[1]expressOrderReport!$S:$AZ,34,0),0)</f>
        <v>#ERROR!</v>
      </c>
      <c r="S486" s="6" t="str">
        <f>ARRAY_CONSTRAIN(ARRAYFORMULA(_xludf.XLOOKUP(D28260,[1]order_Report_SA_ID_BB2.0!V:V,[1]order_Report_SA_ID_BB2.0!AM:AM,"")), 1, 1)</f>
        <v>#ERROR!</v>
      </c>
      <c r="T486" s="6" t="str">
        <f t="shared" si="2"/>
        <v>Dec'25</v>
      </c>
    </row>
    <row r="487" ht="15.75" customHeight="1">
      <c r="A487" s="5">
        <v>46013.0</v>
      </c>
      <c r="B487" s="6">
        <v>7898.0</v>
      </c>
      <c r="C487" s="6">
        <v>1.85916754E9</v>
      </c>
      <c r="D487" s="6">
        <v>2.4925222E7</v>
      </c>
      <c r="E487" s="6" t="s">
        <v>625</v>
      </c>
      <c r="F487" s="6" t="s">
        <v>785</v>
      </c>
      <c r="G487" s="6">
        <v>8.892690203E9</v>
      </c>
      <c r="H487" s="6">
        <v>4.0149832E7</v>
      </c>
      <c r="I487" s="6" t="s">
        <v>26</v>
      </c>
      <c r="J487" s="6" t="s">
        <v>21</v>
      </c>
      <c r="K487" s="6" t="s">
        <v>22</v>
      </c>
      <c r="L487" s="6">
        <v>108.0</v>
      </c>
      <c r="M487" s="5">
        <v>46013.0</v>
      </c>
      <c r="N487" s="6" t="s">
        <v>23</v>
      </c>
      <c r="O487" s="6" t="str">
        <f>SUMIFS([1]order_sku_sales_bb2_report!P:P,[1]order_sku_sales_bb2_report!H:H,C28261,[1]order_sku_sales_bb2_report!J:J,H28261)</f>
        <v>#ERROR!</v>
      </c>
      <c r="P487" s="6" t="str">
        <f>SUMIFS([1]order_sku_sales_bb2_report!O:O,[1]order_sku_sales_bb2_report!H:H,C28261,[1]order_sku_sales_bb2_report!J:J,H28261)</f>
        <v>#ERROR!</v>
      </c>
      <c r="Q487" s="6" t="str">
        <f t="shared" si="1"/>
        <v>22-12-2025</v>
      </c>
      <c r="R487" s="6" t="str">
        <f>IFERROR( VLOOKUP(C28261,[1]expressOrderReport!$S:$AZ,34,0),0)</f>
        <v>#ERROR!</v>
      </c>
      <c r="S487" s="6" t="str">
        <f>ARRAY_CONSTRAIN(ARRAYFORMULA(_xludf.XLOOKUP(D28261,[1]order_Report_SA_ID_BB2.0!V:V,[1]order_Report_SA_ID_BB2.0!AM:AM,"")), 1, 1)</f>
        <v>#ERROR!</v>
      </c>
      <c r="T487" s="6" t="str">
        <f t="shared" si="2"/>
        <v>Dec'25</v>
      </c>
    </row>
    <row r="488" ht="15.75" customHeight="1">
      <c r="A488" s="5">
        <v>46013.0</v>
      </c>
      <c r="B488" s="6">
        <v>11940.0</v>
      </c>
      <c r="C488" s="6">
        <v>1.859167549E9</v>
      </c>
      <c r="D488" s="6">
        <v>562068.0</v>
      </c>
      <c r="E488" s="6" t="s">
        <v>786</v>
      </c>
      <c r="F488" s="6" t="s">
        <v>787</v>
      </c>
      <c r="G488" s="6">
        <v>8.333864623E9</v>
      </c>
      <c r="H488" s="6">
        <v>4.007376E7</v>
      </c>
      <c r="I488" s="6" t="s">
        <v>687</v>
      </c>
      <c r="J488" s="6" t="s">
        <v>21</v>
      </c>
      <c r="K488" s="6" t="s">
        <v>22</v>
      </c>
      <c r="L488" s="6">
        <v>45.6</v>
      </c>
      <c r="M488" s="5">
        <v>46013.0</v>
      </c>
      <c r="N488" s="6" t="s">
        <v>54</v>
      </c>
      <c r="O488" s="6" t="str">
        <f>SUMIFS([1]order_sku_sales_bb2_report!P:P,[1]order_sku_sales_bb2_report!H:H,C28262,[1]order_sku_sales_bb2_report!J:J,H28262)</f>
        <v>#ERROR!</v>
      </c>
      <c r="P488" s="6" t="str">
        <f>SUMIFS([1]order_sku_sales_bb2_report!O:O,[1]order_sku_sales_bb2_report!H:H,C28262,[1]order_sku_sales_bb2_report!J:J,H28262)</f>
        <v>#ERROR!</v>
      </c>
      <c r="Q488" s="6" t="str">
        <f t="shared" si="1"/>
        <v>22-12-2025</v>
      </c>
      <c r="R488" s="6" t="str">
        <f>IFERROR( VLOOKUP(C28262,[1]expressOrderReport!$S:$AZ,34,0),0)</f>
        <v>#ERROR!</v>
      </c>
      <c r="S488" s="6" t="str">
        <f>ARRAY_CONSTRAIN(ARRAYFORMULA(_xludf.XLOOKUP(D28262,[1]order_Report_SA_ID_BB2.0!V:V,[1]order_Report_SA_ID_BB2.0!AM:AM,"")), 1, 1)</f>
        <v>#ERROR!</v>
      </c>
      <c r="T488" s="6" t="str">
        <f t="shared" si="2"/>
        <v>Dec'25</v>
      </c>
    </row>
    <row r="489" ht="15.75" customHeight="1">
      <c r="A489" s="5">
        <v>46013.0</v>
      </c>
      <c r="B489" s="6">
        <v>7900.0</v>
      </c>
      <c r="C489" s="6">
        <v>1.859167554E9</v>
      </c>
      <c r="D489" s="6">
        <v>1.9563081E7</v>
      </c>
      <c r="E489" s="6" t="s">
        <v>788</v>
      </c>
      <c r="F489" s="6" t="s">
        <v>789</v>
      </c>
      <c r="G489" s="6">
        <v>9.5355002E9</v>
      </c>
      <c r="H489" s="6">
        <v>4.0149832E7</v>
      </c>
      <c r="I489" s="6" t="s">
        <v>26</v>
      </c>
      <c r="J489" s="6" t="s">
        <v>21</v>
      </c>
      <c r="K489" s="6" t="s">
        <v>22</v>
      </c>
      <c r="L489" s="6">
        <v>48.0</v>
      </c>
      <c r="M489" s="5">
        <v>46013.0</v>
      </c>
      <c r="N489" s="6" t="s">
        <v>23</v>
      </c>
      <c r="O489" s="6" t="str">
        <f>SUMIFS([1]order_sku_sales_bb2_report!P:P,[1]order_sku_sales_bb2_report!H:H,C28263,[1]order_sku_sales_bb2_report!J:J,H28263)</f>
        <v>#ERROR!</v>
      </c>
      <c r="P489" s="6" t="str">
        <f>SUMIFS([1]order_sku_sales_bb2_report!O:O,[1]order_sku_sales_bb2_report!H:H,C28263,[1]order_sku_sales_bb2_report!J:J,H28263)</f>
        <v>#ERROR!</v>
      </c>
      <c r="Q489" s="6" t="str">
        <f t="shared" si="1"/>
        <v>22-12-2025</v>
      </c>
      <c r="R489" s="6" t="str">
        <f>IFERROR( VLOOKUP(C28263,[1]expressOrderReport!$S:$AZ,34,0),0)</f>
        <v>#ERROR!</v>
      </c>
      <c r="S489" s="6" t="str">
        <f>ARRAY_CONSTRAIN(ARRAYFORMULA(_xludf.XLOOKUP(D28263,[1]order_Report_SA_ID_BB2.0!V:V,[1]order_Report_SA_ID_BB2.0!AM:AM,"")), 1, 1)</f>
        <v>#ERROR!</v>
      </c>
      <c r="T489" s="6" t="str">
        <f t="shared" si="2"/>
        <v>Dec'25</v>
      </c>
    </row>
    <row r="490" ht="15.75" customHeight="1">
      <c r="A490" s="5">
        <v>46013.0</v>
      </c>
      <c r="B490" s="6">
        <v>9183.0</v>
      </c>
      <c r="C490" s="6">
        <v>1.859165218E9</v>
      </c>
      <c r="D490" s="6">
        <v>1.4991528E7</v>
      </c>
      <c r="E490" s="6" t="s">
        <v>790</v>
      </c>
      <c r="F490" s="6" t="s">
        <v>791</v>
      </c>
      <c r="G490" s="6">
        <v>9.920648318E9</v>
      </c>
      <c r="H490" s="6">
        <v>4.0148716E7</v>
      </c>
      <c r="I490" s="6" t="s">
        <v>148</v>
      </c>
      <c r="J490" s="6" t="s">
        <v>21</v>
      </c>
      <c r="K490" s="6" t="s">
        <v>22</v>
      </c>
      <c r="L490" s="6">
        <v>135.0</v>
      </c>
      <c r="M490" s="5">
        <v>46013.0</v>
      </c>
      <c r="N490" s="6" t="s">
        <v>23</v>
      </c>
      <c r="O490" s="6" t="str">
        <f>SUMIFS([1]order_sku_sales_bb2_report!P:P,[1]order_sku_sales_bb2_report!H:H,C28264,[1]order_sku_sales_bb2_report!J:J,H28264)</f>
        <v>#ERROR!</v>
      </c>
      <c r="P490" s="6" t="str">
        <f>SUMIFS([1]order_sku_sales_bb2_report!O:O,[1]order_sku_sales_bb2_report!H:H,C28264,[1]order_sku_sales_bb2_report!J:J,H28264)</f>
        <v>#ERROR!</v>
      </c>
      <c r="Q490" s="6" t="str">
        <f t="shared" si="1"/>
        <v>22-12-2025</v>
      </c>
      <c r="R490" s="6" t="str">
        <f>IFERROR( VLOOKUP(C28264,[1]expressOrderReport!$S:$AZ,34,0),0)</f>
        <v>#ERROR!</v>
      </c>
      <c r="S490" s="6" t="str">
        <f>ARRAY_CONSTRAIN(ARRAYFORMULA(_xludf.XLOOKUP(D28264,[1]order_Report_SA_ID_BB2.0!V:V,[1]order_Report_SA_ID_BB2.0!AM:AM,"")), 1, 1)</f>
        <v>#ERROR!</v>
      </c>
      <c r="T490" s="6" t="str">
        <f t="shared" si="2"/>
        <v>Dec'25</v>
      </c>
    </row>
    <row r="491" ht="15.75" customHeight="1">
      <c r="A491" s="5">
        <v>46013.0</v>
      </c>
      <c r="B491" s="6">
        <v>8825.0</v>
      </c>
      <c r="C491" s="6">
        <v>1.859165227E9</v>
      </c>
      <c r="D491" s="6">
        <v>2.7735638E7</v>
      </c>
      <c r="E491" s="6" t="s">
        <v>792</v>
      </c>
      <c r="F491" s="6" t="s">
        <v>793</v>
      </c>
      <c r="G491" s="6">
        <v>9.663314268E9</v>
      </c>
      <c r="H491" s="6">
        <v>4.0161616E7</v>
      </c>
      <c r="I491" s="6" t="s">
        <v>20</v>
      </c>
      <c r="J491" s="6" t="s">
        <v>21</v>
      </c>
      <c r="K491" s="6" t="s">
        <v>22</v>
      </c>
      <c r="L491" s="6">
        <v>140.0</v>
      </c>
      <c r="M491" s="5">
        <v>46013.0</v>
      </c>
      <c r="N491" s="6" t="s">
        <v>23</v>
      </c>
      <c r="O491" s="6" t="str">
        <f>SUMIFS([1]order_sku_sales_bb2_report!P:P,[1]order_sku_sales_bb2_report!H:H,C28265,[1]order_sku_sales_bb2_report!J:J,H28265)</f>
        <v>#ERROR!</v>
      </c>
      <c r="P491" s="6" t="str">
        <f>SUMIFS([1]order_sku_sales_bb2_report!O:O,[1]order_sku_sales_bb2_report!H:H,C28265,[1]order_sku_sales_bb2_report!J:J,H28265)</f>
        <v>#ERROR!</v>
      </c>
      <c r="Q491" s="6" t="str">
        <f t="shared" si="1"/>
        <v>22-12-2025</v>
      </c>
      <c r="R491" s="6" t="str">
        <f>IFERROR( VLOOKUP(C28265,[1]expressOrderReport!$S:$AZ,34,0),0)</f>
        <v>#ERROR!</v>
      </c>
      <c r="S491" s="6" t="str">
        <f>ARRAY_CONSTRAIN(ARRAYFORMULA(_xludf.XLOOKUP(D28265,[1]order_Report_SA_ID_BB2.0!V:V,[1]order_Report_SA_ID_BB2.0!AM:AM,"")), 1, 1)</f>
        <v>#ERROR!</v>
      </c>
      <c r="T491" s="6" t="str">
        <f t="shared" si="2"/>
        <v>Dec'25</v>
      </c>
    </row>
    <row r="492" ht="15.75" customHeight="1">
      <c r="A492" s="5">
        <v>46013.0</v>
      </c>
      <c r="B492" s="6">
        <v>9654.0</v>
      </c>
      <c r="C492" s="6">
        <v>1.859165227E9</v>
      </c>
      <c r="D492" s="6">
        <v>2.7735638E7</v>
      </c>
      <c r="E492" s="6" t="s">
        <v>792</v>
      </c>
      <c r="F492" s="6" t="s">
        <v>793</v>
      </c>
      <c r="G492" s="6">
        <v>9.663314268E9</v>
      </c>
      <c r="H492" s="6">
        <v>4.014983E7</v>
      </c>
      <c r="I492" s="6" t="s">
        <v>30</v>
      </c>
      <c r="J492" s="6" t="s">
        <v>21</v>
      </c>
      <c r="K492" s="6" t="s">
        <v>22</v>
      </c>
      <c r="L492" s="6">
        <v>140.0</v>
      </c>
      <c r="M492" s="5">
        <v>46013.0</v>
      </c>
      <c r="N492" s="6" t="s">
        <v>23</v>
      </c>
      <c r="O492" s="6" t="str">
        <f>SUMIFS([1]order_sku_sales_bb2_report!P:P,[1]order_sku_sales_bb2_report!H:H,C28266,[1]order_sku_sales_bb2_report!J:J,H28266)</f>
        <v>#ERROR!</v>
      </c>
      <c r="P492" s="6" t="str">
        <f>SUMIFS([1]order_sku_sales_bb2_report!O:O,[1]order_sku_sales_bb2_report!H:H,C28266,[1]order_sku_sales_bb2_report!J:J,H28266)</f>
        <v>#ERROR!</v>
      </c>
      <c r="Q492" s="6" t="str">
        <f t="shared" si="1"/>
        <v>22-12-2025</v>
      </c>
      <c r="R492" s="6" t="str">
        <f>IFERROR( VLOOKUP(C28266,[1]expressOrderReport!$S:$AZ,34,0),0)</f>
        <v>#ERROR!</v>
      </c>
      <c r="S492" s="6" t="str">
        <f>ARRAY_CONSTRAIN(ARRAYFORMULA(_xludf.XLOOKUP(D28266,[1]order_Report_SA_ID_BB2.0!V:V,[1]order_Report_SA_ID_BB2.0!AM:AM,"")), 1, 1)</f>
        <v>#ERROR!</v>
      </c>
      <c r="T492" s="6" t="str">
        <f t="shared" si="2"/>
        <v>Dec'25</v>
      </c>
    </row>
    <row r="493" ht="15.75" customHeight="1">
      <c r="A493" s="5">
        <v>46013.0</v>
      </c>
      <c r="B493" s="6">
        <v>2744.0</v>
      </c>
      <c r="C493" s="6">
        <v>1.859165235E9</v>
      </c>
      <c r="D493" s="6">
        <v>7.430026E7</v>
      </c>
      <c r="E493" s="6" t="s">
        <v>794</v>
      </c>
      <c r="F493" s="6" t="s">
        <v>795</v>
      </c>
      <c r="G493" s="6">
        <v>9.176912051E9</v>
      </c>
      <c r="H493" s="6">
        <v>4.0148717E7</v>
      </c>
      <c r="I493" s="6" t="s">
        <v>226</v>
      </c>
      <c r="J493" s="6" t="s">
        <v>21</v>
      </c>
      <c r="K493" s="6" t="s">
        <v>22</v>
      </c>
      <c r="L493" s="6">
        <v>81.0</v>
      </c>
      <c r="M493" s="5">
        <v>46013.0</v>
      </c>
      <c r="N493" s="6" t="s">
        <v>23</v>
      </c>
      <c r="O493" s="6" t="str">
        <f>SUMIFS([1]order_sku_sales_bb2_report!P:P,[1]order_sku_sales_bb2_report!H:H,C28269,[1]order_sku_sales_bb2_report!J:J,H28269)</f>
        <v>#ERROR!</v>
      </c>
      <c r="P493" s="6" t="str">
        <f>SUMIFS([1]order_sku_sales_bb2_report!O:O,[1]order_sku_sales_bb2_report!H:H,C28269,[1]order_sku_sales_bb2_report!J:J,H28269)</f>
        <v>#ERROR!</v>
      </c>
      <c r="Q493" s="6" t="str">
        <f t="shared" si="1"/>
        <v>22-12-2025</v>
      </c>
      <c r="R493" s="6" t="str">
        <f>IFERROR( VLOOKUP(C28269,[1]expressOrderReport!$S:$AZ,34,0),0)</f>
        <v>#ERROR!</v>
      </c>
      <c r="S493" s="6" t="str">
        <f>ARRAY_CONSTRAIN(ARRAYFORMULA(_xludf.XLOOKUP(D28269,[1]order_Report_SA_ID_BB2.0!V:V,[1]order_Report_SA_ID_BB2.0!AM:AM,"")), 1, 1)</f>
        <v>#ERROR!</v>
      </c>
      <c r="T493" s="6" t="str">
        <f t="shared" si="2"/>
        <v>Dec'25</v>
      </c>
    </row>
    <row r="494" ht="15.75" customHeight="1">
      <c r="A494" s="5">
        <v>46013.0</v>
      </c>
      <c r="B494" s="6">
        <v>2750.0</v>
      </c>
      <c r="C494" s="6">
        <v>1.859165235E9</v>
      </c>
      <c r="D494" s="6">
        <v>7.430026E7</v>
      </c>
      <c r="E494" s="6" t="s">
        <v>794</v>
      </c>
      <c r="F494" s="6" t="s">
        <v>795</v>
      </c>
      <c r="G494" s="6">
        <v>9.176912051E9</v>
      </c>
      <c r="H494" s="6">
        <v>4.0161616E7</v>
      </c>
      <c r="I494" s="6" t="s">
        <v>20</v>
      </c>
      <c r="J494" s="6" t="s">
        <v>21</v>
      </c>
      <c r="K494" s="6" t="s">
        <v>22</v>
      </c>
      <c r="L494" s="6">
        <v>81.0</v>
      </c>
      <c r="M494" s="5">
        <v>46013.0</v>
      </c>
      <c r="N494" s="6" t="s">
        <v>23</v>
      </c>
      <c r="O494" s="6" t="str">
        <f>SUMIFS([1]order_sku_sales_bb2_report!P:P,[1]order_sku_sales_bb2_report!H:H,C28270,[1]order_sku_sales_bb2_report!J:J,H28270)</f>
        <v>#ERROR!</v>
      </c>
      <c r="P494" s="6" t="str">
        <f>SUMIFS([1]order_sku_sales_bb2_report!O:O,[1]order_sku_sales_bb2_report!H:H,C28270,[1]order_sku_sales_bb2_report!J:J,H28270)</f>
        <v>#ERROR!</v>
      </c>
      <c r="Q494" s="6" t="str">
        <f t="shared" si="1"/>
        <v>22-12-2025</v>
      </c>
      <c r="R494" s="6" t="str">
        <f>IFERROR( VLOOKUP(C28270,[1]expressOrderReport!$S:$AZ,34,0),0)</f>
        <v>#ERROR!</v>
      </c>
      <c r="S494" s="6" t="str">
        <f>ARRAY_CONSTRAIN(ARRAYFORMULA(_xludf.XLOOKUP(D28270,[1]order_Report_SA_ID_BB2.0!V:V,[1]order_Report_SA_ID_BB2.0!AM:AM,"")), 1, 1)</f>
        <v>#ERROR!</v>
      </c>
      <c r="T494" s="6" t="str">
        <f t="shared" si="2"/>
        <v>Dec'25</v>
      </c>
    </row>
    <row r="495" ht="15.75" customHeight="1">
      <c r="A495" s="5">
        <v>46013.0</v>
      </c>
      <c r="B495" s="6">
        <v>3309.0</v>
      </c>
      <c r="C495" s="6">
        <v>1.859165236E9</v>
      </c>
      <c r="D495" s="6">
        <v>1.5131508E7</v>
      </c>
      <c r="E495" s="6" t="s">
        <v>796</v>
      </c>
      <c r="F495" s="6" t="s">
        <v>797</v>
      </c>
      <c r="G495" s="6">
        <v>9.945732934E9</v>
      </c>
      <c r="H495" s="6">
        <v>4.0047739E7</v>
      </c>
      <c r="I495" s="6" t="s">
        <v>180</v>
      </c>
      <c r="J495" s="6" t="s">
        <v>21</v>
      </c>
      <c r="K495" s="6" t="s">
        <v>22</v>
      </c>
      <c r="L495" s="6">
        <v>34.0</v>
      </c>
      <c r="M495" s="5">
        <v>46013.0</v>
      </c>
      <c r="N495" s="6" t="s">
        <v>23</v>
      </c>
      <c r="O495" s="6" t="str">
        <f>SUMIFS([1]order_sku_sales_bb2_report!P:P,[1]order_sku_sales_bb2_report!H:H,C28271,[1]order_sku_sales_bb2_report!J:J,H28271)</f>
        <v>#ERROR!</v>
      </c>
      <c r="P495" s="6" t="str">
        <f>SUMIFS([1]order_sku_sales_bb2_report!O:O,[1]order_sku_sales_bb2_report!H:H,C28271,[1]order_sku_sales_bb2_report!J:J,H28271)</f>
        <v>#ERROR!</v>
      </c>
      <c r="Q495" s="6" t="str">
        <f t="shared" si="1"/>
        <v>22-12-2025</v>
      </c>
      <c r="R495" s="6" t="str">
        <f>IFERROR( VLOOKUP(C28271,[1]expressOrderReport!$S:$AZ,34,0),0)</f>
        <v>#ERROR!</v>
      </c>
      <c r="S495" s="6" t="str">
        <f>ARRAY_CONSTRAIN(ARRAYFORMULA(_xludf.XLOOKUP(D28271,[1]order_Report_SA_ID_BB2.0!V:V,[1]order_Report_SA_ID_BB2.0!AM:AM,"")), 1, 1)</f>
        <v>#ERROR!</v>
      </c>
      <c r="T495" s="6" t="str">
        <f t="shared" si="2"/>
        <v>Dec'25</v>
      </c>
    </row>
    <row r="496" ht="15.75" customHeight="1">
      <c r="A496" s="5">
        <v>46013.0</v>
      </c>
      <c r="B496" s="6">
        <v>5458.0</v>
      </c>
      <c r="C496" s="6">
        <v>1.859165242E9</v>
      </c>
      <c r="D496" s="6">
        <v>3.248774E7</v>
      </c>
      <c r="E496" s="6" t="s">
        <v>798</v>
      </c>
      <c r="F496" s="6" t="s">
        <v>799</v>
      </c>
      <c r="G496" s="6">
        <v>9.629141061E9</v>
      </c>
      <c r="H496" s="6">
        <v>4.0149832E7</v>
      </c>
      <c r="I496" s="6" t="s">
        <v>26</v>
      </c>
      <c r="J496" s="6" t="s">
        <v>21</v>
      </c>
      <c r="K496" s="6" t="s">
        <v>27</v>
      </c>
      <c r="L496" s="6">
        <v>76.0</v>
      </c>
      <c r="M496" s="5">
        <v>46013.0</v>
      </c>
      <c r="N496" s="6" t="s">
        <v>23</v>
      </c>
      <c r="O496" s="6" t="str">
        <f>SUMIFS([1]order_sku_sales_bb2_report!P:P,[1]order_sku_sales_bb2_report!H:H,C28272,[1]order_sku_sales_bb2_report!J:J,H28272)</f>
        <v>#ERROR!</v>
      </c>
      <c r="P496" s="6" t="str">
        <f>SUMIFS([1]order_sku_sales_bb2_report!O:O,[1]order_sku_sales_bb2_report!H:H,C28272,[1]order_sku_sales_bb2_report!J:J,H28272)</f>
        <v>#ERROR!</v>
      </c>
      <c r="Q496" s="6" t="str">
        <f t="shared" si="1"/>
        <v>22-12-2025</v>
      </c>
      <c r="R496" s="6" t="str">
        <f>IFERROR( VLOOKUP(C28272,[1]expressOrderReport!$S:$AZ,34,0),0)</f>
        <v>#ERROR!</v>
      </c>
      <c r="S496" s="6" t="str">
        <f>ARRAY_CONSTRAIN(ARRAYFORMULA(_xludf.XLOOKUP(D28272,[1]order_Report_SA_ID_BB2.0!V:V,[1]order_Report_SA_ID_BB2.0!AM:AM,"")), 1, 1)</f>
        <v>#ERROR!</v>
      </c>
      <c r="T496" s="6" t="str">
        <f t="shared" si="2"/>
        <v>Dec'25</v>
      </c>
    </row>
    <row r="497" ht="15.75" customHeight="1">
      <c r="A497" s="5">
        <v>46013.0</v>
      </c>
      <c r="B497" s="6">
        <v>5459.0</v>
      </c>
      <c r="C497" s="6">
        <v>1.859165242E9</v>
      </c>
      <c r="D497" s="6">
        <v>3.248774E7</v>
      </c>
      <c r="E497" s="6" t="s">
        <v>798</v>
      </c>
      <c r="F497" s="6" t="s">
        <v>799</v>
      </c>
      <c r="G497" s="6">
        <v>9.629141061E9</v>
      </c>
      <c r="H497" s="6">
        <v>4.014983E7</v>
      </c>
      <c r="I497" s="6" t="s">
        <v>30</v>
      </c>
      <c r="J497" s="6" t="s">
        <v>21</v>
      </c>
      <c r="K497" s="6" t="s">
        <v>22</v>
      </c>
      <c r="L497" s="6">
        <v>76.0</v>
      </c>
      <c r="M497" s="5">
        <v>46013.0</v>
      </c>
      <c r="N497" s="6" t="s">
        <v>23</v>
      </c>
      <c r="O497" s="6" t="str">
        <f>SUMIFS([1]order_sku_sales_bb2_report!P:P,[1]order_sku_sales_bb2_report!H:H,C28273,[1]order_sku_sales_bb2_report!J:J,H28273)</f>
        <v>#ERROR!</v>
      </c>
      <c r="P497" s="6" t="str">
        <f>SUMIFS([1]order_sku_sales_bb2_report!O:O,[1]order_sku_sales_bb2_report!H:H,C28273,[1]order_sku_sales_bb2_report!J:J,H28273)</f>
        <v>#ERROR!</v>
      </c>
      <c r="Q497" s="6" t="str">
        <f t="shared" si="1"/>
        <v>22-12-2025</v>
      </c>
      <c r="R497" s="6" t="str">
        <f>IFERROR( VLOOKUP(C28273,[1]expressOrderReport!$S:$AZ,34,0),0)</f>
        <v>#ERROR!</v>
      </c>
      <c r="S497" s="6" t="str">
        <f>ARRAY_CONSTRAIN(ARRAYFORMULA(_xludf.XLOOKUP(D28273,[1]order_Report_SA_ID_BB2.0!V:V,[1]order_Report_SA_ID_BB2.0!AM:AM,"")), 1, 1)</f>
        <v>#ERROR!</v>
      </c>
      <c r="T497" s="6" t="str">
        <f t="shared" si="2"/>
        <v>Dec'25</v>
      </c>
    </row>
    <row r="498" ht="15.75" customHeight="1">
      <c r="A498" s="5">
        <v>46013.0</v>
      </c>
      <c r="B498" s="6">
        <v>4995.0</v>
      </c>
      <c r="C498" s="6">
        <v>1.859165249E9</v>
      </c>
      <c r="D498" s="6">
        <v>731287.0</v>
      </c>
      <c r="E498" s="6" t="s">
        <v>800</v>
      </c>
      <c r="F498" s="6" t="s">
        <v>801</v>
      </c>
      <c r="G498" s="6">
        <v>7.762879339E9</v>
      </c>
      <c r="H498" s="6">
        <v>4.0147597E7</v>
      </c>
      <c r="I498" s="6" t="s">
        <v>59</v>
      </c>
      <c r="J498" s="6" t="s">
        <v>21</v>
      </c>
      <c r="K498" s="6" t="s">
        <v>22</v>
      </c>
      <c r="L498" s="6">
        <v>26.0</v>
      </c>
      <c r="M498" s="5">
        <v>46013.0</v>
      </c>
      <c r="N498" s="6" t="s">
        <v>23</v>
      </c>
      <c r="O498" s="6" t="str">
        <f>SUMIFS([1]order_sku_sales_bb2_report!P:P,[1]order_sku_sales_bb2_report!H:H,C28274,[1]order_sku_sales_bb2_report!J:J,H28274)</f>
        <v>#ERROR!</v>
      </c>
      <c r="P498" s="6" t="str">
        <f>SUMIFS([1]order_sku_sales_bb2_report!O:O,[1]order_sku_sales_bb2_report!H:H,C28274,[1]order_sku_sales_bb2_report!J:J,H28274)</f>
        <v>#ERROR!</v>
      </c>
      <c r="Q498" s="6" t="str">
        <f t="shared" si="1"/>
        <v>22-12-2025</v>
      </c>
      <c r="R498" s="6" t="str">
        <f>IFERROR( VLOOKUP(C28274,[1]expressOrderReport!$S:$AZ,34,0),0)</f>
        <v>#ERROR!</v>
      </c>
      <c r="S498" s="6" t="str">
        <f>ARRAY_CONSTRAIN(ARRAYFORMULA(_xludf.XLOOKUP(D28274,[1]order_Report_SA_ID_BB2.0!V:V,[1]order_Report_SA_ID_BB2.0!AM:AM,"")), 1, 1)</f>
        <v>#ERROR!</v>
      </c>
      <c r="T498" s="6" t="str">
        <f t="shared" si="2"/>
        <v>Dec'25</v>
      </c>
    </row>
    <row r="499" ht="15.75" customHeight="1">
      <c r="A499" s="5">
        <v>46013.0</v>
      </c>
      <c r="B499" s="6">
        <v>8595.0</v>
      </c>
      <c r="C499" s="6">
        <v>1.859165259E9</v>
      </c>
      <c r="D499" s="6">
        <v>1470945.0</v>
      </c>
      <c r="E499" s="6" t="s">
        <v>802</v>
      </c>
      <c r="F499" s="6" t="s">
        <v>803</v>
      </c>
      <c r="G499" s="6">
        <v>8.86120192E9</v>
      </c>
      <c r="H499" s="6">
        <v>4.0149833E7</v>
      </c>
      <c r="I499" s="6" t="s">
        <v>40</v>
      </c>
      <c r="J499" s="6" t="s">
        <v>21</v>
      </c>
      <c r="K499" s="6" t="s">
        <v>22</v>
      </c>
      <c r="L499" s="6">
        <v>54.0</v>
      </c>
      <c r="M499" s="5">
        <v>46013.0</v>
      </c>
      <c r="N499" s="6" t="s">
        <v>23</v>
      </c>
      <c r="O499" s="6" t="str">
        <f>SUMIFS([1]order_sku_sales_bb2_report!P:P,[1]order_sku_sales_bb2_report!H:H,C28275,[1]order_sku_sales_bb2_report!J:J,H28275)</f>
        <v>#ERROR!</v>
      </c>
      <c r="P499" s="6" t="str">
        <f>SUMIFS([1]order_sku_sales_bb2_report!O:O,[1]order_sku_sales_bb2_report!H:H,C28275,[1]order_sku_sales_bb2_report!J:J,H28275)</f>
        <v>#ERROR!</v>
      </c>
      <c r="Q499" s="6" t="str">
        <f t="shared" si="1"/>
        <v>22-12-2025</v>
      </c>
      <c r="R499" s="6" t="str">
        <f>IFERROR( VLOOKUP(C28275,[1]expressOrderReport!$S:$AZ,34,0),0)</f>
        <v>#ERROR!</v>
      </c>
      <c r="S499" s="6" t="str">
        <f>ARRAY_CONSTRAIN(ARRAYFORMULA(_xludf.XLOOKUP(D28275,[1]order_Report_SA_ID_BB2.0!V:V,[1]order_Report_SA_ID_BB2.0!AM:AM,"")), 1, 1)</f>
        <v>#ERROR!</v>
      </c>
      <c r="T499" s="6" t="str">
        <f t="shared" si="2"/>
        <v>Dec'25</v>
      </c>
    </row>
    <row r="500" ht="15.75" customHeight="1">
      <c r="A500" s="5">
        <v>46013.0</v>
      </c>
      <c r="B500" s="6">
        <v>5870.0</v>
      </c>
      <c r="C500" s="6">
        <v>1.859165269E9</v>
      </c>
      <c r="D500" s="6">
        <v>2858681.0</v>
      </c>
      <c r="E500" s="6" t="s">
        <v>804</v>
      </c>
      <c r="F500" s="6" t="s">
        <v>805</v>
      </c>
      <c r="G500" s="6">
        <v>9.9803011E9</v>
      </c>
      <c r="H500" s="6">
        <v>4.0149833E7</v>
      </c>
      <c r="I500" s="6" t="s">
        <v>40</v>
      </c>
      <c r="J500" s="6" t="s">
        <v>21</v>
      </c>
      <c r="K500" s="6" t="s">
        <v>22</v>
      </c>
      <c r="L500" s="6">
        <v>27.0</v>
      </c>
      <c r="M500" s="5">
        <v>46013.0</v>
      </c>
      <c r="N500" s="6" t="s">
        <v>23</v>
      </c>
      <c r="O500" s="6" t="str">
        <f>SUMIFS([1]order_sku_sales_bb2_report!P:P,[1]order_sku_sales_bb2_report!H:H,C28277,[1]order_sku_sales_bb2_report!J:J,H28277)</f>
        <v>#ERROR!</v>
      </c>
      <c r="P500" s="6" t="str">
        <f>SUMIFS([1]order_sku_sales_bb2_report!O:O,[1]order_sku_sales_bb2_report!H:H,C28277,[1]order_sku_sales_bb2_report!J:J,H28277)</f>
        <v>#ERROR!</v>
      </c>
      <c r="Q500" s="6" t="str">
        <f t="shared" si="1"/>
        <v>22-12-2025</v>
      </c>
      <c r="R500" s="6" t="str">
        <f>IFERROR( VLOOKUP(C28277,[1]expressOrderReport!$S:$AZ,34,0),0)</f>
        <v>#ERROR!</v>
      </c>
      <c r="S500" s="6" t="str">
        <f>ARRAY_CONSTRAIN(ARRAYFORMULA(_xludf.XLOOKUP(D28277,[1]order_Report_SA_ID_BB2.0!V:V,[1]order_Report_SA_ID_BB2.0!AM:AM,"")), 1, 1)</f>
        <v>#ERROR!</v>
      </c>
      <c r="T500" s="6" t="str">
        <f t="shared" si="2"/>
        <v>Dec'25</v>
      </c>
    </row>
    <row r="501" ht="15.75" customHeight="1">
      <c r="A501" s="5">
        <v>46013.0</v>
      </c>
      <c r="B501" s="6">
        <v>9497.0</v>
      </c>
      <c r="C501" s="6">
        <v>1.859165276E9</v>
      </c>
      <c r="D501" s="6">
        <v>2.382372E7</v>
      </c>
      <c r="E501" s="6" t="s">
        <v>806</v>
      </c>
      <c r="F501" s="6" t="s">
        <v>807</v>
      </c>
      <c r="G501" s="6">
        <v>9.448581659E9</v>
      </c>
      <c r="H501" s="6">
        <v>4.0158264E7</v>
      </c>
      <c r="I501" s="6" t="s">
        <v>26</v>
      </c>
      <c r="J501" s="6" t="s">
        <v>21</v>
      </c>
      <c r="K501" s="6" t="s">
        <v>27</v>
      </c>
      <c r="L501" s="6">
        <v>46.0</v>
      </c>
      <c r="M501" s="5">
        <v>46013.0</v>
      </c>
      <c r="N501" s="6" t="s">
        <v>23</v>
      </c>
      <c r="O501" s="6" t="str">
        <f>SUMIFS([1]order_sku_sales_bb2_report!P:P,[1]order_sku_sales_bb2_report!H:H,C28278,[1]order_sku_sales_bb2_report!J:J,H28278)</f>
        <v>#ERROR!</v>
      </c>
      <c r="P501" s="6" t="str">
        <f>SUMIFS([1]order_sku_sales_bb2_report!O:O,[1]order_sku_sales_bb2_report!H:H,C28278,[1]order_sku_sales_bb2_report!J:J,H28278)</f>
        <v>#ERROR!</v>
      </c>
      <c r="Q501" s="6" t="str">
        <f t="shared" si="1"/>
        <v>22-12-2025</v>
      </c>
      <c r="R501" s="6" t="str">
        <f>IFERROR( VLOOKUP(C28278,[1]expressOrderReport!$S:$AZ,34,0),0)</f>
        <v>#ERROR!</v>
      </c>
      <c r="S501" s="6" t="str">
        <f>ARRAY_CONSTRAIN(ARRAYFORMULA(_xludf.XLOOKUP(D28278,[1]order_Report_SA_ID_BB2.0!V:V,[1]order_Report_SA_ID_BB2.0!AM:AM,"")), 1, 1)</f>
        <v>#ERROR!</v>
      </c>
      <c r="T501" s="6" t="str">
        <f t="shared" si="2"/>
        <v>Dec'25</v>
      </c>
    </row>
    <row r="502" ht="15.75" customHeight="1">
      <c r="A502" s="5">
        <v>46013.0</v>
      </c>
      <c r="B502" s="6">
        <v>7406.0</v>
      </c>
      <c r="C502" s="6">
        <v>1.859165281E9</v>
      </c>
      <c r="D502" s="6">
        <v>1962532.0</v>
      </c>
      <c r="E502" s="6" t="s">
        <v>808</v>
      </c>
      <c r="F502" s="6" t="s">
        <v>809</v>
      </c>
      <c r="G502" s="6">
        <v>9.972077233E9</v>
      </c>
      <c r="H502" s="6">
        <v>4.0149833E7</v>
      </c>
      <c r="I502" s="6" t="s">
        <v>40</v>
      </c>
      <c r="J502" s="6" t="s">
        <v>21</v>
      </c>
      <c r="K502" s="6" t="s">
        <v>22</v>
      </c>
      <c r="L502" s="6">
        <v>54.0</v>
      </c>
      <c r="M502" s="5">
        <v>46013.0</v>
      </c>
      <c r="N502" s="6" t="s">
        <v>23</v>
      </c>
      <c r="O502" s="6" t="str">
        <f>SUMIFS([1]order_sku_sales_bb2_report!P:P,[1]order_sku_sales_bb2_report!H:H,C28279,[1]order_sku_sales_bb2_report!J:J,H28279)</f>
        <v>#ERROR!</v>
      </c>
      <c r="P502" s="6" t="str">
        <f>SUMIFS([1]order_sku_sales_bb2_report!O:O,[1]order_sku_sales_bb2_report!H:H,C28279,[1]order_sku_sales_bb2_report!J:J,H28279)</f>
        <v>#ERROR!</v>
      </c>
      <c r="Q502" s="6" t="str">
        <f t="shared" si="1"/>
        <v>22-12-2025</v>
      </c>
      <c r="R502" s="6" t="str">
        <f>IFERROR( VLOOKUP(C28279,[1]expressOrderReport!$S:$AZ,34,0),0)</f>
        <v>#ERROR!</v>
      </c>
      <c r="S502" s="6" t="str">
        <f>ARRAY_CONSTRAIN(ARRAYFORMULA(_xludf.XLOOKUP(D28279,[1]order_Report_SA_ID_BB2.0!V:V,[1]order_Report_SA_ID_BB2.0!AM:AM,"")), 1, 1)</f>
        <v>#ERROR!</v>
      </c>
      <c r="T502" s="6" t="str">
        <f t="shared" si="2"/>
        <v>Dec'25</v>
      </c>
    </row>
    <row r="503" ht="15.75" customHeight="1">
      <c r="A503" s="5">
        <v>46013.0</v>
      </c>
      <c r="B503" s="6">
        <v>10760.0</v>
      </c>
      <c r="C503" s="6">
        <v>1.859165285E9</v>
      </c>
      <c r="D503" s="6">
        <v>4393467.0</v>
      </c>
      <c r="E503" s="6" t="s">
        <v>810</v>
      </c>
      <c r="F503" s="6" t="s">
        <v>811</v>
      </c>
      <c r="G503" s="6">
        <v>9.874740727E9</v>
      </c>
      <c r="H503" s="6">
        <v>1.00285703E8</v>
      </c>
      <c r="I503" s="6" t="s">
        <v>812</v>
      </c>
      <c r="J503" s="6" t="s">
        <v>21</v>
      </c>
      <c r="K503" s="6" t="s">
        <v>22</v>
      </c>
      <c r="L503" s="6">
        <v>68.0</v>
      </c>
      <c r="M503" s="5">
        <v>46013.0</v>
      </c>
      <c r="N503" s="6" t="s">
        <v>23</v>
      </c>
      <c r="O503" s="6" t="str">
        <f>SUMIFS([1]order_sku_sales_bb2_report!P:P,[1]order_sku_sales_bb2_report!H:H,C28280,[1]order_sku_sales_bb2_report!J:J,H28280)</f>
        <v>#ERROR!</v>
      </c>
      <c r="P503" s="6" t="str">
        <f>SUMIFS([1]order_sku_sales_bb2_report!O:O,[1]order_sku_sales_bb2_report!H:H,C28280,[1]order_sku_sales_bb2_report!J:J,H28280)</f>
        <v>#ERROR!</v>
      </c>
      <c r="Q503" s="6" t="str">
        <f t="shared" si="1"/>
        <v>22-12-2025</v>
      </c>
      <c r="R503" s="6" t="str">
        <f>IFERROR( VLOOKUP(C28280,[1]expressOrderReport!$S:$AZ,34,0),0)</f>
        <v>#ERROR!</v>
      </c>
      <c r="S503" s="6" t="str">
        <f>ARRAY_CONSTRAIN(ARRAYFORMULA(_xludf.XLOOKUP(D28280,[1]order_Report_SA_ID_BB2.0!V:V,[1]order_Report_SA_ID_BB2.0!AM:AM,"")), 1, 1)</f>
        <v>#ERROR!</v>
      </c>
      <c r="T503" s="6" t="str">
        <f t="shared" si="2"/>
        <v>Dec'25</v>
      </c>
    </row>
    <row r="504" ht="15.75" customHeight="1">
      <c r="A504" s="5">
        <v>46013.0</v>
      </c>
      <c r="B504" s="6">
        <v>6307.0</v>
      </c>
      <c r="C504" s="6">
        <v>1.859165293E9</v>
      </c>
      <c r="D504" s="6">
        <v>1317056.0</v>
      </c>
      <c r="E504" s="6" t="s">
        <v>813</v>
      </c>
      <c r="F504" s="6" t="s">
        <v>814</v>
      </c>
      <c r="G504" s="6">
        <v>9.810045799E9</v>
      </c>
      <c r="H504" s="6">
        <v>242673.0</v>
      </c>
      <c r="I504" s="6" t="s">
        <v>815</v>
      </c>
      <c r="J504" s="6" t="s">
        <v>21</v>
      </c>
      <c r="K504" s="6" t="s">
        <v>22</v>
      </c>
      <c r="L504" s="6">
        <v>155.0</v>
      </c>
      <c r="M504" s="5">
        <v>46013.0</v>
      </c>
      <c r="N504" s="6" t="s">
        <v>23</v>
      </c>
      <c r="O504" s="6" t="str">
        <f>SUMIFS([1]order_sku_sales_bb2_report!P:P,[1]order_sku_sales_bb2_report!H:H,C28281,[1]order_sku_sales_bb2_report!J:J,H28281)</f>
        <v>#ERROR!</v>
      </c>
      <c r="P504" s="6" t="str">
        <f>SUMIFS([1]order_sku_sales_bb2_report!O:O,[1]order_sku_sales_bb2_report!H:H,C28281,[1]order_sku_sales_bb2_report!J:J,H28281)</f>
        <v>#ERROR!</v>
      </c>
      <c r="Q504" s="6" t="str">
        <f t="shared" si="1"/>
        <v>22-12-2025</v>
      </c>
      <c r="R504" s="6" t="str">
        <f>IFERROR( VLOOKUP(C28281,[1]expressOrderReport!$S:$AZ,34,0),0)</f>
        <v>#ERROR!</v>
      </c>
      <c r="S504" s="6" t="str">
        <f>ARRAY_CONSTRAIN(ARRAYFORMULA(_xludf.XLOOKUP(D28281,[1]order_Report_SA_ID_BB2.0!V:V,[1]order_Report_SA_ID_BB2.0!AM:AM,"")), 1, 1)</f>
        <v>#ERROR!</v>
      </c>
      <c r="T504" s="6" t="str">
        <f t="shared" si="2"/>
        <v>Dec'25</v>
      </c>
    </row>
    <row r="505" ht="15.75" customHeight="1">
      <c r="A505" s="5">
        <v>46013.0</v>
      </c>
      <c r="B505" s="6">
        <v>6308.0</v>
      </c>
      <c r="C505" s="6">
        <v>1.859165293E9</v>
      </c>
      <c r="D505" s="6">
        <v>1317056.0</v>
      </c>
      <c r="E505" s="6" t="s">
        <v>813</v>
      </c>
      <c r="F505" s="6" t="s">
        <v>814</v>
      </c>
      <c r="G505" s="6">
        <v>9.810045799E9</v>
      </c>
      <c r="H505" s="6">
        <v>4.0240134E7</v>
      </c>
      <c r="I505" s="6" t="s">
        <v>816</v>
      </c>
      <c r="J505" s="6" t="s">
        <v>21</v>
      </c>
      <c r="K505" s="6" t="s">
        <v>22</v>
      </c>
      <c r="L505" s="6">
        <v>155.0</v>
      </c>
      <c r="M505" s="5">
        <v>46013.0</v>
      </c>
      <c r="N505" s="6" t="s">
        <v>23</v>
      </c>
      <c r="O505" s="6" t="str">
        <f>SUMIFS([1]order_sku_sales_bb2_report!P:P,[1]order_sku_sales_bb2_report!H:H,C28282,[1]order_sku_sales_bb2_report!J:J,H28282)</f>
        <v>#ERROR!</v>
      </c>
      <c r="P505" s="6" t="str">
        <f>SUMIFS([1]order_sku_sales_bb2_report!O:O,[1]order_sku_sales_bb2_report!H:H,C28282,[1]order_sku_sales_bb2_report!J:J,H28282)</f>
        <v>#ERROR!</v>
      </c>
      <c r="Q505" s="6" t="str">
        <f t="shared" si="1"/>
        <v>22-12-2025</v>
      </c>
      <c r="R505" s="6" t="str">
        <f>IFERROR( VLOOKUP(C28282,[1]expressOrderReport!$S:$AZ,34,0),0)</f>
        <v>#ERROR!</v>
      </c>
      <c r="S505" s="6" t="str">
        <f>ARRAY_CONSTRAIN(ARRAYFORMULA(_xludf.XLOOKUP(D28282,[1]order_Report_SA_ID_BB2.0!V:V,[1]order_Report_SA_ID_BB2.0!AM:AM,"")), 1, 1)</f>
        <v>#ERROR!</v>
      </c>
      <c r="T505" s="6" t="str">
        <f t="shared" si="2"/>
        <v>Dec'25</v>
      </c>
    </row>
    <row r="506" ht="15.75" customHeight="1">
      <c r="A506" s="5">
        <v>46013.0</v>
      </c>
      <c r="B506" s="6">
        <v>11298.0</v>
      </c>
      <c r="C506" s="6">
        <v>1.859165293E9</v>
      </c>
      <c r="D506" s="6">
        <v>1317056.0</v>
      </c>
      <c r="E506" s="6" t="s">
        <v>813</v>
      </c>
      <c r="F506" s="6" t="s">
        <v>814</v>
      </c>
      <c r="G506" s="6">
        <v>9.810045799E9</v>
      </c>
      <c r="H506" s="6">
        <v>4.0102603E7</v>
      </c>
      <c r="I506" s="6" t="s">
        <v>817</v>
      </c>
      <c r="J506" s="6" t="s">
        <v>21</v>
      </c>
      <c r="K506" s="6" t="s">
        <v>22</v>
      </c>
      <c r="L506" s="6">
        <v>155.0</v>
      </c>
      <c r="M506" s="5">
        <v>46013.0</v>
      </c>
      <c r="N506" s="6" t="s">
        <v>23</v>
      </c>
      <c r="O506" s="6" t="str">
        <f>SUMIFS([1]order_sku_sales_bb2_report!P:P,[1]order_sku_sales_bb2_report!H:H,C28283,[1]order_sku_sales_bb2_report!J:J,H28283)</f>
        <v>#ERROR!</v>
      </c>
      <c r="P506" s="6" t="str">
        <f>SUMIFS([1]order_sku_sales_bb2_report!O:O,[1]order_sku_sales_bb2_report!H:H,C28283,[1]order_sku_sales_bb2_report!J:J,H28283)</f>
        <v>#ERROR!</v>
      </c>
      <c r="Q506" s="6" t="str">
        <f t="shared" si="1"/>
        <v>22-12-2025</v>
      </c>
      <c r="R506" s="6" t="str">
        <f>IFERROR( VLOOKUP(C28283,[1]expressOrderReport!$S:$AZ,34,0),0)</f>
        <v>#ERROR!</v>
      </c>
      <c r="S506" s="6" t="str">
        <f>ARRAY_CONSTRAIN(ARRAYFORMULA(_xludf.XLOOKUP(D28283,[1]order_Report_SA_ID_BB2.0!V:V,[1]order_Report_SA_ID_BB2.0!AM:AM,"")), 1, 1)</f>
        <v>#ERROR!</v>
      </c>
      <c r="T506" s="6" t="str">
        <f t="shared" si="2"/>
        <v>Dec'25</v>
      </c>
    </row>
    <row r="507" ht="15.75" customHeight="1">
      <c r="A507" s="5">
        <v>46013.0</v>
      </c>
      <c r="B507" s="6">
        <v>6670.0</v>
      </c>
      <c r="C507" s="6">
        <v>1.859165302E9</v>
      </c>
      <c r="D507" s="6">
        <v>1.0128229E7</v>
      </c>
      <c r="E507" s="6" t="s">
        <v>818</v>
      </c>
      <c r="F507" s="6" t="s">
        <v>819</v>
      </c>
      <c r="G507" s="6">
        <v>9.113243479E9</v>
      </c>
      <c r="H507" s="6">
        <v>4.0161616E7</v>
      </c>
      <c r="I507" s="6" t="s">
        <v>20</v>
      </c>
      <c r="J507" s="6" t="s">
        <v>21</v>
      </c>
      <c r="K507" s="6" t="s">
        <v>22</v>
      </c>
      <c r="L507" s="6">
        <v>80.0</v>
      </c>
      <c r="M507" s="5">
        <v>46013.0</v>
      </c>
      <c r="N507" s="6" t="s">
        <v>23</v>
      </c>
      <c r="O507" s="6" t="str">
        <f>SUMIFS([1]order_sku_sales_bb2_report!P:P,[1]order_sku_sales_bb2_report!H:H,C28284,[1]order_sku_sales_bb2_report!J:J,H28284)</f>
        <v>#ERROR!</v>
      </c>
      <c r="P507" s="6" t="str">
        <f>SUMIFS([1]order_sku_sales_bb2_report!O:O,[1]order_sku_sales_bb2_report!H:H,C28284,[1]order_sku_sales_bb2_report!J:J,H28284)</f>
        <v>#ERROR!</v>
      </c>
      <c r="Q507" s="6" t="str">
        <f t="shared" si="1"/>
        <v>22-12-2025</v>
      </c>
      <c r="R507" s="6" t="str">
        <f>IFERROR( VLOOKUP(C28284,[1]expressOrderReport!$S:$AZ,34,0),0)</f>
        <v>#ERROR!</v>
      </c>
      <c r="S507" s="6" t="str">
        <f>ARRAY_CONSTRAIN(ARRAYFORMULA(_xludf.XLOOKUP(D28284,[1]order_Report_SA_ID_BB2.0!V:V,[1]order_Report_SA_ID_BB2.0!AM:AM,"")), 1, 1)</f>
        <v>#ERROR!</v>
      </c>
      <c r="T507" s="6" t="str">
        <f t="shared" si="2"/>
        <v>Dec'25</v>
      </c>
    </row>
    <row r="508" ht="15.75" customHeight="1">
      <c r="A508" s="5">
        <v>46013.0</v>
      </c>
      <c r="B508" s="6">
        <v>9580.0</v>
      </c>
      <c r="C508" s="6">
        <v>1.859165302E9</v>
      </c>
      <c r="D508" s="6">
        <v>1.0128229E7</v>
      </c>
      <c r="E508" s="6" t="s">
        <v>818</v>
      </c>
      <c r="F508" s="6" t="s">
        <v>819</v>
      </c>
      <c r="G508" s="6">
        <v>9.113243479E9</v>
      </c>
      <c r="H508" s="6">
        <v>4.0149834E7</v>
      </c>
      <c r="I508" s="6" t="s">
        <v>40</v>
      </c>
      <c r="J508" s="6" t="s">
        <v>21</v>
      </c>
      <c r="K508" s="6" t="s">
        <v>22</v>
      </c>
      <c r="L508" s="6">
        <v>80.0</v>
      </c>
      <c r="M508" s="5">
        <v>46013.0</v>
      </c>
      <c r="N508" s="6" t="s">
        <v>23</v>
      </c>
      <c r="O508" s="6" t="str">
        <f>SUMIFS([1]order_sku_sales_bb2_report!P:P,[1]order_sku_sales_bb2_report!H:H,C28285,[1]order_sku_sales_bb2_report!J:J,H28285)</f>
        <v>#ERROR!</v>
      </c>
      <c r="P508" s="6" t="str">
        <f>SUMIFS([1]order_sku_sales_bb2_report!O:O,[1]order_sku_sales_bb2_report!H:H,C28285,[1]order_sku_sales_bb2_report!J:J,H28285)</f>
        <v>#ERROR!</v>
      </c>
      <c r="Q508" s="6" t="str">
        <f t="shared" si="1"/>
        <v>22-12-2025</v>
      </c>
      <c r="R508" s="6" t="str">
        <f>IFERROR( VLOOKUP(C28285,[1]expressOrderReport!$S:$AZ,34,0),0)</f>
        <v>#ERROR!</v>
      </c>
      <c r="S508" s="6" t="str">
        <f>ARRAY_CONSTRAIN(ARRAYFORMULA(_xludf.XLOOKUP(D28285,[1]order_Report_SA_ID_BB2.0!V:V,[1]order_Report_SA_ID_BB2.0!AM:AM,"")), 1, 1)</f>
        <v>#ERROR!</v>
      </c>
      <c r="T508" s="6" t="str">
        <f t="shared" si="2"/>
        <v>Dec'25</v>
      </c>
    </row>
    <row r="509" ht="15.75" customHeight="1">
      <c r="A509" s="5">
        <v>46013.0</v>
      </c>
      <c r="B509" s="6">
        <v>12033.0</v>
      </c>
      <c r="C509" s="6">
        <v>1.85916531E9</v>
      </c>
      <c r="D509" s="6">
        <v>1336791.0</v>
      </c>
      <c r="E509" s="6" t="s">
        <v>820</v>
      </c>
      <c r="F509" s="6" t="s">
        <v>821</v>
      </c>
      <c r="G509" s="6">
        <v>7.899046908E9</v>
      </c>
      <c r="H509" s="6">
        <v>4.0149834E7</v>
      </c>
      <c r="I509" s="6" t="s">
        <v>40</v>
      </c>
      <c r="J509" s="6" t="s">
        <v>21</v>
      </c>
      <c r="K509" s="6" t="s">
        <v>22</v>
      </c>
      <c r="L509" s="6">
        <v>348.8</v>
      </c>
      <c r="M509" s="5">
        <v>46013.0</v>
      </c>
      <c r="N509" s="6" t="s">
        <v>23</v>
      </c>
      <c r="O509" s="6" t="str">
        <f>SUMIFS([1]order_sku_sales_bb2_report!P:P,[1]order_sku_sales_bb2_report!H:H,C28286,[1]order_sku_sales_bb2_report!J:J,H28286)</f>
        <v>#ERROR!</v>
      </c>
      <c r="P509" s="6" t="str">
        <f>SUMIFS([1]order_sku_sales_bb2_report!O:O,[1]order_sku_sales_bb2_report!H:H,C28286,[1]order_sku_sales_bb2_report!J:J,H28286)</f>
        <v>#ERROR!</v>
      </c>
      <c r="Q509" s="6" t="str">
        <f t="shared" si="1"/>
        <v>22-12-2025</v>
      </c>
      <c r="R509" s="6" t="str">
        <f>IFERROR( VLOOKUP(C28286,[1]expressOrderReport!$S:$AZ,34,0),0)</f>
        <v>#ERROR!</v>
      </c>
      <c r="S509" s="6" t="str">
        <f>ARRAY_CONSTRAIN(ARRAYFORMULA(_xludf.XLOOKUP(D28286,[1]order_Report_SA_ID_BB2.0!V:V,[1]order_Report_SA_ID_BB2.0!AM:AM,"")), 1, 1)</f>
        <v>#ERROR!</v>
      </c>
      <c r="T509" s="6" t="str">
        <f t="shared" si="2"/>
        <v>Dec'25</v>
      </c>
    </row>
    <row r="510" ht="15.75" customHeight="1">
      <c r="A510" s="5">
        <v>46013.0</v>
      </c>
      <c r="B510" s="6">
        <v>12034.0</v>
      </c>
      <c r="C510" s="6">
        <v>1.85916531E9</v>
      </c>
      <c r="D510" s="6">
        <v>1336791.0</v>
      </c>
      <c r="E510" s="6" t="s">
        <v>820</v>
      </c>
      <c r="F510" s="6" t="s">
        <v>821</v>
      </c>
      <c r="G510" s="6">
        <v>7.899046908E9</v>
      </c>
      <c r="H510" s="6">
        <v>1.0000005E7</v>
      </c>
      <c r="I510" s="6" t="s">
        <v>822</v>
      </c>
      <c r="J510" s="6" t="s">
        <v>21</v>
      </c>
      <c r="K510" s="6" t="s">
        <v>22</v>
      </c>
      <c r="L510" s="6">
        <v>348.8</v>
      </c>
      <c r="M510" s="5">
        <v>46013.0</v>
      </c>
      <c r="N510" s="6" t="s">
        <v>23</v>
      </c>
      <c r="O510" s="6" t="str">
        <f>SUMIFS([1]order_sku_sales_bb2_report!P:P,[1]order_sku_sales_bb2_report!H:H,C28287,[1]order_sku_sales_bb2_report!J:J,H28287)</f>
        <v>#ERROR!</v>
      </c>
      <c r="P510" s="6" t="str">
        <f>SUMIFS([1]order_sku_sales_bb2_report!O:O,[1]order_sku_sales_bb2_report!H:H,C28287,[1]order_sku_sales_bb2_report!J:J,H28287)</f>
        <v>#ERROR!</v>
      </c>
      <c r="Q510" s="6" t="str">
        <f t="shared" si="1"/>
        <v>22-12-2025</v>
      </c>
      <c r="R510" s="6" t="str">
        <f>IFERROR( VLOOKUP(C28287,[1]expressOrderReport!$S:$AZ,34,0),0)</f>
        <v>#ERROR!</v>
      </c>
      <c r="S510" s="6" t="str">
        <f>ARRAY_CONSTRAIN(ARRAYFORMULA(_xludf.XLOOKUP(D28287,[1]order_Report_SA_ID_BB2.0!V:V,[1]order_Report_SA_ID_BB2.0!AM:AM,"")), 1, 1)</f>
        <v>#ERROR!</v>
      </c>
      <c r="T510" s="6" t="str">
        <f t="shared" si="2"/>
        <v>Dec'25</v>
      </c>
    </row>
    <row r="511" ht="15.75" customHeight="1">
      <c r="A511" s="5">
        <v>46013.0</v>
      </c>
      <c r="B511" s="6">
        <v>5037.0</v>
      </c>
      <c r="C511" s="6">
        <v>1.859165315E9</v>
      </c>
      <c r="D511" s="6">
        <v>2705514.0</v>
      </c>
      <c r="E511" s="6" t="s">
        <v>823</v>
      </c>
      <c r="F511" s="6" t="s">
        <v>824</v>
      </c>
      <c r="G511" s="6">
        <v>9.940231865E9</v>
      </c>
      <c r="H511" s="6">
        <v>4.0147597E7</v>
      </c>
      <c r="I511" s="6" t="s">
        <v>59</v>
      </c>
      <c r="J511" s="6" t="s">
        <v>21</v>
      </c>
      <c r="K511" s="6" t="s">
        <v>22</v>
      </c>
      <c r="L511" s="6">
        <v>52.0</v>
      </c>
      <c r="M511" s="5">
        <v>46013.0</v>
      </c>
      <c r="N511" s="6" t="s">
        <v>23</v>
      </c>
      <c r="O511" s="6" t="str">
        <f>SUMIFS([1]order_sku_sales_bb2_report!P:P,[1]order_sku_sales_bb2_report!H:H,C28288,[1]order_sku_sales_bb2_report!J:J,H28288)</f>
        <v>#ERROR!</v>
      </c>
      <c r="P511" s="6" t="str">
        <f>SUMIFS([1]order_sku_sales_bb2_report!O:O,[1]order_sku_sales_bb2_report!H:H,C28288,[1]order_sku_sales_bb2_report!J:J,H28288)</f>
        <v>#ERROR!</v>
      </c>
      <c r="Q511" s="6" t="str">
        <f t="shared" si="1"/>
        <v>22-12-2025</v>
      </c>
      <c r="R511" s="6" t="str">
        <f>IFERROR( VLOOKUP(C28288,[1]expressOrderReport!$S:$AZ,34,0),0)</f>
        <v>#ERROR!</v>
      </c>
      <c r="S511" s="6" t="str">
        <f>ARRAY_CONSTRAIN(ARRAYFORMULA(_xludf.XLOOKUP(D28288,[1]order_Report_SA_ID_BB2.0!V:V,[1]order_Report_SA_ID_BB2.0!AM:AM,"")), 1, 1)</f>
        <v>#ERROR!</v>
      </c>
      <c r="T511" s="6" t="str">
        <f t="shared" si="2"/>
        <v>Dec'25</v>
      </c>
    </row>
    <row r="512" ht="15.75" customHeight="1">
      <c r="A512" s="5">
        <v>46013.0</v>
      </c>
      <c r="B512" s="6">
        <v>5251.0</v>
      </c>
      <c r="C512" s="6">
        <v>1.859165325E9</v>
      </c>
      <c r="D512" s="6">
        <v>2165009.0</v>
      </c>
      <c r="E512" s="6" t="s">
        <v>825</v>
      </c>
      <c r="F512" s="6" t="s">
        <v>826</v>
      </c>
      <c r="G512" s="6">
        <v>8.105464891E9</v>
      </c>
      <c r="H512" s="6">
        <v>4.0149831E7</v>
      </c>
      <c r="I512" s="6" t="s">
        <v>65</v>
      </c>
      <c r="J512" s="6" t="s">
        <v>21</v>
      </c>
      <c r="K512" s="6" t="s">
        <v>22</v>
      </c>
      <c r="L512" s="6">
        <v>26.0</v>
      </c>
      <c r="M512" s="5">
        <v>46013.0</v>
      </c>
      <c r="N512" s="6" t="s">
        <v>23</v>
      </c>
      <c r="O512" s="6" t="str">
        <f>SUMIFS([1]order_sku_sales_bb2_report!P:P,[1]order_sku_sales_bb2_report!H:H,C28290,[1]order_sku_sales_bb2_report!J:J,H28290)</f>
        <v>#ERROR!</v>
      </c>
      <c r="P512" s="6" t="str">
        <f>SUMIFS([1]order_sku_sales_bb2_report!O:O,[1]order_sku_sales_bb2_report!H:H,C28290,[1]order_sku_sales_bb2_report!J:J,H28290)</f>
        <v>#ERROR!</v>
      </c>
      <c r="Q512" s="6" t="str">
        <f t="shared" si="1"/>
        <v>22-12-2025</v>
      </c>
      <c r="R512" s="6" t="str">
        <f>IFERROR( VLOOKUP(C28290,[1]expressOrderReport!$S:$AZ,34,0),0)</f>
        <v>#ERROR!</v>
      </c>
      <c r="S512" s="6" t="str">
        <f>ARRAY_CONSTRAIN(ARRAYFORMULA(_xludf.XLOOKUP(D28290,[1]order_Report_SA_ID_BB2.0!V:V,[1]order_Report_SA_ID_BB2.0!AM:AM,"")), 1, 1)</f>
        <v>#ERROR!</v>
      </c>
      <c r="T512" s="6" t="str">
        <f t="shared" si="2"/>
        <v>Dec'25</v>
      </c>
    </row>
    <row r="513" ht="15.75" customHeight="1">
      <c r="A513" s="5">
        <v>46013.0</v>
      </c>
      <c r="B513" s="6">
        <v>7164.0</v>
      </c>
      <c r="C513" s="6">
        <v>1.859165331E9</v>
      </c>
      <c r="D513" s="6">
        <v>3250092.0</v>
      </c>
      <c r="E513" s="6" t="s">
        <v>305</v>
      </c>
      <c r="F513" s="6" t="s">
        <v>827</v>
      </c>
      <c r="G513" s="6">
        <v>9.844103844E9</v>
      </c>
      <c r="H513" s="6">
        <v>4.0149831E7</v>
      </c>
      <c r="I513" s="6" t="s">
        <v>65</v>
      </c>
      <c r="J513" s="6" t="s">
        <v>21</v>
      </c>
      <c r="K513" s="6" t="s">
        <v>22</v>
      </c>
      <c r="L513" s="6">
        <v>26.0</v>
      </c>
      <c r="M513" s="5">
        <v>46013.0</v>
      </c>
      <c r="N513" s="6" t="s">
        <v>23</v>
      </c>
      <c r="O513" s="6" t="str">
        <f>SUMIFS([1]order_sku_sales_bb2_report!P:P,[1]order_sku_sales_bb2_report!H:H,C28291,[1]order_sku_sales_bb2_report!J:J,H28291)</f>
        <v>#ERROR!</v>
      </c>
      <c r="P513" s="6" t="str">
        <f>SUMIFS([1]order_sku_sales_bb2_report!O:O,[1]order_sku_sales_bb2_report!H:H,C28291,[1]order_sku_sales_bb2_report!J:J,H28291)</f>
        <v>#ERROR!</v>
      </c>
      <c r="Q513" s="6" t="str">
        <f t="shared" si="1"/>
        <v>22-12-2025</v>
      </c>
      <c r="R513" s="6" t="str">
        <f>IFERROR( VLOOKUP(C28291,[1]expressOrderReport!$S:$AZ,34,0),0)</f>
        <v>#ERROR!</v>
      </c>
      <c r="S513" s="6" t="str">
        <f>ARRAY_CONSTRAIN(ARRAYFORMULA(_xludf.XLOOKUP(D28291,[1]order_Report_SA_ID_BB2.0!V:V,[1]order_Report_SA_ID_BB2.0!AM:AM,"")), 1, 1)</f>
        <v>#ERROR!</v>
      </c>
      <c r="T513" s="6" t="str">
        <f t="shared" si="2"/>
        <v>Dec'25</v>
      </c>
    </row>
    <row r="514" ht="15.75" customHeight="1">
      <c r="A514" s="5">
        <v>46013.0</v>
      </c>
      <c r="B514" s="6">
        <v>5855.0</v>
      </c>
      <c r="C514" s="6">
        <v>1.859165341E9</v>
      </c>
      <c r="D514" s="6">
        <v>1.8079267E7</v>
      </c>
      <c r="E514" s="6" t="s">
        <v>828</v>
      </c>
      <c r="F514" s="6" t="s">
        <v>829</v>
      </c>
      <c r="G514" s="6">
        <v>9.901452609E9</v>
      </c>
      <c r="H514" s="6">
        <v>4.0149834E7</v>
      </c>
      <c r="I514" s="6" t="s">
        <v>40</v>
      </c>
      <c r="J514" s="6" t="s">
        <v>21</v>
      </c>
      <c r="K514" s="6" t="s">
        <v>22</v>
      </c>
      <c r="L514" s="6">
        <v>52.0</v>
      </c>
      <c r="M514" s="5">
        <v>46013.0</v>
      </c>
      <c r="N514" s="6" t="s">
        <v>23</v>
      </c>
      <c r="O514" s="6" t="str">
        <f>SUMIFS([1]order_sku_sales_bb2_report!P:P,[1]order_sku_sales_bb2_report!H:H,C28292,[1]order_sku_sales_bb2_report!J:J,H28292)</f>
        <v>#ERROR!</v>
      </c>
      <c r="P514" s="6" t="str">
        <f>SUMIFS([1]order_sku_sales_bb2_report!O:O,[1]order_sku_sales_bb2_report!H:H,C28292,[1]order_sku_sales_bb2_report!J:J,H28292)</f>
        <v>#ERROR!</v>
      </c>
      <c r="Q514" s="6" t="str">
        <f t="shared" si="1"/>
        <v>22-12-2025</v>
      </c>
      <c r="R514" s="6" t="str">
        <f>IFERROR( VLOOKUP(C28292,[1]expressOrderReport!$S:$AZ,34,0),0)</f>
        <v>#ERROR!</v>
      </c>
      <c r="S514" s="6" t="str">
        <f>ARRAY_CONSTRAIN(ARRAYFORMULA(_xludf.XLOOKUP(D28292,[1]order_Report_SA_ID_BB2.0!V:V,[1]order_Report_SA_ID_BB2.0!AM:AM,"")), 1, 1)</f>
        <v>#ERROR!</v>
      </c>
      <c r="T514" s="6" t="str">
        <f t="shared" si="2"/>
        <v>Dec'25</v>
      </c>
    </row>
    <row r="515" ht="15.75" customHeight="1">
      <c r="A515" s="5">
        <v>46013.0</v>
      </c>
      <c r="B515" s="6">
        <v>3031.0</v>
      </c>
      <c r="C515" s="6">
        <v>1.85916535E9</v>
      </c>
      <c r="D515" s="6">
        <v>1.1253793E7</v>
      </c>
      <c r="E515" s="6" t="s">
        <v>830</v>
      </c>
      <c r="F515" s="6" t="s">
        <v>831</v>
      </c>
      <c r="G515" s="6">
        <v>9.739858232E9</v>
      </c>
      <c r="H515" s="6">
        <v>4.0149833E7</v>
      </c>
      <c r="I515" s="6" t="s">
        <v>40</v>
      </c>
      <c r="J515" s="6" t="s">
        <v>21</v>
      </c>
      <c r="K515" s="6" t="s">
        <v>22</v>
      </c>
      <c r="L515" s="6">
        <v>27.0</v>
      </c>
      <c r="M515" s="5">
        <v>46013.0</v>
      </c>
      <c r="N515" s="6" t="s">
        <v>23</v>
      </c>
      <c r="O515" s="6" t="str">
        <f>SUMIFS([1]order_sku_sales_bb2_report!P:P,[1]order_sku_sales_bb2_report!H:H,C28293,[1]order_sku_sales_bb2_report!J:J,H28293)</f>
        <v>#ERROR!</v>
      </c>
      <c r="P515" s="6" t="str">
        <f>SUMIFS([1]order_sku_sales_bb2_report!O:O,[1]order_sku_sales_bb2_report!H:H,C28293,[1]order_sku_sales_bb2_report!J:J,H28293)</f>
        <v>#ERROR!</v>
      </c>
      <c r="Q515" s="6" t="str">
        <f t="shared" si="1"/>
        <v>22-12-2025</v>
      </c>
      <c r="R515" s="6" t="str">
        <f>IFERROR( VLOOKUP(C28293,[1]expressOrderReport!$S:$AZ,34,0),0)</f>
        <v>#ERROR!</v>
      </c>
      <c r="S515" s="6" t="str">
        <f>ARRAY_CONSTRAIN(ARRAYFORMULA(_xludf.XLOOKUP(D28293,[1]order_Report_SA_ID_BB2.0!V:V,[1]order_Report_SA_ID_BB2.0!AM:AM,"")), 1, 1)</f>
        <v>#ERROR!</v>
      </c>
      <c r="T515" s="6" t="str">
        <f t="shared" si="2"/>
        <v>Dec'25</v>
      </c>
    </row>
    <row r="516" ht="15.75" customHeight="1">
      <c r="A516" s="5">
        <v>46013.0</v>
      </c>
      <c r="B516" s="6">
        <v>9214.0</v>
      </c>
      <c r="C516" s="6">
        <v>1.859165363E9</v>
      </c>
      <c r="D516" s="6">
        <v>3.358985E7</v>
      </c>
      <c r="E516" s="6" t="s">
        <v>832</v>
      </c>
      <c r="F516" s="6" t="s">
        <v>833</v>
      </c>
      <c r="G516" s="6">
        <v>9.035001436E9</v>
      </c>
      <c r="H516" s="6">
        <v>4.0148714E7</v>
      </c>
      <c r="I516" s="6" t="s">
        <v>183</v>
      </c>
      <c r="J516" s="6" t="s">
        <v>21</v>
      </c>
      <c r="K516" s="6" t="s">
        <v>22</v>
      </c>
      <c r="L516" s="6">
        <v>94.0</v>
      </c>
      <c r="M516" s="5">
        <v>46013.0</v>
      </c>
      <c r="N516" s="6" t="s">
        <v>23</v>
      </c>
      <c r="O516" s="6" t="str">
        <f>SUMIFS([1]order_sku_sales_bb2_report!P:P,[1]order_sku_sales_bb2_report!H:H,C28294,[1]order_sku_sales_bb2_report!J:J,H28294)</f>
        <v>#ERROR!</v>
      </c>
      <c r="P516" s="6" t="str">
        <f>SUMIFS([1]order_sku_sales_bb2_report!O:O,[1]order_sku_sales_bb2_report!H:H,C28294,[1]order_sku_sales_bb2_report!J:J,H28294)</f>
        <v>#ERROR!</v>
      </c>
      <c r="Q516" s="6" t="str">
        <f t="shared" si="1"/>
        <v>22-12-2025</v>
      </c>
      <c r="R516" s="6" t="str">
        <f>IFERROR( VLOOKUP(C28294,[1]expressOrderReport!$S:$AZ,34,0),0)</f>
        <v>#ERROR!</v>
      </c>
      <c r="S516" s="6" t="str">
        <f>ARRAY_CONSTRAIN(ARRAYFORMULA(_xludf.XLOOKUP(D28294,[1]order_Report_SA_ID_BB2.0!V:V,[1]order_Report_SA_ID_BB2.0!AM:AM,"")), 1, 1)</f>
        <v>#ERROR!</v>
      </c>
      <c r="T516" s="6" t="str">
        <f t="shared" si="2"/>
        <v>Dec'25</v>
      </c>
    </row>
    <row r="517" ht="15.75" customHeight="1">
      <c r="A517" s="5">
        <v>46013.0</v>
      </c>
      <c r="B517" s="6">
        <v>157.0</v>
      </c>
      <c r="C517" s="6">
        <v>1.859165372E9</v>
      </c>
      <c r="D517" s="6">
        <v>807496.0</v>
      </c>
      <c r="E517" s="6" t="s">
        <v>834</v>
      </c>
      <c r="F517" s="6" t="s">
        <v>835</v>
      </c>
      <c r="G517" s="6">
        <v>9.731501133E9</v>
      </c>
      <c r="H517" s="6">
        <v>4.0158264E7</v>
      </c>
      <c r="I517" s="6" t="s">
        <v>26</v>
      </c>
      <c r="J517" s="6" t="s">
        <v>21</v>
      </c>
      <c r="K517" s="6" t="s">
        <v>22</v>
      </c>
      <c r="L517" s="6">
        <v>46.0</v>
      </c>
      <c r="M517" s="5">
        <v>46013.0</v>
      </c>
      <c r="N517" s="6" t="s">
        <v>23</v>
      </c>
      <c r="O517" s="6" t="str">
        <f>SUMIFS([1]order_sku_sales_bb2_report!P:P,[1]order_sku_sales_bb2_report!H:H,C28295,[1]order_sku_sales_bb2_report!J:J,H28295)</f>
        <v>#ERROR!</v>
      </c>
      <c r="P517" s="6" t="str">
        <f>SUMIFS([1]order_sku_sales_bb2_report!O:O,[1]order_sku_sales_bb2_report!H:H,C28295,[1]order_sku_sales_bb2_report!J:J,H28295)</f>
        <v>#ERROR!</v>
      </c>
      <c r="Q517" s="6" t="str">
        <f t="shared" si="1"/>
        <v>22-12-2025</v>
      </c>
      <c r="R517" s="6" t="str">
        <f>IFERROR( VLOOKUP(C28295,[1]expressOrderReport!$S:$AZ,34,0),0)</f>
        <v>#ERROR!</v>
      </c>
      <c r="S517" s="6" t="str">
        <f>ARRAY_CONSTRAIN(ARRAYFORMULA(_xludf.XLOOKUP(D28295,[1]order_Report_SA_ID_BB2.0!V:V,[1]order_Report_SA_ID_BB2.0!AM:AM,"")), 1, 1)</f>
        <v>#ERROR!</v>
      </c>
      <c r="T517" s="6" t="str">
        <f t="shared" si="2"/>
        <v>Dec'25</v>
      </c>
    </row>
    <row r="518" ht="15.75" customHeight="1">
      <c r="A518" s="5">
        <v>46013.0</v>
      </c>
      <c r="B518" s="6">
        <v>6695.0</v>
      </c>
      <c r="C518" s="6">
        <v>1.859165386E9</v>
      </c>
      <c r="D518" s="6">
        <v>2.1010984E7</v>
      </c>
      <c r="E518" s="6" t="s">
        <v>836</v>
      </c>
      <c r="F518" s="6" t="s">
        <v>837</v>
      </c>
      <c r="G518" s="6">
        <v>8.015877429E9</v>
      </c>
      <c r="H518" s="6">
        <v>4.0149832E7</v>
      </c>
      <c r="I518" s="6" t="s">
        <v>26</v>
      </c>
      <c r="J518" s="6" t="s">
        <v>21</v>
      </c>
      <c r="K518" s="6" t="s">
        <v>22</v>
      </c>
      <c r="L518" s="6">
        <v>24.0</v>
      </c>
      <c r="M518" s="5">
        <v>46013.0</v>
      </c>
      <c r="N518" s="6" t="s">
        <v>23</v>
      </c>
      <c r="O518" s="6" t="str">
        <f>SUMIFS([1]order_sku_sales_bb2_report!P:P,[1]order_sku_sales_bb2_report!H:H,C28296,[1]order_sku_sales_bb2_report!J:J,H28296)</f>
        <v>#ERROR!</v>
      </c>
      <c r="P518" s="6" t="str">
        <f>SUMIFS([1]order_sku_sales_bb2_report!O:O,[1]order_sku_sales_bb2_report!H:H,C28296,[1]order_sku_sales_bb2_report!J:J,H28296)</f>
        <v>#ERROR!</v>
      </c>
      <c r="Q518" s="6" t="str">
        <f t="shared" si="1"/>
        <v>22-12-2025</v>
      </c>
      <c r="R518" s="6" t="str">
        <f>IFERROR( VLOOKUP(C28296,[1]expressOrderReport!$S:$AZ,34,0),0)</f>
        <v>#ERROR!</v>
      </c>
      <c r="S518" s="6" t="str">
        <f>ARRAY_CONSTRAIN(ARRAYFORMULA(_xludf.XLOOKUP(D28296,[1]order_Report_SA_ID_BB2.0!V:V,[1]order_Report_SA_ID_BB2.0!AM:AM,"")), 1, 1)</f>
        <v>#ERROR!</v>
      </c>
      <c r="T518" s="6" t="str">
        <f t="shared" si="2"/>
        <v>Dec'25</v>
      </c>
    </row>
    <row r="519" ht="15.75" customHeight="1">
      <c r="A519" s="5">
        <v>46013.0</v>
      </c>
      <c r="B519" s="6">
        <v>1819.0</v>
      </c>
      <c r="C519" s="6">
        <v>1.859165396E9</v>
      </c>
      <c r="D519" s="6">
        <v>174610.0</v>
      </c>
      <c r="E519" s="6" t="s">
        <v>838</v>
      </c>
      <c r="F519" s="6" t="s">
        <v>839</v>
      </c>
      <c r="G519" s="6">
        <v>9.223300134E9</v>
      </c>
      <c r="H519" s="6">
        <v>4.0158264E7</v>
      </c>
      <c r="I519" s="6" t="s">
        <v>26</v>
      </c>
      <c r="J519" s="6" t="s">
        <v>21</v>
      </c>
      <c r="K519" s="6" t="s">
        <v>22</v>
      </c>
      <c r="L519" s="6">
        <v>70.0</v>
      </c>
      <c r="M519" s="5">
        <v>46013.0</v>
      </c>
      <c r="N519" s="6" t="s">
        <v>23</v>
      </c>
      <c r="O519" s="6" t="str">
        <f>SUMIFS([1]order_sku_sales_bb2_report!P:P,[1]order_sku_sales_bb2_report!H:H,C28297,[1]order_sku_sales_bb2_report!J:J,H28297)</f>
        <v>#ERROR!</v>
      </c>
      <c r="P519" s="6" t="str">
        <f>SUMIFS([1]order_sku_sales_bb2_report!O:O,[1]order_sku_sales_bb2_report!H:H,C28297,[1]order_sku_sales_bb2_report!J:J,H28297)</f>
        <v>#ERROR!</v>
      </c>
      <c r="Q519" s="6" t="str">
        <f t="shared" si="1"/>
        <v>22-12-2025</v>
      </c>
      <c r="R519" s="6" t="str">
        <f>IFERROR( VLOOKUP(C28297,[1]expressOrderReport!$S:$AZ,34,0),0)</f>
        <v>#ERROR!</v>
      </c>
      <c r="S519" s="6" t="str">
        <f>ARRAY_CONSTRAIN(ARRAYFORMULA(_xludf.XLOOKUP(D28297,[1]order_Report_SA_ID_BB2.0!V:V,[1]order_Report_SA_ID_BB2.0!AM:AM,"")), 1, 1)</f>
        <v>#ERROR!</v>
      </c>
      <c r="T519" s="6" t="str">
        <f t="shared" si="2"/>
        <v>Dec'25</v>
      </c>
    </row>
    <row r="520" ht="15.75" customHeight="1">
      <c r="A520" s="5">
        <v>46013.0</v>
      </c>
      <c r="B520" s="6">
        <v>1827.0</v>
      </c>
      <c r="C520" s="6">
        <v>1.859165396E9</v>
      </c>
      <c r="D520" s="6">
        <v>174610.0</v>
      </c>
      <c r="E520" s="6" t="s">
        <v>838</v>
      </c>
      <c r="F520" s="6" t="s">
        <v>839</v>
      </c>
      <c r="G520" s="6">
        <v>9.223300134E9</v>
      </c>
      <c r="H520" s="6">
        <v>4.0149832E7</v>
      </c>
      <c r="I520" s="6" t="s">
        <v>26</v>
      </c>
      <c r="J520" s="6" t="s">
        <v>21</v>
      </c>
      <c r="K520" s="6" t="s">
        <v>22</v>
      </c>
      <c r="L520" s="6">
        <v>70.0</v>
      </c>
      <c r="M520" s="5">
        <v>46013.0</v>
      </c>
      <c r="N520" s="6" t="s">
        <v>23</v>
      </c>
      <c r="O520" s="6" t="str">
        <f>SUMIFS([1]order_sku_sales_bb2_report!P:P,[1]order_sku_sales_bb2_report!H:H,C28298,[1]order_sku_sales_bb2_report!J:J,H28298)</f>
        <v>#ERROR!</v>
      </c>
      <c r="P520" s="6" t="str">
        <f>SUMIFS([1]order_sku_sales_bb2_report!O:O,[1]order_sku_sales_bb2_report!H:H,C28298,[1]order_sku_sales_bb2_report!J:J,H28298)</f>
        <v>#ERROR!</v>
      </c>
      <c r="Q520" s="6" t="str">
        <f t="shared" si="1"/>
        <v>22-12-2025</v>
      </c>
      <c r="R520" s="6" t="str">
        <f>IFERROR( VLOOKUP(C28298,[1]expressOrderReport!$S:$AZ,34,0),0)</f>
        <v>#ERROR!</v>
      </c>
      <c r="S520" s="6" t="str">
        <f>ARRAY_CONSTRAIN(ARRAYFORMULA(_xludf.XLOOKUP(D28298,[1]order_Report_SA_ID_BB2.0!V:V,[1]order_Report_SA_ID_BB2.0!AM:AM,"")), 1, 1)</f>
        <v>#ERROR!</v>
      </c>
      <c r="T520" s="6" t="str">
        <f t="shared" si="2"/>
        <v>Dec'25</v>
      </c>
    </row>
    <row r="521" ht="15.75" customHeight="1">
      <c r="A521" s="5">
        <v>46013.0</v>
      </c>
      <c r="B521" s="6">
        <v>155.0</v>
      </c>
      <c r="C521" s="6">
        <v>1.859165404E9</v>
      </c>
      <c r="D521" s="6">
        <v>7458174.0</v>
      </c>
      <c r="E521" s="6" t="s">
        <v>840</v>
      </c>
      <c r="F521" s="6" t="s">
        <v>841</v>
      </c>
      <c r="G521" s="6">
        <v>7.760205605E9</v>
      </c>
      <c r="H521" s="6">
        <v>4.014983E7</v>
      </c>
      <c r="I521" s="6" t="s">
        <v>30</v>
      </c>
      <c r="J521" s="6" t="s">
        <v>21</v>
      </c>
      <c r="K521" s="6" t="s">
        <v>22</v>
      </c>
      <c r="L521" s="6">
        <v>28.0</v>
      </c>
      <c r="M521" s="5">
        <v>46013.0</v>
      </c>
      <c r="N521" s="6" t="s">
        <v>23</v>
      </c>
      <c r="O521" s="6" t="str">
        <f>SUMIFS([1]order_sku_sales_bb2_report!P:P,[1]order_sku_sales_bb2_report!H:H,C28299,[1]order_sku_sales_bb2_report!J:J,H28299)</f>
        <v>#ERROR!</v>
      </c>
      <c r="P521" s="6" t="str">
        <f>SUMIFS([1]order_sku_sales_bb2_report!O:O,[1]order_sku_sales_bb2_report!H:H,C28299,[1]order_sku_sales_bb2_report!J:J,H28299)</f>
        <v>#ERROR!</v>
      </c>
      <c r="Q521" s="6" t="str">
        <f t="shared" si="1"/>
        <v>22-12-2025</v>
      </c>
      <c r="R521" s="6" t="str">
        <f>IFERROR( VLOOKUP(C28299,[1]expressOrderReport!$S:$AZ,34,0),0)</f>
        <v>#ERROR!</v>
      </c>
      <c r="S521" s="6" t="str">
        <f>ARRAY_CONSTRAIN(ARRAYFORMULA(_xludf.XLOOKUP(D28299,[1]order_Report_SA_ID_BB2.0!V:V,[1]order_Report_SA_ID_BB2.0!AM:AM,"")), 1, 1)</f>
        <v>#ERROR!</v>
      </c>
      <c r="T521" s="6" t="str">
        <f t="shared" si="2"/>
        <v>Dec'25</v>
      </c>
    </row>
    <row r="522" ht="15.75" customHeight="1">
      <c r="A522" s="5">
        <v>46013.0</v>
      </c>
      <c r="B522" s="6">
        <v>6105.0</v>
      </c>
      <c r="C522" s="6">
        <v>1.859165408E9</v>
      </c>
      <c r="D522" s="6">
        <v>1.7320981E7</v>
      </c>
      <c r="E522" s="6" t="s">
        <v>842</v>
      </c>
      <c r="F522" s="6" t="s">
        <v>843</v>
      </c>
      <c r="G522" s="6">
        <v>9.901490182E9</v>
      </c>
      <c r="H522" s="6">
        <v>4.0158264E7</v>
      </c>
      <c r="I522" s="6" t="s">
        <v>26</v>
      </c>
      <c r="J522" s="6" t="s">
        <v>21</v>
      </c>
      <c r="K522" s="6" t="s">
        <v>22</v>
      </c>
      <c r="L522" s="6">
        <v>46.0</v>
      </c>
      <c r="M522" s="5">
        <v>46013.0</v>
      </c>
      <c r="N522" s="6" t="s">
        <v>23</v>
      </c>
      <c r="O522" s="6" t="str">
        <f>SUMIFS([1]order_sku_sales_bb2_report!P:P,[1]order_sku_sales_bb2_report!H:H,C28300,[1]order_sku_sales_bb2_report!J:J,H28300)</f>
        <v>#ERROR!</v>
      </c>
      <c r="P522" s="6" t="str">
        <f>SUMIFS([1]order_sku_sales_bb2_report!O:O,[1]order_sku_sales_bb2_report!H:H,C28300,[1]order_sku_sales_bb2_report!J:J,H28300)</f>
        <v>#ERROR!</v>
      </c>
      <c r="Q522" s="6" t="str">
        <f t="shared" si="1"/>
        <v>22-12-2025</v>
      </c>
      <c r="R522" s="6" t="str">
        <f>IFERROR( VLOOKUP(C28300,[1]expressOrderReport!$S:$AZ,34,0),0)</f>
        <v>#ERROR!</v>
      </c>
      <c r="S522" s="6" t="str">
        <f>ARRAY_CONSTRAIN(ARRAYFORMULA(_xludf.XLOOKUP(D28300,[1]order_Report_SA_ID_BB2.0!V:V,[1]order_Report_SA_ID_BB2.0!AM:AM,"")), 1, 1)</f>
        <v>#ERROR!</v>
      </c>
      <c r="T522" s="6" t="str">
        <f t="shared" si="2"/>
        <v>Dec'25</v>
      </c>
    </row>
    <row r="523" ht="15.75" customHeight="1">
      <c r="A523" s="5">
        <v>46013.0</v>
      </c>
      <c r="B523" s="6">
        <v>11962.0</v>
      </c>
      <c r="C523" s="6">
        <v>1.859165417E9</v>
      </c>
      <c r="D523" s="6">
        <v>433853.0</v>
      </c>
      <c r="E523" s="6" t="s">
        <v>844</v>
      </c>
      <c r="F523" s="6" t="s">
        <v>845</v>
      </c>
      <c r="G523" s="6">
        <v>8.600066184E9</v>
      </c>
      <c r="H523" s="6">
        <v>4.0086154E7</v>
      </c>
      <c r="I523" s="6" t="s">
        <v>846</v>
      </c>
      <c r="J523" s="6" t="s">
        <v>21</v>
      </c>
      <c r="K523" s="6" t="s">
        <v>22</v>
      </c>
      <c r="L523" s="6">
        <v>58.4</v>
      </c>
      <c r="M523" s="5">
        <v>46013.0</v>
      </c>
      <c r="N523" s="6" t="s">
        <v>23</v>
      </c>
      <c r="O523" s="6" t="str">
        <f>SUMIFS([1]order_sku_sales_bb2_report!P:P,[1]order_sku_sales_bb2_report!H:H,C28301,[1]order_sku_sales_bb2_report!J:J,H28301)</f>
        <v>#ERROR!</v>
      </c>
      <c r="P523" s="6" t="str">
        <f>SUMIFS([1]order_sku_sales_bb2_report!O:O,[1]order_sku_sales_bb2_report!H:H,C28301,[1]order_sku_sales_bb2_report!J:J,H28301)</f>
        <v>#ERROR!</v>
      </c>
      <c r="Q523" s="6" t="str">
        <f t="shared" si="1"/>
        <v>22-12-2025</v>
      </c>
      <c r="R523" s="6" t="str">
        <f>IFERROR( VLOOKUP(C28301,[1]expressOrderReport!$S:$AZ,34,0),0)</f>
        <v>#ERROR!</v>
      </c>
      <c r="S523" s="6" t="str">
        <f>ARRAY_CONSTRAIN(ARRAYFORMULA(_xludf.XLOOKUP(D28301,[1]order_Report_SA_ID_BB2.0!V:V,[1]order_Report_SA_ID_BB2.0!AM:AM,"")), 1, 1)</f>
        <v>#ERROR!</v>
      </c>
      <c r="T523" s="6" t="str">
        <f t="shared" si="2"/>
        <v>Dec'25</v>
      </c>
    </row>
    <row r="524" ht="15.75" customHeight="1">
      <c r="A524" s="5">
        <v>46013.0</v>
      </c>
      <c r="B524" s="6">
        <v>169.0</v>
      </c>
      <c r="C524" s="6">
        <v>1.859165421E9</v>
      </c>
      <c r="D524" s="6">
        <v>6740997.0</v>
      </c>
      <c r="E524" s="6" t="s">
        <v>847</v>
      </c>
      <c r="F524" s="6" t="s">
        <v>848</v>
      </c>
      <c r="G524" s="6">
        <v>9.886437118E9</v>
      </c>
      <c r="H524" s="6">
        <v>4.0149834E7</v>
      </c>
      <c r="I524" s="6" t="s">
        <v>40</v>
      </c>
      <c r="J524" s="6" t="s">
        <v>21</v>
      </c>
      <c r="K524" s="6" t="s">
        <v>22</v>
      </c>
      <c r="L524" s="6">
        <v>52.0</v>
      </c>
      <c r="M524" s="5">
        <v>46013.0</v>
      </c>
      <c r="N524" s="6" t="s">
        <v>23</v>
      </c>
      <c r="O524" s="6" t="str">
        <f>SUMIFS([1]order_sku_sales_bb2_report!P:P,[1]order_sku_sales_bb2_report!H:H,C28302,[1]order_sku_sales_bb2_report!J:J,H28302)</f>
        <v>#ERROR!</v>
      </c>
      <c r="P524" s="6" t="str">
        <f>SUMIFS([1]order_sku_sales_bb2_report!O:O,[1]order_sku_sales_bb2_report!H:H,C28302,[1]order_sku_sales_bb2_report!J:J,H28302)</f>
        <v>#ERROR!</v>
      </c>
      <c r="Q524" s="6" t="str">
        <f t="shared" si="1"/>
        <v>22-12-2025</v>
      </c>
      <c r="R524" s="6" t="str">
        <f>IFERROR( VLOOKUP(C28302,[1]expressOrderReport!$S:$AZ,34,0),0)</f>
        <v>#ERROR!</v>
      </c>
      <c r="S524" s="6" t="str">
        <f>ARRAY_CONSTRAIN(ARRAYFORMULA(_xludf.XLOOKUP(D28302,[1]order_Report_SA_ID_BB2.0!V:V,[1]order_Report_SA_ID_BB2.0!AM:AM,"")), 1, 1)</f>
        <v>#ERROR!</v>
      </c>
      <c r="T524" s="6" t="str">
        <f t="shared" si="2"/>
        <v>Dec'25</v>
      </c>
    </row>
    <row r="525" ht="15.75" customHeight="1">
      <c r="A525" s="5">
        <v>46013.0</v>
      </c>
      <c r="B525" s="6">
        <v>9604.0</v>
      </c>
      <c r="C525" s="6">
        <v>1.859165431E9</v>
      </c>
      <c r="D525" s="6">
        <v>1.0478518E7</v>
      </c>
      <c r="E525" s="6" t="s">
        <v>849</v>
      </c>
      <c r="F525" s="6" t="s">
        <v>850</v>
      </c>
      <c r="G525" s="6">
        <v>7.259978423E9</v>
      </c>
      <c r="H525" s="6">
        <v>4.0149833E7</v>
      </c>
      <c r="I525" s="6" t="s">
        <v>40</v>
      </c>
      <c r="J525" s="6" t="s">
        <v>21</v>
      </c>
      <c r="K525" s="6" t="s">
        <v>22</v>
      </c>
      <c r="L525" s="6">
        <v>54.0</v>
      </c>
      <c r="M525" s="5">
        <v>46013.0</v>
      </c>
      <c r="N525" s="6" t="s">
        <v>23</v>
      </c>
      <c r="O525" s="6" t="str">
        <f>SUMIFS([1]order_sku_sales_bb2_report!P:P,[1]order_sku_sales_bb2_report!H:H,C28303,[1]order_sku_sales_bb2_report!J:J,H28303)</f>
        <v>#ERROR!</v>
      </c>
      <c r="P525" s="6" t="str">
        <f>SUMIFS([1]order_sku_sales_bb2_report!O:O,[1]order_sku_sales_bb2_report!H:H,C28303,[1]order_sku_sales_bb2_report!J:J,H28303)</f>
        <v>#ERROR!</v>
      </c>
      <c r="Q525" s="6" t="str">
        <f t="shared" si="1"/>
        <v>22-12-2025</v>
      </c>
      <c r="R525" s="6" t="str">
        <f>IFERROR( VLOOKUP(C28303,[1]expressOrderReport!$S:$AZ,34,0),0)</f>
        <v>#ERROR!</v>
      </c>
      <c r="S525" s="6" t="str">
        <f>ARRAY_CONSTRAIN(ARRAYFORMULA(_xludf.XLOOKUP(D28303,[1]order_Report_SA_ID_BB2.0!V:V,[1]order_Report_SA_ID_BB2.0!AM:AM,"")), 1, 1)</f>
        <v>#ERROR!</v>
      </c>
      <c r="T525" s="6" t="str">
        <f t="shared" si="2"/>
        <v>Dec'25</v>
      </c>
    </row>
    <row r="526" ht="15.75" customHeight="1">
      <c r="A526" s="5">
        <v>46013.0</v>
      </c>
      <c r="B526" s="6">
        <v>11421.0</v>
      </c>
      <c r="C526" s="6">
        <v>1.85916544E9</v>
      </c>
      <c r="D526" s="6">
        <v>7531707.0</v>
      </c>
      <c r="E526" s="6" t="s">
        <v>851</v>
      </c>
      <c r="F526" s="6" t="s">
        <v>852</v>
      </c>
      <c r="G526" s="6">
        <v>7.829781234E9</v>
      </c>
      <c r="H526" s="6">
        <v>4.0149834E7</v>
      </c>
      <c r="I526" s="6" t="s">
        <v>40</v>
      </c>
      <c r="J526" s="6" t="s">
        <v>21</v>
      </c>
      <c r="K526" s="6" t="s">
        <v>22</v>
      </c>
      <c r="L526" s="6">
        <v>52.0</v>
      </c>
      <c r="M526" s="5">
        <v>46013.0</v>
      </c>
      <c r="N526" s="6" t="s">
        <v>23</v>
      </c>
      <c r="O526" s="6" t="str">
        <f>SUMIFS([1]order_sku_sales_bb2_report!P:P,[1]order_sku_sales_bb2_report!H:H,C28304,[1]order_sku_sales_bb2_report!J:J,H28304)</f>
        <v>#ERROR!</v>
      </c>
      <c r="P526" s="6" t="str">
        <f>SUMIFS([1]order_sku_sales_bb2_report!O:O,[1]order_sku_sales_bb2_report!H:H,C28304,[1]order_sku_sales_bb2_report!J:J,H28304)</f>
        <v>#ERROR!</v>
      </c>
      <c r="Q526" s="6" t="str">
        <f t="shared" si="1"/>
        <v>22-12-2025</v>
      </c>
      <c r="R526" s="6" t="str">
        <f>IFERROR( VLOOKUP(C28304,[1]expressOrderReport!$S:$AZ,34,0),0)</f>
        <v>#ERROR!</v>
      </c>
      <c r="S526" s="6" t="str">
        <f>ARRAY_CONSTRAIN(ARRAYFORMULA(_xludf.XLOOKUP(D28304,[1]order_Report_SA_ID_BB2.0!V:V,[1]order_Report_SA_ID_BB2.0!AM:AM,"")), 1, 1)</f>
        <v>#ERROR!</v>
      </c>
      <c r="T526" s="6" t="str">
        <f t="shared" si="2"/>
        <v>Dec'25</v>
      </c>
    </row>
    <row r="527" ht="15.75" customHeight="1">
      <c r="A527" s="5">
        <v>46013.0</v>
      </c>
      <c r="B527" s="6">
        <v>3395.0</v>
      </c>
      <c r="C527" s="6">
        <v>1.859165447E9</v>
      </c>
      <c r="D527" s="6">
        <v>538168.0</v>
      </c>
      <c r="E527" s="6" t="s">
        <v>853</v>
      </c>
      <c r="F527" s="6" t="s">
        <v>854</v>
      </c>
      <c r="G527" s="6">
        <v>9.972422861E9</v>
      </c>
      <c r="H527" s="6">
        <v>4.0149832E7</v>
      </c>
      <c r="I527" s="6" t="s">
        <v>26</v>
      </c>
      <c r="J527" s="6" t="s">
        <v>21</v>
      </c>
      <c r="K527" s="6" t="s">
        <v>22</v>
      </c>
      <c r="L527" s="6">
        <v>48.0</v>
      </c>
      <c r="M527" s="5">
        <v>46013.0</v>
      </c>
      <c r="N527" s="6" t="s">
        <v>23</v>
      </c>
      <c r="O527" s="6" t="str">
        <f>SUMIFS([1]order_sku_sales_bb2_report!P:P,[1]order_sku_sales_bb2_report!H:H,C28305,[1]order_sku_sales_bb2_report!J:J,H28305)</f>
        <v>#ERROR!</v>
      </c>
      <c r="P527" s="6" t="str">
        <f>SUMIFS([1]order_sku_sales_bb2_report!O:O,[1]order_sku_sales_bb2_report!H:H,C28305,[1]order_sku_sales_bb2_report!J:J,H28305)</f>
        <v>#ERROR!</v>
      </c>
      <c r="Q527" s="6" t="str">
        <f t="shared" si="1"/>
        <v>22-12-2025</v>
      </c>
      <c r="R527" s="6" t="str">
        <f>IFERROR( VLOOKUP(C28305,[1]expressOrderReport!$S:$AZ,34,0),0)</f>
        <v>#ERROR!</v>
      </c>
      <c r="S527" s="6" t="str">
        <f>ARRAY_CONSTRAIN(ARRAYFORMULA(_xludf.XLOOKUP(D28305,[1]order_Report_SA_ID_BB2.0!V:V,[1]order_Report_SA_ID_BB2.0!AM:AM,"")), 1, 1)</f>
        <v>#ERROR!</v>
      </c>
      <c r="T527" s="6" t="str">
        <f t="shared" si="2"/>
        <v>Dec'25</v>
      </c>
    </row>
    <row r="528" ht="15.75" customHeight="1">
      <c r="A528" s="5">
        <v>46013.0</v>
      </c>
      <c r="B528" s="6">
        <v>223.0</v>
      </c>
      <c r="C528" s="6">
        <v>1.85916546E9</v>
      </c>
      <c r="D528" s="6">
        <v>8.2244579E7</v>
      </c>
      <c r="E528" s="6" t="s">
        <v>855</v>
      </c>
      <c r="F528" s="6"/>
      <c r="G528" s="6">
        <v>9.880659883E9</v>
      </c>
      <c r="H528" s="6">
        <v>4.0149833E7</v>
      </c>
      <c r="I528" s="6" t="s">
        <v>40</v>
      </c>
      <c r="J528" s="6" t="s">
        <v>21</v>
      </c>
      <c r="K528" s="6" t="s">
        <v>22</v>
      </c>
      <c r="L528" s="6">
        <v>27.0</v>
      </c>
      <c r="M528" s="5">
        <v>46013.0</v>
      </c>
      <c r="N528" s="6" t="s">
        <v>23</v>
      </c>
      <c r="O528" s="6" t="str">
        <f>SUMIFS([1]order_sku_sales_bb2_report!P:P,[1]order_sku_sales_bb2_report!H:H,C28306,[1]order_sku_sales_bb2_report!J:J,H28306)</f>
        <v>#ERROR!</v>
      </c>
      <c r="P528" s="6" t="str">
        <f>SUMIFS([1]order_sku_sales_bb2_report!O:O,[1]order_sku_sales_bb2_report!H:H,C28306,[1]order_sku_sales_bb2_report!J:J,H28306)</f>
        <v>#ERROR!</v>
      </c>
      <c r="Q528" s="6" t="str">
        <f t="shared" si="1"/>
        <v>22-12-2025</v>
      </c>
      <c r="R528" s="6" t="str">
        <f>IFERROR( VLOOKUP(C28306,[1]expressOrderReport!$S:$AZ,34,0),0)</f>
        <v>#ERROR!</v>
      </c>
      <c r="S528" s="6" t="str">
        <f>ARRAY_CONSTRAIN(ARRAYFORMULA(_xludf.XLOOKUP(D28306,[1]order_Report_SA_ID_BB2.0!V:V,[1]order_Report_SA_ID_BB2.0!AM:AM,"")), 1, 1)</f>
        <v>#ERROR!</v>
      </c>
      <c r="T528" s="6" t="str">
        <f t="shared" si="2"/>
        <v>Dec'25</v>
      </c>
    </row>
    <row r="529" ht="15.75" customHeight="1">
      <c r="A529" s="5">
        <v>46013.0</v>
      </c>
      <c r="B529" s="6">
        <v>222.0</v>
      </c>
      <c r="C529" s="6">
        <v>1.859165464E9</v>
      </c>
      <c r="D529" s="6">
        <v>266407.0</v>
      </c>
      <c r="E529" s="6" t="s">
        <v>856</v>
      </c>
      <c r="F529" s="6" t="s">
        <v>857</v>
      </c>
      <c r="G529" s="6">
        <v>9.900394454E9</v>
      </c>
      <c r="H529" s="6">
        <v>4.0148716E7</v>
      </c>
      <c r="I529" s="6" t="s">
        <v>148</v>
      </c>
      <c r="J529" s="6" t="s">
        <v>21</v>
      </c>
      <c r="K529" s="6" t="s">
        <v>27</v>
      </c>
      <c r="L529" s="6">
        <v>90.0</v>
      </c>
      <c r="M529" s="5">
        <v>46013.0</v>
      </c>
      <c r="N529" s="6" t="s">
        <v>23</v>
      </c>
      <c r="O529" s="6" t="str">
        <f>SUMIFS([1]order_sku_sales_bb2_report!P:P,[1]order_sku_sales_bb2_report!H:H,C28307,[1]order_sku_sales_bb2_report!J:J,H28307)</f>
        <v>#ERROR!</v>
      </c>
      <c r="P529" s="6" t="str">
        <f>SUMIFS([1]order_sku_sales_bb2_report!O:O,[1]order_sku_sales_bb2_report!H:H,C28307,[1]order_sku_sales_bb2_report!J:J,H28307)</f>
        <v>#ERROR!</v>
      </c>
      <c r="Q529" s="6" t="str">
        <f t="shared" si="1"/>
        <v>22-12-2025</v>
      </c>
      <c r="R529" s="6" t="str">
        <f>IFERROR( VLOOKUP(C28307,[1]expressOrderReport!$S:$AZ,34,0),0)</f>
        <v>#ERROR!</v>
      </c>
      <c r="S529" s="6" t="str">
        <f>ARRAY_CONSTRAIN(ARRAYFORMULA(_xludf.XLOOKUP(D28307,[1]order_Report_SA_ID_BB2.0!V:V,[1]order_Report_SA_ID_BB2.0!AM:AM,"")), 1, 1)</f>
        <v>#ERROR!</v>
      </c>
      <c r="T529" s="6" t="str">
        <f t="shared" si="2"/>
        <v>Dec'25</v>
      </c>
    </row>
    <row r="530" ht="15.75" customHeight="1">
      <c r="A530" s="5">
        <v>46013.0</v>
      </c>
      <c r="B530" s="6">
        <v>216.0</v>
      </c>
      <c r="C530" s="6">
        <v>1.859165471E9</v>
      </c>
      <c r="D530" s="6">
        <v>1.0025521E7</v>
      </c>
      <c r="E530" s="6" t="s">
        <v>858</v>
      </c>
      <c r="F530" s="6" t="s">
        <v>859</v>
      </c>
      <c r="G530" s="6">
        <v>9.933998269E9</v>
      </c>
      <c r="H530" s="6">
        <v>4.0149832E7</v>
      </c>
      <c r="I530" s="6" t="s">
        <v>26</v>
      </c>
      <c r="J530" s="6" t="s">
        <v>21</v>
      </c>
      <c r="K530" s="6" t="s">
        <v>22</v>
      </c>
      <c r="L530" s="6">
        <v>24.0</v>
      </c>
      <c r="M530" s="5">
        <v>46013.0</v>
      </c>
      <c r="N530" s="6" t="s">
        <v>23</v>
      </c>
      <c r="O530" s="6" t="str">
        <f>SUMIFS([1]order_sku_sales_bb2_report!P:P,[1]order_sku_sales_bb2_report!H:H,C28308,[1]order_sku_sales_bb2_report!J:J,H28308)</f>
        <v>#ERROR!</v>
      </c>
      <c r="P530" s="6" t="str">
        <f>SUMIFS([1]order_sku_sales_bb2_report!O:O,[1]order_sku_sales_bb2_report!H:H,C28308,[1]order_sku_sales_bb2_report!J:J,H28308)</f>
        <v>#ERROR!</v>
      </c>
      <c r="Q530" s="6" t="str">
        <f t="shared" si="1"/>
        <v>22-12-2025</v>
      </c>
      <c r="R530" s="6" t="str">
        <f>IFERROR( VLOOKUP(C28308,[1]expressOrderReport!$S:$AZ,34,0),0)</f>
        <v>#ERROR!</v>
      </c>
      <c r="S530" s="6" t="str">
        <f>ARRAY_CONSTRAIN(ARRAYFORMULA(_xludf.XLOOKUP(D28308,[1]order_Report_SA_ID_BB2.0!V:V,[1]order_Report_SA_ID_BB2.0!AM:AM,"")), 1, 1)</f>
        <v>#ERROR!</v>
      </c>
      <c r="T530" s="6" t="str">
        <f t="shared" si="2"/>
        <v>Dec'25</v>
      </c>
    </row>
    <row r="531" ht="15.75" customHeight="1">
      <c r="A531" s="5">
        <v>46013.0</v>
      </c>
      <c r="B531" s="6">
        <v>263.0</v>
      </c>
      <c r="C531" s="6">
        <v>1.859165479E9</v>
      </c>
      <c r="D531" s="6">
        <v>2.4403515E7</v>
      </c>
      <c r="E531" s="6" t="s">
        <v>860</v>
      </c>
      <c r="F531" s="6" t="s">
        <v>861</v>
      </c>
      <c r="G531" s="6">
        <v>9.092400847E9</v>
      </c>
      <c r="H531" s="6">
        <v>4.0149833E7</v>
      </c>
      <c r="I531" s="6" t="s">
        <v>40</v>
      </c>
      <c r="J531" s="6" t="s">
        <v>21</v>
      </c>
      <c r="K531" s="6" t="s">
        <v>22</v>
      </c>
      <c r="L531" s="6">
        <v>27.0</v>
      </c>
      <c r="M531" s="5">
        <v>46013.0</v>
      </c>
      <c r="N531" s="6" t="s">
        <v>23</v>
      </c>
      <c r="O531" s="6" t="str">
        <f>SUMIFS([1]order_sku_sales_bb2_report!P:P,[1]order_sku_sales_bb2_report!H:H,C28309,[1]order_sku_sales_bb2_report!J:J,H28309)</f>
        <v>#ERROR!</v>
      </c>
      <c r="P531" s="6" t="str">
        <f>SUMIFS([1]order_sku_sales_bb2_report!O:O,[1]order_sku_sales_bb2_report!H:H,C28309,[1]order_sku_sales_bb2_report!J:J,H28309)</f>
        <v>#ERROR!</v>
      </c>
      <c r="Q531" s="6" t="str">
        <f t="shared" si="1"/>
        <v>22-12-2025</v>
      </c>
      <c r="R531" s="6" t="str">
        <f>IFERROR( VLOOKUP(C28309,[1]expressOrderReport!$S:$AZ,34,0),0)</f>
        <v>#ERROR!</v>
      </c>
      <c r="S531" s="6" t="str">
        <f>ARRAY_CONSTRAIN(ARRAYFORMULA(_xludf.XLOOKUP(D28309,[1]order_Report_SA_ID_BB2.0!V:V,[1]order_Report_SA_ID_BB2.0!AM:AM,"")), 1, 1)</f>
        <v>#ERROR!</v>
      </c>
      <c r="T531" s="6" t="str">
        <f t="shared" si="2"/>
        <v>Dec'25</v>
      </c>
    </row>
    <row r="532" ht="15.75" customHeight="1">
      <c r="A532" s="5">
        <v>46013.0</v>
      </c>
      <c r="B532" s="6">
        <v>315.0</v>
      </c>
      <c r="C532" s="6">
        <v>1.859165485E9</v>
      </c>
      <c r="D532" s="6">
        <v>1.0693036E7</v>
      </c>
      <c r="E532" s="6" t="s">
        <v>862</v>
      </c>
      <c r="F532" s="6" t="s">
        <v>863</v>
      </c>
      <c r="G532" s="6">
        <v>9.873453848E9</v>
      </c>
      <c r="H532" s="6">
        <v>4.0212327E7</v>
      </c>
      <c r="I532" s="6" t="s">
        <v>682</v>
      </c>
      <c r="J532" s="6" t="s">
        <v>21</v>
      </c>
      <c r="K532" s="6" t="s">
        <v>22</v>
      </c>
      <c r="L532" s="6">
        <v>27.0</v>
      </c>
      <c r="M532" s="5">
        <v>46013.0</v>
      </c>
      <c r="N532" s="6" t="s">
        <v>23</v>
      </c>
      <c r="O532" s="6" t="str">
        <f>SUMIFS([1]order_sku_sales_bb2_report!P:P,[1]order_sku_sales_bb2_report!H:H,C28310,[1]order_sku_sales_bb2_report!J:J,H28310)</f>
        <v>#ERROR!</v>
      </c>
      <c r="P532" s="6" t="str">
        <f>SUMIFS([1]order_sku_sales_bb2_report!O:O,[1]order_sku_sales_bb2_report!H:H,C28310,[1]order_sku_sales_bb2_report!J:J,H28310)</f>
        <v>#ERROR!</v>
      </c>
      <c r="Q532" s="6" t="str">
        <f t="shared" si="1"/>
        <v>22-12-2025</v>
      </c>
      <c r="R532" s="6" t="str">
        <f>IFERROR( VLOOKUP(C28310,[1]expressOrderReport!$S:$AZ,34,0),0)</f>
        <v>#ERROR!</v>
      </c>
      <c r="S532" s="6" t="str">
        <f>ARRAY_CONSTRAIN(ARRAYFORMULA(_xludf.XLOOKUP(D28310,[1]order_Report_SA_ID_BB2.0!V:V,[1]order_Report_SA_ID_BB2.0!AM:AM,"")), 1, 1)</f>
        <v>#ERROR!</v>
      </c>
      <c r="T532" s="6" t="str">
        <f t="shared" si="2"/>
        <v>Dec'25</v>
      </c>
    </row>
    <row r="533" ht="15.75" customHeight="1">
      <c r="A533" s="5">
        <v>46013.0</v>
      </c>
      <c r="B533" s="6">
        <v>867.0</v>
      </c>
      <c r="C533" s="6">
        <v>1.859165491E9</v>
      </c>
      <c r="D533" s="6">
        <v>3.4623519E7</v>
      </c>
      <c r="E533" s="6" t="s">
        <v>864</v>
      </c>
      <c r="F533" s="6" t="s">
        <v>865</v>
      </c>
      <c r="G533" s="6">
        <v>9.538731111E9</v>
      </c>
      <c r="H533" s="6">
        <v>4.0149833E7</v>
      </c>
      <c r="I533" s="6" t="s">
        <v>40</v>
      </c>
      <c r="J533" s="6" t="s">
        <v>21</v>
      </c>
      <c r="K533" s="6" t="s">
        <v>22</v>
      </c>
      <c r="L533" s="6">
        <v>27.0</v>
      </c>
      <c r="M533" s="5">
        <v>46013.0</v>
      </c>
      <c r="N533" s="6" t="s">
        <v>23</v>
      </c>
      <c r="O533" s="6" t="str">
        <f>SUMIFS([1]order_sku_sales_bb2_report!P:P,[1]order_sku_sales_bb2_report!H:H,C28311,[1]order_sku_sales_bb2_report!J:J,H28311)</f>
        <v>#ERROR!</v>
      </c>
      <c r="P533" s="6" t="str">
        <f>SUMIFS([1]order_sku_sales_bb2_report!O:O,[1]order_sku_sales_bb2_report!H:H,C28311,[1]order_sku_sales_bb2_report!J:J,H28311)</f>
        <v>#ERROR!</v>
      </c>
      <c r="Q533" s="6" t="str">
        <f t="shared" si="1"/>
        <v>22-12-2025</v>
      </c>
      <c r="R533" s="6" t="str">
        <f>IFERROR( VLOOKUP(C28311,[1]expressOrderReport!$S:$AZ,34,0),0)</f>
        <v>#ERROR!</v>
      </c>
      <c r="S533" s="6" t="str">
        <f>ARRAY_CONSTRAIN(ARRAYFORMULA(_xludf.XLOOKUP(D28311,[1]order_Report_SA_ID_BB2.0!V:V,[1]order_Report_SA_ID_BB2.0!AM:AM,"")), 1, 1)</f>
        <v>#ERROR!</v>
      </c>
      <c r="T533" s="6" t="str">
        <f t="shared" si="2"/>
        <v>Dec'25</v>
      </c>
    </row>
    <row r="534" ht="15.75" customHeight="1">
      <c r="A534" s="5">
        <v>46013.0</v>
      </c>
      <c r="B534" s="6">
        <v>3515.0</v>
      </c>
      <c r="C534" s="6">
        <v>1.859165503E9</v>
      </c>
      <c r="D534" s="6">
        <v>567667.0</v>
      </c>
      <c r="E534" s="6" t="s">
        <v>866</v>
      </c>
      <c r="F534" s="6" t="s">
        <v>867</v>
      </c>
      <c r="G534" s="6">
        <v>9.739975307E9</v>
      </c>
      <c r="H534" s="6">
        <v>4.0148717E7</v>
      </c>
      <c r="I534" s="6" t="s">
        <v>226</v>
      </c>
      <c r="J534" s="6" t="s">
        <v>21</v>
      </c>
      <c r="K534" s="6" t="s">
        <v>22</v>
      </c>
      <c r="L534" s="6">
        <v>171.92</v>
      </c>
      <c r="M534" s="5">
        <v>46013.0</v>
      </c>
      <c r="N534" s="6" t="s">
        <v>23</v>
      </c>
      <c r="O534" s="6" t="str">
        <f>SUMIFS([1]order_sku_sales_bb2_report!P:P,[1]order_sku_sales_bb2_report!H:H,C28312,[1]order_sku_sales_bb2_report!J:J,H28312)</f>
        <v>#ERROR!</v>
      </c>
      <c r="P534" s="6" t="str">
        <f>SUMIFS([1]order_sku_sales_bb2_report!O:O,[1]order_sku_sales_bb2_report!H:H,C28312,[1]order_sku_sales_bb2_report!J:J,H28312)</f>
        <v>#ERROR!</v>
      </c>
      <c r="Q534" s="6" t="str">
        <f t="shared" si="1"/>
        <v>22-12-2025</v>
      </c>
      <c r="R534" s="6" t="str">
        <f>IFERROR( VLOOKUP(C28312,[1]expressOrderReport!$S:$AZ,34,0),0)</f>
        <v>#ERROR!</v>
      </c>
      <c r="S534" s="6" t="str">
        <f>ARRAY_CONSTRAIN(ARRAYFORMULA(_xludf.XLOOKUP(D28312,[1]order_Report_SA_ID_BB2.0!V:V,[1]order_Report_SA_ID_BB2.0!AM:AM,"")), 1, 1)</f>
        <v>#ERROR!</v>
      </c>
      <c r="T534" s="6" t="str">
        <f t="shared" si="2"/>
        <v>Dec'25</v>
      </c>
    </row>
    <row r="535" ht="15.75" customHeight="1">
      <c r="A535" s="5">
        <v>46013.0</v>
      </c>
      <c r="B535" s="6">
        <v>10289.0</v>
      </c>
      <c r="C535" s="6">
        <v>1.859165503E9</v>
      </c>
      <c r="D535" s="6">
        <v>567667.0</v>
      </c>
      <c r="E535" s="6" t="s">
        <v>866</v>
      </c>
      <c r="F535" s="6" t="s">
        <v>867</v>
      </c>
      <c r="G535" s="6">
        <v>9.739975307E9</v>
      </c>
      <c r="H535" s="6">
        <v>2.0001184E7</v>
      </c>
      <c r="I535" s="6" t="s">
        <v>377</v>
      </c>
      <c r="J535" s="6" t="s">
        <v>21</v>
      </c>
      <c r="K535" s="6" t="s">
        <v>22</v>
      </c>
      <c r="L535" s="6">
        <v>171.92</v>
      </c>
      <c r="M535" s="5">
        <v>46013.0</v>
      </c>
      <c r="N535" s="6" t="s">
        <v>23</v>
      </c>
      <c r="O535" s="6" t="str">
        <f>SUMIFS([1]order_sku_sales_bb2_report!P:P,[1]order_sku_sales_bb2_report!H:H,C28313,[1]order_sku_sales_bb2_report!J:J,H28313)</f>
        <v>#ERROR!</v>
      </c>
      <c r="P535" s="6" t="str">
        <f>SUMIFS([1]order_sku_sales_bb2_report!O:O,[1]order_sku_sales_bb2_report!H:H,C28313,[1]order_sku_sales_bb2_report!J:J,H28313)</f>
        <v>#ERROR!</v>
      </c>
      <c r="Q535" s="6" t="str">
        <f t="shared" si="1"/>
        <v>22-12-2025</v>
      </c>
      <c r="R535" s="6" t="str">
        <f>IFERROR( VLOOKUP(C28313,[1]expressOrderReport!$S:$AZ,34,0),0)</f>
        <v>#ERROR!</v>
      </c>
      <c r="S535" s="6" t="str">
        <f>ARRAY_CONSTRAIN(ARRAYFORMULA(_xludf.XLOOKUP(D28313,[1]order_Report_SA_ID_BB2.0!V:V,[1]order_Report_SA_ID_BB2.0!AM:AM,"")), 1, 1)</f>
        <v>#ERROR!</v>
      </c>
      <c r="T535" s="6" t="str">
        <f t="shared" si="2"/>
        <v>Dec'25</v>
      </c>
    </row>
    <row r="536" ht="15.75" customHeight="1">
      <c r="A536" s="5">
        <v>46013.0</v>
      </c>
      <c r="B536" s="6">
        <v>9388.0</v>
      </c>
      <c r="C536" s="6">
        <v>1.859165507E9</v>
      </c>
      <c r="D536" s="6">
        <v>8.0428807E7</v>
      </c>
      <c r="E536" s="6" t="s">
        <v>868</v>
      </c>
      <c r="F536" s="6" t="s">
        <v>869</v>
      </c>
      <c r="G536" s="6">
        <v>7.483940583E9</v>
      </c>
      <c r="H536" s="6">
        <v>4.0148716E7</v>
      </c>
      <c r="I536" s="6" t="s">
        <v>148</v>
      </c>
      <c r="J536" s="6" t="s">
        <v>21</v>
      </c>
      <c r="K536" s="6" t="s">
        <v>22</v>
      </c>
      <c r="L536" s="6">
        <v>45.0</v>
      </c>
      <c r="M536" s="5">
        <v>46013.0</v>
      </c>
      <c r="N536" s="6" t="s">
        <v>23</v>
      </c>
      <c r="O536" s="6" t="str">
        <f>SUMIFS([1]order_sku_sales_bb2_report!P:P,[1]order_sku_sales_bb2_report!H:H,C28314,[1]order_sku_sales_bb2_report!J:J,H28314)</f>
        <v>#ERROR!</v>
      </c>
      <c r="P536" s="6" t="str">
        <f>SUMIFS([1]order_sku_sales_bb2_report!O:O,[1]order_sku_sales_bb2_report!H:H,C28314,[1]order_sku_sales_bb2_report!J:J,H28314)</f>
        <v>#ERROR!</v>
      </c>
      <c r="Q536" s="6" t="str">
        <f t="shared" si="1"/>
        <v>22-12-2025</v>
      </c>
      <c r="R536" s="6" t="str">
        <f>IFERROR( VLOOKUP(C28314,[1]expressOrderReport!$S:$AZ,34,0),0)</f>
        <v>#ERROR!</v>
      </c>
      <c r="S536" s="6" t="str">
        <f>ARRAY_CONSTRAIN(ARRAYFORMULA(_xludf.XLOOKUP(D28314,[1]order_Report_SA_ID_BB2.0!V:V,[1]order_Report_SA_ID_BB2.0!AM:AM,"")), 1, 1)</f>
        <v>#ERROR!</v>
      </c>
      <c r="T536" s="6" t="str">
        <f t="shared" si="2"/>
        <v>Dec'25</v>
      </c>
    </row>
    <row r="537" ht="15.75" customHeight="1">
      <c r="A537" s="5">
        <v>46013.0</v>
      </c>
      <c r="B537" s="6">
        <v>855.0</v>
      </c>
      <c r="C537" s="6">
        <v>1.859165513E9</v>
      </c>
      <c r="D537" s="6">
        <v>6.3686338E7</v>
      </c>
      <c r="E537" s="6" t="s">
        <v>870</v>
      </c>
      <c r="F537" s="6"/>
      <c r="G537" s="6">
        <v>8.619035674E9</v>
      </c>
      <c r="H537" s="6">
        <v>4.0149834E7</v>
      </c>
      <c r="I537" s="6" t="s">
        <v>40</v>
      </c>
      <c r="J537" s="6" t="s">
        <v>21</v>
      </c>
      <c r="K537" s="6" t="s">
        <v>22</v>
      </c>
      <c r="L537" s="6">
        <v>80.0</v>
      </c>
      <c r="M537" s="5">
        <v>46013.0</v>
      </c>
      <c r="N537" s="6" t="s">
        <v>23</v>
      </c>
      <c r="O537" s="6" t="str">
        <f>SUMIFS([1]order_sku_sales_bb2_report!P:P,[1]order_sku_sales_bb2_report!H:H,C28315,[1]order_sku_sales_bb2_report!J:J,H28315)</f>
        <v>#ERROR!</v>
      </c>
      <c r="P537" s="6" t="str">
        <f>SUMIFS([1]order_sku_sales_bb2_report!O:O,[1]order_sku_sales_bb2_report!H:H,C28315,[1]order_sku_sales_bb2_report!J:J,H28315)</f>
        <v>#ERROR!</v>
      </c>
      <c r="Q537" s="6" t="str">
        <f t="shared" si="1"/>
        <v>22-12-2025</v>
      </c>
      <c r="R537" s="6" t="str">
        <f>IFERROR( VLOOKUP(C28315,[1]expressOrderReport!$S:$AZ,34,0),0)</f>
        <v>#ERROR!</v>
      </c>
      <c r="S537" s="6" t="str">
        <f>ARRAY_CONSTRAIN(ARRAYFORMULA(_xludf.XLOOKUP(D28315,[1]order_Report_SA_ID_BB2.0!V:V,[1]order_Report_SA_ID_BB2.0!AM:AM,"")), 1, 1)</f>
        <v>#ERROR!</v>
      </c>
      <c r="T537" s="6" t="str">
        <f t="shared" si="2"/>
        <v>Dec'25</v>
      </c>
    </row>
    <row r="538" ht="15.75" customHeight="1">
      <c r="A538" s="5">
        <v>46013.0</v>
      </c>
      <c r="B538" s="6">
        <v>856.0</v>
      </c>
      <c r="C538" s="6">
        <v>1.859165513E9</v>
      </c>
      <c r="D538" s="6">
        <v>6.3686338E7</v>
      </c>
      <c r="E538" s="6" t="s">
        <v>870</v>
      </c>
      <c r="F538" s="6"/>
      <c r="G538" s="6">
        <v>8.619035674E9</v>
      </c>
      <c r="H538" s="6">
        <v>4.014983E7</v>
      </c>
      <c r="I538" s="6" t="s">
        <v>30</v>
      </c>
      <c r="J538" s="6" t="s">
        <v>21</v>
      </c>
      <c r="K538" s="6" t="s">
        <v>22</v>
      </c>
      <c r="L538" s="6">
        <v>80.0</v>
      </c>
      <c r="M538" s="5">
        <v>46013.0</v>
      </c>
      <c r="N538" s="6" t="s">
        <v>23</v>
      </c>
      <c r="O538" s="6" t="str">
        <f>SUMIFS([1]order_sku_sales_bb2_report!P:P,[1]order_sku_sales_bb2_report!H:H,C28316,[1]order_sku_sales_bb2_report!J:J,H28316)</f>
        <v>#ERROR!</v>
      </c>
      <c r="P538" s="6" t="str">
        <f>SUMIFS([1]order_sku_sales_bb2_report!O:O,[1]order_sku_sales_bb2_report!H:H,C28316,[1]order_sku_sales_bb2_report!J:J,H28316)</f>
        <v>#ERROR!</v>
      </c>
      <c r="Q538" s="6" t="str">
        <f t="shared" si="1"/>
        <v>22-12-2025</v>
      </c>
      <c r="R538" s="6" t="str">
        <f>IFERROR( VLOOKUP(C28316,[1]expressOrderReport!$S:$AZ,34,0),0)</f>
        <v>#ERROR!</v>
      </c>
      <c r="S538" s="6" t="str">
        <f>ARRAY_CONSTRAIN(ARRAYFORMULA(_xludf.XLOOKUP(D28316,[1]order_Report_SA_ID_BB2.0!V:V,[1]order_Report_SA_ID_BB2.0!AM:AM,"")), 1, 1)</f>
        <v>#ERROR!</v>
      </c>
      <c r="T538" s="6" t="str">
        <f t="shared" si="2"/>
        <v>Dec'25</v>
      </c>
    </row>
    <row r="539" ht="15.75" customHeight="1">
      <c r="A539" s="5">
        <v>46013.0</v>
      </c>
      <c r="B539" s="6">
        <v>5161.0</v>
      </c>
      <c r="C539" s="6">
        <v>1.859165519E9</v>
      </c>
      <c r="D539" s="6">
        <v>1.6627363E7</v>
      </c>
      <c r="E539" s="6" t="s">
        <v>871</v>
      </c>
      <c r="F539" s="6" t="s">
        <v>872</v>
      </c>
      <c r="G539" s="6">
        <v>9.483635818E9</v>
      </c>
      <c r="H539" s="6">
        <v>4.0149832E7</v>
      </c>
      <c r="I539" s="6" t="s">
        <v>26</v>
      </c>
      <c r="J539" s="6" t="s">
        <v>21</v>
      </c>
      <c r="K539" s="6" t="s">
        <v>22</v>
      </c>
      <c r="L539" s="6">
        <v>24.0</v>
      </c>
      <c r="M539" s="5">
        <v>46013.0</v>
      </c>
      <c r="N539" s="6" t="s">
        <v>23</v>
      </c>
      <c r="O539" s="6" t="str">
        <f>SUMIFS([1]order_sku_sales_bb2_report!P:P,[1]order_sku_sales_bb2_report!H:H,C28317,[1]order_sku_sales_bb2_report!J:J,H28317)</f>
        <v>#ERROR!</v>
      </c>
      <c r="P539" s="6" t="str">
        <f>SUMIFS([1]order_sku_sales_bb2_report!O:O,[1]order_sku_sales_bb2_report!H:H,C28317,[1]order_sku_sales_bb2_report!J:J,H28317)</f>
        <v>#ERROR!</v>
      </c>
      <c r="Q539" s="6" t="str">
        <f t="shared" si="1"/>
        <v>22-12-2025</v>
      </c>
      <c r="R539" s="6" t="str">
        <f>IFERROR( VLOOKUP(C28317,[1]expressOrderReport!$S:$AZ,34,0),0)</f>
        <v>#ERROR!</v>
      </c>
      <c r="S539" s="6" t="str">
        <f>ARRAY_CONSTRAIN(ARRAYFORMULA(_xludf.XLOOKUP(D28317,[1]order_Report_SA_ID_BB2.0!V:V,[1]order_Report_SA_ID_BB2.0!AM:AM,"")), 1, 1)</f>
        <v>#ERROR!</v>
      </c>
      <c r="T539" s="6" t="str">
        <f t="shared" si="2"/>
        <v>Dec'25</v>
      </c>
    </row>
    <row r="540" ht="15.75" customHeight="1">
      <c r="A540" s="5">
        <v>46013.0</v>
      </c>
      <c r="B540" s="6">
        <v>660.0</v>
      </c>
      <c r="C540" s="6">
        <v>1.859165529E9</v>
      </c>
      <c r="D540" s="6">
        <v>1.6764024E7</v>
      </c>
      <c r="E540" s="6" t="s">
        <v>873</v>
      </c>
      <c r="F540" s="6" t="s">
        <v>874</v>
      </c>
      <c r="G540" s="6">
        <v>9.158882892E9</v>
      </c>
      <c r="H540" s="6">
        <v>4.0149834E7</v>
      </c>
      <c r="I540" s="6" t="s">
        <v>40</v>
      </c>
      <c r="J540" s="6" t="s">
        <v>21</v>
      </c>
      <c r="K540" s="6" t="s">
        <v>22</v>
      </c>
      <c r="L540" s="6">
        <v>52.0</v>
      </c>
      <c r="M540" s="5">
        <v>46013.0</v>
      </c>
      <c r="N540" s="6" t="s">
        <v>23</v>
      </c>
      <c r="O540" s="6" t="str">
        <f>SUMIFS([1]order_sku_sales_bb2_report!P:P,[1]order_sku_sales_bb2_report!H:H,C28318,[1]order_sku_sales_bb2_report!J:J,H28318)</f>
        <v>#ERROR!</v>
      </c>
      <c r="P540" s="6" t="str">
        <f>SUMIFS([1]order_sku_sales_bb2_report!O:O,[1]order_sku_sales_bb2_report!H:H,C28318,[1]order_sku_sales_bb2_report!J:J,H28318)</f>
        <v>#ERROR!</v>
      </c>
      <c r="Q540" s="6" t="str">
        <f t="shared" si="1"/>
        <v>22-12-2025</v>
      </c>
      <c r="R540" s="6" t="str">
        <f>IFERROR( VLOOKUP(C28318,[1]expressOrderReport!$S:$AZ,34,0),0)</f>
        <v>#ERROR!</v>
      </c>
      <c r="S540" s="6" t="str">
        <f>ARRAY_CONSTRAIN(ARRAYFORMULA(_xludf.XLOOKUP(D28318,[1]order_Report_SA_ID_BB2.0!V:V,[1]order_Report_SA_ID_BB2.0!AM:AM,"")), 1, 1)</f>
        <v>#ERROR!</v>
      </c>
      <c r="T540" s="6" t="str">
        <f t="shared" si="2"/>
        <v>Dec'25</v>
      </c>
    </row>
    <row r="541" ht="15.75" customHeight="1">
      <c r="A541" s="5">
        <v>46013.0</v>
      </c>
      <c r="B541" s="6">
        <v>713.0</v>
      </c>
      <c r="C541" s="6">
        <v>1.859165534E9</v>
      </c>
      <c r="D541" s="6">
        <v>7.7447859E7</v>
      </c>
      <c r="E541" s="6" t="s">
        <v>875</v>
      </c>
      <c r="F541" s="6"/>
      <c r="G541" s="6">
        <v>6.380769788E9</v>
      </c>
      <c r="H541" s="6">
        <v>4.0149832E7</v>
      </c>
      <c r="I541" s="6" t="s">
        <v>26</v>
      </c>
      <c r="J541" s="6" t="s">
        <v>21</v>
      </c>
      <c r="K541" s="6" t="s">
        <v>22</v>
      </c>
      <c r="L541" s="6">
        <v>24.0</v>
      </c>
      <c r="M541" s="5">
        <v>46013.0</v>
      </c>
      <c r="N541" s="6" t="s">
        <v>23</v>
      </c>
      <c r="O541" s="6" t="str">
        <f>SUMIFS([1]order_sku_sales_bb2_report!P:P,[1]order_sku_sales_bb2_report!H:H,C28319,[1]order_sku_sales_bb2_report!J:J,H28319)</f>
        <v>#ERROR!</v>
      </c>
      <c r="P541" s="6" t="str">
        <f>SUMIFS([1]order_sku_sales_bb2_report!O:O,[1]order_sku_sales_bb2_report!H:H,C28319,[1]order_sku_sales_bb2_report!J:J,H28319)</f>
        <v>#ERROR!</v>
      </c>
      <c r="Q541" s="6" t="str">
        <f t="shared" si="1"/>
        <v>22-12-2025</v>
      </c>
      <c r="R541" s="6" t="str">
        <f>IFERROR( VLOOKUP(C28319,[1]expressOrderReport!$S:$AZ,34,0),0)</f>
        <v>#ERROR!</v>
      </c>
      <c r="S541" s="6" t="str">
        <f>ARRAY_CONSTRAIN(ARRAYFORMULA(_xludf.XLOOKUP(D28319,[1]order_Report_SA_ID_BB2.0!V:V,[1]order_Report_SA_ID_BB2.0!AM:AM,"")), 1, 1)</f>
        <v>#ERROR!</v>
      </c>
      <c r="T541" s="6" t="str">
        <f t="shared" si="2"/>
        <v>Dec'25</v>
      </c>
    </row>
    <row r="542" ht="15.75" customHeight="1">
      <c r="A542" s="5">
        <v>46013.0</v>
      </c>
      <c r="B542" s="6">
        <v>714.0</v>
      </c>
      <c r="C542" s="6">
        <v>1.859165537E9</v>
      </c>
      <c r="D542" s="6">
        <v>1.4178623E7</v>
      </c>
      <c r="E542" s="6" t="s">
        <v>876</v>
      </c>
      <c r="F542" s="6" t="s">
        <v>877</v>
      </c>
      <c r="G542" s="6">
        <v>9.309105034E9</v>
      </c>
      <c r="H542" s="6">
        <v>4.0149833E7</v>
      </c>
      <c r="I542" s="6" t="s">
        <v>40</v>
      </c>
      <c r="J542" s="6" t="s">
        <v>21</v>
      </c>
      <c r="K542" s="6" t="s">
        <v>22</v>
      </c>
      <c r="L542" s="6">
        <v>55.0</v>
      </c>
      <c r="M542" s="5">
        <v>46013.0</v>
      </c>
      <c r="N542" s="6" t="s">
        <v>23</v>
      </c>
      <c r="O542" s="6" t="str">
        <f>SUMIFS([1]order_sku_sales_bb2_report!P:P,[1]order_sku_sales_bb2_report!H:H,C28320,[1]order_sku_sales_bb2_report!J:J,H28320)</f>
        <v>#ERROR!</v>
      </c>
      <c r="P542" s="6" t="str">
        <f>SUMIFS([1]order_sku_sales_bb2_report!O:O,[1]order_sku_sales_bb2_report!H:H,C28320,[1]order_sku_sales_bb2_report!J:J,H28320)</f>
        <v>#ERROR!</v>
      </c>
      <c r="Q542" s="6" t="str">
        <f t="shared" si="1"/>
        <v>22-12-2025</v>
      </c>
      <c r="R542" s="6" t="str">
        <f>IFERROR( VLOOKUP(C28320,[1]expressOrderReport!$S:$AZ,34,0),0)</f>
        <v>#ERROR!</v>
      </c>
      <c r="S542" s="6" t="str">
        <f>ARRAY_CONSTRAIN(ARRAYFORMULA(_xludf.XLOOKUP(D28320,[1]order_Report_SA_ID_BB2.0!V:V,[1]order_Report_SA_ID_BB2.0!AM:AM,"")), 1, 1)</f>
        <v>#ERROR!</v>
      </c>
      <c r="T542" s="6" t="str">
        <f t="shared" si="2"/>
        <v>Dec'25</v>
      </c>
    </row>
    <row r="543" ht="15.75" customHeight="1">
      <c r="A543" s="5">
        <v>46013.0</v>
      </c>
      <c r="B543" s="6">
        <v>974.0</v>
      </c>
      <c r="C543" s="6">
        <v>1.859165537E9</v>
      </c>
      <c r="D543" s="6">
        <v>1.4178623E7</v>
      </c>
      <c r="E543" s="6" t="s">
        <v>876</v>
      </c>
      <c r="F543" s="6" t="s">
        <v>877</v>
      </c>
      <c r="G543" s="6">
        <v>9.309105034E9</v>
      </c>
      <c r="H543" s="6">
        <v>4.014983E7</v>
      </c>
      <c r="I543" s="6" t="s">
        <v>30</v>
      </c>
      <c r="J543" s="6" t="s">
        <v>21</v>
      </c>
      <c r="K543" s="6" t="s">
        <v>22</v>
      </c>
      <c r="L543" s="6">
        <v>55.0</v>
      </c>
      <c r="M543" s="5">
        <v>46013.0</v>
      </c>
      <c r="N543" s="6" t="s">
        <v>23</v>
      </c>
      <c r="O543" s="6" t="str">
        <f>SUMIFS([1]order_sku_sales_bb2_report!P:P,[1]order_sku_sales_bb2_report!H:H,C28321,[1]order_sku_sales_bb2_report!J:J,H28321)</f>
        <v>#ERROR!</v>
      </c>
      <c r="P543" s="6" t="str">
        <f>SUMIFS([1]order_sku_sales_bb2_report!O:O,[1]order_sku_sales_bb2_report!H:H,C28321,[1]order_sku_sales_bb2_report!J:J,H28321)</f>
        <v>#ERROR!</v>
      </c>
      <c r="Q543" s="6" t="str">
        <f t="shared" si="1"/>
        <v>22-12-2025</v>
      </c>
      <c r="R543" s="6" t="str">
        <f>IFERROR( VLOOKUP(C28321,[1]expressOrderReport!$S:$AZ,34,0),0)</f>
        <v>#ERROR!</v>
      </c>
      <c r="S543" s="6" t="str">
        <f>ARRAY_CONSTRAIN(ARRAYFORMULA(_xludf.XLOOKUP(D28321,[1]order_Report_SA_ID_BB2.0!V:V,[1]order_Report_SA_ID_BB2.0!AM:AM,"")), 1, 1)</f>
        <v>#ERROR!</v>
      </c>
      <c r="T543" s="6" t="str">
        <f t="shared" si="2"/>
        <v>Dec'25</v>
      </c>
    </row>
    <row r="544" ht="15.75" customHeight="1">
      <c r="A544" s="5">
        <v>46013.0</v>
      </c>
      <c r="B544" s="6">
        <v>741.0</v>
      </c>
      <c r="C544" s="6">
        <v>1.859165547E9</v>
      </c>
      <c r="D544" s="6">
        <v>3680989.0</v>
      </c>
      <c r="E544" s="6" t="s">
        <v>878</v>
      </c>
      <c r="F544" s="6" t="s">
        <v>879</v>
      </c>
      <c r="G544" s="6">
        <v>9.84092365E9</v>
      </c>
      <c r="H544" s="6">
        <v>4.0149832E7</v>
      </c>
      <c r="I544" s="6" t="s">
        <v>26</v>
      </c>
      <c r="J544" s="6" t="s">
        <v>21</v>
      </c>
      <c r="K544" s="6" t="s">
        <v>22</v>
      </c>
      <c r="L544" s="6">
        <v>24.0</v>
      </c>
      <c r="M544" s="5">
        <v>46013.0</v>
      </c>
      <c r="N544" s="6" t="s">
        <v>23</v>
      </c>
      <c r="O544" s="6" t="str">
        <f>SUMIFS([1]order_sku_sales_bb2_report!P:P,[1]order_sku_sales_bb2_report!H:H,C28322,[1]order_sku_sales_bb2_report!J:J,H28322)</f>
        <v>#ERROR!</v>
      </c>
      <c r="P544" s="6" t="str">
        <f>SUMIFS([1]order_sku_sales_bb2_report!O:O,[1]order_sku_sales_bb2_report!H:H,C28322,[1]order_sku_sales_bb2_report!J:J,H28322)</f>
        <v>#ERROR!</v>
      </c>
      <c r="Q544" s="6" t="str">
        <f t="shared" si="1"/>
        <v>22-12-2025</v>
      </c>
      <c r="R544" s="6" t="str">
        <f>IFERROR( VLOOKUP(C28322,[1]expressOrderReport!$S:$AZ,34,0),0)</f>
        <v>#ERROR!</v>
      </c>
      <c r="S544" s="6" t="str">
        <f>ARRAY_CONSTRAIN(ARRAYFORMULA(_xludf.XLOOKUP(D28322,[1]order_Report_SA_ID_BB2.0!V:V,[1]order_Report_SA_ID_BB2.0!AM:AM,"")), 1, 1)</f>
        <v>#ERROR!</v>
      </c>
      <c r="T544" s="6" t="str">
        <f t="shared" si="2"/>
        <v>Dec'25</v>
      </c>
    </row>
    <row r="545" ht="15.75" customHeight="1">
      <c r="A545" s="5">
        <v>46013.0</v>
      </c>
      <c r="B545" s="6">
        <v>750.0</v>
      </c>
      <c r="C545" s="6">
        <v>1.859165554E9</v>
      </c>
      <c r="D545" s="6">
        <v>6194047.0</v>
      </c>
      <c r="E545" s="6" t="s">
        <v>880</v>
      </c>
      <c r="F545" s="6" t="s">
        <v>881</v>
      </c>
      <c r="G545" s="6">
        <v>8.826465511E9</v>
      </c>
      <c r="H545" s="6">
        <v>4.0047739E7</v>
      </c>
      <c r="I545" s="6" t="s">
        <v>180</v>
      </c>
      <c r="J545" s="6" t="s">
        <v>21</v>
      </c>
      <c r="K545" s="6" t="s">
        <v>22</v>
      </c>
      <c r="L545" s="6">
        <v>136.0</v>
      </c>
      <c r="M545" s="5">
        <v>46013.0</v>
      </c>
      <c r="N545" s="6" t="s">
        <v>23</v>
      </c>
      <c r="O545" s="6" t="str">
        <f>SUMIFS([1]order_sku_sales_bb2_report!P:P,[1]order_sku_sales_bb2_report!H:H,C28323,[1]order_sku_sales_bb2_report!J:J,H28323)</f>
        <v>#ERROR!</v>
      </c>
      <c r="P545" s="6" t="str">
        <f>SUMIFS([1]order_sku_sales_bb2_report!O:O,[1]order_sku_sales_bb2_report!H:H,C28323,[1]order_sku_sales_bb2_report!J:J,H28323)</f>
        <v>#ERROR!</v>
      </c>
      <c r="Q545" s="6" t="str">
        <f t="shared" si="1"/>
        <v>22-12-2025</v>
      </c>
      <c r="R545" s="6" t="str">
        <f>IFERROR( VLOOKUP(C28323,[1]expressOrderReport!$S:$AZ,34,0),0)</f>
        <v>#ERROR!</v>
      </c>
      <c r="S545" s="6" t="str">
        <f>ARRAY_CONSTRAIN(ARRAYFORMULA(_xludf.XLOOKUP(D28323,[1]order_Report_SA_ID_BB2.0!V:V,[1]order_Report_SA_ID_BB2.0!AM:AM,"")), 1, 1)</f>
        <v>#ERROR!</v>
      </c>
      <c r="T545" s="6" t="str">
        <f t="shared" si="2"/>
        <v>Dec'25</v>
      </c>
    </row>
    <row r="546" ht="15.75" customHeight="1">
      <c r="A546" s="5">
        <v>46013.0</v>
      </c>
      <c r="B546" s="6">
        <v>755.0</v>
      </c>
      <c r="C546" s="6">
        <v>1.859165566E9</v>
      </c>
      <c r="D546" s="6">
        <v>2.185288E7</v>
      </c>
      <c r="E546" s="6" t="s">
        <v>882</v>
      </c>
      <c r="F546" s="6" t="s">
        <v>883</v>
      </c>
      <c r="G546" s="6">
        <v>9.740566335E9</v>
      </c>
      <c r="H546" s="6">
        <v>4.0149832E7</v>
      </c>
      <c r="I546" s="6" t="s">
        <v>26</v>
      </c>
      <c r="J546" s="6" t="s">
        <v>21</v>
      </c>
      <c r="K546" s="6" t="s">
        <v>22</v>
      </c>
      <c r="L546" s="6">
        <v>148.0</v>
      </c>
      <c r="M546" s="5">
        <v>46013.0</v>
      </c>
      <c r="N546" s="6" t="s">
        <v>23</v>
      </c>
      <c r="O546" s="6" t="str">
        <f>SUMIFS([1]order_sku_sales_bb2_report!P:P,[1]order_sku_sales_bb2_report!H:H,C28324,[1]order_sku_sales_bb2_report!J:J,H28324)</f>
        <v>#ERROR!</v>
      </c>
      <c r="P546" s="6" t="str">
        <f>SUMIFS([1]order_sku_sales_bb2_report!O:O,[1]order_sku_sales_bb2_report!H:H,C28324,[1]order_sku_sales_bb2_report!J:J,H28324)</f>
        <v>#ERROR!</v>
      </c>
      <c r="Q546" s="6" t="str">
        <f t="shared" si="1"/>
        <v>22-12-2025</v>
      </c>
      <c r="R546" s="6" t="str">
        <f>IFERROR( VLOOKUP(C28324,[1]expressOrderReport!$S:$AZ,34,0),0)</f>
        <v>#ERROR!</v>
      </c>
      <c r="S546" s="6" t="str">
        <f>ARRAY_CONSTRAIN(ARRAYFORMULA(_xludf.XLOOKUP(D28324,[1]order_Report_SA_ID_BB2.0!V:V,[1]order_Report_SA_ID_BB2.0!AM:AM,"")), 1, 1)</f>
        <v>#ERROR!</v>
      </c>
      <c r="T546" s="6" t="str">
        <f t="shared" si="2"/>
        <v>Dec'25</v>
      </c>
    </row>
    <row r="547" ht="15.75" customHeight="1">
      <c r="A547" s="5">
        <v>46013.0</v>
      </c>
      <c r="B547" s="6">
        <v>758.0</v>
      </c>
      <c r="C547" s="6">
        <v>1.859165566E9</v>
      </c>
      <c r="D547" s="6">
        <v>2.185288E7</v>
      </c>
      <c r="E547" s="6" t="s">
        <v>882</v>
      </c>
      <c r="F547" s="6" t="s">
        <v>883</v>
      </c>
      <c r="G547" s="6">
        <v>9.740566335E9</v>
      </c>
      <c r="H547" s="6">
        <v>4.0149831E7</v>
      </c>
      <c r="I547" s="6" t="s">
        <v>65</v>
      </c>
      <c r="J547" s="6" t="s">
        <v>21</v>
      </c>
      <c r="K547" s="6" t="s">
        <v>22</v>
      </c>
      <c r="L547" s="6">
        <v>148.0</v>
      </c>
      <c r="M547" s="5">
        <v>46013.0</v>
      </c>
      <c r="N547" s="6" t="s">
        <v>23</v>
      </c>
      <c r="O547" s="6" t="str">
        <f>SUMIFS([1]order_sku_sales_bb2_report!P:P,[1]order_sku_sales_bb2_report!H:H,C28325,[1]order_sku_sales_bb2_report!J:J,H28325)</f>
        <v>#ERROR!</v>
      </c>
      <c r="P547" s="6" t="str">
        <f>SUMIFS([1]order_sku_sales_bb2_report!O:O,[1]order_sku_sales_bb2_report!H:H,C28325,[1]order_sku_sales_bb2_report!J:J,H28325)</f>
        <v>#ERROR!</v>
      </c>
      <c r="Q547" s="6" t="str">
        <f t="shared" si="1"/>
        <v>22-12-2025</v>
      </c>
      <c r="R547" s="6" t="str">
        <f>IFERROR( VLOOKUP(C28325,[1]expressOrderReport!$S:$AZ,34,0),0)</f>
        <v>#ERROR!</v>
      </c>
      <c r="S547" s="6" t="str">
        <f>ARRAY_CONSTRAIN(ARRAYFORMULA(_xludf.XLOOKUP(D28325,[1]order_Report_SA_ID_BB2.0!V:V,[1]order_Report_SA_ID_BB2.0!AM:AM,"")), 1, 1)</f>
        <v>#ERROR!</v>
      </c>
      <c r="T547" s="6" t="str">
        <f t="shared" si="2"/>
        <v>Dec'25</v>
      </c>
    </row>
    <row r="548" ht="15.75" customHeight="1">
      <c r="A548" s="5">
        <v>46013.0</v>
      </c>
      <c r="B548" s="6">
        <v>778.0</v>
      </c>
      <c r="C548" s="6">
        <v>1.859165577E9</v>
      </c>
      <c r="D548" s="6">
        <v>7.5363805E7</v>
      </c>
      <c r="E548" s="6" t="s">
        <v>884</v>
      </c>
      <c r="F548" s="6" t="s">
        <v>885</v>
      </c>
      <c r="G548" s="6">
        <v>9.84401615E9</v>
      </c>
      <c r="H548" s="6">
        <v>4.0149832E7</v>
      </c>
      <c r="I548" s="6" t="s">
        <v>26</v>
      </c>
      <c r="J548" s="6" t="s">
        <v>21</v>
      </c>
      <c r="K548" s="6" t="s">
        <v>22</v>
      </c>
      <c r="L548" s="6">
        <v>24.0</v>
      </c>
      <c r="M548" s="5">
        <v>46013.0</v>
      </c>
      <c r="N548" s="6" t="s">
        <v>23</v>
      </c>
      <c r="O548" s="6" t="str">
        <f>SUMIFS([1]order_sku_sales_bb2_report!P:P,[1]order_sku_sales_bb2_report!H:H,C28326,[1]order_sku_sales_bb2_report!J:J,H28326)</f>
        <v>#ERROR!</v>
      </c>
      <c r="P548" s="6" t="str">
        <f>SUMIFS([1]order_sku_sales_bb2_report!O:O,[1]order_sku_sales_bb2_report!H:H,C28326,[1]order_sku_sales_bb2_report!J:J,H28326)</f>
        <v>#ERROR!</v>
      </c>
      <c r="Q548" s="6" t="str">
        <f t="shared" si="1"/>
        <v>22-12-2025</v>
      </c>
      <c r="R548" s="6" t="str">
        <f>IFERROR( VLOOKUP(C28326,[1]expressOrderReport!$S:$AZ,34,0),0)</f>
        <v>#ERROR!</v>
      </c>
      <c r="S548" s="6" t="str">
        <f>ARRAY_CONSTRAIN(ARRAYFORMULA(_xludf.XLOOKUP(D28326,[1]order_Report_SA_ID_BB2.0!V:V,[1]order_Report_SA_ID_BB2.0!AM:AM,"")), 1, 1)</f>
        <v>#ERROR!</v>
      </c>
      <c r="T548" s="6" t="str">
        <f t="shared" si="2"/>
        <v>Dec'25</v>
      </c>
    </row>
    <row r="549" ht="15.75" customHeight="1">
      <c r="A549" s="5">
        <v>46013.0</v>
      </c>
      <c r="B549" s="6">
        <v>1000.0</v>
      </c>
      <c r="C549" s="6">
        <v>1.859165588E9</v>
      </c>
      <c r="D549" s="6">
        <v>1.2435167E7</v>
      </c>
      <c r="E549" s="6" t="s">
        <v>886</v>
      </c>
      <c r="F549" s="6" t="s">
        <v>887</v>
      </c>
      <c r="G549" s="6">
        <v>7.204192277E9</v>
      </c>
      <c r="H549" s="6">
        <v>4.0149832E7</v>
      </c>
      <c r="I549" s="6" t="s">
        <v>26</v>
      </c>
      <c r="J549" s="6" t="s">
        <v>21</v>
      </c>
      <c r="K549" s="6" t="s">
        <v>22</v>
      </c>
      <c r="L549" s="6">
        <v>24.0</v>
      </c>
      <c r="M549" s="5">
        <v>46013.0</v>
      </c>
      <c r="N549" s="6" t="s">
        <v>23</v>
      </c>
      <c r="O549" s="6" t="str">
        <f>SUMIFS([1]order_sku_sales_bb2_report!P:P,[1]order_sku_sales_bb2_report!H:H,C28327,[1]order_sku_sales_bb2_report!J:J,H28327)</f>
        <v>#ERROR!</v>
      </c>
      <c r="P549" s="6" t="str">
        <f>SUMIFS([1]order_sku_sales_bb2_report!O:O,[1]order_sku_sales_bb2_report!H:H,C28327,[1]order_sku_sales_bb2_report!J:J,H28327)</f>
        <v>#ERROR!</v>
      </c>
      <c r="Q549" s="6" t="str">
        <f t="shared" si="1"/>
        <v>22-12-2025</v>
      </c>
      <c r="R549" s="6" t="str">
        <f>IFERROR( VLOOKUP(C28327,[1]expressOrderReport!$S:$AZ,34,0),0)</f>
        <v>#ERROR!</v>
      </c>
      <c r="S549" s="6" t="str">
        <f>ARRAY_CONSTRAIN(ARRAYFORMULA(_xludf.XLOOKUP(D28327,[1]order_Report_SA_ID_BB2.0!V:V,[1]order_Report_SA_ID_BB2.0!AM:AM,"")), 1, 1)</f>
        <v>#ERROR!</v>
      </c>
      <c r="T549" s="6" t="str">
        <f t="shared" si="2"/>
        <v>Dec'25</v>
      </c>
    </row>
    <row r="550" ht="15.75" customHeight="1">
      <c r="A550" s="5">
        <v>46013.0</v>
      </c>
      <c r="B550" s="6">
        <v>4820.0</v>
      </c>
      <c r="C550" s="6">
        <v>1.859165605E9</v>
      </c>
      <c r="D550" s="6">
        <v>1.4608709E7</v>
      </c>
      <c r="E550" s="6" t="s">
        <v>888</v>
      </c>
      <c r="F550" s="6" t="s">
        <v>889</v>
      </c>
      <c r="G550" s="6">
        <v>7.877582781E9</v>
      </c>
      <c r="H550" s="6">
        <v>4.0149834E7</v>
      </c>
      <c r="I550" s="6" t="s">
        <v>40</v>
      </c>
      <c r="J550" s="6" t="s">
        <v>21</v>
      </c>
      <c r="K550" s="6" t="s">
        <v>22</v>
      </c>
      <c r="L550" s="6">
        <v>79.0</v>
      </c>
      <c r="M550" s="5">
        <v>46013.0</v>
      </c>
      <c r="N550" s="6" t="s">
        <v>23</v>
      </c>
      <c r="O550" s="6" t="str">
        <f>SUMIFS([1]order_sku_sales_bb2_report!P:P,[1]order_sku_sales_bb2_report!H:H,C28328,[1]order_sku_sales_bb2_report!J:J,H28328)</f>
        <v>#ERROR!</v>
      </c>
      <c r="P550" s="6" t="str">
        <f>SUMIFS([1]order_sku_sales_bb2_report!O:O,[1]order_sku_sales_bb2_report!H:H,C28328,[1]order_sku_sales_bb2_report!J:J,H28328)</f>
        <v>#ERROR!</v>
      </c>
      <c r="Q550" s="6" t="str">
        <f t="shared" si="1"/>
        <v>22-12-2025</v>
      </c>
      <c r="R550" s="6" t="str">
        <f>IFERROR( VLOOKUP(C28328,[1]expressOrderReport!$S:$AZ,34,0),0)</f>
        <v>#ERROR!</v>
      </c>
      <c r="S550" s="6" t="str">
        <f>ARRAY_CONSTRAIN(ARRAYFORMULA(_xludf.XLOOKUP(D28328,[1]order_Report_SA_ID_BB2.0!V:V,[1]order_Report_SA_ID_BB2.0!AM:AM,"")), 1, 1)</f>
        <v>#ERROR!</v>
      </c>
      <c r="T550" s="6" t="str">
        <f t="shared" si="2"/>
        <v>Dec'25</v>
      </c>
    </row>
    <row r="551" ht="15.75" customHeight="1">
      <c r="A551" s="5">
        <v>46013.0</v>
      </c>
      <c r="B551" s="6">
        <v>10900.0</v>
      </c>
      <c r="C551" s="6">
        <v>1.859165605E9</v>
      </c>
      <c r="D551" s="6">
        <v>1.4608709E7</v>
      </c>
      <c r="E551" s="6" t="s">
        <v>888</v>
      </c>
      <c r="F551" s="6" t="s">
        <v>889</v>
      </c>
      <c r="G551" s="6">
        <v>7.877582781E9</v>
      </c>
      <c r="H551" s="6">
        <v>4.0149833E7</v>
      </c>
      <c r="I551" s="6" t="s">
        <v>40</v>
      </c>
      <c r="J551" s="6" t="s">
        <v>21</v>
      </c>
      <c r="K551" s="6" t="s">
        <v>22</v>
      </c>
      <c r="L551" s="6">
        <v>79.0</v>
      </c>
      <c r="M551" s="5">
        <v>46013.0</v>
      </c>
      <c r="N551" s="6" t="s">
        <v>23</v>
      </c>
      <c r="O551" s="6" t="str">
        <f>SUMIFS([1]order_sku_sales_bb2_report!P:P,[1]order_sku_sales_bb2_report!H:H,C28329,[1]order_sku_sales_bb2_report!J:J,H28329)</f>
        <v>#ERROR!</v>
      </c>
      <c r="P551" s="6" t="str">
        <f>SUMIFS([1]order_sku_sales_bb2_report!O:O,[1]order_sku_sales_bb2_report!H:H,C28329,[1]order_sku_sales_bb2_report!J:J,H28329)</f>
        <v>#ERROR!</v>
      </c>
      <c r="Q551" s="6" t="str">
        <f t="shared" si="1"/>
        <v>22-12-2025</v>
      </c>
      <c r="R551" s="6" t="str">
        <f>IFERROR( VLOOKUP(C28329,[1]expressOrderReport!$S:$AZ,34,0),0)</f>
        <v>#ERROR!</v>
      </c>
      <c r="S551" s="6" t="str">
        <f>ARRAY_CONSTRAIN(ARRAYFORMULA(_xludf.XLOOKUP(D28329,[1]order_Report_SA_ID_BB2.0!V:V,[1]order_Report_SA_ID_BB2.0!AM:AM,"")), 1, 1)</f>
        <v>#ERROR!</v>
      </c>
      <c r="T551" s="6" t="str">
        <f t="shared" si="2"/>
        <v>Dec'25</v>
      </c>
    </row>
    <row r="552" ht="15.75" customHeight="1">
      <c r="A552" s="5">
        <v>46013.0</v>
      </c>
      <c r="B552" s="6">
        <v>9039.0</v>
      </c>
      <c r="C552" s="6">
        <v>1.859165615E9</v>
      </c>
      <c r="D552" s="6">
        <v>8324337.0</v>
      </c>
      <c r="E552" s="6" t="s">
        <v>890</v>
      </c>
      <c r="F552" s="6" t="s">
        <v>891</v>
      </c>
      <c r="G552" s="6">
        <v>9.611107827E9</v>
      </c>
      <c r="H552" s="6">
        <v>4.0149833E7</v>
      </c>
      <c r="I552" s="6" t="s">
        <v>40</v>
      </c>
      <c r="J552" s="6" t="s">
        <v>21</v>
      </c>
      <c r="K552" s="6" t="s">
        <v>22</v>
      </c>
      <c r="L552" s="6">
        <v>27.0</v>
      </c>
      <c r="M552" s="5">
        <v>46013.0</v>
      </c>
      <c r="N552" s="6" t="s">
        <v>23</v>
      </c>
      <c r="O552" s="6" t="str">
        <f>SUMIFS([1]order_sku_sales_bb2_report!P:P,[1]order_sku_sales_bb2_report!H:H,C28330,[1]order_sku_sales_bb2_report!J:J,H28330)</f>
        <v>#ERROR!</v>
      </c>
      <c r="P552" s="6" t="str">
        <f>SUMIFS([1]order_sku_sales_bb2_report!O:O,[1]order_sku_sales_bb2_report!H:H,C28330,[1]order_sku_sales_bb2_report!J:J,H28330)</f>
        <v>#ERROR!</v>
      </c>
      <c r="Q552" s="6" t="str">
        <f t="shared" si="1"/>
        <v>22-12-2025</v>
      </c>
      <c r="R552" s="6" t="str">
        <f>IFERROR( VLOOKUP(C28330,[1]expressOrderReport!$S:$AZ,34,0),0)</f>
        <v>#ERROR!</v>
      </c>
      <c r="S552" s="6" t="str">
        <f>ARRAY_CONSTRAIN(ARRAYFORMULA(_xludf.XLOOKUP(D28330,[1]order_Report_SA_ID_BB2.0!V:V,[1]order_Report_SA_ID_BB2.0!AM:AM,"")), 1, 1)</f>
        <v>#ERROR!</v>
      </c>
      <c r="T552" s="6" t="str">
        <f t="shared" si="2"/>
        <v>Dec'25</v>
      </c>
    </row>
    <row r="553" ht="15.75" customHeight="1">
      <c r="A553" s="5">
        <v>46013.0</v>
      </c>
      <c r="B553" s="6">
        <v>8699.0</v>
      </c>
      <c r="C553" s="6">
        <v>1.859165623E9</v>
      </c>
      <c r="D553" s="6">
        <v>5.5076121E7</v>
      </c>
      <c r="E553" s="6" t="s">
        <v>892</v>
      </c>
      <c r="F553" s="6" t="s">
        <v>893</v>
      </c>
      <c r="G553" s="6">
        <v>7.892408347E9</v>
      </c>
      <c r="H553" s="6">
        <v>4.0161616E7</v>
      </c>
      <c r="I553" s="6" t="s">
        <v>20</v>
      </c>
      <c r="J553" s="6" t="s">
        <v>21</v>
      </c>
      <c r="K553" s="6" t="s">
        <v>22</v>
      </c>
      <c r="L553" s="6">
        <v>28.0</v>
      </c>
      <c r="M553" s="5">
        <v>46013.0</v>
      </c>
      <c r="N553" s="6" t="s">
        <v>23</v>
      </c>
      <c r="O553" s="6" t="str">
        <f>SUMIFS([1]order_sku_sales_bb2_report!P:P,[1]order_sku_sales_bb2_report!H:H,C28331,[1]order_sku_sales_bb2_report!J:J,H28331)</f>
        <v>#ERROR!</v>
      </c>
      <c r="P553" s="6" t="str">
        <f>SUMIFS([1]order_sku_sales_bb2_report!O:O,[1]order_sku_sales_bb2_report!H:H,C28331,[1]order_sku_sales_bb2_report!J:J,H28331)</f>
        <v>#ERROR!</v>
      </c>
      <c r="Q553" s="6" t="str">
        <f t="shared" si="1"/>
        <v>22-12-2025</v>
      </c>
      <c r="R553" s="6" t="str">
        <f>IFERROR( VLOOKUP(C28331,[1]expressOrderReport!$S:$AZ,34,0),0)</f>
        <v>#ERROR!</v>
      </c>
      <c r="S553" s="6" t="str">
        <f>ARRAY_CONSTRAIN(ARRAYFORMULA(_xludf.XLOOKUP(D28331,[1]order_Report_SA_ID_BB2.0!V:V,[1]order_Report_SA_ID_BB2.0!AM:AM,"")), 1, 1)</f>
        <v>#ERROR!</v>
      </c>
      <c r="T553" s="6" t="str">
        <f t="shared" si="2"/>
        <v>Dec'25</v>
      </c>
    </row>
    <row r="554" ht="15.75" customHeight="1">
      <c r="A554" s="5">
        <v>46013.0</v>
      </c>
      <c r="B554" s="6">
        <v>872.0</v>
      </c>
      <c r="C554" s="6">
        <v>1.859165631E9</v>
      </c>
      <c r="D554" s="6">
        <v>442696.0</v>
      </c>
      <c r="E554" s="6" t="s">
        <v>894</v>
      </c>
      <c r="F554" s="6" t="s">
        <v>895</v>
      </c>
      <c r="G554" s="6">
        <v>8.861527788E9</v>
      </c>
      <c r="H554" s="6">
        <v>4.014983E7</v>
      </c>
      <c r="I554" s="6" t="s">
        <v>30</v>
      </c>
      <c r="J554" s="6" t="s">
        <v>21</v>
      </c>
      <c r="K554" s="6" t="s">
        <v>22</v>
      </c>
      <c r="L554" s="6">
        <v>28.0</v>
      </c>
      <c r="M554" s="5">
        <v>46013.0</v>
      </c>
      <c r="N554" s="6" t="s">
        <v>23</v>
      </c>
      <c r="O554" s="6" t="str">
        <f>SUMIFS([1]order_sku_sales_bb2_report!P:P,[1]order_sku_sales_bb2_report!H:H,C28332,[1]order_sku_sales_bb2_report!J:J,H28332)</f>
        <v>#ERROR!</v>
      </c>
      <c r="P554" s="6" t="str">
        <f>SUMIFS([1]order_sku_sales_bb2_report!O:O,[1]order_sku_sales_bb2_report!H:H,C28332,[1]order_sku_sales_bb2_report!J:J,H28332)</f>
        <v>#ERROR!</v>
      </c>
      <c r="Q554" s="6" t="str">
        <f t="shared" si="1"/>
        <v>22-12-2025</v>
      </c>
      <c r="R554" s="6" t="str">
        <f>IFERROR( VLOOKUP(C28332,[1]expressOrderReport!$S:$AZ,34,0),0)</f>
        <v>#ERROR!</v>
      </c>
      <c r="S554" s="6" t="str">
        <f>ARRAY_CONSTRAIN(ARRAYFORMULA(_xludf.XLOOKUP(D28332,[1]order_Report_SA_ID_BB2.0!V:V,[1]order_Report_SA_ID_BB2.0!AM:AM,"")), 1, 1)</f>
        <v>#ERROR!</v>
      </c>
      <c r="T554" s="6" t="str">
        <f t="shared" si="2"/>
        <v>Dec'25</v>
      </c>
    </row>
    <row r="555" ht="15.75" customHeight="1">
      <c r="A555" s="5">
        <v>46013.0</v>
      </c>
      <c r="B555" s="6">
        <v>980.0</v>
      </c>
      <c r="C555" s="6">
        <v>1.859165638E9</v>
      </c>
      <c r="D555" s="6">
        <v>5.0406704E7</v>
      </c>
      <c r="E555" s="6" t="s">
        <v>896</v>
      </c>
      <c r="F555" s="6" t="s">
        <v>897</v>
      </c>
      <c r="G555" s="6">
        <v>9.886150682E9</v>
      </c>
      <c r="H555" s="6">
        <v>4.0148717E7</v>
      </c>
      <c r="I555" s="6" t="s">
        <v>226</v>
      </c>
      <c r="J555" s="6" t="s">
        <v>21</v>
      </c>
      <c r="K555" s="6" t="s">
        <v>22</v>
      </c>
      <c r="L555" s="6">
        <v>53.0</v>
      </c>
      <c r="M555" s="5">
        <v>46013.0</v>
      </c>
      <c r="N555" s="6" t="s">
        <v>23</v>
      </c>
      <c r="O555" s="6" t="str">
        <f>SUMIFS([1]order_sku_sales_bb2_report!P:P,[1]order_sku_sales_bb2_report!H:H,C28333,[1]order_sku_sales_bb2_report!J:J,H28333)</f>
        <v>#ERROR!</v>
      </c>
      <c r="P555" s="6" t="str">
        <f>SUMIFS([1]order_sku_sales_bb2_report!O:O,[1]order_sku_sales_bb2_report!H:H,C28333,[1]order_sku_sales_bb2_report!J:J,H28333)</f>
        <v>#ERROR!</v>
      </c>
      <c r="Q555" s="6" t="str">
        <f t="shared" si="1"/>
        <v>22-12-2025</v>
      </c>
      <c r="R555" s="6" t="str">
        <f>IFERROR( VLOOKUP(C28333,[1]expressOrderReport!$S:$AZ,34,0),0)</f>
        <v>#ERROR!</v>
      </c>
      <c r="S555" s="6" t="str">
        <f>ARRAY_CONSTRAIN(ARRAYFORMULA(_xludf.XLOOKUP(D28333,[1]order_Report_SA_ID_BB2.0!V:V,[1]order_Report_SA_ID_BB2.0!AM:AM,"")), 1, 1)</f>
        <v>#ERROR!</v>
      </c>
      <c r="T555" s="6" t="str">
        <f t="shared" si="2"/>
        <v>Dec'25</v>
      </c>
    </row>
    <row r="556" ht="15.75" customHeight="1">
      <c r="A556" s="5">
        <v>46013.0</v>
      </c>
      <c r="B556" s="6">
        <v>887.0</v>
      </c>
      <c r="C556" s="6">
        <v>1.859165646E9</v>
      </c>
      <c r="D556" s="6">
        <v>4.660565E7</v>
      </c>
      <c r="E556" s="6" t="s">
        <v>898</v>
      </c>
      <c r="F556" s="6" t="s">
        <v>899</v>
      </c>
      <c r="G556" s="6">
        <v>9.90064763E9</v>
      </c>
      <c r="H556" s="6">
        <v>4.0149833E7</v>
      </c>
      <c r="I556" s="6" t="s">
        <v>40</v>
      </c>
      <c r="J556" s="6" t="s">
        <v>21</v>
      </c>
      <c r="K556" s="6" t="s">
        <v>22</v>
      </c>
      <c r="L556" s="6">
        <v>156.0</v>
      </c>
      <c r="M556" s="5">
        <v>46013.0</v>
      </c>
      <c r="N556" s="6" t="s">
        <v>23</v>
      </c>
      <c r="O556" s="6" t="str">
        <f>SUMIFS([1]order_sku_sales_bb2_report!P:P,[1]order_sku_sales_bb2_report!H:H,C28334,[1]order_sku_sales_bb2_report!J:J,H28334)</f>
        <v>#ERROR!</v>
      </c>
      <c r="P556" s="6" t="str">
        <f>SUMIFS([1]order_sku_sales_bb2_report!O:O,[1]order_sku_sales_bb2_report!H:H,C28334,[1]order_sku_sales_bb2_report!J:J,H28334)</f>
        <v>#ERROR!</v>
      </c>
      <c r="Q556" s="6" t="str">
        <f t="shared" si="1"/>
        <v>22-12-2025</v>
      </c>
      <c r="R556" s="6" t="str">
        <f>IFERROR( VLOOKUP(C28334,[1]expressOrderReport!$S:$AZ,34,0),0)</f>
        <v>#ERROR!</v>
      </c>
      <c r="S556" s="6" t="str">
        <f>ARRAY_CONSTRAIN(ARRAYFORMULA(_xludf.XLOOKUP(D28334,[1]order_Report_SA_ID_BB2.0!V:V,[1]order_Report_SA_ID_BB2.0!AM:AM,"")), 1, 1)</f>
        <v>#ERROR!</v>
      </c>
      <c r="T556" s="6" t="str">
        <f t="shared" si="2"/>
        <v>Dec'25</v>
      </c>
    </row>
    <row r="557" ht="15.75" customHeight="1">
      <c r="A557" s="5">
        <v>46013.0</v>
      </c>
      <c r="B557" s="6">
        <v>914.0</v>
      </c>
      <c r="C557" s="6">
        <v>1.859165646E9</v>
      </c>
      <c r="D557" s="6">
        <v>4.660565E7</v>
      </c>
      <c r="E557" s="6" t="s">
        <v>898</v>
      </c>
      <c r="F557" s="6" t="s">
        <v>899</v>
      </c>
      <c r="G557" s="6">
        <v>9.90064763E9</v>
      </c>
      <c r="H557" s="6">
        <v>4.014983E7</v>
      </c>
      <c r="I557" s="6" t="s">
        <v>30</v>
      </c>
      <c r="J557" s="6" t="s">
        <v>21</v>
      </c>
      <c r="K557" s="6" t="s">
        <v>22</v>
      </c>
      <c r="L557" s="6">
        <v>156.0</v>
      </c>
      <c r="M557" s="5">
        <v>46013.0</v>
      </c>
      <c r="N557" s="6" t="s">
        <v>23</v>
      </c>
      <c r="O557" s="6" t="str">
        <f>SUMIFS([1]order_sku_sales_bb2_report!P:P,[1]order_sku_sales_bb2_report!H:H,C28335,[1]order_sku_sales_bb2_report!J:J,H28335)</f>
        <v>#ERROR!</v>
      </c>
      <c r="P557" s="6" t="str">
        <f>SUMIFS([1]order_sku_sales_bb2_report!O:O,[1]order_sku_sales_bb2_report!H:H,C28335,[1]order_sku_sales_bb2_report!J:J,H28335)</f>
        <v>#ERROR!</v>
      </c>
      <c r="Q557" s="6" t="str">
        <f t="shared" si="1"/>
        <v>22-12-2025</v>
      </c>
      <c r="R557" s="6" t="str">
        <f>IFERROR( VLOOKUP(C28335,[1]expressOrderReport!$S:$AZ,34,0),0)</f>
        <v>#ERROR!</v>
      </c>
      <c r="S557" s="6" t="str">
        <f>ARRAY_CONSTRAIN(ARRAYFORMULA(_xludf.XLOOKUP(D28335,[1]order_Report_SA_ID_BB2.0!V:V,[1]order_Report_SA_ID_BB2.0!AM:AM,"")), 1, 1)</f>
        <v>#ERROR!</v>
      </c>
      <c r="T557" s="6" t="str">
        <f t="shared" si="2"/>
        <v>Dec'25</v>
      </c>
    </row>
    <row r="558" ht="15.75" customHeight="1">
      <c r="A558" s="5">
        <v>46013.0</v>
      </c>
      <c r="B558" s="6">
        <v>1006.0</v>
      </c>
      <c r="C558" s="6">
        <v>1.859165646E9</v>
      </c>
      <c r="D558" s="6">
        <v>4.660565E7</v>
      </c>
      <c r="E558" s="6" t="s">
        <v>898</v>
      </c>
      <c r="F558" s="6" t="s">
        <v>899</v>
      </c>
      <c r="G558" s="6">
        <v>9.90064763E9</v>
      </c>
      <c r="H558" s="6">
        <v>4.0148714E7</v>
      </c>
      <c r="I558" s="6" t="s">
        <v>183</v>
      </c>
      <c r="J558" s="6" t="s">
        <v>21</v>
      </c>
      <c r="K558" s="6" t="s">
        <v>22</v>
      </c>
      <c r="L558" s="6">
        <v>156.0</v>
      </c>
      <c r="M558" s="5">
        <v>46013.0</v>
      </c>
      <c r="N558" s="6" t="s">
        <v>23</v>
      </c>
      <c r="O558" s="6" t="str">
        <f>SUMIFS([1]order_sku_sales_bb2_report!P:P,[1]order_sku_sales_bb2_report!H:H,C28336,[1]order_sku_sales_bb2_report!J:J,H28336)</f>
        <v>#ERROR!</v>
      </c>
      <c r="P558" s="6" t="str">
        <f>SUMIFS([1]order_sku_sales_bb2_report!O:O,[1]order_sku_sales_bb2_report!H:H,C28336,[1]order_sku_sales_bb2_report!J:J,H28336)</f>
        <v>#ERROR!</v>
      </c>
      <c r="Q558" s="6" t="str">
        <f t="shared" si="1"/>
        <v>22-12-2025</v>
      </c>
      <c r="R558" s="6" t="str">
        <f>IFERROR( VLOOKUP(C28336,[1]expressOrderReport!$S:$AZ,34,0),0)</f>
        <v>#ERROR!</v>
      </c>
      <c r="S558" s="6" t="str">
        <f>ARRAY_CONSTRAIN(ARRAYFORMULA(_xludf.XLOOKUP(D28336,[1]order_Report_SA_ID_BB2.0!V:V,[1]order_Report_SA_ID_BB2.0!AM:AM,"")), 1, 1)</f>
        <v>#ERROR!</v>
      </c>
      <c r="T558" s="6" t="str">
        <f t="shared" si="2"/>
        <v>Dec'25</v>
      </c>
    </row>
    <row r="559" ht="15.75" customHeight="1">
      <c r="A559" s="5">
        <v>46013.0</v>
      </c>
      <c r="B559" s="6">
        <v>978.0</v>
      </c>
      <c r="C559" s="6">
        <v>1.859165654E9</v>
      </c>
      <c r="D559" s="6">
        <v>1837690.0</v>
      </c>
      <c r="E559" s="6" t="s">
        <v>900</v>
      </c>
      <c r="F559" s="6" t="s">
        <v>901</v>
      </c>
      <c r="G559" s="6">
        <v>9.880195229E9</v>
      </c>
      <c r="H559" s="6">
        <v>4.0149832E7</v>
      </c>
      <c r="I559" s="6" t="s">
        <v>26</v>
      </c>
      <c r="J559" s="6" t="s">
        <v>21</v>
      </c>
      <c r="K559" s="6" t="s">
        <v>22</v>
      </c>
      <c r="L559" s="6">
        <v>24.0</v>
      </c>
      <c r="M559" s="5">
        <v>46013.0</v>
      </c>
      <c r="N559" s="6" t="s">
        <v>23</v>
      </c>
      <c r="O559" s="6" t="str">
        <f>SUMIFS([1]order_sku_sales_bb2_report!P:P,[1]order_sku_sales_bb2_report!H:H,C28337,[1]order_sku_sales_bb2_report!J:J,H28337)</f>
        <v>#ERROR!</v>
      </c>
      <c r="P559" s="6" t="str">
        <f>SUMIFS([1]order_sku_sales_bb2_report!O:O,[1]order_sku_sales_bb2_report!H:H,C28337,[1]order_sku_sales_bb2_report!J:J,H28337)</f>
        <v>#ERROR!</v>
      </c>
      <c r="Q559" s="6" t="str">
        <f t="shared" si="1"/>
        <v>22-12-2025</v>
      </c>
      <c r="R559" s="6" t="str">
        <f>IFERROR( VLOOKUP(C28337,[1]expressOrderReport!$S:$AZ,34,0),0)</f>
        <v>#ERROR!</v>
      </c>
      <c r="S559" s="6" t="str">
        <f>ARRAY_CONSTRAIN(ARRAYFORMULA(_xludf.XLOOKUP(D28337,[1]order_Report_SA_ID_BB2.0!V:V,[1]order_Report_SA_ID_BB2.0!AM:AM,"")), 1, 1)</f>
        <v>#ERROR!</v>
      </c>
      <c r="T559" s="6" t="str">
        <f t="shared" si="2"/>
        <v>Dec'25</v>
      </c>
    </row>
    <row r="560" ht="15.75" customHeight="1">
      <c r="A560" s="5">
        <v>46013.0</v>
      </c>
      <c r="B560" s="6">
        <v>899.0</v>
      </c>
      <c r="C560" s="6">
        <v>1.859165664E9</v>
      </c>
      <c r="D560" s="6">
        <v>1159262.0</v>
      </c>
      <c r="E560" s="6" t="s">
        <v>902</v>
      </c>
      <c r="F560" s="6" t="s">
        <v>903</v>
      </c>
      <c r="G560" s="6">
        <v>9.88668333E9</v>
      </c>
      <c r="H560" s="6">
        <v>4.0158264E7</v>
      </c>
      <c r="I560" s="6" t="s">
        <v>26</v>
      </c>
      <c r="J560" s="6" t="s">
        <v>21</v>
      </c>
      <c r="K560" s="6" t="s">
        <v>22</v>
      </c>
      <c r="L560" s="6">
        <v>46.0</v>
      </c>
      <c r="M560" s="5">
        <v>46013.0</v>
      </c>
      <c r="N560" s="6" t="s">
        <v>23</v>
      </c>
      <c r="O560" s="6" t="str">
        <f>SUMIFS([1]order_sku_sales_bb2_report!P:P,[1]order_sku_sales_bb2_report!H:H,C28338,[1]order_sku_sales_bb2_report!J:J,H28338)</f>
        <v>#ERROR!</v>
      </c>
      <c r="P560" s="6" t="str">
        <f>SUMIFS([1]order_sku_sales_bb2_report!O:O,[1]order_sku_sales_bb2_report!H:H,C28338,[1]order_sku_sales_bb2_report!J:J,H28338)</f>
        <v>#ERROR!</v>
      </c>
      <c r="Q560" s="6" t="str">
        <f t="shared" si="1"/>
        <v>22-12-2025</v>
      </c>
      <c r="R560" s="6" t="str">
        <f>IFERROR( VLOOKUP(C28338,[1]expressOrderReport!$S:$AZ,34,0),0)</f>
        <v>#ERROR!</v>
      </c>
      <c r="S560" s="6" t="str">
        <f>ARRAY_CONSTRAIN(ARRAYFORMULA(_xludf.XLOOKUP(D28338,[1]order_Report_SA_ID_BB2.0!V:V,[1]order_Report_SA_ID_BB2.0!AM:AM,"")), 1, 1)</f>
        <v>#ERROR!</v>
      </c>
      <c r="T560" s="6" t="str">
        <f t="shared" si="2"/>
        <v>Dec'25</v>
      </c>
    </row>
    <row r="561" ht="15.75" customHeight="1">
      <c r="A561" s="5">
        <v>46013.0</v>
      </c>
      <c r="B561" s="6">
        <v>905.0</v>
      </c>
      <c r="C561" s="6">
        <v>1.859165673E9</v>
      </c>
      <c r="D561" s="6">
        <v>4.3200326E7</v>
      </c>
      <c r="E561" s="6" t="s">
        <v>904</v>
      </c>
      <c r="F561" s="6" t="s">
        <v>905</v>
      </c>
      <c r="G561" s="6">
        <v>9.611564007E9</v>
      </c>
      <c r="H561" s="6">
        <v>4.0149834E7</v>
      </c>
      <c r="I561" s="6" t="s">
        <v>40</v>
      </c>
      <c r="J561" s="6" t="s">
        <v>21</v>
      </c>
      <c r="K561" s="6" t="s">
        <v>22</v>
      </c>
      <c r="L561" s="6">
        <v>52.0</v>
      </c>
      <c r="M561" s="5">
        <v>46013.0</v>
      </c>
      <c r="N561" s="6" t="s">
        <v>23</v>
      </c>
      <c r="O561" s="6" t="str">
        <f>SUMIFS([1]order_sku_sales_bb2_report!P:P,[1]order_sku_sales_bb2_report!H:H,C28339,[1]order_sku_sales_bb2_report!J:J,H28339)</f>
        <v>#ERROR!</v>
      </c>
      <c r="P561" s="6" t="str">
        <f>SUMIFS([1]order_sku_sales_bb2_report!O:O,[1]order_sku_sales_bb2_report!H:H,C28339,[1]order_sku_sales_bb2_report!J:J,H28339)</f>
        <v>#ERROR!</v>
      </c>
      <c r="Q561" s="6" t="str">
        <f t="shared" si="1"/>
        <v>22-12-2025</v>
      </c>
      <c r="R561" s="6" t="str">
        <f>IFERROR( VLOOKUP(C28339,[1]expressOrderReport!$S:$AZ,34,0),0)</f>
        <v>#ERROR!</v>
      </c>
      <c r="S561" s="6" t="str">
        <f>ARRAY_CONSTRAIN(ARRAYFORMULA(_xludf.XLOOKUP(D28339,[1]order_Report_SA_ID_BB2.0!V:V,[1]order_Report_SA_ID_BB2.0!AM:AM,"")), 1, 1)</f>
        <v>#ERROR!</v>
      </c>
      <c r="T561" s="6" t="str">
        <f t="shared" si="2"/>
        <v>Dec'25</v>
      </c>
    </row>
    <row r="562" ht="15.75" customHeight="1">
      <c r="A562" s="5">
        <v>46013.0</v>
      </c>
      <c r="B562" s="6">
        <v>912.0</v>
      </c>
      <c r="C562" s="6">
        <v>1.859165677E9</v>
      </c>
      <c r="D562" s="6">
        <v>2.4839368E7</v>
      </c>
      <c r="E562" s="6" t="s">
        <v>906</v>
      </c>
      <c r="F562" s="6" t="s">
        <v>907</v>
      </c>
      <c r="G562" s="6">
        <v>9.844188122E9</v>
      </c>
      <c r="H562" s="6">
        <v>4.0149832E7</v>
      </c>
      <c r="I562" s="6" t="s">
        <v>26</v>
      </c>
      <c r="J562" s="6" t="s">
        <v>21</v>
      </c>
      <c r="K562" s="6" t="s">
        <v>22</v>
      </c>
      <c r="L562" s="6">
        <v>24.0</v>
      </c>
      <c r="M562" s="5">
        <v>46013.0</v>
      </c>
      <c r="N562" s="6" t="s">
        <v>23</v>
      </c>
      <c r="O562" s="6" t="str">
        <f>SUMIFS([1]order_sku_sales_bb2_report!P:P,[1]order_sku_sales_bb2_report!H:H,C28340,[1]order_sku_sales_bb2_report!J:J,H28340)</f>
        <v>#ERROR!</v>
      </c>
      <c r="P562" s="6" t="str">
        <f>SUMIFS([1]order_sku_sales_bb2_report!O:O,[1]order_sku_sales_bb2_report!H:H,C28340,[1]order_sku_sales_bb2_report!J:J,H28340)</f>
        <v>#ERROR!</v>
      </c>
      <c r="Q562" s="6" t="str">
        <f t="shared" si="1"/>
        <v>22-12-2025</v>
      </c>
      <c r="R562" s="6" t="str">
        <f>IFERROR( VLOOKUP(C28340,[1]expressOrderReport!$S:$AZ,34,0),0)</f>
        <v>#ERROR!</v>
      </c>
      <c r="S562" s="6" t="str">
        <f>ARRAY_CONSTRAIN(ARRAYFORMULA(_xludf.XLOOKUP(D28340,[1]order_Report_SA_ID_BB2.0!V:V,[1]order_Report_SA_ID_BB2.0!AM:AM,"")), 1, 1)</f>
        <v>#ERROR!</v>
      </c>
      <c r="T562" s="6" t="str">
        <f t="shared" si="2"/>
        <v>Dec'25</v>
      </c>
    </row>
    <row r="563" ht="15.75" customHeight="1">
      <c r="A563" s="5">
        <v>46013.0</v>
      </c>
      <c r="B563" s="6">
        <v>972.0</v>
      </c>
      <c r="C563" s="6">
        <v>1.859165685E9</v>
      </c>
      <c r="D563" s="6">
        <v>6474963.0</v>
      </c>
      <c r="E563" s="6" t="s">
        <v>908</v>
      </c>
      <c r="F563" s="6" t="s">
        <v>909</v>
      </c>
      <c r="G563" s="6">
        <v>9.62096044E9</v>
      </c>
      <c r="H563" s="6">
        <v>2.0001185E7</v>
      </c>
      <c r="I563" s="6" t="s">
        <v>627</v>
      </c>
      <c r="J563" s="6" t="s">
        <v>21</v>
      </c>
      <c r="K563" s="6" t="s">
        <v>22</v>
      </c>
      <c r="L563" s="6">
        <v>14.54</v>
      </c>
      <c r="M563" s="5">
        <v>46013.0</v>
      </c>
      <c r="N563" s="6" t="s">
        <v>23</v>
      </c>
      <c r="O563" s="6" t="str">
        <f>SUMIFS([1]order_sku_sales_bb2_report!P:P,[1]order_sku_sales_bb2_report!H:H,C28341,[1]order_sku_sales_bb2_report!J:J,H28341)</f>
        <v>#ERROR!</v>
      </c>
      <c r="P563" s="6" t="str">
        <f>SUMIFS([1]order_sku_sales_bb2_report!O:O,[1]order_sku_sales_bb2_report!H:H,C28341,[1]order_sku_sales_bb2_report!J:J,H28341)</f>
        <v>#ERROR!</v>
      </c>
      <c r="Q563" s="6" t="str">
        <f t="shared" si="1"/>
        <v>22-12-2025</v>
      </c>
      <c r="R563" s="6" t="str">
        <f>IFERROR( VLOOKUP(C28341,[1]expressOrderReport!$S:$AZ,34,0),0)</f>
        <v>#ERROR!</v>
      </c>
      <c r="S563" s="6" t="str">
        <f>ARRAY_CONSTRAIN(ARRAYFORMULA(_xludf.XLOOKUP(D28341,[1]order_Report_SA_ID_BB2.0!V:V,[1]order_Report_SA_ID_BB2.0!AM:AM,"")), 1, 1)</f>
        <v>#ERROR!</v>
      </c>
      <c r="T563" s="6" t="str">
        <f t="shared" si="2"/>
        <v>Dec'25</v>
      </c>
    </row>
    <row r="564" ht="15.75" customHeight="1">
      <c r="A564" s="5">
        <v>46013.0</v>
      </c>
      <c r="B564" s="6">
        <v>973.0</v>
      </c>
      <c r="C564" s="6">
        <v>1.859165685E9</v>
      </c>
      <c r="D564" s="6">
        <v>6474963.0</v>
      </c>
      <c r="E564" s="6" t="s">
        <v>908</v>
      </c>
      <c r="F564" s="6" t="s">
        <v>909</v>
      </c>
      <c r="G564" s="6">
        <v>9.62096044E9</v>
      </c>
      <c r="H564" s="6">
        <v>2.0001186E7</v>
      </c>
      <c r="I564" s="6" t="s">
        <v>430</v>
      </c>
      <c r="J564" s="6" t="s">
        <v>21</v>
      </c>
      <c r="K564" s="6" t="s">
        <v>22</v>
      </c>
      <c r="L564" s="6">
        <v>14.54</v>
      </c>
      <c r="M564" s="5">
        <v>46013.0</v>
      </c>
      <c r="N564" s="6" t="s">
        <v>23</v>
      </c>
      <c r="O564" s="6" t="str">
        <f>SUMIFS([1]order_sku_sales_bb2_report!P:P,[1]order_sku_sales_bb2_report!H:H,C28342,[1]order_sku_sales_bb2_report!J:J,H28342)</f>
        <v>#ERROR!</v>
      </c>
      <c r="P564" s="6" t="str">
        <f>SUMIFS([1]order_sku_sales_bb2_report!O:O,[1]order_sku_sales_bb2_report!H:H,C28342,[1]order_sku_sales_bb2_report!J:J,H28342)</f>
        <v>#ERROR!</v>
      </c>
      <c r="Q564" s="6" t="str">
        <f t="shared" si="1"/>
        <v>22-12-2025</v>
      </c>
      <c r="R564" s="6" t="str">
        <f>IFERROR( VLOOKUP(C28342,[1]expressOrderReport!$S:$AZ,34,0),0)</f>
        <v>#ERROR!</v>
      </c>
      <c r="S564" s="6" t="str">
        <f>ARRAY_CONSTRAIN(ARRAYFORMULA(_xludf.XLOOKUP(D28342,[1]order_Report_SA_ID_BB2.0!V:V,[1]order_Report_SA_ID_BB2.0!AM:AM,"")), 1, 1)</f>
        <v>#ERROR!</v>
      </c>
      <c r="T564" s="6" t="str">
        <f t="shared" si="2"/>
        <v>Dec'25</v>
      </c>
    </row>
    <row r="565" ht="15.75" customHeight="1">
      <c r="A565" s="5">
        <v>46013.0</v>
      </c>
      <c r="B565" s="6">
        <v>9880.0</v>
      </c>
      <c r="C565" s="6">
        <v>1.859165693E9</v>
      </c>
      <c r="D565" s="6">
        <v>5396292.0</v>
      </c>
      <c r="E565" s="6" t="s">
        <v>910</v>
      </c>
      <c r="F565" s="6"/>
      <c r="G565" s="6">
        <v>9.931280205E9</v>
      </c>
      <c r="H565" s="6">
        <v>4.0149834E7</v>
      </c>
      <c r="I565" s="6" t="s">
        <v>40</v>
      </c>
      <c r="J565" s="6" t="s">
        <v>21</v>
      </c>
      <c r="K565" s="6" t="s">
        <v>22</v>
      </c>
      <c r="L565" s="6">
        <v>79.0</v>
      </c>
      <c r="M565" s="5">
        <v>46013.0</v>
      </c>
      <c r="N565" s="6" t="s">
        <v>23</v>
      </c>
      <c r="O565" s="6" t="str">
        <f>SUMIFS([1]order_sku_sales_bb2_report!P:P,[1]order_sku_sales_bb2_report!H:H,C28343,[1]order_sku_sales_bb2_report!J:J,H28343)</f>
        <v>#ERROR!</v>
      </c>
      <c r="P565" s="6" t="str">
        <f>SUMIFS([1]order_sku_sales_bb2_report!O:O,[1]order_sku_sales_bb2_report!H:H,C28343,[1]order_sku_sales_bb2_report!J:J,H28343)</f>
        <v>#ERROR!</v>
      </c>
      <c r="Q565" s="6" t="str">
        <f t="shared" si="1"/>
        <v>22-12-2025</v>
      </c>
      <c r="R565" s="6" t="str">
        <f>IFERROR( VLOOKUP(C28343,[1]expressOrderReport!$S:$AZ,34,0),0)</f>
        <v>#ERROR!</v>
      </c>
      <c r="S565" s="6" t="str">
        <f>ARRAY_CONSTRAIN(ARRAYFORMULA(_xludf.XLOOKUP(D28343,[1]order_Report_SA_ID_BB2.0!V:V,[1]order_Report_SA_ID_BB2.0!AM:AM,"")), 1, 1)</f>
        <v>#ERROR!</v>
      </c>
      <c r="T565" s="6" t="str">
        <f t="shared" si="2"/>
        <v>Dec'25</v>
      </c>
    </row>
    <row r="566" ht="15.75" customHeight="1">
      <c r="A566" s="5">
        <v>46013.0</v>
      </c>
      <c r="B566" s="6">
        <v>11978.0</v>
      </c>
      <c r="C566" s="6">
        <v>1.859165693E9</v>
      </c>
      <c r="D566" s="6">
        <v>5396292.0</v>
      </c>
      <c r="E566" s="6" t="s">
        <v>910</v>
      </c>
      <c r="F566" s="6"/>
      <c r="G566" s="6">
        <v>9.931280205E9</v>
      </c>
      <c r="H566" s="6">
        <v>4.0149833E7</v>
      </c>
      <c r="I566" s="6" t="s">
        <v>40</v>
      </c>
      <c r="J566" s="6" t="s">
        <v>21</v>
      </c>
      <c r="K566" s="6" t="s">
        <v>22</v>
      </c>
      <c r="L566" s="6">
        <v>79.0</v>
      </c>
      <c r="M566" s="5">
        <v>46013.0</v>
      </c>
      <c r="N566" s="6" t="s">
        <v>23</v>
      </c>
      <c r="O566" s="6" t="str">
        <f>SUMIFS([1]order_sku_sales_bb2_report!P:P,[1]order_sku_sales_bb2_report!H:H,C28344,[1]order_sku_sales_bb2_report!J:J,H28344)</f>
        <v>#ERROR!</v>
      </c>
      <c r="P566" s="6" t="str">
        <f>SUMIFS([1]order_sku_sales_bb2_report!O:O,[1]order_sku_sales_bb2_report!H:H,C28344,[1]order_sku_sales_bb2_report!J:J,H28344)</f>
        <v>#ERROR!</v>
      </c>
      <c r="Q566" s="6" t="str">
        <f t="shared" si="1"/>
        <v>22-12-2025</v>
      </c>
      <c r="R566" s="6" t="str">
        <f>IFERROR( VLOOKUP(C28344,[1]expressOrderReport!$S:$AZ,34,0),0)</f>
        <v>#ERROR!</v>
      </c>
      <c r="S566" s="6" t="str">
        <f>ARRAY_CONSTRAIN(ARRAYFORMULA(_xludf.XLOOKUP(D28344,[1]order_Report_SA_ID_BB2.0!V:V,[1]order_Report_SA_ID_BB2.0!AM:AM,"")), 1, 1)</f>
        <v>#ERROR!</v>
      </c>
      <c r="T566" s="6" t="str">
        <f t="shared" si="2"/>
        <v>Dec'25</v>
      </c>
    </row>
    <row r="567" ht="15.75" customHeight="1">
      <c r="A567" s="5">
        <v>46013.0</v>
      </c>
      <c r="B567" s="6">
        <v>11797.0</v>
      </c>
      <c r="C567" s="6">
        <v>1.859165698E9</v>
      </c>
      <c r="D567" s="6">
        <v>8.2810109E7</v>
      </c>
      <c r="E567" s="6" t="s">
        <v>911</v>
      </c>
      <c r="F567" s="6" t="s">
        <v>912</v>
      </c>
      <c r="G567" s="6">
        <v>9.741890362E9</v>
      </c>
      <c r="H567" s="6">
        <v>4.0147597E7</v>
      </c>
      <c r="I567" s="6" t="s">
        <v>59</v>
      </c>
      <c r="J567" s="6" t="s">
        <v>21</v>
      </c>
      <c r="K567" s="6" t="s">
        <v>22</v>
      </c>
      <c r="L567" s="6">
        <v>54.0</v>
      </c>
      <c r="M567" s="5">
        <v>46013.0</v>
      </c>
      <c r="N567" s="6" t="s">
        <v>23</v>
      </c>
      <c r="O567" s="6" t="str">
        <f>SUMIFS([1]order_sku_sales_bb2_report!P:P,[1]order_sku_sales_bb2_report!H:H,C28345,[1]order_sku_sales_bb2_report!J:J,H28345)</f>
        <v>#ERROR!</v>
      </c>
      <c r="P567" s="6" t="str">
        <f>SUMIFS([1]order_sku_sales_bb2_report!O:O,[1]order_sku_sales_bb2_report!H:H,C28345,[1]order_sku_sales_bb2_report!J:J,H28345)</f>
        <v>#ERROR!</v>
      </c>
      <c r="Q567" s="6" t="str">
        <f t="shared" si="1"/>
        <v>22-12-2025</v>
      </c>
      <c r="R567" s="6" t="str">
        <f>IFERROR( VLOOKUP(C28345,[1]expressOrderReport!$S:$AZ,34,0),0)</f>
        <v>#ERROR!</v>
      </c>
      <c r="S567" s="6" t="str">
        <f>ARRAY_CONSTRAIN(ARRAYFORMULA(_xludf.XLOOKUP(D28345,[1]order_Report_SA_ID_BB2.0!V:V,[1]order_Report_SA_ID_BB2.0!AM:AM,"")), 1, 1)</f>
        <v>#ERROR!</v>
      </c>
      <c r="T567" s="6" t="str">
        <f t="shared" si="2"/>
        <v>Dec'25</v>
      </c>
    </row>
    <row r="568" ht="15.75" customHeight="1">
      <c r="A568" s="5">
        <v>46013.0</v>
      </c>
      <c r="B568" s="6">
        <v>11798.0</v>
      </c>
      <c r="C568" s="6">
        <v>1.859165698E9</v>
      </c>
      <c r="D568" s="6">
        <v>8.2810109E7</v>
      </c>
      <c r="E568" s="6" t="s">
        <v>911</v>
      </c>
      <c r="F568" s="6" t="s">
        <v>912</v>
      </c>
      <c r="G568" s="6">
        <v>9.741890362E9</v>
      </c>
      <c r="H568" s="6">
        <v>4.0090894E7</v>
      </c>
      <c r="I568" s="6" t="s">
        <v>62</v>
      </c>
      <c r="J568" s="6" t="s">
        <v>21</v>
      </c>
      <c r="K568" s="6" t="s">
        <v>22</v>
      </c>
      <c r="L568" s="6">
        <v>54.0</v>
      </c>
      <c r="M568" s="5">
        <v>46013.0</v>
      </c>
      <c r="N568" s="6" t="s">
        <v>23</v>
      </c>
      <c r="O568" s="6" t="str">
        <f>SUMIFS([1]order_sku_sales_bb2_report!P:P,[1]order_sku_sales_bb2_report!H:H,C28346,[1]order_sku_sales_bb2_report!J:J,H28346)</f>
        <v>#ERROR!</v>
      </c>
      <c r="P568" s="6" t="str">
        <f>SUMIFS([1]order_sku_sales_bb2_report!O:O,[1]order_sku_sales_bb2_report!H:H,C28346,[1]order_sku_sales_bb2_report!J:J,H28346)</f>
        <v>#ERROR!</v>
      </c>
      <c r="Q568" s="6" t="str">
        <f t="shared" si="1"/>
        <v>22-12-2025</v>
      </c>
      <c r="R568" s="6" t="str">
        <f>IFERROR( VLOOKUP(C28346,[1]expressOrderReport!$S:$AZ,34,0),0)</f>
        <v>#ERROR!</v>
      </c>
      <c r="S568" s="6" t="str">
        <f>ARRAY_CONSTRAIN(ARRAYFORMULA(_xludf.XLOOKUP(D28346,[1]order_Report_SA_ID_BB2.0!V:V,[1]order_Report_SA_ID_BB2.0!AM:AM,"")), 1, 1)</f>
        <v>#ERROR!</v>
      </c>
      <c r="T568" s="6" t="str">
        <f t="shared" si="2"/>
        <v>Dec'25</v>
      </c>
    </row>
    <row r="569" ht="15.75" customHeight="1">
      <c r="A569" s="5">
        <v>46013.0</v>
      </c>
      <c r="B569" s="6">
        <v>10287.0</v>
      </c>
      <c r="C569" s="6">
        <v>1.859165704E9</v>
      </c>
      <c r="D569" s="6">
        <v>4.7204334E7</v>
      </c>
      <c r="E569" s="6" t="s">
        <v>913</v>
      </c>
      <c r="F569" s="6" t="s">
        <v>914</v>
      </c>
      <c r="G569" s="6">
        <v>7.406721001E9</v>
      </c>
      <c r="H569" s="6">
        <v>4.0149833E7</v>
      </c>
      <c r="I569" s="6" t="s">
        <v>40</v>
      </c>
      <c r="J569" s="6" t="s">
        <v>21</v>
      </c>
      <c r="K569" s="6" t="s">
        <v>22</v>
      </c>
      <c r="L569" s="6">
        <v>27.0</v>
      </c>
      <c r="M569" s="5">
        <v>46013.0</v>
      </c>
      <c r="N569" s="6" t="s">
        <v>23</v>
      </c>
      <c r="O569" s="6" t="str">
        <f>SUMIFS([1]order_sku_sales_bb2_report!P:P,[1]order_sku_sales_bb2_report!H:H,C28347,[1]order_sku_sales_bb2_report!J:J,H28347)</f>
        <v>#ERROR!</v>
      </c>
      <c r="P569" s="6" t="str">
        <f>SUMIFS([1]order_sku_sales_bb2_report!O:O,[1]order_sku_sales_bb2_report!H:H,C28347,[1]order_sku_sales_bb2_report!J:J,H28347)</f>
        <v>#ERROR!</v>
      </c>
      <c r="Q569" s="6" t="str">
        <f t="shared" si="1"/>
        <v>22-12-2025</v>
      </c>
      <c r="R569" s="6" t="str">
        <f>IFERROR( VLOOKUP(C28347,[1]expressOrderReport!$S:$AZ,34,0),0)</f>
        <v>#ERROR!</v>
      </c>
      <c r="S569" s="6" t="str">
        <f>ARRAY_CONSTRAIN(ARRAYFORMULA(_xludf.XLOOKUP(D28347,[1]order_Report_SA_ID_BB2.0!V:V,[1]order_Report_SA_ID_BB2.0!AM:AM,"")), 1, 1)</f>
        <v>#ERROR!</v>
      </c>
      <c r="T569" s="6" t="str">
        <f t="shared" si="2"/>
        <v>Dec'25</v>
      </c>
    </row>
    <row r="570" ht="15.75" customHeight="1">
      <c r="A570" s="5">
        <v>46013.0</v>
      </c>
      <c r="B570" s="6">
        <v>4240.0</v>
      </c>
      <c r="C570" s="6">
        <v>1.859165709E9</v>
      </c>
      <c r="D570" s="6">
        <v>1837690.0</v>
      </c>
      <c r="E570" s="6" t="s">
        <v>900</v>
      </c>
      <c r="F570" s="6" t="s">
        <v>901</v>
      </c>
      <c r="G570" s="6">
        <v>9.880195229E9</v>
      </c>
      <c r="H570" s="6">
        <v>4.0149834E7</v>
      </c>
      <c r="I570" s="6" t="s">
        <v>40</v>
      </c>
      <c r="J570" s="6" t="s">
        <v>21</v>
      </c>
      <c r="K570" s="6" t="s">
        <v>22</v>
      </c>
      <c r="L570" s="6">
        <v>52.0</v>
      </c>
      <c r="M570" s="5">
        <v>46013.0</v>
      </c>
      <c r="N570" s="6" t="s">
        <v>23</v>
      </c>
      <c r="O570" s="6" t="str">
        <f>SUMIFS([1]order_sku_sales_bb2_report!P:P,[1]order_sku_sales_bb2_report!H:H,C28348,[1]order_sku_sales_bb2_report!J:J,H28348)</f>
        <v>#ERROR!</v>
      </c>
      <c r="P570" s="6" t="str">
        <f>SUMIFS([1]order_sku_sales_bb2_report!O:O,[1]order_sku_sales_bb2_report!H:H,C28348,[1]order_sku_sales_bb2_report!J:J,H28348)</f>
        <v>#ERROR!</v>
      </c>
      <c r="Q570" s="6" t="str">
        <f t="shared" si="1"/>
        <v>22-12-2025</v>
      </c>
      <c r="R570" s="6" t="str">
        <f>IFERROR( VLOOKUP(C28348,[1]expressOrderReport!$S:$AZ,34,0),0)</f>
        <v>#ERROR!</v>
      </c>
      <c r="S570" s="6" t="str">
        <f>ARRAY_CONSTRAIN(ARRAYFORMULA(_xludf.XLOOKUP(D28348,[1]order_Report_SA_ID_BB2.0!V:V,[1]order_Report_SA_ID_BB2.0!AM:AM,"")), 1, 1)</f>
        <v>#ERROR!</v>
      </c>
      <c r="T570" s="6" t="str">
        <f t="shared" si="2"/>
        <v>Dec'25</v>
      </c>
    </row>
    <row r="571" ht="15.75" customHeight="1">
      <c r="A571" s="5">
        <v>46013.0</v>
      </c>
      <c r="B571" s="6">
        <v>5888.0</v>
      </c>
      <c r="C571" s="6">
        <v>1.859165716E9</v>
      </c>
      <c r="D571" s="6">
        <v>3.0901988E7</v>
      </c>
      <c r="E571" s="6" t="s">
        <v>915</v>
      </c>
      <c r="F571" s="6" t="s">
        <v>916</v>
      </c>
      <c r="G571" s="6">
        <v>6.239793587E9</v>
      </c>
      <c r="H571" s="6">
        <v>4.0090893E7</v>
      </c>
      <c r="I571" s="6" t="s">
        <v>35</v>
      </c>
      <c r="J571" s="6" t="s">
        <v>21</v>
      </c>
      <c r="K571" s="6" t="s">
        <v>22</v>
      </c>
      <c r="L571" s="6">
        <v>94.0</v>
      </c>
      <c r="M571" s="5">
        <v>46013.0</v>
      </c>
      <c r="N571" s="6" t="s">
        <v>23</v>
      </c>
      <c r="O571" s="6" t="str">
        <f>SUMIFS([1]order_sku_sales_bb2_report!P:P,[1]order_sku_sales_bb2_report!H:H,C28349,[1]order_sku_sales_bb2_report!J:J,H28349)</f>
        <v>#ERROR!</v>
      </c>
      <c r="P571" s="6" t="str">
        <f>SUMIFS([1]order_sku_sales_bb2_report!O:O,[1]order_sku_sales_bb2_report!H:H,C28349,[1]order_sku_sales_bb2_report!J:J,H28349)</f>
        <v>#ERROR!</v>
      </c>
      <c r="Q571" s="6" t="str">
        <f t="shared" si="1"/>
        <v>22-12-2025</v>
      </c>
      <c r="R571" s="6" t="str">
        <f>IFERROR( VLOOKUP(C28349,[1]expressOrderReport!$S:$AZ,34,0),0)</f>
        <v>#ERROR!</v>
      </c>
      <c r="S571" s="6" t="str">
        <f>ARRAY_CONSTRAIN(ARRAYFORMULA(_xludf.XLOOKUP(D28349,[1]order_Report_SA_ID_BB2.0!V:V,[1]order_Report_SA_ID_BB2.0!AM:AM,"")), 1, 1)</f>
        <v>#ERROR!</v>
      </c>
      <c r="T571" s="6" t="str">
        <f t="shared" si="2"/>
        <v>Dec'25</v>
      </c>
    </row>
    <row r="572" ht="15.75" customHeight="1">
      <c r="A572" s="5">
        <v>46013.0</v>
      </c>
      <c r="B572" s="6">
        <v>5889.0</v>
      </c>
      <c r="C572" s="6">
        <v>1.859165716E9</v>
      </c>
      <c r="D572" s="6">
        <v>3.0901988E7</v>
      </c>
      <c r="E572" s="6" t="s">
        <v>915</v>
      </c>
      <c r="F572" s="6" t="s">
        <v>916</v>
      </c>
      <c r="G572" s="6">
        <v>6.239793587E9</v>
      </c>
      <c r="H572" s="6">
        <v>4.0090894E7</v>
      </c>
      <c r="I572" s="6" t="s">
        <v>62</v>
      </c>
      <c r="J572" s="6" t="s">
        <v>21</v>
      </c>
      <c r="K572" s="6" t="s">
        <v>22</v>
      </c>
      <c r="L572" s="6">
        <v>94.0</v>
      </c>
      <c r="M572" s="5">
        <v>46013.0</v>
      </c>
      <c r="N572" s="6" t="s">
        <v>23</v>
      </c>
      <c r="O572" s="6" t="str">
        <f>SUMIFS([1]order_sku_sales_bb2_report!P:P,[1]order_sku_sales_bb2_report!H:H,C28350,[1]order_sku_sales_bb2_report!J:J,H28350)</f>
        <v>#ERROR!</v>
      </c>
      <c r="P572" s="6" t="str">
        <f>SUMIFS([1]order_sku_sales_bb2_report!O:O,[1]order_sku_sales_bb2_report!H:H,C28350,[1]order_sku_sales_bb2_report!J:J,H28350)</f>
        <v>#ERROR!</v>
      </c>
      <c r="Q572" s="6" t="str">
        <f t="shared" si="1"/>
        <v>22-12-2025</v>
      </c>
      <c r="R572" s="6" t="str">
        <f>IFERROR( VLOOKUP(C28350,[1]expressOrderReport!$S:$AZ,34,0),0)</f>
        <v>#ERROR!</v>
      </c>
      <c r="S572" s="6" t="str">
        <f>ARRAY_CONSTRAIN(ARRAYFORMULA(_xludf.XLOOKUP(D28350,[1]order_Report_SA_ID_BB2.0!V:V,[1]order_Report_SA_ID_BB2.0!AM:AM,"")), 1, 1)</f>
        <v>#ERROR!</v>
      </c>
      <c r="T572" s="6" t="str">
        <f t="shared" si="2"/>
        <v>Dec'25</v>
      </c>
    </row>
    <row r="573" ht="15.75" customHeight="1">
      <c r="A573" s="5">
        <v>46013.0</v>
      </c>
      <c r="B573" s="6">
        <v>4235.0</v>
      </c>
      <c r="C573" s="6">
        <v>1.859165722E9</v>
      </c>
      <c r="D573" s="6">
        <v>5.220073E7</v>
      </c>
      <c r="E573" s="6" t="s">
        <v>917</v>
      </c>
      <c r="F573" s="6" t="s">
        <v>918</v>
      </c>
      <c r="G573" s="6">
        <v>7.349467236E9</v>
      </c>
      <c r="H573" s="6">
        <v>4.0149831E7</v>
      </c>
      <c r="I573" s="6" t="s">
        <v>65</v>
      </c>
      <c r="J573" s="6" t="s">
        <v>21</v>
      </c>
      <c r="K573" s="6" t="s">
        <v>22</v>
      </c>
      <c r="L573" s="6">
        <v>26.0</v>
      </c>
      <c r="M573" s="5">
        <v>46013.0</v>
      </c>
      <c r="N573" s="6" t="s">
        <v>23</v>
      </c>
      <c r="O573" s="6" t="str">
        <f>SUMIFS([1]order_sku_sales_bb2_report!P:P,[1]order_sku_sales_bb2_report!H:H,C28351,[1]order_sku_sales_bb2_report!J:J,H28351)</f>
        <v>#ERROR!</v>
      </c>
      <c r="P573" s="6" t="str">
        <f>SUMIFS([1]order_sku_sales_bb2_report!O:O,[1]order_sku_sales_bb2_report!H:H,C28351,[1]order_sku_sales_bb2_report!J:J,H28351)</f>
        <v>#ERROR!</v>
      </c>
      <c r="Q573" s="6" t="str">
        <f t="shared" si="1"/>
        <v>22-12-2025</v>
      </c>
      <c r="R573" s="6" t="str">
        <f>IFERROR( VLOOKUP(C28351,[1]expressOrderReport!$S:$AZ,34,0),0)</f>
        <v>#ERROR!</v>
      </c>
      <c r="S573" s="6" t="str">
        <f>ARRAY_CONSTRAIN(ARRAYFORMULA(_xludf.XLOOKUP(D28351,[1]order_Report_SA_ID_BB2.0!V:V,[1]order_Report_SA_ID_BB2.0!AM:AM,"")), 1, 1)</f>
        <v>#ERROR!</v>
      </c>
      <c r="T573" s="6" t="str">
        <f t="shared" si="2"/>
        <v>Dec'25</v>
      </c>
    </row>
    <row r="574" ht="15.75" customHeight="1">
      <c r="A574" s="5">
        <v>46013.0</v>
      </c>
      <c r="B574" s="6">
        <v>4202.0</v>
      </c>
      <c r="C574" s="6">
        <v>1.859165727E9</v>
      </c>
      <c r="D574" s="6">
        <v>7.0149594E7</v>
      </c>
      <c r="E574" s="6" t="s">
        <v>919</v>
      </c>
      <c r="F574" s="6" t="s">
        <v>920</v>
      </c>
      <c r="G574" s="6">
        <v>8.447372125E9</v>
      </c>
      <c r="H574" s="6">
        <v>4.0149833E7</v>
      </c>
      <c r="I574" s="6" t="s">
        <v>40</v>
      </c>
      <c r="J574" s="6" t="s">
        <v>21</v>
      </c>
      <c r="K574" s="6" t="s">
        <v>22</v>
      </c>
      <c r="L574" s="6">
        <v>264.0</v>
      </c>
      <c r="M574" s="5">
        <v>46013.0</v>
      </c>
      <c r="N574" s="6" t="s">
        <v>23</v>
      </c>
      <c r="O574" s="6" t="str">
        <f>SUMIFS([1]order_sku_sales_bb2_report!P:P,[1]order_sku_sales_bb2_report!H:H,C28352,[1]order_sku_sales_bb2_report!J:J,H28352)</f>
        <v>#ERROR!</v>
      </c>
      <c r="P574" s="6" t="str">
        <f>SUMIFS([1]order_sku_sales_bb2_report!O:O,[1]order_sku_sales_bb2_report!H:H,C28352,[1]order_sku_sales_bb2_report!J:J,H28352)</f>
        <v>#ERROR!</v>
      </c>
      <c r="Q574" s="6" t="str">
        <f t="shared" si="1"/>
        <v>22-12-2025</v>
      </c>
      <c r="R574" s="6" t="str">
        <f>IFERROR( VLOOKUP(C28352,[1]expressOrderReport!$S:$AZ,34,0),0)</f>
        <v>#ERROR!</v>
      </c>
      <c r="S574" s="6" t="str">
        <f>ARRAY_CONSTRAIN(ARRAYFORMULA(_xludf.XLOOKUP(D28352,[1]order_Report_SA_ID_BB2.0!V:V,[1]order_Report_SA_ID_BB2.0!AM:AM,"")), 1, 1)</f>
        <v>#ERROR!</v>
      </c>
      <c r="T574" s="6" t="str">
        <f t="shared" si="2"/>
        <v>Dec'25</v>
      </c>
    </row>
    <row r="575" ht="15.75" customHeight="1">
      <c r="A575" s="5">
        <v>46013.0</v>
      </c>
      <c r="B575" s="6">
        <v>5173.0</v>
      </c>
      <c r="C575" s="6">
        <v>1.859165727E9</v>
      </c>
      <c r="D575" s="6">
        <v>7.0149594E7</v>
      </c>
      <c r="E575" s="6" t="s">
        <v>919</v>
      </c>
      <c r="F575" s="6" t="s">
        <v>920</v>
      </c>
      <c r="G575" s="6">
        <v>8.447372125E9</v>
      </c>
      <c r="H575" s="6">
        <v>270620.0</v>
      </c>
      <c r="I575" s="6" t="s">
        <v>921</v>
      </c>
      <c r="J575" s="6" t="s">
        <v>21</v>
      </c>
      <c r="K575" s="6" t="s">
        <v>22</v>
      </c>
      <c r="L575" s="6">
        <v>264.0</v>
      </c>
      <c r="M575" s="5">
        <v>46013.0</v>
      </c>
      <c r="N575" s="6" t="s">
        <v>23</v>
      </c>
      <c r="O575" s="6" t="str">
        <f>SUMIFS([1]order_sku_sales_bb2_report!P:P,[1]order_sku_sales_bb2_report!H:H,C28353,[1]order_sku_sales_bb2_report!J:J,H28353)</f>
        <v>#ERROR!</v>
      </c>
      <c r="P575" s="6" t="str">
        <f>SUMIFS([1]order_sku_sales_bb2_report!O:O,[1]order_sku_sales_bb2_report!H:H,C28353,[1]order_sku_sales_bb2_report!J:J,H28353)</f>
        <v>#ERROR!</v>
      </c>
      <c r="Q575" s="6" t="str">
        <f t="shared" si="1"/>
        <v>22-12-2025</v>
      </c>
      <c r="R575" s="6" t="str">
        <f>IFERROR( VLOOKUP(C28353,[1]expressOrderReport!$S:$AZ,34,0),0)</f>
        <v>#ERROR!</v>
      </c>
      <c r="S575" s="6" t="str">
        <f>ARRAY_CONSTRAIN(ARRAYFORMULA(_xludf.XLOOKUP(D28353,[1]order_Report_SA_ID_BB2.0!V:V,[1]order_Report_SA_ID_BB2.0!AM:AM,"")), 1, 1)</f>
        <v>#ERROR!</v>
      </c>
      <c r="T575" s="6" t="str">
        <f t="shared" si="2"/>
        <v>Dec'25</v>
      </c>
    </row>
    <row r="576" ht="15.75" customHeight="1">
      <c r="A576" s="5">
        <v>46013.0</v>
      </c>
      <c r="B576" s="6">
        <v>11312.0</v>
      </c>
      <c r="C576" s="6">
        <v>1.859165727E9</v>
      </c>
      <c r="D576" s="6">
        <v>7.0149594E7</v>
      </c>
      <c r="E576" s="6" t="s">
        <v>919</v>
      </c>
      <c r="F576" s="6" t="s">
        <v>920</v>
      </c>
      <c r="G576" s="6">
        <v>8.447372125E9</v>
      </c>
      <c r="H576" s="6">
        <v>4.0000564E7</v>
      </c>
      <c r="I576" s="6" t="s">
        <v>922</v>
      </c>
      <c r="J576" s="6" t="s">
        <v>21</v>
      </c>
      <c r="K576" s="6" t="s">
        <v>22</v>
      </c>
      <c r="L576" s="6">
        <v>264.0</v>
      </c>
      <c r="M576" s="5">
        <v>46013.0</v>
      </c>
      <c r="N576" s="6" t="s">
        <v>23</v>
      </c>
      <c r="O576" s="6" t="str">
        <f>SUMIFS([1]order_sku_sales_bb2_report!P:P,[1]order_sku_sales_bb2_report!H:H,C28354,[1]order_sku_sales_bb2_report!J:J,H28354)</f>
        <v>#ERROR!</v>
      </c>
      <c r="P576" s="6" t="str">
        <f>SUMIFS([1]order_sku_sales_bb2_report!O:O,[1]order_sku_sales_bb2_report!H:H,C28354,[1]order_sku_sales_bb2_report!J:J,H28354)</f>
        <v>#ERROR!</v>
      </c>
      <c r="Q576" s="6" t="str">
        <f t="shared" si="1"/>
        <v>22-12-2025</v>
      </c>
      <c r="R576" s="6" t="str">
        <f>IFERROR( VLOOKUP(C28354,[1]expressOrderReport!$S:$AZ,34,0),0)</f>
        <v>#ERROR!</v>
      </c>
      <c r="S576" s="6" t="str">
        <f>ARRAY_CONSTRAIN(ARRAYFORMULA(_xludf.XLOOKUP(D28354,[1]order_Report_SA_ID_BB2.0!V:V,[1]order_Report_SA_ID_BB2.0!AM:AM,"")), 1, 1)</f>
        <v>#ERROR!</v>
      </c>
      <c r="T576" s="6" t="str">
        <f t="shared" si="2"/>
        <v>Dec'25</v>
      </c>
    </row>
    <row r="577" ht="15.75" customHeight="1">
      <c r="A577" s="5">
        <v>46013.0</v>
      </c>
      <c r="B577" s="6">
        <v>1084.0</v>
      </c>
      <c r="C577" s="6">
        <v>1.859165734E9</v>
      </c>
      <c r="D577" s="6">
        <v>2.4748574E7</v>
      </c>
      <c r="E577" s="6" t="s">
        <v>923</v>
      </c>
      <c r="F577" s="6" t="s">
        <v>924</v>
      </c>
      <c r="G577" s="6">
        <v>8.861742241E9</v>
      </c>
      <c r="H577" s="6">
        <v>4.0149833E7</v>
      </c>
      <c r="I577" s="6" t="s">
        <v>40</v>
      </c>
      <c r="J577" s="6" t="s">
        <v>21</v>
      </c>
      <c r="K577" s="6" t="s">
        <v>22</v>
      </c>
      <c r="L577" s="6">
        <v>55.0</v>
      </c>
      <c r="M577" s="5">
        <v>46013.0</v>
      </c>
      <c r="N577" s="6" t="s">
        <v>23</v>
      </c>
      <c r="O577" s="6" t="str">
        <f>SUMIFS([1]order_sku_sales_bb2_report!P:P,[1]order_sku_sales_bb2_report!H:H,C28355,[1]order_sku_sales_bb2_report!J:J,H28355)</f>
        <v>#ERROR!</v>
      </c>
      <c r="P577" s="6" t="str">
        <f>SUMIFS([1]order_sku_sales_bb2_report!O:O,[1]order_sku_sales_bb2_report!H:H,C28355,[1]order_sku_sales_bb2_report!J:J,H28355)</f>
        <v>#ERROR!</v>
      </c>
      <c r="Q577" s="6" t="str">
        <f t="shared" si="1"/>
        <v>22-12-2025</v>
      </c>
      <c r="R577" s="6" t="str">
        <f>IFERROR( VLOOKUP(C28355,[1]expressOrderReport!$S:$AZ,34,0),0)</f>
        <v>#ERROR!</v>
      </c>
      <c r="S577" s="6" t="str">
        <f>ARRAY_CONSTRAIN(ARRAYFORMULA(_xludf.XLOOKUP(D28355,[1]order_Report_SA_ID_BB2.0!V:V,[1]order_Report_SA_ID_BB2.0!AM:AM,"")), 1, 1)</f>
        <v>#ERROR!</v>
      </c>
      <c r="T577" s="6" t="str">
        <f t="shared" si="2"/>
        <v>Dec'25</v>
      </c>
    </row>
    <row r="578" ht="15.75" customHeight="1">
      <c r="A578" s="5">
        <v>46013.0</v>
      </c>
      <c r="B578" s="6">
        <v>1085.0</v>
      </c>
      <c r="C578" s="6">
        <v>1.859165734E9</v>
      </c>
      <c r="D578" s="6">
        <v>2.4748574E7</v>
      </c>
      <c r="E578" s="6" t="s">
        <v>923</v>
      </c>
      <c r="F578" s="6" t="s">
        <v>924</v>
      </c>
      <c r="G578" s="6">
        <v>8.861742241E9</v>
      </c>
      <c r="H578" s="6">
        <v>4.014983E7</v>
      </c>
      <c r="I578" s="6" t="s">
        <v>30</v>
      </c>
      <c r="J578" s="6" t="s">
        <v>21</v>
      </c>
      <c r="K578" s="6" t="s">
        <v>22</v>
      </c>
      <c r="L578" s="6">
        <v>55.0</v>
      </c>
      <c r="M578" s="5">
        <v>46013.0</v>
      </c>
      <c r="N578" s="6" t="s">
        <v>23</v>
      </c>
      <c r="O578" s="6" t="str">
        <f>SUMIFS([1]order_sku_sales_bb2_report!P:P,[1]order_sku_sales_bb2_report!H:H,C28356,[1]order_sku_sales_bb2_report!J:J,H28356)</f>
        <v>#ERROR!</v>
      </c>
      <c r="P578" s="6" t="str">
        <f>SUMIFS([1]order_sku_sales_bb2_report!O:O,[1]order_sku_sales_bb2_report!H:H,C28356,[1]order_sku_sales_bb2_report!J:J,H28356)</f>
        <v>#ERROR!</v>
      </c>
      <c r="Q578" s="6" t="str">
        <f t="shared" si="1"/>
        <v>22-12-2025</v>
      </c>
      <c r="R578" s="6" t="str">
        <f>IFERROR( VLOOKUP(C28356,[1]expressOrderReport!$S:$AZ,34,0),0)</f>
        <v>#ERROR!</v>
      </c>
      <c r="S578" s="6" t="str">
        <f>ARRAY_CONSTRAIN(ARRAYFORMULA(_xludf.XLOOKUP(D28356,[1]order_Report_SA_ID_BB2.0!V:V,[1]order_Report_SA_ID_BB2.0!AM:AM,"")), 1, 1)</f>
        <v>#ERROR!</v>
      </c>
      <c r="T578" s="6" t="str">
        <f t="shared" si="2"/>
        <v>Dec'25</v>
      </c>
    </row>
    <row r="579" ht="15.75" customHeight="1">
      <c r="A579" s="5">
        <v>46013.0</v>
      </c>
      <c r="B579" s="6">
        <v>1131.0</v>
      </c>
      <c r="C579" s="6">
        <v>1.859165743E9</v>
      </c>
      <c r="D579" s="6">
        <v>6706046.0</v>
      </c>
      <c r="E579" s="6" t="s">
        <v>925</v>
      </c>
      <c r="F579" s="6" t="s">
        <v>926</v>
      </c>
      <c r="G579" s="6">
        <v>9.845868078E9</v>
      </c>
      <c r="H579" s="6">
        <v>4.0149832E7</v>
      </c>
      <c r="I579" s="6" t="s">
        <v>26</v>
      </c>
      <c r="J579" s="6" t="s">
        <v>21</v>
      </c>
      <c r="K579" s="6" t="s">
        <v>22</v>
      </c>
      <c r="L579" s="6">
        <v>140.0</v>
      </c>
      <c r="M579" s="5">
        <v>46013.0</v>
      </c>
      <c r="N579" s="6" t="s">
        <v>23</v>
      </c>
      <c r="O579" s="6" t="str">
        <f>SUMIFS([1]order_sku_sales_bb2_report!P:P,[1]order_sku_sales_bb2_report!H:H,C28357,[1]order_sku_sales_bb2_report!J:J,H28357)</f>
        <v>#ERROR!</v>
      </c>
      <c r="P579" s="6" t="str">
        <f>SUMIFS([1]order_sku_sales_bb2_report!O:O,[1]order_sku_sales_bb2_report!H:H,C28357,[1]order_sku_sales_bb2_report!J:J,H28357)</f>
        <v>#ERROR!</v>
      </c>
      <c r="Q579" s="6" t="str">
        <f t="shared" si="1"/>
        <v>22-12-2025</v>
      </c>
      <c r="R579" s="6" t="str">
        <f>IFERROR( VLOOKUP(C28357,[1]expressOrderReport!$S:$AZ,34,0),0)</f>
        <v>#ERROR!</v>
      </c>
      <c r="S579" s="6" t="str">
        <f>ARRAY_CONSTRAIN(ARRAYFORMULA(_xludf.XLOOKUP(D28357,[1]order_Report_SA_ID_BB2.0!V:V,[1]order_Report_SA_ID_BB2.0!AM:AM,"")), 1, 1)</f>
        <v>#ERROR!</v>
      </c>
      <c r="T579" s="6" t="str">
        <f t="shared" si="2"/>
        <v>Dec'25</v>
      </c>
    </row>
    <row r="580" ht="15.75" customHeight="1">
      <c r="A580" s="5">
        <v>46013.0</v>
      </c>
      <c r="B580" s="6">
        <v>1134.0</v>
      </c>
      <c r="C580" s="6">
        <v>1.859165743E9</v>
      </c>
      <c r="D580" s="6">
        <v>6706046.0</v>
      </c>
      <c r="E580" s="6" t="s">
        <v>925</v>
      </c>
      <c r="F580" s="6" t="s">
        <v>926</v>
      </c>
      <c r="G580" s="6">
        <v>9.845868078E9</v>
      </c>
      <c r="H580" s="6">
        <v>4.0158264E7</v>
      </c>
      <c r="I580" s="6" t="s">
        <v>26</v>
      </c>
      <c r="J580" s="6" t="s">
        <v>21</v>
      </c>
      <c r="K580" s="6" t="s">
        <v>22</v>
      </c>
      <c r="L580" s="6">
        <v>140.0</v>
      </c>
      <c r="M580" s="5">
        <v>46013.0</v>
      </c>
      <c r="N580" s="6" t="s">
        <v>23</v>
      </c>
      <c r="O580" s="6" t="str">
        <f>SUMIFS([1]order_sku_sales_bb2_report!P:P,[1]order_sku_sales_bb2_report!H:H,C28358,[1]order_sku_sales_bb2_report!J:J,H28358)</f>
        <v>#ERROR!</v>
      </c>
      <c r="P580" s="6" t="str">
        <f>SUMIFS([1]order_sku_sales_bb2_report!O:O,[1]order_sku_sales_bb2_report!H:H,C28358,[1]order_sku_sales_bb2_report!J:J,H28358)</f>
        <v>#ERROR!</v>
      </c>
      <c r="Q580" s="6" t="str">
        <f t="shared" si="1"/>
        <v>22-12-2025</v>
      </c>
      <c r="R580" s="6" t="str">
        <f>IFERROR( VLOOKUP(C28358,[1]expressOrderReport!$S:$AZ,34,0),0)</f>
        <v>#ERROR!</v>
      </c>
      <c r="S580" s="6" t="str">
        <f>ARRAY_CONSTRAIN(ARRAYFORMULA(_xludf.XLOOKUP(D28358,[1]order_Report_SA_ID_BB2.0!V:V,[1]order_Report_SA_ID_BB2.0!AM:AM,"")), 1, 1)</f>
        <v>#ERROR!</v>
      </c>
      <c r="T580" s="6" t="str">
        <f t="shared" si="2"/>
        <v>Dec'25</v>
      </c>
    </row>
    <row r="581" ht="15.75" customHeight="1">
      <c r="A581" s="5">
        <v>46013.0</v>
      </c>
      <c r="B581" s="6">
        <v>1163.0</v>
      </c>
      <c r="C581" s="6">
        <v>1.85916575E9</v>
      </c>
      <c r="D581" s="6">
        <v>2.6340855E7</v>
      </c>
      <c r="E581" s="6" t="s">
        <v>927</v>
      </c>
      <c r="F581" s="6" t="s">
        <v>928</v>
      </c>
      <c r="G581" s="6">
        <v>9.880827873E9</v>
      </c>
      <c r="H581" s="6">
        <v>4.0149833E7</v>
      </c>
      <c r="I581" s="6" t="s">
        <v>40</v>
      </c>
      <c r="J581" s="6" t="s">
        <v>21</v>
      </c>
      <c r="K581" s="6" t="s">
        <v>22</v>
      </c>
      <c r="L581" s="6">
        <v>54.0</v>
      </c>
      <c r="M581" s="5">
        <v>46013.0</v>
      </c>
      <c r="N581" s="6" t="s">
        <v>23</v>
      </c>
      <c r="O581" s="6" t="str">
        <f>SUMIFS([1]order_sku_sales_bb2_report!P:P,[1]order_sku_sales_bb2_report!H:H,C28359,[1]order_sku_sales_bb2_report!J:J,H28359)</f>
        <v>#ERROR!</v>
      </c>
      <c r="P581" s="6" t="str">
        <f>SUMIFS([1]order_sku_sales_bb2_report!O:O,[1]order_sku_sales_bb2_report!H:H,C28359,[1]order_sku_sales_bb2_report!J:J,H28359)</f>
        <v>#ERROR!</v>
      </c>
      <c r="Q581" s="6" t="str">
        <f t="shared" si="1"/>
        <v>22-12-2025</v>
      </c>
      <c r="R581" s="6" t="str">
        <f>IFERROR( VLOOKUP(C28359,[1]expressOrderReport!$S:$AZ,34,0),0)</f>
        <v>#ERROR!</v>
      </c>
      <c r="S581" s="6" t="str">
        <f>ARRAY_CONSTRAIN(ARRAYFORMULA(_xludf.XLOOKUP(D28359,[1]order_Report_SA_ID_BB2.0!V:V,[1]order_Report_SA_ID_BB2.0!AM:AM,"")), 1, 1)</f>
        <v>#ERROR!</v>
      </c>
      <c r="T581" s="6" t="str">
        <f t="shared" si="2"/>
        <v>Dec'25</v>
      </c>
    </row>
    <row r="582" ht="15.75" customHeight="1">
      <c r="A582" s="5">
        <v>46013.0</v>
      </c>
      <c r="B582" s="6">
        <v>1168.0</v>
      </c>
      <c r="C582" s="6">
        <v>1.859165763E9</v>
      </c>
      <c r="D582" s="6">
        <v>1.4602531E7</v>
      </c>
      <c r="E582" s="6" t="s">
        <v>929</v>
      </c>
      <c r="F582" s="6" t="s">
        <v>930</v>
      </c>
      <c r="G582" s="6">
        <v>9.945539326E9</v>
      </c>
      <c r="H582" s="6">
        <v>4.0158264E7</v>
      </c>
      <c r="I582" s="6" t="s">
        <v>26</v>
      </c>
      <c r="J582" s="6" t="s">
        <v>21</v>
      </c>
      <c r="K582" s="6" t="s">
        <v>22</v>
      </c>
      <c r="L582" s="6">
        <v>46.0</v>
      </c>
      <c r="M582" s="5">
        <v>46013.0</v>
      </c>
      <c r="N582" s="6" t="s">
        <v>23</v>
      </c>
      <c r="O582" s="6" t="str">
        <f>SUMIFS([1]order_sku_sales_bb2_report!P:P,[1]order_sku_sales_bb2_report!H:H,C28360,[1]order_sku_sales_bb2_report!J:J,H28360)</f>
        <v>#ERROR!</v>
      </c>
      <c r="P582" s="6" t="str">
        <f>SUMIFS([1]order_sku_sales_bb2_report!O:O,[1]order_sku_sales_bb2_report!H:H,C28360,[1]order_sku_sales_bb2_report!J:J,H28360)</f>
        <v>#ERROR!</v>
      </c>
      <c r="Q582" s="6" t="str">
        <f t="shared" si="1"/>
        <v>22-12-2025</v>
      </c>
      <c r="R582" s="6" t="str">
        <f>IFERROR( VLOOKUP(C28360,[1]expressOrderReport!$S:$AZ,34,0),0)</f>
        <v>#ERROR!</v>
      </c>
      <c r="S582" s="6" t="str">
        <f>ARRAY_CONSTRAIN(ARRAYFORMULA(_xludf.XLOOKUP(D28360,[1]order_Report_SA_ID_BB2.0!V:V,[1]order_Report_SA_ID_BB2.0!AM:AM,"")), 1, 1)</f>
        <v>#ERROR!</v>
      </c>
      <c r="T582" s="6" t="str">
        <f t="shared" si="2"/>
        <v>Dec'25</v>
      </c>
    </row>
    <row r="583" ht="15.75" customHeight="1">
      <c r="A583" s="5">
        <v>46013.0</v>
      </c>
      <c r="B583" s="6">
        <v>1198.0</v>
      </c>
      <c r="C583" s="6">
        <v>1.859165774E9</v>
      </c>
      <c r="D583" s="6">
        <v>6909833.0</v>
      </c>
      <c r="E583" s="6" t="s">
        <v>931</v>
      </c>
      <c r="F583" s="6" t="s">
        <v>932</v>
      </c>
      <c r="G583" s="6">
        <v>8.197897788E9</v>
      </c>
      <c r="H583" s="6">
        <v>4.0149834E7</v>
      </c>
      <c r="I583" s="6" t="s">
        <v>40</v>
      </c>
      <c r="J583" s="6" t="s">
        <v>21</v>
      </c>
      <c r="K583" s="6" t="s">
        <v>22</v>
      </c>
      <c r="L583" s="6">
        <v>52.0</v>
      </c>
      <c r="M583" s="5">
        <v>46013.0</v>
      </c>
      <c r="N583" s="6" t="s">
        <v>23</v>
      </c>
      <c r="O583" s="6" t="str">
        <f>SUMIFS([1]order_sku_sales_bb2_report!P:P,[1]order_sku_sales_bb2_report!H:H,C28361,[1]order_sku_sales_bb2_report!J:J,H28361)</f>
        <v>#ERROR!</v>
      </c>
      <c r="P583" s="6" t="str">
        <f>SUMIFS([1]order_sku_sales_bb2_report!O:O,[1]order_sku_sales_bb2_report!H:H,C28361,[1]order_sku_sales_bb2_report!J:J,H28361)</f>
        <v>#ERROR!</v>
      </c>
      <c r="Q583" s="6" t="str">
        <f t="shared" si="1"/>
        <v>22-12-2025</v>
      </c>
      <c r="R583" s="6" t="str">
        <f>IFERROR( VLOOKUP(C28361,[1]expressOrderReport!$S:$AZ,34,0),0)</f>
        <v>#ERROR!</v>
      </c>
      <c r="S583" s="6" t="str">
        <f>ARRAY_CONSTRAIN(ARRAYFORMULA(_xludf.XLOOKUP(D28361,[1]order_Report_SA_ID_BB2.0!V:V,[1]order_Report_SA_ID_BB2.0!AM:AM,"")), 1, 1)</f>
        <v>#ERROR!</v>
      </c>
      <c r="T583" s="6" t="str">
        <f t="shared" si="2"/>
        <v>Dec'25</v>
      </c>
    </row>
    <row r="584" ht="15.75" customHeight="1">
      <c r="A584" s="5">
        <v>46013.0</v>
      </c>
      <c r="B584" s="6">
        <v>1209.0</v>
      </c>
      <c r="C584" s="6">
        <v>1.859167561E9</v>
      </c>
      <c r="D584" s="6">
        <v>2191609.0</v>
      </c>
      <c r="E584" s="6" t="s">
        <v>933</v>
      </c>
      <c r="F584" s="6" t="s">
        <v>934</v>
      </c>
      <c r="G584" s="6">
        <v>9.886529129E9</v>
      </c>
      <c r="H584" s="6">
        <v>4.0161616E7</v>
      </c>
      <c r="I584" s="6" t="s">
        <v>20</v>
      </c>
      <c r="J584" s="6" t="s">
        <v>21</v>
      </c>
      <c r="K584" s="6" t="s">
        <v>22</v>
      </c>
      <c r="L584" s="6">
        <v>112.0</v>
      </c>
      <c r="M584" s="5">
        <v>46013.0</v>
      </c>
      <c r="N584" s="6" t="s">
        <v>23</v>
      </c>
      <c r="O584" s="6" t="str">
        <f>SUMIFS([1]order_sku_sales_bb2_report!P:P,[1]order_sku_sales_bb2_report!H:H,C28362,[1]order_sku_sales_bb2_report!J:J,H28362)</f>
        <v>#ERROR!</v>
      </c>
      <c r="P584" s="6" t="str">
        <f>SUMIFS([1]order_sku_sales_bb2_report!O:O,[1]order_sku_sales_bb2_report!H:H,C28362,[1]order_sku_sales_bb2_report!J:J,H28362)</f>
        <v>#ERROR!</v>
      </c>
      <c r="Q584" s="6" t="str">
        <f t="shared" si="1"/>
        <v>22-12-2025</v>
      </c>
      <c r="R584" s="6" t="str">
        <f>IFERROR( VLOOKUP(C28362,[1]expressOrderReport!$S:$AZ,34,0),0)</f>
        <v>#ERROR!</v>
      </c>
      <c r="S584" s="6" t="str">
        <f>ARRAY_CONSTRAIN(ARRAYFORMULA(_xludf.XLOOKUP(D28362,[1]order_Report_SA_ID_BB2.0!V:V,[1]order_Report_SA_ID_BB2.0!AM:AM,"")), 1, 1)</f>
        <v>#ERROR!</v>
      </c>
      <c r="T584" s="6" t="str">
        <f t="shared" si="2"/>
        <v>Dec'25</v>
      </c>
    </row>
    <row r="585" ht="15.75" customHeight="1">
      <c r="A585" s="5">
        <v>46013.0</v>
      </c>
      <c r="B585" s="6">
        <v>1214.0</v>
      </c>
      <c r="C585" s="6">
        <v>1.859167567E9</v>
      </c>
      <c r="D585" s="6">
        <v>2631364.0</v>
      </c>
      <c r="E585" s="6" t="s">
        <v>935</v>
      </c>
      <c r="F585" s="6" t="s">
        <v>936</v>
      </c>
      <c r="G585" s="6">
        <v>9.972457112E9</v>
      </c>
      <c r="H585" s="6">
        <v>4.0147597E7</v>
      </c>
      <c r="I585" s="6" t="s">
        <v>59</v>
      </c>
      <c r="J585" s="6" t="s">
        <v>21</v>
      </c>
      <c r="K585" s="6" t="s">
        <v>22</v>
      </c>
      <c r="L585" s="6">
        <v>26.0</v>
      </c>
      <c r="M585" s="5">
        <v>46013.0</v>
      </c>
      <c r="N585" s="6" t="s">
        <v>23</v>
      </c>
      <c r="O585" s="6" t="str">
        <f>SUMIFS([1]order_sku_sales_bb2_report!P:P,[1]order_sku_sales_bb2_report!H:H,C28363,[1]order_sku_sales_bb2_report!J:J,H28363)</f>
        <v>#ERROR!</v>
      </c>
      <c r="P585" s="6" t="str">
        <f>SUMIFS([1]order_sku_sales_bb2_report!O:O,[1]order_sku_sales_bb2_report!H:H,C28363,[1]order_sku_sales_bb2_report!J:J,H28363)</f>
        <v>#ERROR!</v>
      </c>
      <c r="Q585" s="6" t="str">
        <f t="shared" si="1"/>
        <v>22-12-2025</v>
      </c>
      <c r="R585" s="6" t="str">
        <f>IFERROR( VLOOKUP(C28363,[1]expressOrderReport!$S:$AZ,34,0),0)</f>
        <v>#ERROR!</v>
      </c>
      <c r="S585" s="6" t="str">
        <f>ARRAY_CONSTRAIN(ARRAYFORMULA(_xludf.XLOOKUP(D28363,[1]order_Report_SA_ID_BB2.0!V:V,[1]order_Report_SA_ID_BB2.0!AM:AM,"")), 1, 1)</f>
        <v>#ERROR!</v>
      </c>
      <c r="T585" s="6" t="str">
        <f t="shared" si="2"/>
        <v>Dec'25</v>
      </c>
    </row>
    <row r="586" ht="15.75" customHeight="1">
      <c r="A586" s="5">
        <v>46013.0</v>
      </c>
      <c r="B586" s="6">
        <v>1261.0</v>
      </c>
      <c r="C586" s="6">
        <v>1.859167574E9</v>
      </c>
      <c r="D586" s="6">
        <v>3.4548819E7</v>
      </c>
      <c r="E586" s="6" t="s">
        <v>937</v>
      </c>
      <c r="F586" s="6" t="s">
        <v>938</v>
      </c>
      <c r="G586" s="6">
        <v>7.89687279E9</v>
      </c>
      <c r="H586" s="6">
        <v>4.0149833E7</v>
      </c>
      <c r="I586" s="6" t="s">
        <v>40</v>
      </c>
      <c r="J586" s="6" t="s">
        <v>21</v>
      </c>
      <c r="K586" s="6" t="s">
        <v>22</v>
      </c>
      <c r="L586" s="6">
        <v>27.0</v>
      </c>
      <c r="M586" s="5">
        <v>46013.0</v>
      </c>
      <c r="N586" s="6" t="s">
        <v>23</v>
      </c>
      <c r="O586" s="6" t="str">
        <f>SUMIFS([1]order_sku_sales_bb2_report!P:P,[1]order_sku_sales_bb2_report!H:H,C28365,[1]order_sku_sales_bb2_report!J:J,H28365)</f>
        <v>#ERROR!</v>
      </c>
      <c r="P586" s="6" t="str">
        <f>SUMIFS([1]order_sku_sales_bb2_report!O:O,[1]order_sku_sales_bb2_report!H:H,C28365,[1]order_sku_sales_bb2_report!J:J,H28365)</f>
        <v>#ERROR!</v>
      </c>
      <c r="Q586" s="6" t="str">
        <f t="shared" si="1"/>
        <v>22-12-2025</v>
      </c>
      <c r="R586" s="6" t="str">
        <f>IFERROR( VLOOKUP(C28365,[1]expressOrderReport!$S:$AZ,34,0),0)</f>
        <v>#ERROR!</v>
      </c>
      <c r="S586" s="6" t="str">
        <f>ARRAY_CONSTRAIN(ARRAYFORMULA(_xludf.XLOOKUP(D28365,[1]order_Report_SA_ID_BB2.0!V:V,[1]order_Report_SA_ID_BB2.0!AM:AM,"")), 1, 1)</f>
        <v>#ERROR!</v>
      </c>
      <c r="T586" s="6" t="str">
        <f t="shared" si="2"/>
        <v>Dec'25</v>
      </c>
    </row>
    <row r="587" ht="15.75" customHeight="1">
      <c r="A587" s="5">
        <v>46013.0</v>
      </c>
      <c r="B587" s="6">
        <v>1266.0</v>
      </c>
      <c r="C587" s="6">
        <v>1.859167581E9</v>
      </c>
      <c r="D587" s="6">
        <v>9764173.0</v>
      </c>
      <c r="E587" s="6" t="s">
        <v>939</v>
      </c>
      <c r="F587" s="6" t="s">
        <v>940</v>
      </c>
      <c r="G587" s="6">
        <v>9.886735404E9</v>
      </c>
      <c r="H587" s="6">
        <v>4.014983E7</v>
      </c>
      <c r="I587" s="6" t="s">
        <v>30</v>
      </c>
      <c r="J587" s="6" t="s">
        <v>21</v>
      </c>
      <c r="K587" s="6" t="s">
        <v>22</v>
      </c>
      <c r="L587" s="6">
        <v>94.05</v>
      </c>
      <c r="M587" s="5">
        <v>46013.0</v>
      </c>
      <c r="N587" s="6" t="s">
        <v>23</v>
      </c>
      <c r="O587" s="6" t="str">
        <f>SUMIFS([1]order_sku_sales_bb2_report!P:P,[1]order_sku_sales_bb2_report!H:H,C28366,[1]order_sku_sales_bb2_report!J:J,H28366)</f>
        <v>#ERROR!</v>
      </c>
      <c r="P587" s="6" t="str">
        <f>SUMIFS([1]order_sku_sales_bb2_report!O:O,[1]order_sku_sales_bb2_report!H:H,C28366,[1]order_sku_sales_bb2_report!J:J,H28366)</f>
        <v>#ERROR!</v>
      </c>
      <c r="Q587" s="6" t="str">
        <f t="shared" si="1"/>
        <v>22-12-2025</v>
      </c>
      <c r="R587" s="6" t="str">
        <f>IFERROR( VLOOKUP(C28366,[1]expressOrderReport!$S:$AZ,34,0),0)</f>
        <v>#ERROR!</v>
      </c>
      <c r="S587" s="6" t="str">
        <f>ARRAY_CONSTRAIN(ARRAYFORMULA(_xludf.XLOOKUP(D28366,[1]order_Report_SA_ID_BB2.0!V:V,[1]order_Report_SA_ID_BB2.0!AM:AM,"")), 1, 1)</f>
        <v>#ERROR!</v>
      </c>
      <c r="T587" s="6" t="str">
        <f t="shared" si="2"/>
        <v>Dec'25</v>
      </c>
    </row>
    <row r="588" ht="15.75" customHeight="1">
      <c r="A588" s="5">
        <v>46013.0</v>
      </c>
      <c r="B588" s="6">
        <v>1267.0</v>
      </c>
      <c r="C588" s="6">
        <v>1.859167581E9</v>
      </c>
      <c r="D588" s="6">
        <v>9764173.0</v>
      </c>
      <c r="E588" s="6" t="s">
        <v>939</v>
      </c>
      <c r="F588" s="6" t="s">
        <v>940</v>
      </c>
      <c r="G588" s="6">
        <v>9.886735404E9</v>
      </c>
      <c r="H588" s="6">
        <v>271205.0</v>
      </c>
      <c r="I588" s="6" t="s">
        <v>941</v>
      </c>
      <c r="J588" s="6" t="s">
        <v>21</v>
      </c>
      <c r="K588" s="6" t="s">
        <v>22</v>
      </c>
      <c r="L588" s="6">
        <v>94.05</v>
      </c>
      <c r="M588" s="5">
        <v>46013.0</v>
      </c>
      <c r="N588" s="6" t="s">
        <v>23</v>
      </c>
      <c r="O588" s="6" t="str">
        <f>SUMIFS([1]order_sku_sales_bb2_report!P:P,[1]order_sku_sales_bb2_report!H:H,C28367,[1]order_sku_sales_bb2_report!J:J,H28367)</f>
        <v>#ERROR!</v>
      </c>
      <c r="P588" s="6" t="str">
        <f>SUMIFS([1]order_sku_sales_bb2_report!O:O,[1]order_sku_sales_bb2_report!H:H,C28367,[1]order_sku_sales_bb2_report!J:J,H28367)</f>
        <v>#ERROR!</v>
      </c>
      <c r="Q588" s="6" t="str">
        <f t="shared" si="1"/>
        <v>22-12-2025</v>
      </c>
      <c r="R588" s="6" t="str">
        <f>IFERROR( VLOOKUP(C28367,[1]expressOrderReport!$S:$AZ,34,0),0)</f>
        <v>#ERROR!</v>
      </c>
      <c r="S588" s="6" t="str">
        <f>ARRAY_CONSTRAIN(ARRAYFORMULA(_xludf.XLOOKUP(D28367,[1]order_Report_SA_ID_BB2.0!V:V,[1]order_Report_SA_ID_BB2.0!AM:AM,"")), 1, 1)</f>
        <v>#ERROR!</v>
      </c>
      <c r="T588" s="6" t="str">
        <f t="shared" si="2"/>
        <v>Dec'25</v>
      </c>
    </row>
    <row r="589" ht="15.75" customHeight="1">
      <c r="A589" s="5">
        <v>46013.0</v>
      </c>
      <c r="B589" s="6">
        <v>5802.0</v>
      </c>
      <c r="C589" s="6">
        <v>1.859167589E9</v>
      </c>
      <c r="D589" s="6">
        <v>4661395.0</v>
      </c>
      <c r="E589" s="6" t="s">
        <v>942</v>
      </c>
      <c r="F589" s="6" t="s">
        <v>943</v>
      </c>
      <c r="G589" s="6">
        <v>8.714312485E9</v>
      </c>
      <c r="H589" s="6">
        <v>4.0161616E7</v>
      </c>
      <c r="I589" s="6" t="s">
        <v>20</v>
      </c>
      <c r="J589" s="6" t="s">
        <v>21</v>
      </c>
      <c r="K589" s="6" t="s">
        <v>22</v>
      </c>
      <c r="L589" s="6">
        <v>84.0</v>
      </c>
      <c r="M589" s="5">
        <v>46013.0</v>
      </c>
      <c r="N589" s="6" t="s">
        <v>23</v>
      </c>
      <c r="O589" s="6" t="str">
        <f>SUMIFS([1]order_sku_sales_bb2_report!P:P,[1]order_sku_sales_bb2_report!H:H,C28368,[1]order_sku_sales_bb2_report!J:J,H28368)</f>
        <v>#ERROR!</v>
      </c>
      <c r="P589" s="6" t="str">
        <f>SUMIFS([1]order_sku_sales_bb2_report!O:O,[1]order_sku_sales_bb2_report!H:H,C28368,[1]order_sku_sales_bb2_report!J:J,H28368)</f>
        <v>#ERROR!</v>
      </c>
      <c r="Q589" s="6" t="str">
        <f t="shared" si="1"/>
        <v>22-12-2025</v>
      </c>
      <c r="R589" s="6" t="str">
        <f>IFERROR( VLOOKUP(C28368,[1]expressOrderReport!$S:$AZ,34,0),0)</f>
        <v>#ERROR!</v>
      </c>
      <c r="S589" s="6" t="str">
        <f>ARRAY_CONSTRAIN(ARRAYFORMULA(_xludf.XLOOKUP(D28368,[1]order_Report_SA_ID_BB2.0!V:V,[1]order_Report_SA_ID_BB2.0!AM:AM,"")), 1, 1)</f>
        <v>#ERROR!</v>
      </c>
      <c r="T589" s="6" t="str">
        <f t="shared" si="2"/>
        <v>Dec'25</v>
      </c>
    </row>
    <row r="590" ht="15.75" customHeight="1">
      <c r="A590" s="5">
        <v>46013.0</v>
      </c>
      <c r="B590" s="6">
        <v>8929.0</v>
      </c>
      <c r="C590" s="6">
        <v>1.859167592E9</v>
      </c>
      <c r="D590" s="6">
        <v>8.0899705E7</v>
      </c>
      <c r="E590" s="6" t="s">
        <v>944</v>
      </c>
      <c r="F590" s="6" t="s">
        <v>945</v>
      </c>
      <c r="G590" s="6">
        <v>9.959423229E9</v>
      </c>
      <c r="H590" s="6">
        <v>4.0090893E7</v>
      </c>
      <c r="I590" s="6" t="s">
        <v>35</v>
      </c>
      <c r="J590" s="6" t="s">
        <v>21</v>
      </c>
      <c r="K590" s="6" t="s">
        <v>22</v>
      </c>
      <c r="L590" s="6">
        <v>99.0</v>
      </c>
      <c r="M590" s="5">
        <v>46013.0</v>
      </c>
      <c r="N590" s="6" t="s">
        <v>23</v>
      </c>
      <c r="O590" s="6" t="str">
        <f>SUMIFS([1]order_sku_sales_bb2_report!P:P,[1]order_sku_sales_bb2_report!H:H,C28369,[1]order_sku_sales_bb2_report!J:J,H28369)</f>
        <v>#ERROR!</v>
      </c>
      <c r="P590" s="6" t="str">
        <f>SUMIFS([1]order_sku_sales_bb2_report!O:O,[1]order_sku_sales_bb2_report!H:H,C28369,[1]order_sku_sales_bb2_report!J:J,H28369)</f>
        <v>#ERROR!</v>
      </c>
      <c r="Q590" s="6" t="str">
        <f t="shared" si="1"/>
        <v>22-12-2025</v>
      </c>
      <c r="R590" s="6" t="str">
        <f>IFERROR( VLOOKUP(C28369,[1]expressOrderReport!$S:$AZ,34,0),0)</f>
        <v>#ERROR!</v>
      </c>
      <c r="S590" s="6" t="str">
        <f>ARRAY_CONSTRAIN(ARRAYFORMULA(_xludf.XLOOKUP(D28369,[1]order_Report_SA_ID_BB2.0!V:V,[1]order_Report_SA_ID_BB2.0!AM:AM,"")), 1, 1)</f>
        <v>#ERROR!</v>
      </c>
      <c r="T590" s="6" t="str">
        <f t="shared" si="2"/>
        <v>Dec'25</v>
      </c>
    </row>
    <row r="591" ht="15.75" customHeight="1">
      <c r="A591" s="5">
        <v>46013.0</v>
      </c>
      <c r="B591" s="6">
        <v>1386.0</v>
      </c>
      <c r="C591" s="6">
        <v>1.859167596E9</v>
      </c>
      <c r="D591" s="6">
        <v>2.0134581E7</v>
      </c>
      <c r="E591" s="6" t="s">
        <v>946</v>
      </c>
      <c r="F591" s="6" t="s">
        <v>947</v>
      </c>
      <c r="G591" s="6">
        <v>9.740960385E9</v>
      </c>
      <c r="H591" s="6">
        <v>4.0149832E7</v>
      </c>
      <c r="I591" s="6" t="s">
        <v>26</v>
      </c>
      <c r="J591" s="6" t="s">
        <v>21</v>
      </c>
      <c r="K591" s="6" t="s">
        <v>22</v>
      </c>
      <c r="L591" s="6">
        <v>48.0</v>
      </c>
      <c r="M591" s="5">
        <v>46013.0</v>
      </c>
      <c r="N591" s="6" t="s">
        <v>23</v>
      </c>
      <c r="O591" s="6" t="str">
        <f>SUMIFS([1]order_sku_sales_bb2_report!P:P,[1]order_sku_sales_bb2_report!H:H,C28370,[1]order_sku_sales_bb2_report!J:J,H28370)</f>
        <v>#ERROR!</v>
      </c>
      <c r="P591" s="6" t="str">
        <f>SUMIFS([1]order_sku_sales_bb2_report!O:O,[1]order_sku_sales_bb2_report!H:H,C28370,[1]order_sku_sales_bb2_report!J:J,H28370)</f>
        <v>#ERROR!</v>
      </c>
      <c r="Q591" s="6" t="str">
        <f t="shared" si="1"/>
        <v>22-12-2025</v>
      </c>
      <c r="R591" s="6" t="str">
        <f>IFERROR( VLOOKUP(C28370,[1]expressOrderReport!$S:$AZ,34,0),0)</f>
        <v>#ERROR!</v>
      </c>
      <c r="S591" s="6" t="str">
        <f>ARRAY_CONSTRAIN(ARRAYFORMULA(_xludf.XLOOKUP(D28370,[1]order_Report_SA_ID_BB2.0!V:V,[1]order_Report_SA_ID_BB2.0!AM:AM,"")), 1, 1)</f>
        <v>#ERROR!</v>
      </c>
      <c r="T591" s="6" t="str">
        <f t="shared" si="2"/>
        <v>Dec'25</v>
      </c>
    </row>
    <row r="592" ht="15.75" customHeight="1">
      <c r="A592" s="5">
        <v>46013.0</v>
      </c>
      <c r="B592" s="6">
        <v>1383.0</v>
      </c>
      <c r="C592" s="6">
        <v>1.859167602E9</v>
      </c>
      <c r="D592" s="6">
        <v>2.0134592E7</v>
      </c>
      <c r="E592" s="6" t="s">
        <v>948</v>
      </c>
      <c r="F592" s="6" t="s">
        <v>949</v>
      </c>
      <c r="G592" s="6">
        <v>9.986995604E9</v>
      </c>
      <c r="H592" s="6">
        <v>4.0149832E7</v>
      </c>
      <c r="I592" s="6" t="s">
        <v>26</v>
      </c>
      <c r="J592" s="6" t="s">
        <v>21</v>
      </c>
      <c r="K592" s="6" t="s">
        <v>22</v>
      </c>
      <c r="L592" s="6">
        <v>48.0</v>
      </c>
      <c r="M592" s="5">
        <v>46013.0</v>
      </c>
      <c r="N592" s="6" t="s">
        <v>23</v>
      </c>
      <c r="O592" s="6" t="str">
        <f>SUMIFS([1]order_sku_sales_bb2_report!P:P,[1]order_sku_sales_bb2_report!H:H,C28371,[1]order_sku_sales_bb2_report!J:J,H28371)</f>
        <v>#ERROR!</v>
      </c>
      <c r="P592" s="6" t="str">
        <f>SUMIFS([1]order_sku_sales_bb2_report!O:O,[1]order_sku_sales_bb2_report!H:H,C28371,[1]order_sku_sales_bb2_report!J:J,H28371)</f>
        <v>#ERROR!</v>
      </c>
      <c r="Q592" s="6" t="str">
        <f t="shared" si="1"/>
        <v>22-12-2025</v>
      </c>
      <c r="R592" s="6" t="str">
        <f>IFERROR( VLOOKUP(C28371,[1]expressOrderReport!$S:$AZ,34,0),0)</f>
        <v>#ERROR!</v>
      </c>
      <c r="S592" s="6" t="str">
        <f>ARRAY_CONSTRAIN(ARRAYFORMULA(_xludf.XLOOKUP(D28371,[1]order_Report_SA_ID_BB2.0!V:V,[1]order_Report_SA_ID_BB2.0!AM:AM,"")), 1, 1)</f>
        <v>#ERROR!</v>
      </c>
      <c r="T592" s="6" t="str">
        <f t="shared" si="2"/>
        <v>Dec'25</v>
      </c>
    </row>
    <row r="593" ht="15.75" customHeight="1">
      <c r="A593" s="5">
        <v>46013.0</v>
      </c>
      <c r="B593" s="6">
        <v>1466.0</v>
      </c>
      <c r="C593" s="6">
        <v>1.85916761E9</v>
      </c>
      <c r="D593" s="6">
        <v>1.2232871E7</v>
      </c>
      <c r="E593" s="6" t="s">
        <v>950</v>
      </c>
      <c r="F593" s="6" t="s">
        <v>951</v>
      </c>
      <c r="G593" s="6">
        <v>7.026889993E9</v>
      </c>
      <c r="H593" s="6">
        <v>4.0147601E7</v>
      </c>
      <c r="I593" s="6" t="s">
        <v>276</v>
      </c>
      <c r="J593" s="6" t="s">
        <v>21</v>
      </c>
      <c r="K593" s="6" t="s">
        <v>22</v>
      </c>
      <c r="L593" s="6">
        <v>28.0</v>
      </c>
      <c r="M593" s="5">
        <v>46013.0</v>
      </c>
      <c r="N593" s="6" t="s">
        <v>23</v>
      </c>
      <c r="O593" s="6" t="str">
        <f>SUMIFS([1]order_sku_sales_bb2_report!P:P,[1]order_sku_sales_bb2_report!H:H,C28372,[1]order_sku_sales_bb2_report!J:J,H28372)</f>
        <v>#ERROR!</v>
      </c>
      <c r="P593" s="6" t="str">
        <f>SUMIFS([1]order_sku_sales_bb2_report!O:O,[1]order_sku_sales_bb2_report!H:H,C28372,[1]order_sku_sales_bb2_report!J:J,H28372)</f>
        <v>#ERROR!</v>
      </c>
      <c r="Q593" s="6" t="str">
        <f t="shared" si="1"/>
        <v>22-12-2025</v>
      </c>
      <c r="R593" s="6" t="str">
        <f>IFERROR( VLOOKUP(C28372,[1]expressOrderReport!$S:$AZ,34,0),0)</f>
        <v>#ERROR!</v>
      </c>
      <c r="S593" s="6" t="str">
        <f>ARRAY_CONSTRAIN(ARRAYFORMULA(_xludf.XLOOKUP(D28372,[1]order_Report_SA_ID_BB2.0!V:V,[1]order_Report_SA_ID_BB2.0!AM:AM,"")), 1, 1)</f>
        <v>#ERROR!</v>
      </c>
      <c r="T593" s="6" t="str">
        <f t="shared" si="2"/>
        <v>Dec'25</v>
      </c>
    </row>
    <row r="594" ht="15.75" customHeight="1">
      <c r="A594" s="5">
        <v>46013.0</v>
      </c>
      <c r="B594" s="6">
        <v>1479.0</v>
      </c>
      <c r="C594" s="6">
        <v>1.859167616E9</v>
      </c>
      <c r="D594" s="6">
        <v>2.1707417E7</v>
      </c>
      <c r="E594" s="6" t="s">
        <v>952</v>
      </c>
      <c r="F594" s="6" t="s">
        <v>953</v>
      </c>
      <c r="G594" s="6">
        <v>9.740099298E9</v>
      </c>
      <c r="H594" s="6">
        <v>4.0149833E7</v>
      </c>
      <c r="I594" s="6" t="s">
        <v>40</v>
      </c>
      <c r="J594" s="6" t="s">
        <v>21</v>
      </c>
      <c r="K594" s="6" t="s">
        <v>22</v>
      </c>
      <c r="L594" s="6">
        <v>81.0</v>
      </c>
      <c r="M594" s="5">
        <v>46013.0</v>
      </c>
      <c r="N594" s="6" t="s">
        <v>23</v>
      </c>
      <c r="O594" s="6" t="str">
        <f>SUMIFS([1]order_sku_sales_bb2_report!P:P,[1]order_sku_sales_bb2_report!H:H,C28373,[1]order_sku_sales_bb2_report!J:J,H28373)</f>
        <v>#ERROR!</v>
      </c>
      <c r="P594" s="6" t="str">
        <f>SUMIFS([1]order_sku_sales_bb2_report!O:O,[1]order_sku_sales_bb2_report!H:H,C28373,[1]order_sku_sales_bb2_report!J:J,H28373)</f>
        <v>#ERROR!</v>
      </c>
      <c r="Q594" s="6" t="str">
        <f t="shared" si="1"/>
        <v>22-12-2025</v>
      </c>
      <c r="R594" s="6" t="str">
        <f>IFERROR( VLOOKUP(C28373,[1]expressOrderReport!$S:$AZ,34,0),0)</f>
        <v>#ERROR!</v>
      </c>
      <c r="S594" s="6" t="str">
        <f>ARRAY_CONSTRAIN(ARRAYFORMULA(_xludf.XLOOKUP(D28373,[1]order_Report_SA_ID_BB2.0!V:V,[1]order_Report_SA_ID_BB2.0!AM:AM,"")), 1, 1)</f>
        <v>#ERROR!</v>
      </c>
      <c r="T594" s="6" t="str">
        <f t="shared" si="2"/>
        <v>Dec'25</v>
      </c>
    </row>
    <row r="595" ht="15.75" customHeight="1">
      <c r="A595" s="5">
        <v>46013.0</v>
      </c>
      <c r="B595" s="6">
        <v>1489.0</v>
      </c>
      <c r="C595" s="6">
        <v>1.859167623E9</v>
      </c>
      <c r="D595" s="6">
        <v>2.2141937E7</v>
      </c>
      <c r="E595" s="6" t="s">
        <v>954</v>
      </c>
      <c r="F595" s="6" t="s">
        <v>955</v>
      </c>
      <c r="G595" s="6">
        <v>9.900161979E9</v>
      </c>
      <c r="H595" s="6">
        <v>4.0148716E7</v>
      </c>
      <c r="I595" s="6" t="s">
        <v>148</v>
      </c>
      <c r="J595" s="6" t="s">
        <v>21</v>
      </c>
      <c r="K595" s="6" t="s">
        <v>22</v>
      </c>
      <c r="L595" s="6">
        <v>135.0</v>
      </c>
      <c r="M595" s="5">
        <v>46013.0</v>
      </c>
      <c r="N595" s="6" t="s">
        <v>23</v>
      </c>
      <c r="O595" s="6" t="str">
        <f>SUMIFS([1]order_sku_sales_bb2_report!P:P,[1]order_sku_sales_bb2_report!H:H,C28374,[1]order_sku_sales_bb2_report!J:J,H28374)</f>
        <v>#ERROR!</v>
      </c>
      <c r="P595" s="6" t="str">
        <f>SUMIFS([1]order_sku_sales_bb2_report!O:O,[1]order_sku_sales_bb2_report!H:H,C28374,[1]order_sku_sales_bb2_report!J:J,H28374)</f>
        <v>#ERROR!</v>
      </c>
      <c r="Q595" s="6" t="str">
        <f t="shared" si="1"/>
        <v>22-12-2025</v>
      </c>
      <c r="R595" s="6" t="str">
        <f>IFERROR( VLOOKUP(C28374,[1]expressOrderReport!$S:$AZ,34,0),0)</f>
        <v>#ERROR!</v>
      </c>
      <c r="S595" s="6" t="str">
        <f>ARRAY_CONSTRAIN(ARRAYFORMULA(_xludf.XLOOKUP(D28374,[1]order_Report_SA_ID_BB2.0!V:V,[1]order_Report_SA_ID_BB2.0!AM:AM,"")), 1, 1)</f>
        <v>#ERROR!</v>
      </c>
      <c r="T595" s="6" t="str">
        <f t="shared" si="2"/>
        <v>Dec'25</v>
      </c>
    </row>
    <row r="596" ht="15.75" customHeight="1">
      <c r="A596" s="5">
        <v>46013.0</v>
      </c>
      <c r="B596" s="6">
        <v>1509.0</v>
      </c>
      <c r="C596" s="6">
        <v>1.859167629E9</v>
      </c>
      <c r="D596" s="6">
        <v>4.0896899E7</v>
      </c>
      <c r="E596" s="6" t="s">
        <v>956</v>
      </c>
      <c r="F596" s="6" t="s">
        <v>957</v>
      </c>
      <c r="G596" s="6">
        <v>9.930763378E9</v>
      </c>
      <c r="H596" s="6">
        <v>4.0090893E7</v>
      </c>
      <c r="I596" s="6" t="s">
        <v>35</v>
      </c>
      <c r="J596" s="6" t="s">
        <v>21</v>
      </c>
      <c r="K596" s="6" t="s">
        <v>22</v>
      </c>
      <c r="L596" s="6">
        <v>66.0</v>
      </c>
      <c r="M596" s="5">
        <v>46013.0</v>
      </c>
      <c r="N596" s="6" t="s">
        <v>23</v>
      </c>
      <c r="O596" s="6" t="str">
        <f>SUMIFS([1]order_sku_sales_bb2_report!P:P,[1]order_sku_sales_bb2_report!H:H,C28375,[1]order_sku_sales_bb2_report!J:J,H28375)</f>
        <v>#ERROR!</v>
      </c>
      <c r="P596" s="6" t="str">
        <f>SUMIFS([1]order_sku_sales_bb2_report!O:O,[1]order_sku_sales_bb2_report!H:H,C28375,[1]order_sku_sales_bb2_report!J:J,H28375)</f>
        <v>#ERROR!</v>
      </c>
      <c r="Q596" s="6" t="str">
        <f t="shared" si="1"/>
        <v>22-12-2025</v>
      </c>
      <c r="R596" s="6" t="str">
        <f>IFERROR( VLOOKUP(C28375,[1]expressOrderReport!$S:$AZ,34,0),0)</f>
        <v>#ERROR!</v>
      </c>
      <c r="S596" s="6" t="str">
        <f>ARRAY_CONSTRAIN(ARRAYFORMULA(_xludf.XLOOKUP(D28375,[1]order_Report_SA_ID_BB2.0!V:V,[1]order_Report_SA_ID_BB2.0!AM:AM,"")), 1, 1)</f>
        <v>#ERROR!</v>
      </c>
      <c r="T596" s="6" t="str">
        <f t="shared" si="2"/>
        <v>Dec'25</v>
      </c>
    </row>
    <row r="597" ht="15.75" customHeight="1">
      <c r="A597" s="5">
        <v>46013.0</v>
      </c>
      <c r="B597" s="6">
        <v>1542.0</v>
      </c>
      <c r="C597" s="6">
        <v>1.859167637E9</v>
      </c>
      <c r="D597" s="6">
        <v>4.7871138E7</v>
      </c>
      <c r="E597" s="6" t="s">
        <v>958</v>
      </c>
      <c r="F597" s="6" t="s">
        <v>959</v>
      </c>
      <c r="G597" s="6">
        <v>9.845276019E9</v>
      </c>
      <c r="H597" s="6">
        <v>4.0149833E7</v>
      </c>
      <c r="I597" s="6" t="s">
        <v>40</v>
      </c>
      <c r="J597" s="6" t="s">
        <v>21</v>
      </c>
      <c r="K597" s="6" t="s">
        <v>22</v>
      </c>
      <c r="L597" s="6">
        <v>54.0</v>
      </c>
      <c r="M597" s="5">
        <v>46013.0</v>
      </c>
      <c r="N597" s="6" t="s">
        <v>23</v>
      </c>
      <c r="O597" s="6" t="str">
        <f>SUMIFS([1]order_sku_sales_bb2_report!P:P,[1]order_sku_sales_bb2_report!H:H,C28377,[1]order_sku_sales_bb2_report!J:J,H28377)</f>
        <v>#ERROR!</v>
      </c>
      <c r="P597" s="6" t="str">
        <f>SUMIFS([1]order_sku_sales_bb2_report!O:O,[1]order_sku_sales_bb2_report!H:H,C28377,[1]order_sku_sales_bb2_report!J:J,H28377)</f>
        <v>#ERROR!</v>
      </c>
      <c r="Q597" s="6" t="str">
        <f t="shared" si="1"/>
        <v>22-12-2025</v>
      </c>
      <c r="R597" s="6" t="str">
        <f>IFERROR( VLOOKUP(C28377,[1]expressOrderReport!$S:$AZ,34,0),0)</f>
        <v>#ERROR!</v>
      </c>
      <c r="S597" s="6" t="str">
        <f>ARRAY_CONSTRAIN(ARRAYFORMULA(_xludf.XLOOKUP(D28377,[1]order_Report_SA_ID_BB2.0!V:V,[1]order_Report_SA_ID_BB2.0!AM:AM,"")), 1, 1)</f>
        <v>#ERROR!</v>
      </c>
      <c r="T597" s="6" t="str">
        <f t="shared" si="2"/>
        <v>Dec'25</v>
      </c>
    </row>
    <row r="598" ht="15.75" customHeight="1">
      <c r="A598" s="5">
        <v>46013.0</v>
      </c>
      <c r="B598" s="6">
        <v>1546.0</v>
      </c>
      <c r="C598" s="6">
        <v>1.859167646E9</v>
      </c>
      <c r="D598" s="6">
        <v>1.3442333E7</v>
      </c>
      <c r="E598" s="6" t="s">
        <v>960</v>
      </c>
      <c r="F598" s="6" t="s">
        <v>961</v>
      </c>
      <c r="G598" s="6">
        <v>9.99903869E9</v>
      </c>
      <c r="H598" s="6">
        <v>264679.0</v>
      </c>
      <c r="I598" s="6" t="s">
        <v>962</v>
      </c>
      <c r="J598" s="6" t="s">
        <v>21</v>
      </c>
      <c r="K598" s="6" t="s">
        <v>22</v>
      </c>
      <c r="L598" s="6">
        <v>162.0</v>
      </c>
      <c r="M598" s="5">
        <v>46013.0</v>
      </c>
      <c r="N598" s="6" t="s">
        <v>23</v>
      </c>
      <c r="O598" s="6" t="str">
        <f>SUMIFS([1]order_sku_sales_bb2_report!P:P,[1]order_sku_sales_bb2_report!H:H,C28378,[1]order_sku_sales_bb2_report!J:J,H28378)</f>
        <v>#ERROR!</v>
      </c>
      <c r="P598" s="6" t="str">
        <f>SUMIFS([1]order_sku_sales_bb2_report!O:O,[1]order_sku_sales_bb2_report!H:H,C28378,[1]order_sku_sales_bb2_report!J:J,H28378)</f>
        <v>#ERROR!</v>
      </c>
      <c r="Q598" s="6" t="str">
        <f t="shared" si="1"/>
        <v>22-12-2025</v>
      </c>
      <c r="R598" s="6" t="str">
        <f>IFERROR( VLOOKUP(C28378,[1]expressOrderReport!$S:$AZ,34,0),0)</f>
        <v>#ERROR!</v>
      </c>
      <c r="S598" s="6" t="str">
        <f>ARRAY_CONSTRAIN(ARRAYFORMULA(_xludf.XLOOKUP(D28378,[1]order_Report_SA_ID_BB2.0!V:V,[1]order_Report_SA_ID_BB2.0!AM:AM,"")), 1, 1)</f>
        <v>#ERROR!</v>
      </c>
      <c r="T598" s="6" t="str">
        <f t="shared" si="2"/>
        <v>Dec'25</v>
      </c>
    </row>
    <row r="599" ht="15.75" customHeight="1">
      <c r="A599" s="5">
        <v>46013.0</v>
      </c>
      <c r="B599" s="6">
        <v>1558.0</v>
      </c>
      <c r="C599" s="6">
        <v>1.859167646E9</v>
      </c>
      <c r="D599" s="6">
        <v>1.3442333E7</v>
      </c>
      <c r="E599" s="6" t="s">
        <v>960</v>
      </c>
      <c r="F599" s="6" t="s">
        <v>961</v>
      </c>
      <c r="G599" s="6">
        <v>9.99903869E9</v>
      </c>
      <c r="H599" s="6">
        <v>4.0149832E7</v>
      </c>
      <c r="I599" s="6" t="s">
        <v>26</v>
      </c>
      <c r="J599" s="6" t="s">
        <v>21</v>
      </c>
      <c r="K599" s="6" t="s">
        <v>22</v>
      </c>
      <c r="L599" s="6">
        <v>162.0</v>
      </c>
      <c r="M599" s="5">
        <v>46013.0</v>
      </c>
      <c r="N599" s="6" t="s">
        <v>23</v>
      </c>
      <c r="O599" s="6" t="str">
        <f>SUMIFS([1]order_sku_sales_bb2_report!P:P,[1]order_sku_sales_bb2_report!H:H,C28379,[1]order_sku_sales_bb2_report!J:J,H28379)</f>
        <v>#ERROR!</v>
      </c>
      <c r="P599" s="6" t="str">
        <f>SUMIFS([1]order_sku_sales_bb2_report!O:O,[1]order_sku_sales_bb2_report!H:H,C28379,[1]order_sku_sales_bb2_report!J:J,H28379)</f>
        <v>#ERROR!</v>
      </c>
      <c r="Q599" s="6" t="str">
        <f t="shared" si="1"/>
        <v>22-12-2025</v>
      </c>
      <c r="R599" s="6" t="str">
        <f>IFERROR( VLOOKUP(C28379,[1]expressOrderReport!$S:$AZ,34,0),0)</f>
        <v>#ERROR!</v>
      </c>
      <c r="S599" s="6" t="str">
        <f>ARRAY_CONSTRAIN(ARRAYFORMULA(_xludf.XLOOKUP(D28379,[1]order_Report_SA_ID_BB2.0!V:V,[1]order_Report_SA_ID_BB2.0!AM:AM,"")), 1, 1)</f>
        <v>#ERROR!</v>
      </c>
      <c r="T599" s="6" t="str">
        <f t="shared" si="2"/>
        <v>Dec'25</v>
      </c>
    </row>
    <row r="600" ht="15.75" customHeight="1">
      <c r="A600" s="5">
        <v>46013.0</v>
      </c>
      <c r="B600" s="6">
        <v>2409.0</v>
      </c>
      <c r="C600" s="6">
        <v>1.859167652E9</v>
      </c>
      <c r="D600" s="6">
        <v>2.2205662E7</v>
      </c>
      <c r="E600" s="6" t="s">
        <v>963</v>
      </c>
      <c r="F600" s="6" t="s">
        <v>964</v>
      </c>
      <c r="G600" s="6">
        <v>7.736636224E9</v>
      </c>
      <c r="H600" s="6">
        <v>4.0023474E7</v>
      </c>
      <c r="I600" s="6" t="s">
        <v>965</v>
      </c>
      <c r="J600" s="6" t="s">
        <v>21</v>
      </c>
      <c r="K600" s="6" t="s">
        <v>22</v>
      </c>
      <c r="L600" s="6">
        <v>54.39</v>
      </c>
      <c r="M600" s="5">
        <v>46013.0</v>
      </c>
      <c r="N600" s="6" t="s">
        <v>23</v>
      </c>
      <c r="O600" s="6" t="str">
        <f>SUMIFS([1]order_sku_sales_bb2_report!P:P,[1]order_sku_sales_bb2_report!H:H,C28380,[1]order_sku_sales_bb2_report!J:J,H28380)</f>
        <v>#ERROR!</v>
      </c>
      <c r="P600" s="6" t="str">
        <f>SUMIFS([1]order_sku_sales_bb2_report!O:O,[1]order_sku_sales_bb2_report!H:H,C28380,[1]order_sku_sales_bb2_report!J:J,H28380)</f>
        <v>#ERROR!</v>
      </c>
      <c r="Q600" s="6" t="str">
        <f t="shared" si="1"/>
        <v>22-12-2025</v>
      </c>
      <c r="R600" s="6" t="str">
        <f>IFERROR( VLOOKUP(C28380,[1]expressOrderReport!$S:$AZ,34,0),0)</f>
        <v>#ERROR!</v>
      </c>
      <c r="S600" s="6" t="str">
        <f>ARRAY_CONSTRAIN(ARRAYFORMULA(_xludf.XLOOKUP(D28380,[1]order_Report_SA_ID_BB2.0!V:V,[1]order_Report_SA_ID_BB2.0!AM:AM,"")), 1, 1)</f>
        <v>#ERROR!</v>
      </c>
      <c r="T600" s="6" t="str">
        <f t="shared" si="2"/>
        <v>Dec'25</v>
      </c>
    </row>
    <row r="601" ht="15.75" customHeight="1">
      <c r="A601" s="5">
        <v>46013.0</v>
      </c>
      <c r="B601" s="6">
        <v>1600.0</v>
      </c>
      <c r="C601" s="6">
        <v>1.859167656E9</v>
      </c>
      <c r="D601" s="6">
        <v>5308986.0</v>
      </c>
      <c r="E601" s="6" t="s">
        <v>966</v>
      </c>
      <c r="F601" s="6" t="s">
        <v>967</v>
      </c>
      <c r="G601" s="6">
        <v>7.760508185E9</v>
      </c>
      <c r="H601" s="6">
        <v>4.0149833E7</v>
      </c>
      <c r="I601" s="6" t="s">
        <v>40</v>
      </c>
      <c r="J601" s="6" t="s">
        <v>21</v>
      </c>
      <c r="K601" s="6" t="s">
        <v>22</v>
      </c>
      <c r="L601" s="6">
        <v>27.0</v>
      </c>
      <c r="M601" s="5">
        <v>46013.0</v>
      </c>
      <c r="N601" s="6" t="s">
        <v>23</v>
      </c>
      <c r="O601" s="6" t="str">
        <f>SUMIFS([1]order_sku_sales_bb2_report!P:P,[1]order_sku_sales_bb2_report!H:H,C28381,[1]order_sku_sales_bb2_report!J:J,H28381)</f>
        <v>#ERROR!</v>
      </c>
      <c r="P601" s="6" t="str">
        <f>SUMIFS([1]order_sku_sales_bb2_report!O:O,[1]order_sku_sales_bb2_report!H:H,C28381,[1]order_sku_sales_bb2_report!J:J,H28381)</f>
        <v>#ERROR!</v>
      </c>
      <c r="Q601" s="6" t="str">
        <f t="shared" si="1"/>
        <v>22-12-2025</v>
      </c>
      <c r="R601" s="6" t="str">
        <f>IFERROR( VLOOKUP(C28381,[1]expressOrderReport!$S:$AZ,34,0),0)</f>
        <v>#ERROR!</v>
      </c>
      <c r="S601" s="6" t="str">
        <f>ARRAY_CONSTRAIN(ARRAYFORMULA(_xludf.XLOOKUP(D28381,[1]order_Report_SA_ID_BB2.0!V:V,[1]order_Report_SA_ID_BB2.0!AM:AM,"")), 1, 1)</f>
        <v>#ERROR!</v>
      </c>
      <c r="T601" s="6" t="str">
        <f t="shared" si="2"/>
        <v>Dec'25</v>
      </c>
    </row>
    <row r="602" ht="15.75" customHeight="1">
      <c r="A602" s="5">
        <v>46013.0</v>
      </c>
      <c r="B602" s="6">
        <v>1601.0</v>
      </c>
      <c r="C602" s="6">
        <v>1.859167661E9</v>
      </c>
      <c r="D602" s="6">
        <v>1792831.0</v>
      </c>
      <c r="E602" s="6" t="s">
        <v>968</v>
      </c>
      <c r="F602" s="6" t="s">
        <v>969</v>
      </c>
      <c r="G602" s="6">
        <v>9.008417339E9</v>
      </c>
      <c r="H602" s="6">
        <v>4.0149832E7</v>
      </c>
      <c r="I602" s="6" t="s">
        <v>26</v>
      </c>
      <c r="J602" s="6" t="s">
        <v>21</v>
      </c>
      <c r="K602" s="6" t="s">
        <v>22</v>
      </c>
      <c r="L602" s="6">
        <v>48.0</v>
      </c>
      <c r="M602" s="5">
        <v>46013.0</v>
      </c>
      <c r="N602" s="6" t="s">
        <v>23</v>
      </c>
      <c r="O602" s="6" t="str">
        <f>SUMIFS([1]order_sku_sales_bb2_report!P:P,[1]order_sku_sales_bb2_report!H:H,C28382,[1]order_sku_sales_bb2_report!J:J,H28382)</f>
        <v>#ERROR!</v>
      </c>
      <c r="P602" s="6" t="str">
        <f>SUMIFS([1]order_sku_sales_bb2_report!O:O,[1]order_sku_sales_bb2_report!H:H,C28382,[1]order_sku_sales_bb2_report!J:J,H28382)</f>
        <v>#ERROR!</v>
      </c>
      <c r="Q602" s="6" t="str">
        <f t="shared" si="1"/>
        <v>22-12-2025</v>
      </c>
      <c r="R602" s="6" t="str">
        <f>IFERROR( VLOOKUP(C28382,[1]expressOrderReport!$S:$AZ,34,0),0)</f>
        <v>#ERROR!</v>
      </c>
      <c r="S602" s="6" t="str">
        <f>ARRAY_CONSTRAIN(ARRAYFORMULA(_xludf.XLOOKUP(D28382,[1]order_Report_SA_ID_BB2.0!V:V,[1]order_Report_SA_ID_BB2.0!AM:AM,"")), 1, 1)</f>
        <v>#ERROR!</v>
      </c>
      <c r="T602" s="6" t="str">
        <f t="shared" si="2"/>
        <v>Dec'25</v>
      </c>
    </row>
    <row r="603" ht="15.75" customHeight="1">
      <c r="A603" s="5">
        <v>46013.0</v>
      </c>
      <c r="B603" s="6">
        <v>1605.0</v>
      </c>
      <c r="C603" s="6">
        <v>1.859167664E9</v>
      </c>
      <c r="D603" s="6">
        <v>35883.0</v>
      </c>
      <c r="E603" s="6" t="s">
        <v>970</v>
      </c>
      <c r="F603" s="6" t="s">
        <v>971</v>
      </c>
      <c r="G603" s="6">
        <v>9.90005563E9</v>
      </c>
      <c r="H603" s="6">
        <v>4.0047739E7</v>
      </c>
      <c r="I603" s="6" t="s">
        <v>180</v>
      </c>
      <c r="J603" s="6" t="s">
        <v>21</v>
      </c>
      <c r="K603" s="6" t="s">
        <v>22</v>
      </c>
      <c r="L603" s="6">
        <v>68.0</v>
      </c>
      <c r="M603" s="5">
        <v>46013.0</v>
      </c>
      <c r="N603" s="6" t="s">
        <v>23</v>
      </c>
      <c r="O603" s="6" t="str">
        <f>SUMIFS([1]order_sku_sales_bb2_report!P:P,[1]order_sku_sales_bb2_report!H:H,C28383,[1]order_sku_sales_bb2_report!J:J,H28383)</f>
        <v>#ERROR!</v>
      </c>
      <c r="P603" s="6" t="str">
        <f>SUMIFS([1]order_sku_sales_bb2_report!O:O,[1]order_sku_sales_bb2_report!H:H,C28383,[1]order_sku_sales_bb2_report!J:J,H28383)</f>
        <v>#ERROR!</v>
      </c>
      <c r="Q603" s="6" t="str">
        <f t="shared" si="1"/>
        <v>22-12-2025</v>
      </c>
      <c r="R603" s="6" t="str">
        <f>IFERROR( VLOOKUP(C28383,[1]expressOrderReport!$S:$AZ,34,0),0)</f>
        <v>#ERROR!</v>
      </c>
      <c r="S603" s="6" t="str">
        <f>ARRAY_CONSTRAIN(ARRAYFORMULA(_xludf.XLOOKUP(D28383,[1]order_Report_SA_ID_BB2.0!V:V,[1]order_Report_SA_ID_BB2.0!AM:AM,"")), 1, 1)</f>
        <v>#ERROR!</v>
      </c>
      <c r="T603" s="6" t="str">
        <f t="shared" si="2"/>
        <v>Dec'25</v>
      </c>
    </row>
    <row r="604" ht="15.75" customHeight="1">
      <c r="A604" s="5">
        <v>46013.0</v>
      </c>
      <c r="B604" s="6">
        <v>1612.0</v>
      </c>
      <c r="C604" s="6">
        <v>1.859167669E9</v>
      </c>
      <c r="D604" s="6">
        <v>3.3696498E7</v>
      </c>
      <c r="E604" s="6" t="s">
        <v>972</v>
      </c>
      <c r="F604" s="6" t="s">
        <v>973</v>
      </c>
      <c r="G604" s="6">
        <v>8.095811222E9</v>
      </c>
      <c r="H604" s="6">
        <v>4.0161616E7</v>
      </c>
      <c r="I604" s="6" t="s">
        <v>20</v>
      </c>
      <c r="J604" s="6" t="s">
        <v>21</v>
      </c>
      <c r="K604" s="6" t="s">
        <v>22</v>
      </c>
      <c r="L604" s="6">
        <v>28.0</v>
      </c>
      <c r="M604" s="5">
        <v>46013.0</v>
      </c>
      <c r="N604" s="6" t="s">
        <v>23</v>
      </c>
      <c r="O604" s="6" t="str">
        <f>SUMIFS([1]order_sku_sales_bb2_report!P:P,[1]order_sku_sales_bb2_report!H:H,C28384,[1]order_sku_sales_bb2_report!J:J,H28384)</f>
        <v>#ERROR!</v>
      </c>
      <c r="P604" s="6" t="str">
        <f>SUMIFS([1]order_sku_sales_bb2_report!O:O,[1]order_sku_sales_bb2_report!H:H,C28384,[1]order_sku_sales_bb2_report!J:J,H28384)</f>
        <v>#ERROR!</v>
      </c>
      <c r="Q604" s="6" t="str">
        <f t="shared" si="1"/>
        <v>22-12-2025</v>
      </c>
      <c r="R604" s="6" t="str">
        <f>IFERROR( VLOOKUP(C28384,[1]expressOrderReport!$S:$AZ,34,0),0)</f>
        <v>#ERROR!</v>
      </c>
      <c r="S604" s="6" t="str">
        <f>ARRAY_CONSTRAIN(ARRAYFORMULA(_xludf.XLOOKUP(D28384,[1]order_Report_SA_ID_BB2.0!V:V,[1]order_Report_SA_ID_BB2.0!AM:AM,"")), 1, 1)</f>
        <v>#ERROR!</v>
      </c>
      <c r="T604" s="6" t="str">
        <f t="shared" si="2"/>
        <v>Dec'25</v>
      </c>
    </row>
    <row r="605" ht="15.75" customHeight="1">
      <c r="A605" s="5">
        <v>46013.0</v>
      </c>
      <c r="B605" s="6">
        <v>1639.0</v>
      </c>
      <c r="C605" s="6">
        <v>1.859167676E9</v>
      </c>
      <c r="D605" s="6">
        <v>5.8040725E7</v>
      </c>
      <c r="E605" s="6" t="s">
        <v>974</v>
      </c>
      <c r="F605" s="6" t="s">
        <v>975</v>
      </c>
      <c r="G605" s="6">
        <v>9.53504885E9</v>
      </c>
      <c r="H605" s="6">
        <v>4.0149833E7</v>
      </c>
      <c r="I605" s="6" t="s">
        <v>40</v>
      </c>
      <c r="J605" s="6" t="s">
        <v>21</v>
      </c>
      <c r="K605" s="6" t="s">
        <v>22</v>
      </c>
      <c r="L605" s="6">
        <v>27.0</v>
      </c>
      <c r="M605" s="5">
        <v>46013.0</v>
      </c>
      <c r="N605" s="6" t="s">
        <v>23</v>
      </c>
      <c r="O605" s="6" t="str">
        <f>SUMIFS([1]order_sku_sales_bb2_report!P:P,[1]order_sku_sales_bb2_report!H:H,C28385,[1]order_sku_sales_bb2_report!J:J,H28385)</f>
        <v>#ERROR!</v>
      </c>
      <c r="P605" s="6" t="str">
        <f>SUMIFS([1]order_sku_sales_bb2_report!O:O,[1]order_sku_sales_bb2_report!H:H,C28385,[1]order_sku_sales_bb2_report!J:J,H28385)</f>
        <v>#ERROR!</v>
      </c>
      <c r="Q605" s="6" t="str">
        <f t="shared" si="1"/>
        <v>22-12-2025</v>
      </c>
      <c r="R605" s="6" t="str">
        <f>IFERROR( VLOOKUP(C28385,[1]expressOrderReport!$S:$AZ,34,0),0)</f>
        <v>#ERROR!</v>
      </c>
      <c r="S605" s="6" t="str">
        <f>ARRAY_CONSTRAIN(ARRAYFORMULA(_xludf.XLOOKUP(D28385,[1]order_Report_SA_ID_BB2.0!V:V,[1]order_Report_SA_ID_BB2.0!AM:AM,"")), 1, 1)</f>
        <v>#ERROR!</v>
      </c>
      <c r="T605" s="6" t="str">
        <f t="shared" si="2"/>
        <v>Dec'25</v>
      </c>
    </row>
    <row r="606" ht="15.75" customHeight="1">
      <c r="A606" s="5">
        <v>46013.0</v>
      </c>
      <c r="B606" s="6">
        <v>5868.0</v>
      </c>
      <c r="C606" s="6">
        <v>1.859167681E9</v>
      </c>
      <c r="D606" s="6">
        <v>11871.0</v>
      </c>
      <c r="E606" s="6" t="s">
        <v>976</v>
      </c>
      <c r="F606" s="6" t="s">
        <v>977</v>
      </c>
      <c r="G606" s="6">
        <v>8.971154343E9</v>
      </c>
      <c r="H606" s="6">
        <v>4.0148723E7</v>
      </c>
      <c r="I606" s="6" t="s">
        <v>69</v>
      </c>
      <c r="J606" s="6" t="s">
        <v>21</v>
      </c>
      <c r="K606" s="6" t="s">
        <v>22</v>
      </c>
      <c r="L606" s="6">
        <v>84.0</v>
      </c>
      <c r="M606" s="5">
        <v>46013.0</v>
      </c>
      <c r="N606" s="6" t="s">
        <v>23</v>
      </c>
      <c r="O606" s="6" t="str">
        <f>SUMIFS([1]order_sku_sales_bb2_report!P:P,[1]order_sku_sales_bb2_report!H:H,C28386,[1]order_sku_sales_bb2_report!J:J,H28386)</f>
        <v>#ERROR!</v>
      </c>
      <c r="P606" s="6" t="str">
        <f>SUMIFS([1]order_sku_sales_bb2_report!O:O,[1]order_sku_sales_bb2_report!H:H,C28386,[1]order_sku_sales_bb2_report!J:J,H28386)</f>
        <v>#ERROR!</v>
      </c>
      <c r="Q606" s="6" t="str">
        <f t="shared" si="1"/>
        <v>22-12-2025</v>
      </c>
      <c r="R606" s="6" t="str">
        <f>IFERROR( VLOOKUP(C28386,[1]expressOrderReport!$S:$AZ,34,0),0)</f>
        <v>#ERROR!</v>
      </c>
      <c r="S606" s="6" t="str">
        <f>ARRAY_CONSTRAIN(ARRAYFORMULA(_xludf.XLOOKUP(D28386,[1]order_Report_SA_ID_BB2.0!V:V,[1]order_Report_SA_ID_BB2.0!AM:AM,"")), 1, 1)</f>
        <v>#ERROR!</v>
      </c>
      <c r="T606" s="6" t="str">
        <f t="shared" si="2"/>
        <v>Dec'25</v>
      </c>
    </row>
    <row r="607" ht="15.75" customHeight="1">
      <c r="A607" s="5">
        <v>46013.0</v>
      </c>
      <c r="B607" s="6">
        <v>10640.0</v>
      </c>
      <c r="C607" s="6">
        <v>1.859167689E9</v>
      </c>
      <c r="D607" s="6">
        <v>412510.0</v>
      </c>
      <c r="E607" s="6" t="s">
        <v>978</v>
      </c>
      <c r="F607" s="6" t="s">
        <v>979</v>
      </c>
      <c r="G607" s="6">
        <v>9.44922456E9</v>
      </c>
      <c r="H607" s="6">
        <v>4.0147597E7</v>
      </c>
      <c r="I607" s="6" t="s">
        <v>59</v>
      </c>
      <c r="J607" s="6" t="s">
        <v>21</v>
      </c>
      <c r="K607" s="6" t="s">
        <v>22</v>
      </c>
      <c r="L607" s="6">
        <v>52.0</v>
      </c>
      <c r="M607" s="5">
        <v>46013.0</v>
      </c>
      <c r="N607" s="6" t="s">
        <v>23</v>
      </c>
      <c r="O607" s="6" t="str">
        <f>SUMIFS([1]order_sku_sales_bb2_report!P:P,[1]order_sku_sales_bb2_report!H:H,C28387,[1]order_sku_sales_bb2_report!J:J,H28387)</f>
        <v>#ERROR!</v>
      </c>
      <c r="P607" s="6" t="str">
        <f>SUMIFS([1]order_sku_sales_bb2_report!O:O,[1]order_sku_sales_bb2_report!H:H,C28387,[1]order_sku_sales_bb2_report!J:J,H28387)</f>
        <v>#ERROR!</v>
      </c>
      <c r="Q607" s="6" t="str">
        <f t="shared" si="1"/>
        <v>22-12-2025</v>
      </c>
      <c r="R607" s="6" t="str">
        <f>IFERROR( VLOOKUP(C28387,[1]expressOrderReport!$S:$AZ,34,0),0)</f>
        <v>#ERROR!</v>
      </c>
      <c r="S607" s="6" t="str">
        <f>ARRAY_CONSTRAIN(ARRAYFORMULA(_xludf.XLOOKUP(D28387,[1]order_Report_SA_ID_BB2.0!V:V,[1]order_Report_SA_ID_BB2.0!AM:AM,"")), 1, 1)</f>
        <v>#ERROR!</v>
      </c>
      <c r="T607" s="6" t="str">
        <f t="shared" si="2"/>
        <v>Dec'25</v>
      </c>
    </row>
    <row r="608" ht="15.75" customHeight="1">
      <c r="A608" s="5">
        <v>46013.0</v>
      </c>
      <c r="B608" s="6">
        <v>1411.0</v>
      </c>
      <c r="C608" s="6">
        <v>1.859167694E9</v>
      </c>
      <c r="D608" s="6">
        <v>4938089.0</v>
      </c>
      <c r="E608" s="6" t="s">
        <v>980</v>
      </c>
      <c r="F608" s="6" t="s">
        <v>981</v>
      </c>
      <c r="G608" s="6">
        <v>9.892386883E9</v>
      </c>
      <c r="H608" s="6">
        <v>4.0158264E7</v>
      </c>
      <c r="I608" s="6" t="s">
        <v>26</v>
      </c>
      <c r="J608" s="6" t="s">
        <v>21</v>
      </c>
      <c r="K608" s="6" t="s">
        <v>22</v>
      </c>
      <c r="L608" s="6">
        <v>46.0</v>
      </c>
      <c r="M608" s="5">
        <v>46013.0</v>
      </c>
      <c r="N608" s="6" t="s">
        <v>23</v>
      </c>
      <c r="O608" s="6" t="str">
        <f>SUMIFS([1]order_sku_sales_bb2_report!P:P,[1]order_sku_sales_bb2_report!H:H,C28388,[1]order_sku_sales_bb2_report!J:J,H28388)</f>
        <v>#ERROR!</v>
      </c>
      <c r="P608" s="6" t="str">
        <f>SUMIFS([1]order_sku_sales_bb2_report!O:O,[1]order_sku_sales_bb2_report!H:H,C28388,[1]order_sku_sales_bb2_report!J:J,H28388)</f>
        <v>#ERROR!</v>
      </c>
      <c r="Q608" s="6" t="str">
        <f t="shared" si="1"/>
        <v>22-12-2025</v>
      </c>
      <c r="R608" s="6" t="str">
        <f>IFERROR( VLOOKUP(C28388,[1]expressOrderReport!$S:$AZ,34,0),0)</f>
        <v>#ERROR!</v>
      </c>
      <c r="S608" s="6" t="str">
        <f>ARRAY_CONSTRAIN(ARRAYFORMULA(_xludf.XLOOKUP(D28388,[1]order_Report_SA_ID_BB2.0!V:V,[1]order_Report_SA_ID_BB2.0!AM:AM,"")), 1, 1)</f>
        <v>#ERROR!</v>
      </c>
      <c r="T608" s="6" t="str">
        <f t="shared" si="2"/>
        <v>Dec'25</v>
      </c>
    </row>
    <row r="609" ht="15.75" customHeight="1">
      <c r="A609" s="5">
        <v>46013.0</v>
      </c>
      <c r="B609" s="6">
        <v>1364.0</v>
      </c>
      <c r="C609" s="6">
        <v>1.859167699E9</v>
      </c>
      <c r="D609" s="6">
        <v>2.0134514E7</v>
      </c>
      <c r="E609" s="6" t="s">
        <v>982</v>
      </c>
      <c r="F609" s="6" t="s">
        <v>983</v>
      </c>
      <c r="G609" s="6">
        <v>9.90249016E9</v>
      </c>
      <c r="H609" s="6">
        <v>4.0149833E7</v>
      </c>
      <c r="I609" s="6" t="s">
        <v>40</v>
      </c>
      <c r="J609" s="6" t="s">
        <v>21</v>
      </c>
      <c r="K609" s="6" t="s">
        <v>22</v>
      </c>
      <c r="L609" s="6">
        <v>27.0</v>
      </c>
      <c r="M609" s="5">
        <v>46013.0</v>
      </c>
      <c r="N609" s="6" t="s">
        <v>23</v>
      </c>
      <c r="O609" s="6" t="str">
        <f>SUMIFS([1]order_sku_sales_bb2_report!P:P,[1]order_sku_sales_bb2_report!H:H,C28389,[1]order_sku_sales_bb2_report!J:J,H28389)</f>
        <v>#ERROR!</v>
      </c>
      <c r="P609" s="6" t="str">
        <f>SUMIFS([1]order_sku_sales_bb2_report!O:O,[1]order_sku_sales_bb2_report!H:H,C28389,[1]order_sku_sales_bb2_report!J:J,H28389)</f>
        <v>#ERROR!</v>
      </c>
      <c r="Q609" s="6" t="str">
        <f t="shared" si="1"/>
        <v>22-12-2025</v>
      </c>
      <c r="R609" s="6" t="str">
        <f>IFERROR( VLOOKUP(C28389,[1]expressOrderReport!$S:$AZ,34,0),0)</f>
        <v>#ERROR!</v>
      </c>
      <c r="S609" s="6" t="str">
        <f>ARRAY_CONSTRAIN(ARRAYFORMULA(_xludf.XLOOKUP(D28389,[1]order_Report_SA_ID_BB2.0!V:V,[1]order_Report_SA_ID_BB2.0!AM:AM,"")), 1, 1)</f>
        <v>#ERROR!</v>
      </c>
      <c r="T609" s="6" t="str">
        <f t="shared" si="2"/>
        <v>Dec'25</v>
      </c>
    </row>
    <row r="610" ht="15.75" customHeight="1">
      <c r="A610" s="5">
        <v>46013.0</v>
      </c>
      <c r="B610" s="6">
        <v>1808.0</v>
      </c>
      <c r="C610" s="6">
        <v>1.859165065E9</v>
      </c>
      <c r="D610" s="6">
        <v>1.5559241E7</v>
      </c>
      <c r="E610" s="6" t="s">
        <v>984</v>
      </c>
      <c r="F610" s="6" t="s">
        <v>985</v>
      </c>
      <c r="G610" s="6">
        <v>8.826794549E9</v>
      </c>
      <c r="H610" s="6">
        <v>4.0017394E7</v>
      </c>
      <c r="I610" s="6" t="s">
        <v>30</v>
      </c>
      <c r="J610" s="6" t="s">
        <v>21</v>
      </c>
      <c r="K610" s="6" t="s">
        <v>22</v>
      </c>
      <c r="L610" s="6">
        <v>66.0</v>
      </c>
      <c r="M610" s="5">
        <v>46013.0</v>
      </c>
      <c r="N610" s="6" t="s">
        <v>23</v>
      </c>
      <c r="O610" s="6" t="str">
        <f>SUMIFS([1]order_sku_sales_bb2_report!P:P,[1]order_sku_sales_bb2_report!H:H,C28390,[1]order_sku_sales_bb2_report!J:J,H28390)</f>
        <v>#ERROR!</v>
      </c>
      <c r="P610" s="6" t="str">
        <f>SUMIFS([1]order_sku_sales_bb2_report!O:O,[1]order_sku_sales_bb2_report!H:H,C28390,[1]order_sku_sales_bb2_report!J:J,H28390)</f>
        <v>#ERROR!</v>
      </c>
      <c r="Q610" s="6" t="str">
        <f t="shared" si="1"/>
        <v>22-12-2025</v>
      </c>
      <c r="R610" s="6" t="str">
        <f>IFERROR( VLOOKUP(C28390,[1]expressOrderReport!$S:$AZ,34,0),0)</f>
        <v>#ERROR!</v>
      </c>
      <c r="S610" s="6" t="str">
        <f>ARRAY_CONSTRAIN(ARRAYFORMULA(_xludf.XLOOKUP(D28390,[1]order_Report_SA_ID_BB2.0!V:V,[1]order_Report_SA_ID_BB2.0!AM:AM,"")), 1, 1)</f>
        <v>#ERROR!</v>
      </c>
      <c r="T610" s="6" t="str">
        <f t="shared" si="2"/>
        <v>Dec'25</v>
      </c>
    </row>
    <row r="611" ht="15.75" customHeight="1">
      <c r="A611" s="5">
        <v>46013.0</v>
      </c>
      <c r="B611" s="6">
        <v>4567.0</v>
      </c>
      <c r="C611" s="6">
        <v>1.859165075E9</v>
      </c>
      <c r="D611" s="6">
        <v>1.557462E7</v>
      </c>
      <c r="E611" s="6" t="s">
        <v>986</v>
      </c>
      <c r="F611" s="6" t="s">
        <v>987</v>
      </c>
      <c r="G611" s="6">
        <v>9.63288334E9</v>
      </c>
      <c r="H611" s="6">
        <v>4.0158264E7</v>
      </c>
      <c r="I611" s="6" t="s">
        <v>26</v>
      </c>
      <c r="J611" s="6" t="s">
        <v>21</v>
      </c>
      <c r="K611" s="6" t="s">
        <v>22</v>
      </c>
      <c r="L611" s="6">
        <v>70.0</v>
      </c>
      <c r="M611" s="5">
        <v>46013.0</v>
      </c>
      <c r="N611" s="6" t="s">
        <v>23</v>
      </c>
      <c r="O611" s="6" t="str">
        <f>SUMIFS([1]order_sku_sales_bb2_report!P:P,[1]order_sku_sales_bb2_report!H:H,C28391,[1]order_sku_sales_bb2_report!J:J,H28391)</f>
        <v>#ERROR!</v>
      </c>
      <c r="P611" s="6" t="str">
        <f>SUMIFS([1]order_sku_sales_bb2_report!O:O,[1]order_sku_sales_bb2_report!H:H,C28391,[1]order_sku_sales_bb2_report!J:J,H28391)</f>
        <v>#ERROR!</v>
      </c>
      <c r="Q611" s="6" t="str">
        <f t="shared" si="1"/>
        <v>22-12-2025</v>
      </c>
      <c r="R611" s="6" t="str">
        <f>IFERROR( VLOOKUP(C28391,[1]expressOrderReport!$S:$AZ,34,0),0)</f>
        <v>#ERROR!</v>
      </c>
      <c r="S611" s="6" t="str">
        <f>ARRAY_CONSTRAIN(ARRAYFORMULA(_xludf.XLOOKUP(D28391,[1]order_Report_SA_ID_BB2.0!V:V,[1]order_Report_SA_ID_BB2.0!AM:AM,"")), 1, 1)</f>
        <v>#ERROR!</v>
      </c>
      <c r="T611" s="6" t="str">
        <f t="shared" si="2"/>
        <v>Dec'25</v>
      </c>
    </row>
    <row r="612" ht="15.75" customHeight="1">
      <c r="A612" s="5">
        <v>46013.0</v>
      </c>
      <c r="B612" s="6">
        <v>12031.0</v>
      </c>
      <c r="C612" s="6">
        <v>1.859165075E9</v>
      </c>
      <c r="D612" s="6">
        <v>1.557462E7</v>
      </c>
      <c r="E612" s="6" t="s">
        <v>986</v>
      </c>
      <c r="F612" s="6" t="s">
        <v>987</v>
      </c>
      <c r="G612" s="6">
        <v>9.63288334E9</v>
      </c>
      <c r="H612" s="6">
        <v>4.0149832E7</v>
      </c>
      <c r="I612" s="6" t="s">
        <v>26</v>
      </c>
      <c r="J612" s="6" t="s">
        <v>21</v>
      </c>
      <c r="K612" s="6" t="s">
        <v>22</v>
      </c>
      <c r="L612" s="6">
        <v>70.0</v>
      </c>
      <c r="M612" s="5">
        <v>46013.0</v>
      </c>
      <c r="N612" s="6" t="s">
        <v>23</v>
      </c>
      <c r="O612" s="6" t="str">
        <f>SUMIFS([1]order_sku_sales_bb2_report!P:P,[1]order_sku_sales_bb2_report!H:H,C28392,[1]order_sku_sales_bb2_report!J:J,H28392)</f>
        <v>#ERROR!</v>
      </c>
      <c r="P612" s="6" t="str">
        <f>SUMIFS([1]order_sku_sales_bb2_report!O:O,[1]order_sku_sales_bb2_report!H:H,C28392,[1]order_sku_sales_bb2_report!J:J,H28392)</f>
        <v>#ERROR!</v>
      </c>
      <c r="Q612" s="6" t="str">
        <f t="shared" si="1"/>
        <v>22-12-2025</v>
      </c>
      <c r="R612" s="6" t="str">
        <f>IFERROR( VLOOKUP(C28392,[1]expressOrderReport!$S:$AZ,34,0),0)</f>
        <v>#ERROR!</v>
      </c>
      <c r="S612" s="6" t="str">
        <f>ARRAY_CONSTRAIN(ARRAYFORMULA(_xludf.XLOOKUP(D28392,[1]order_Report_SA_ID_BB2.0!V:V,[1]order_Report_SA_ID_BB2.0!AM:AM,"")), 1, 1)</f>
        <v>#ERROR!</v>
      </c>
      <c r="T612" s="6" t="str">
        <f t="shared" si="2"/>
        <v>Dec'25</v>
      </c>
    </row>
    <row r="613" ht="15.75" customHeight="1">
      <c r="A613" s="5">
        <v>46013.0</v>
      </c>
      <c r="B613" s="6">
        <v>1210.0</v>
      </c>
      <c r="C613" s="6">
        <v>1.859165087E9</v>
      </c>
      <c r="D613" s="6">
        <v>505001.0</v>
      </c>
      <c r="E613" s="6" t="s">
        <v>988</v>
      </c>
      <c r="F613" s="6" t="s">
        <v>989</v>
      </c>
      <c r="G613" s="6">
        <v>8.971074405E9</v>
      </c>
      <c r="H613" s="6">
        <v>4.0149833E7</v>
      </c>
      <c r="I613" s="6" t="s">
        <v>40</v>
      </c>
      <c r="J613" s="6" t="s">
        <v>21</v>
      </c>
      <c r="K613" s="6" t="s">
        <v>22</v>
      </c>
      <c r="L613" s="6">
        <v>54.0</v>
      </c>
      <c r="M613" s="5">
        <v>46013.0</v>
      </c>
      <c r="N613" s="6" t="s">
        <v>23</v>
      </c>
      <c r="O613" s="6" t="str">
        <f>SUMIFS([1]order_sku_sales_bb2_report!P:P,[1]order_sku_sales_bb2_report!H:H,C28393,[1]order_sku_sales_bb2_report!J:J,H28393)</f>
        <v>#ERROR!</v>
      </c>
      <c r="P613" s="6" t="str">
        <f>SUMIFS([1]order_sku_sales_bb2_report!O:O,[1]order_sku_sales_bb2_report!H:H,C28393,[1]order_sku_sales_bb2_report!J:J,H28393)</f>
        <v>#ERROR!</v>
      </c>
      <c r="Q613" s="6" t="str">
        <f t="shared" si="1"/>
        <v>22-12-2025</v>
      </c>
      <c r="R613" s="6" t="str">
        <f>IFERROR( VLOOKUP(C28393,[1]expressOrderReport!$S:$AZ,34,0),0)</f>
        <v>#ERROR!</v>
      </c>
      <c r="S613" s="6" t="str">
        <f>ARRAY_CONSTRAIN(ARRAYFORMULA(_xludf.XLOOKUP(D28393,[1]order_Report_SA_ID_BB2.0!V:V,[1]order_Report_SA_ID_BB2.0!AM:AM,"")), 1, 1)</f>
        <v>#ERROR!</v>
      </c>
      <c r="T613" s="6" t="str">
        <f t="shared" si="2"/>
        <v>Dec'25</v>
      </c>
    </row>
    <row r="614" ht="15.75" customHeight="1">
      <c r="A614" s="5">
        <v>46013.0</v>
      </c>
      <c r="B614" s="6">
        <v>5285.0</v>
      </c>
      <c r="C614" s="6">
        <v>1.859165099E9</v>
      </c>
      <c r="D614" s="6">
        <v>4966559.0</v>
      </c>
      <c r="E614" s="6" t="s">
        <v>990</v>
      </c>
      <c r="F614" s="6" t="s">
        <v>991</v>
      </c>
      <c r="G614" s="6">
        <v>8.553845928E9</v>
      </c>
      <c r="H614" s="6">
        <v>4.0148716E7</v>
      </c>
      <c r="I614" s="6" t="s">
        <v>148</v>
      </c>
      <c r="J614" s="6" t="s">
        <v>21</v>
      </c>
      <c r="K614" s="6" t="s">
        <v>22</v>
      </c>
      <c r="L614" s="6">
        <v>129.9</v>
      </c>
      <c r="M614" s="5">
        <v>46013.0</v>
      </c>
      <c r="N614" s="6" t="s">
        <v>23</v>
      </c>
      <c r="O614" s="6" t="str">
        <f>SUMIFS([1]order_sku_sales_bb2_report!P:P,[1]order_sku_sales_bb2_report!H:H,C28394,[1]order_sku_sales_bb2_report!J:J,H28394)</f>
        <v>#ERROR!</v>
      </c>
      <c r="P614" s="6" t="str">
        <f>SUMIFS([1]order_sku_sales_bb2_report!O:O,[1]order_sku_sales_bb2_report!H:H,C28394,[1]order_sku_sales_bb2_report!J:J,H28394)</f>
        <v>#ERROR!</v>
      </c>
      <c r="Q614" s="6" t="str">
        <f t="shared" si="1"/>
        <v>22-12-2025</v>
      </c>
      <c r="R614" s="6" t="str">
        <f>IFERROR( VLOOKUP(C28394,[1]expressOrderReport!$S:$AZ,34,0),0)</f>
        <v>#ERROR!</v>
      </c>
      <c r="S614" s="6" t="str">
        <f>ARRAY_CONSTRAIN(ARRAYFORMULA(_xludf.XLOOKUP(D28394,[1]order_Report_SA_ID_BB2.0!V:V,[1]order_Report_SA_ID_BB2.0!AM:AM,"")), 1, 1)</f>
        <v>#ERROR!</v>
      </c>
      <c r="T614" s="6" t="str">
        <f t="shared" si="2"/>
        <v>Dec'25</v>
      </c>
    </row>
    <row r="615" ht="15.75" customHeight="1">
      <c r="A615" s="5">
        <v>46013.0</v>
      </c>
      <c r="B615" s="6">
        <v>5286.0</v>
      </c>
      <c r="C615" s="6">
        <v>1.859165099E9</v>
      </c>
      <c r="D615" s="6">
        <v>4966559.0</v>
      </c>
      <c r="E615" s="6" t="s">
        <v>990</v>
      </c>
      <c r="F615" s="6" t="s">
        <v>991</v>
      </c>
      <c r="G615" s="6">
        <v>8.553845928E9</v>
      </c>
      <c r="H615" s="6">
        <v>4.016372E7</v>
      </c>
      <c r="I615" s="6" t="s">
        <v>72</v>
      </c>
      <c r="J615" s="6" t="s">
        <v>21</v>
      </c>
      <c r="K615" s="6" t="s">
        <v>22</v>
      </c>
      <c r="L615" s="6">
        <v>129.9</v>
      </c>
      <c r="M615" s="5">
        <v>46013.0</v>
      </c>
      <c r="N615" s="6" t="s">
        <v>23</v>
      </c>
      <c r="O615" s="6" t="str">
        <f>SUMIFS([1]order_sku_sales_bb2_report!P:P,[1]order_sku_sales_bb2_report!H:H,C28395,[1]order_sku_sales_bb2_report!J:J,H28395)</f>
        <v>#ERROR!</v>
      </c>
      <c r="P615" s="6" t="str">
        <f>SUMIFS([1]order_sku_sales_bb2_report!O:O,[1]order_sku_sales_bb2_report!H:H,C28395,[1]order_sku_sales_bb2_report!J:J,H28395)</f>
        <v>#ERROR!</v>
      </c>
      <c r="Q615" s="6" t="str">
        <f t="shared" si="1"/>
        <v>22-12-2025</v>
      </c>
      <c r="R615" s="6" t="str">
        <f>IFERROR( VLOOKUP(C28395,[1]expressOrderReport!$S:$AZ,34,0),0)</f>
        <v>#ERROR!</v>
      </c>
      <c r="S615" s="6" t="str">
        <f>ARRAY_CONSTRAIN(ARRAYFORMULA(_xludf.XLOOKUP(D28395,[1]order_Report_SA_ID_BB2.0!V:V,[1]order_Report_SA_ID_BB2.0!AM:AM,"")), 1, 1)</f>
        <v>#ERROR!</v>
      </c>
      <c r="T615" s="6" t="str">
        <f t="shared" si="2"/>
        <v>Dec'25</v>
      </c>
    </row>
    <row r="616" ht="15.75" customHeight="1">
      <c r="A616" s="5">
        <v>46013.0</v>
      </c>
      <c r="B616" s="6">
        <v>3525.0</v>
      </c>
      <c r="C616" s="6">
        <v>1.859165112E9</v>
      </c>
      <c r="D616" s="6">
        <v>3639560.0</v>
      </c>
      <c r="E616" s="6" t="s">
        <v>992</v>
      </c>
      <c r="F616" s="6" t="s">
        <v>993</v>
      </c>
      <c r="G616" s="6">
        <v>7.259999943E9</v>
      </c>
      <c r="H616" s="6">
        <v>4.0148717E7</v>
      </c>
      <c r="I616" s="6" t="s">
        <v>226</v>
      </c>
      <c r="J616" s="6" t="s">
        <v>21</v>
      </c>
      <c r="K616" s="6" t="s">
        <v>22</v>
      </c>
      <c r="L616" s="6">
        <v>106.0</v>
      </c>
      <c r="M616" s="5">
        <v>46013.0</v>
      </c>
      <c r="N616" s="6" t="s">
        <v>23</v>
      </c>
      <c r="O616" s="6" t="str">
        <f>SUMIFS([1]order_sku_sales_bb2_report!P:P,[1]order_sku_sales_bb2_report!H:H,C28396,[1]order_sku_sales_bb2_report!J:J,H28396)</f>
        <v>#ERROR!</v>
      </c>
      <c r="P616" s="6" t="str">
        <f>SUMIFS([1]order_sku_sales_bb2_report!O:O,[1]order_sku_sales_bb2_report!H:H,C28396,[1]order_sku_sales_bb2_report!J:J,H28396)</f>
        <v>#ERROR!</v>
      </c>
      <c r="Q616" s="6" t="str">
        <f t="shared" si="1"/>
        <v>22-12-2025</v>
      </c>
      <c r="R616" s="6" t="str">
        <f>IFERROR( VLOOKUP(C28396,[1]expressOrderReport!$S:$AZ,34,0),0)</f>
        <v>#ERROR!</v>
      </c>
      <c r="S616" s="6" t="str">
        <f>ARRAY_CONSTRAIN(ARRAYFORMULA(_xludf.XLOOKUP(D28396,[1]order_Report_SA_ID_BB2.0!V:V,[1]order_Report_SA_ID_BB2.0!AM:AM,"")), 1, 1)</f>
        <v>#ERROR!</v>
      </c>
      <c r="T616" s="6" t="str">
        <f t="shared" si="2"/>
        <v>Dec'25</v>
      </c>
    </row>
    <row r="617" ht="15.75" customHeight="1">
      <c r="A617" s="5">
        <v>46013.0</v>
      </c>
      <c r="B617" s="6">
        <v>10677.0</v>
      </c>
      <c r="C617" s="6">
        <v>1.859165124E9</v>
      </c>
      <c r="D617" s="6">
        <v>1.5908325E7</v>
      </c>
      <c r="E617" s="6" t="s">
        <v>994</v>
      </c>
      <c r="F617" s="6" t="s">
        <v>995</v>
      </c>
      <c r="G617" s="6">
        <v>9.442344974E9</v>
      </c>
      <c r="H617" s="6">
        <v>4.0332424E7</v>
      </c>
      <c r="I617" s="6" t="s">
        <v>110</v>
      </c>
      <c r="J617" s="6" t="s">
        <v>21</v>
      </c>
      <c r="K617" s="6" t="s">
        <v>22</v>
      </c>
      <c r="L617" s="6">
        <v>25.0</v>
      </c>
      <c r="M617" s="5">
        <v>46013.0</v>
      </c>
      <c r="N617" s="6" t="s">
        <v>23</v>
      </c>
      <c r="O617" s="6" t="str">
        <f>SUMIFS([1]order_sku_sales_bb2_report!P:P,[1]order_sku_sales_bb2_report!H:H,C28397,[1]order_sku_sales_bb2_report!J:J,H28397)</f>
        <v>#ERROR!</v>
      </c>
      <c r="P617" s="6" t="str">
        <f>SUMIFS([1]order_sku_sales_bb2_report!O:O,[1]order_sku_sales_bb2_report!H:H,C28397,[1]order_sku_sales_bb2_report!J:J,H28397)</f>
        <v>#ERROR!</v>
      </c>
      <c r="Q617" s="6" t="str">
        <f t="shared" si="1"/>
        <v>22-12-2025</v>
      </c>
      <c r="R617" s="6" t="str">
        <f>IFERROR( VLOOKUP(C28397,[1]expressOrderReport!$S:$AZ,34,0),0)</f>
        <v>#ERROR!</v>
      </c>
      <c r="S617" s="6" t="str">
        <f>ARRAY_CONSTRAIN(ARRAYFORMULA(_xludf.XLOOKUP(D28397,[1]order_Report_SA_ID_BB2.0!V:V,[1]order_Report_SA_ID_BB2.0!AM:AM,"")), 1, 1)</f>
        <v>#ERROR!</v>
      </c>
      <c r="T617" s="6" t="str">
        <f t="shared" si="2"/>
        <v>Dec'25</v>
      </c>
    </row>
    <row r="618" ht="15.75" customHeight="1">
      <c r="A618" s="5">
        <v>46013.0</v>
      </c>
      <c r="B618" s="6">
        <v>2482.0</v>
      </c>
      <c r="C618" s="6">
        <v>1.859165141E9</v>
      </c>
      <c r="D618" s="6">
        <v>1.6432631E7</v>
      </c>
      <c r="E618" s="6" t="s">
        <v>996</v>
      </c>
      <c r="F618" s="6" t="s">
        <v>997</v>
      </c>
      <c r="G618" s="6">
        <v>9.611732288E9</v>
      </c>
      <c r="H618" s="6">
        <v>4.0148717E7</v>
      </c>
      <c r="I618" s="6" t="s">
        <v>226</v>
      </c>
      <c r="J618" s="6" t="s">
        <v>21</v>
      </c>
      <c r="K618" s="6" t="s">
        <v>22</v>
      </c>
      <c r="L618" s="6">
        <v>53.0</v>
      </c>
      <c r="M618" s="5">
        <v>46013.0</v>
      </c>
      <c r="N618" s="6" t="s">
        <v>23</v>
      </c>
      <c r="O618" s="6" t="str">
        <f>SUMIFS([1]order_sku_sales_bb2_report!P:P,[1]order_sku_sales_bb2_report!H:H,C28399,[1]order_sku_sales_bb2_report!J:J,H28399)</f>
        <v>#ERROR!</v>
      </c>
      <c r="P618" s="6" t="str">
        <f>SUMIFS([1]order_sku_sales_bb2_report!O:O,[1]order_sku_sales_bb2_report!H:H,C28399,[1]order_sku_sales_bb2_report!J:J,H28399)</f>
        <v>#ERROR!</v>
      </c>
      <c r="Q618" s="6" t="str">
        <f t="shared" si="1"/>
        <v>22-12-2025</v>
      </c>
      <c r="R618" s="6" t="str">
        <f>IFERROR( VLOOKUP(C28399,[1]expressOrderReport!$S:$AZ,34,0),0)</f>
        <v>#ERROR!</v>
      </c>
      <c r="S618" s="6" t="str">
        <f>ARRAY_CONSTRAIN(ARRAYFORMULA(_xludf.XLOOKUP(D28399,[1]order_Report_SA_ID_BB2.0!V:V,[1]order_Report_SA_ID_BB2.0!AM:AM,"")), 1, 1)</f>
        <v>#ERROR!</v>
      </c>
      <c r="T618" s="6" t="str">
        <f t="shared" si="2"/>
        <v>Dec'25</v>
      </c>
    </row>
    <row r="619" ht="15.75" customHeight="1">
      <c r="A619" s="5">
        <v>46013.0</v>
      </c>
      <c r="B619" s="6">
        <v>7502.0</v>
      </c>
      <c r="C619" s="6">
        <v>1.859165152E9</v>
      </c>
      <c r="D619" s="6">
        <v>1.6800078E7</v>
      </c>
      <c r="E619" s="6" t="s">
        <v>998</v>
      </c>
      <c r="F619" s="6" t="s">
        <v>999</v>
      </c>
      <c r="G619" s="6">
        <v>9.045374661E9</v>
      </c>
      <c r="H619" s="6">
        <v>4.0158264E7</v>
      </c>
      <c r="I619" s="6" t="s">
        <v>26</v>
      </c>
      <c r="J619" s="6" t="s">
        <v>21</v>
      </c>
      <c r="K619" s="6" t="s">
        <v>22</v>
      </c>
      <c r="L619" s="6">
        <v>116.0</v>
      </c>
      <c r="M619" s="5">
        <v>46013.0</v>
      </c>
      <c r="N619" s="6" t="s">
        <v>23</v>
      </c>
      <c r="O619" s="6" t="str">
        <f>SUMIFS([1]order_sku_sales_bb2_report!P:P,[1]order_sku_sales_bb2_report!H:H,C28400,[1]order_sku_sales_bb2_report!J:J,H28400)</f>
        <v>#ERROR!</v>
      </c>
      <c r="P619" s="6" t="str">
        <f>SUMIFS([1]order_sku_sales_bb2_report!O:O,[1]order_sku_sales_bb2_report!H:H,C28400,[1]order_sku_sales_bb2_report!J:J,H28400)</f>
        <v>#ERROR!</v>
      </c>
      <c r="Q619" s="6" t="str">
        <f t="shared" si="1"/>
        <v>22-12-2025</v>
      </c>
      <c r="R619" s="6" t="str">
        <f>IFERROR( VLOOKUP(C28400,[1]expressOrderReport!$S:$AZ,34,0),0)</f>
        <v>#ERROR!</v>
      </c>
      <c r="S619" s="6" t="str">
        <f>ARRAY_CONSTRAIN(ARRAYFORMULA(_xludf.XLOOKUP(D28400,[1]order_Report_SA_ID_BB2.0!V:V,[1]order_Report_SA_ID_BB2.0!AM:AM,"")), 1, 1)</f>
        <v>#ERROR!</v>
      </c>
      <c r="T619" s="6" t="str">
        <f t="shared" si="2"/>
        <v>Dec'25</v>
      </c>
    </row>
    <row r="620" ht="15.75" customHeight="1">
      <c r="A620" s="5">
        <v>46013.0</v>
      </c>
      <c r="B620" s="6">
        <v>7503.0</v>
      </c>
      <c r="C620" s="6">
        <v>1.859165152E9</v>
      </c>
      <c r="D620" s="6">
        <v>1.6800078E7</v>
      </c>
      <c r="E620" s="6" t="s">
        <v>998</v>
      </c>
      <c r="F620" s="6" t="s">
        <v>999</v>
      </c>
      <c r="G620" s="6">
        <v>9.045374661E9</v>
      </c>
      <c r="H620" s="6">
        <v>4.0149832E7</v>
      </c>
      <c r="I620" s="6" t="s">
        <v>26</v>
      </c>
      <c r="J620" s="6" t="s">
        <v>21</v>
      </c>
      <c r="K620" s="6" t="s">
        <v>22</v>
      </c>
      <c r="L620" s="6">
        <v>116.0</v>
      </c>
      <c r="M620" s="5">
        <v>46013.0</v>
      </c>
      <c r="N620" s="6" t="s">
        <v>23</v>
      </c>
      <c r="O620" s="6" t="str">
        <f>SUMIFS([1]order_sku_sales_bb2_report!P:P,[1]order_sku_sales_bb2_report!H:H,C28401,[1]order_sku_sales_bb2_report!J:J,H28401)</f>
        <v>#ERROR!</v>
      </c>
      <c r="P620" s="6" t="str">
        <f>SUMIFS([1]order_sku_sales_bb2_report!O:O,[1]order_sku_sales_bb2_report!H:H,C28401,[1]order_sku_sales_bb2_report!J:J,H28401)</f>
        <v>#ERROR!</v>
      </c>
      <c r="Q620" s="6" t="str">
        <f t="shared" si="1"/>
        <v>22-12-2025</v>
      </c>
      <c r="R620" s="6" t="str">
        <f>IFERROR( VLOOKUP(C28401,[1]expressOrderReport!$S:$AZ,34,0),0)</f>
        <v>#ERROR!</v>
      </c>
      <c r="S620" s="6" t="str">
        <f>ARRAY_CONSTRAIN(ARRAYFORMULA(_xludf.XLOOKUP(D28401,[1]order_Report_SA_ID_BB2.0!V:V,[1]order_Report_SA_ID_BB2.0!AM:AM,"")), 1, 1)</f>
        <v>#ERROR!</v>
      </c>
      <c r="T620" s="6" t="str">
        <f t="shared" si="2"/>
        <v>Dec'25</v>
      </c>
    </row>
    <row r="621" ht="15.75" customHeight="1">
      <c r="A621" s="5">
        <v>46013.0</v>
      </c>
      <c r="B621" s="6">
        <v>9449.0</v>
      </c>
      <c r="C621" s="6">
        <v>1.859165162E9</v>
      </c>
      <c r="D621" s="6">
        <v>1.6865457E7</v>
      </c>
      <c r="E621" s="6" t="s">
        <v>1000</v>
      </c>
      <c r="F621" s="6" t="s">
        <v>1001</v>
      </c>
      <c r="G621" s="6">
        <v>8.762624199E9</v>
      </c>
      <c r="H621" s="6">
        <v>4.0148723E7</v>
      </c>
      <c r="I621" s="6" t="s">
        <v>69</v>
      </c>
      <c r="J621" s="6" t="s">
        <v>21</v>
      </c>
      <c r="K621" s="6" t="s">
        <v>22</v>
      </c>
      <c r="L621" s="6">
        <v>42.0</v>
      </c>
      <c r="M621" s="5">
        <v>46013.0</v>
      </c>
      <c r="N621" s="6" t="s">
        <v>23</v>
      </c>
      <c r="O621" s="6" t="str">
        <f>SUMIFS([1]order_sku_sales_bb2_report!P:P,[1]order_sku_sales_bb2_report!H:H,C28402,[1]order_sku_sales_bb2_report!J:J,H28402)</f>
        <v>#ERROR!</v>
      </c>
      <c r="P621" s="6" t="str">
        <f>SUMIFS([1]order_sku_sales_bb2_report!O:O,[1]order_sku_sales_bb2_report!H:H,C28402,[1]order_sku_sales_bb2_report!J:J,H28402)</f>
        <v>#ERROR!</v>
      </c>
      <c r="Q621" s="6" t="str">
        <f t="shared" si="1"/>
        <v>22-12-2025</v>
      </c>
      <c r="R621" s="6" t="str">
        <f>IFERROR( VLOOKUP(C28402,[1]expressOrderReport!$S:$AZ,34,0),0)</f>
        <v>#ERROR!</v>
      </c>
      <c r="S621" s="6" t="str">
        <f>ARRAY_CONSTRAIN(ARRAYFORMULA(_xludf.XLOOKUP(D28402,[1]order_Report_SA_ID_BB2.0!V:V,[1]order_Report_SA_ID_BB2.0!AM:AM,"")), 1, 1)</f>
        <v>#ERROR!</v>
      </c>
      <c r="T621" s="6" t="str">
        <f t="shared" si="2"/>
        <v>Dec'25</v>
      </c>
    </row>
    <row r="622" ht="15.75" customHeight="1">
      <c r="A622" s="5">
        <v>46013.0</v>
      </c>
      <c r="B622" s="6">
        <v>6784.0</v>
      </c>
      <c r="C622" s="6">
        <v>1.859165171E9</v>
      </c>
      <c r="D622" s="6">
        <v>2801636.0</v>
      </c>
      <c r="E622" s="6" t="s">
        <v>1002</v>
      </c>
      <c r="F622" s="6" t="s">
        <v>1003</v>
      </c>
      <c r="G622" s="6">
        <v>9.632304728E9</v>
      </c>
      <c r="H622" s="6">
        <v>2.0001184E7</v>
      </c>
      <c r="I622" s="6" t="s">
        <v>377</v>
      </c>
      <c r="J622" s="6" t="s">
        <v>21</v>
      </c>
      <c r="K622" s="6" t="s">
        <v>22</v>
      </c>
      <c r="L622" s="6">
        <v>69.46</v>
      </c>
      <c r="M622" s="5">
        <v>46013.0</v>
      </c>
      <c r="N622" s="6" t="s">
        <v>23</v>
      </c>
      <c r="O622" s="6" t="str">
        <f>SUMIFS([1]order_sku_sales_bb2_report!P:P,[1]order_sku_sales_bb2_report!H:H,C28403,[1]order_sku_sales_bb2_report!J:J,H28403)</f>
        <v>#ERROR!</v>
      </c>
      <c r="P622" s="6" t="str">
        <f>SUMIFS([1]order_sku_sales_bb2_report!O:O,[1]order_sku_sales_bb2_report!H:H,C28403,[1]order_sku_sales_bb2_report!J:J,H28403)</f>
        <v>#ERROR!</v>
      </c>
      <c r="Q622" s="6" t="str">
        <f t="shared" si="1"/>
        <v>22-12-2025</v>
      </c>
      <c r="R622" s="6" t="str">
        <f>IFERROR( VLOOKUP(C28403,[1]expressOrderReport!$S:$AZ,34,0),0)</f>
        <v>#ERROR!</v>
      </c>
      <c r="S622" s="6" t="str">
        <f>ARRAY_CONSTRAIN(ARRAYFORMULA(_xludf.XLOOKUP(D28403,[1]order_Report_SA_ID_BB2.0!V:V,[1]order_Report_SA_ID_BB2.0!AM:AM,"")), 1, 1)</f>
        <v>#ERROR!</v>
      </c>
      <c r="T622" s="6" t="str">
        <f t="shared" si="2"/>
        <v>Dec'25</v>
      </c>
    </row>
    <row r="623" ht="15.75" customHeight="1">
      <c r="A623" s="5">
        <v>46013.0</v>
      </c>
      <c r="B623" s="6">
        <v>6786.0</v>
      </c>
      <c r="C623" s="6">
        <v>1.859165171E9</v>
      </c>
      <c r="D623" s="6">
        <v>2801636.0</v>
      </c>
      <c r="E623" s="6" t="s">
        <v>1002</v>
      </c>
      <c r="F623" s="6" t="s">
        <v>1003</v>
      </c>
      <c r="G623" s="6">
        <v>9.632304728E9</v>
      </c>
      <c r="H623" s="6">
        <v>4.0090894E7</v>
      </c>
      <c r="I623" s="6" t="s">
        <v>62</v>
      </c>
      <c r="J623" s="6" t="s">
        <v>21</v>
      </c>
      <c r="K623" s="6" t="s">
        <v>22</v>
      </c>
      <c r="L623" s="6">
        <v>69.46</v>
      </c>
      <c r="M623" s="5">
        <v>46013.0</v>
      </c>
      <c r="N623" s="6" t="s">
        <v>23</v>
      </c>
      <c r="O623" s="6" t="str">
        <f>SUMIFS([1]order_sku_sales_bb2_report!P:P,[1]order_sku_sales_bb2_report!H:H,C28404,[1]order_sku_sales_bb2_report!J:J,H28404)</f>
        <v>#ERROR!</v>
      </c>
      <c r="P623" s="6" t="str">
        <f>SUMIFS([1]order_sku_sales_bb2_report!O:O,[1]order_sku_sales_bb2_report!H:H,C28404,[1]order_sku_sales_bb2_report!J:J,H28404)</f>
        <v>#ERROR!</v>
      </c>
      <c r="Q623" s="6" t="str">
        <f t="shared" si="1"/>
        <v>22-12-2025</v>
      </c>
      <c r="R623" s="6" t="str">
        <f>IFERROR( VLOOKUP(C28404,[1]expressOrderReport!$S:$AZ,34,0),0)</f>
        <v>#ERROR!</v>
      </c>
      <c r="S623" s="6" t="str">
        <f>ARRAY_CONSTRAIN(ARRAYFORMULA(_xludf.XLOOKUP(D28404,[1]order_Report_SA_ID_BB2.0!V:V,[1]order_Report_SA_ID_BB2.0!AM:AM,"")), 1, 1)</f>
        <v>#ERROR!</v>
      </c>
      <c r="T623" s="6" t="str">
        <f t="shared" si="2"/>
        <v>Dec'25</v>
      </c>
    </row>
    <row r="624" ht="15.75" customHeight="1">
      <c r="A624" s="5">
        <v>46013.0</v>
      </c>
      <c r="B624" s="6">
        <v>1486.0</v>
      </c>
      <c r="C624" s="6">
        <v>1.859165181E9</v>
      </c>
      <c r="D624" s="6">
        <v>3939671.0</v>
      </c>
      <c r="E624" s="6" t="s">
        <v>1004</v>
      </c>
      <c r="F624" s="6" t="s">
        <v>1005</v>
      </c>
      <c r="G624" s="6">
        <v>8.0857856E9</v>
      </c>
      <c r="H624" s="6">
        <v>4.0149833E7</v>
      </c>
      <c r="I624" s="6" t="s">
        <v>40</v>
      </c>
      <c r="J624" s="6" t="s">
        <v>21</v>
      </c>
      <c r="K624" s="6" t="s">
        <v>22</v>
      </c>
      <c r="L624" s="6">
        <v>54.0</v>
      </c>
      <c r="M624" s="5">
        <v>46013.0</v>
      </c>
      <c r="N624" s="6" t="s">
        <v>23</v>
      </c>
      <c r="O624" s="6" t="str">
        <f>SUMIFS([1]order_sku_sales_bb2_report!P:P,[1]order_sku_sales_bb2_report!H:H,C28405,[1]order_sku_sales_bb2_report!J:J,H28405)</f>
        <v>#ERROR!</v>
      </c>
      <c r="P624" s="6" t="str">
        <f>SUMIFS([1]order_sku_sales_bb2_report!O:O,[1]order_sku_sales_bb2_report!H:H,C28405,[1]order_sku_sales_bb2_report!J:J,H28405)</f>
        <v>#ERROR!</v>
      </c>
      <c r="Q624" s="6" t="str">
        <f t="shared" si="1"/>
        <v>22-12-2025</v>
      </c>
      <c r="R624" s="6" t="str">
        <f>IFERROR( VLOOKUP(C28405,[1]expressOrderReport!$S:$AZ,34,0),0)</f>
        <v>#ERROR!</v>
      </c>
      <c r="S624" s="6" t="str">
        <f>ARRAY_CONSTRAIN(ARRAYFORMULA(_xludf.XLOOKUP(D28405,[1]order_Report_SA_ID_BB2.0!V:V,[1]order_Report_SA_ID_BB2.0!AM:AM,"")), 1, 1)</f>
        <v>#ERROR!</v>
      </c>
      <c r="T624" s="6" t="str">
        <f t="shared" si="2"/>
        <v>Dec'25</v>
      </c>
    </row>
    <row r="625" ht="15.75" customHeight="1">
      <c r="A625" s="5">
        <v>46013.0</v>
      </c>
      <c r="B625" s="6">
        <v>3639.0</v>
      </c>
      <c r="C625" s="6">
        <v>1.85916519E9</v>
      </c>
      <c r="D625" s="6">
        <v>1.7106392E7</v>
      </c>
      <c r="E625" s="6" t="s">
        <v>1006</v>
      </c>
      <c r="F625" s="6" t="s">
        <v>1007</v>
      </c>
      <c r="G625" s="6">
        <v>9.740455666E9</v>
      </c>
      <c r="H625" s="6">
        <v>4.0149831E7</v>
      </c>
      <c r="I625" s="6" t="s">
        <v>65</v>
      </c>
      <c r="J625" s="6" t="s">
        <v>21</v>
      </c>
      <c r="K625" s="6" t="s">
        <v>22</v>
      </c>
      <c r="L625" s="6">
        <v>26.0</v>
      </c>
      <c r="M625" s="5">
        <v>46013.0</v>
      </c>
      <c r="N625" s="6" t="s">
        <v>23</v>
      </c>
      <c r="O625" s="6" t="str">
        <f>SUMIFS([1]order_sku_sales_bb2_report!P:P,[1]order_sku_sales_bb2_report!H:H,C28406,[1]order_sku_sales_bb2_report!J:J,H28406)</f>
        <v>#ERROR!</v>
      </c>
      <c r="P625" s="6" t="str">
        <f>SUMIFS([1]order_sku_sales_bb2_report!O:O,[1]order_sku_sales_bb2_report!H:H,C28406,[1]order_sku_sales_bb2_report!J:J,H28406)</f>
        <v>#ERROR!</v>
      </c>
      <c r="Q625" s="6" t="str">
        <f t="shared" si="1"/>
        <v>22-12-2025</v>
      </c>
      <c r="R625" s="6" t="str">
        <f>IFERROR( VLOOKUP(C28406,[1]expressOrderReport!$S:$AZ,34,0),0)</f>
        <v>#ERROR!</v>
      </c>
      <c r="S625" s="6" t="str">
        <f>ARRAY_CONSTRAIN(ARRAYFORMULA(_xludf.XLOOKUP(D28406,[1]order_Report_SA_ID_BB2.0!V:V,[1]order_Report_SA_ID_BB2.0!AM:AM,"")), 1, 1)</f>
        <v>#ERROR!</v>
      </c>
      <c r="T625" s="6" t="str">
        <f t="shared" si="2"/>
        <v>Dec'25</v>
      </c>
    </row>
    <row r="626" ht="15.75" customHeight="1">
      <c r="A626" s="5">
        <v>46013.0</v>
      </c>
      <c r="B626" s="6">
        <v>9543.0</v>
      </c>
      <c r="C626" s="6">
        <v>1.859165198E9</v>
      </c>
      <c r="D626" s="6">
        <v>1.0480921E7</v>
      </c>
      <c r="E626" s="6" t="s">
        <v>1008</v>
      </c>
      <c r="F626" s="6" t="s">
        <v>1009</v>
      </c>
      <c r="G626" s="6">
        <v>9.995218379E9</v>
      </c>
      <c r="H626" s="6">
        <v>4.0149832E7</v>
      </c>
      <c r="I626" s="6" t="s">
        <v>26</v>
      </c>
      <c r="J626" s="6" t="s">
        <v>21</v>
      </c>
      <c r="K626" s="6" t="s">
        <v>22</v>
      </c>
      <c r="L626" s="6">
        <v>24.0</v>
      </c>
      <c r="M626" s="5">
        <v>46013.0</v>
      </c>
      <c r="N626" s="6" t="s">
        <v>23</v>
      </c>
      <c r="O626" s="6" t="str">
        <f>SUMIFS([1]order_sku_sales_bb2_report!P:P,[1]order_sku_sales_bb2_report!H:H,C28407,[1]order_sku_sales_bb2_report!J:J,H28407)</f>
        <v>#ERROR!</v>
      </c>
      <c r="P626" s="6" t="str">
        <f>SUMIFS([1]order_sku_sales_bb2_report!O:O,[1]order_sku_sales_bb2_report!H:H,C28407,[1]order_sku_sales_bb2_report!J:J,H28407)</f>
        <v>#ERROR!</v>
      </c>
      <c r="Q626" s="6" t="str">
        <f t="shared" si="1"/>
        <v>22-12-2025</v>
      </c>
      <c r="R626" s="6" t="str">
        <f>IFERROR( VLOOKUP(C28407,[1]expressOrderReport!$S:$AZ,34,0),0)</f>
        <v>#ERROR!</v>
      </c>
      <c r="S626" s="6" t="str">
        <f>ARRAY_CONSTRAIN(ARRAYFORMULA(_xludf.XLOOKUP(D28407,[1]order_Report_SA_ID_BB2.0!V:V,[1]order_Report_SA_ID_BB2.0!AM:AM,"")), 1, 1)</f>
        <v>#ERROR!</v>
      </c>
      <c r="T626" s="6" t="str">
        <f t="shared" si="2"/>
        <v>Dec'25</v>
      </c>
    </row>
    <row r="627" ht="15.75" customHeight="1">
      <c r="A627" s="5">
        <v>46013.0</v>
      </c>
      <c r="B627" s="6">
        <v>5279.0</v>
      </c>
      <c r="C627" s="6">
        <v>1.859165212E9</v>
      </c>
      <c r="D627" s="6">
        <v>1.615433E7</v>
      </c>
      <c r="E627" s="6" t="s">
        <v>1010</v>
      </c>
      <c r="F627" s="6" t="s">
        <v>1011</v>
      </c>
      <c r="G627" s="6">
        <v>9.620685111E9</v>
      </c>
      <c r="H627" s="6">
        <v>4.0090893E7</v>
      </c>
      <c r="I627" s="6" t="s">
        <v>35</v>
      </c>
      <c r="J627" s="6" t="s">
        <v>21</v>
      </c>
      <c r="K627" s="6" t="s">
        <v>22</v>
      </c>
      <c r="L627" s="6">
        <v>33.0</v>
      </c>
      <c r="M627" s="5">
        <v>46013.0</v>
      </c>
      <c r="N627" s="6" t="s">
        <v>23</v>
      </c>
      <c r="O627" s="6" t="str">
        <f>SUMIFS([1]order_sku_sales_bb2_report!P:P,[1]order_sku_sales_bb2_report!H:H,C28408,[1]order_sku_sales_bb2_report!J:J,H28408)</f>
        <v>#ERROR!</v>
      </c>
      <c r="P627" s="6" t="str">
        <f>SUMIFS([1]order_sku_sales_bb2_report!O:O,[1]order_sku_sales_bb2_report!H:H,C28408,[1]order_sku_sales_bb2_report!J:J,H28408)</f>
        <v>#ERROR!</v>
      </c>
      <c r="Q627" s="6" t="str">
        <f t="shared" si="1"/>
        <v>22-12-2025</v>
      </c>
      <c r="R627" s="6" t="str">
        <f>IFERROR( VLOOKUP(C28408,[1]expressOrderReport!$S:$AZ,34,0),0)</f>
        <v>#ERROR!</v>
      </c>
      <c r="S627" s="6" t="str">
        <f>ARRAY_CONSTRAIN(ARRAYFORMULA(_xludf.XLOOKUP(D28408,[1]order_Report_SA_ID_BB2.0!V:V,[1]order_Report_SA_ID_BB2.0!AM:AM,"")), 1, 1)</f>
        <v>#ERROR!</v>
      </c>
      <c r="T627" s="6" t="str">
        <f t="shared" si="2"/>
        <v>Dec'25</v>
      </c>
    </row>
    <row r="628" ht="15.75" customHeight="1">
      <c r="A628" s="5">
        <v>46013.0</v>
      </c>
      <c r="B628" s="6">
        <v>6508.0</v>
      </c>
      <c r="C628" s="6">
        <v>1.85916522E9</v>
      </c>
      <c r="D628" s="6">
        <v>112307.0</v>
      </c>
      <c r="E628" s="6" t="s">
        <v>1012</v>
      </c>
      <c r="F628" s="6" t="s">
        <v>1013</v>
      </c>
      <c r="G628" s="6">
        <v>8.050927834E9</v>
      </c>
      <c r="H628" s="6">
        <v>4.0149833E7</v>
      </c>
      <c r="I628" s="6" t="s">
        <v>40</v>
      </c>
      <c r="J628" s="6" t="s">
        <v>21</v>
      </c>
      <c r="K628" s="6" t="s">
        <v>22</v>
      </c>
      <c r="L628" s="6">
        <v>34.13</v>
      </c>
      <c r="M628" s="5">
        <v>46013.0</v>
      </c>
      <c r="N628" s="6" t="s">
        <v>23</v>
      </c>
      <c r="O628" s="6" t="str">
        <f>SUMIFS([1]order_sku_sales_bb2_report!P:P,[1]order_sku_sales_bb2_report!H:H,C28409,[1]order_sku_sales_bb2_report!J:J,H28409)</f>
        <v>#ERROR!</v>
      </c>
      <c r="P628" s="6" t="str">
        <f>SUMIFS([1]order_sku_sales_bb2_report!O:O,[1]order_sku_sales_bb2_report!H:H,C28409,[1]order_sku_sales_bb2_report!J:J,H28409)</f>
        <v>#ERROR!</v>
      </c>
      <c r="Q628" s="6" t="str">
        <f t="shared" si="1"/>
        <v>22-12-2025</v>
      </c>
      <c r="R628" s="6" t="str">
        <f>IFERROR( VLOOKUP(C28409,[1]expressOrderReport!$S:$AZ,34,0),0)</f>
        <v>#ERROR!</v>
      </c>
      <c r="S628" s="6" t="str">
        <f>ARRAY_CONSTRAIN(ARRAYFORMULA(_xludf.XLOOKUP(D28409,[1]order_Report_SA_ID_BB2.0!V:V,[1]order_Report_SA_ID_BB2.0!AM:AM,"")), 1, 1)</f>
        <v>#ERROR!</v>
      </c>
      <c r="T628" s="6" t="str">
        <f t="shared" si="2"/>
        <v>Dec'25</v>
      </c>
    </row>
    <row r="629" ht="15.75" customHeight="1">
      <c r="A629" s="5">
        <v>46013.0</v>
      </c>
      <c r="B629" s="6">
        <v>6511.0</v>
      </c>
      <c r="C629" s="6">
        <v>1.85916522E9</v>
      </c>
      <c r="D629" s="6">
        <v>112307.0</v>
      </c>
      <c r="E629" s="6" t="s">
        <v>1012</v>
      </c>
      <c r="F629" s="6" t="s">
        <v>1013</v>
      </c>
      <c r="G629" s="6">
        <v>8.050927834E9</v>
      </c>
      <c r="H629" s="6">
        <v>2.0001185E7</v>
      </c>
      <c r="I629" s="6" t="s">
        <v>627</v>
      </c>
      <c r="J629" s="6" t="s">
        <v>21</v>
      </c>
      <c r="K629" s="6" t="s">
        <v>22</v>
      </c>
      <c r="L629" s="6">
        <v>34.13</v>
      </c>
      <c r="M629" s="5">
        <v>46013.0</v>
      </c>
      <c r="N629" s="6" t="s">
        <v>23</v>
      </c>
      <c r="O629" s="6" t="str">
        <f>SUMIFS([1]order_sku_sales_bb2_report!P:P,[1]order_sku_sales_bb2_report!H:H,C28410,[1]order_sku_sales_bb2_report!J:J,H28410)</f>
        <v>#ERROR!</v>
      </c>
      <c r="P629" s="6" t="str">
        <f>SUMIFS([1]order_sku_sales_bb2_report!O:O,[1]order_sku_sales_bb2_report!H:H,C28410,[1]order_sku_sales_bb2_report!J:J,H28410)</f>
        <v>#ERROR!</v>
      </c>
      <c r="Q629" s="6" t="str">
        <f t="shared" si="1"/>
        <v>22-12-2025</v>
      </c>
      <c r="R629" s="6" t="str">
        <f>IFERROR( VLOOKUP(C28410,[1]expressOrderReport!$S:$AZ,34,0),0)</f>
        <v>#ERROR!</v>
      </c>
      <c r="S629" s="6" t="str">
        <f>ARRAY_CONSTRAIN(ARRAYFORMULA(_xludf.XLOOKUP(D28410,[1]order_Report_SA_ID_BB2.0!V:V,[1]order_Report_SA_ID_BB2.0!AM:AM,"")), 1, 1)</f>
        <v>#ERROR!</v>
      </c>
      <c r="T629" s="6" t="str">
        <f t="shared" si="2"/>
        <v>Dec'25</v>
      </c>
    </row>
    <row r="630" ht="15.75" customHeight="1">
      <c r="A630" s="5">
        <v>46013.0</v>
      </c>
      <c r="B630" s="6">
        <v>8648.0</v>
      </c>
      <c r="C630" s="6">
        <v>1.859165228E9</v>
      </c>
      <c r="D630" s="6">
        <v>1363643.0</v>
      </c>
      <c r="E630" s="6" t="s">
        <v>1014</v>
      </c>
      <c r="F630" s="6" t="s">
        <v>1015</v>
      </c>
      <c r="G630" s="6">
        <v>9.72693693E9</v>
      </c>
      <c r="H630" s="6">
        <v>4.0158264E7</v>
      </c>
      <c r="I630" s="6" t="s">
        <v>26</v>
      </c>
      <c r="J630" s="6" t="s">
        <v>21</v>
      </c>
      <c r="K630" s="6" t="s">
        <v>22</v>
      </c>
      <c r="L630" s="6">
        <v>70.0</v>
      </c>
      <c r="M630" s="5">
        <v>46013.0</v>
      </c>
      <c r="N630" s="6" t="s">
        <v>23</v>
      </c>
      <c r="O630" s="6" t="str">
        <f>SUMIFS([1]order_sku_sales_bb2_report!P:P,[1]order_sku_sales_bb2_report!H:H,C28411,[1]order_sku_sales_bb2_report!J:J,H28411)</f>
        <v>#ERROR!</v>
      </c>
      <c r="P630" s="6" t="str">
        <f>SUMIFS([1]order_sku_sales_bb2_report!O:O,[1]order_sku_sales_bb2_report!H:H,C28411,[1]order_sku_sales_bb2_report!J:J,H28411)</f>
        <v>#ERROR!</v>
      </c>
      <c r="Q630" s="6" t="str">
        <f t="shared" si="1"/>
        <v>22-12-2025</v>
      </c>
      <c r="R630" s="6" t="str">
        <f>IFERROR( VLOOKUP(C28411,[1]expressOrderReport!$S:$AZ,34,0),0)</f>
        <v>#ERROR!</v>
      </c>
      <c r="S630" s="6" t="str">
        <f>ARRAY_CONSTRAIN(ARRAYFORMULA(_xludf.XLOOKUP(D28411,[1]order_Report_SA_ID_BB2.0!V:V,[1]order_Report_SA_ID_BB2.0!AM:AM,"")), 1, 1)</f>
        <v>#ERROR!</v>
      </c>
      <c r="T630" s="6" t="str">
        <f t="shared" si="2"/>
        <v>Dec'25</v>
      </c>
    </row>
    <row r="631" ht="15.75" customHeight="1">
      <c r="A631" s="5">
        <v>46013.0</v>
      </c>
      <c r="B631" s="6">
        <v>8649.0</v>
      </c>
      <c r="C631" s="6">
        <v>1.859165228E9</v>
      </c>
      <c r="D631" s="6">
        <v>1363643.0</v>
      </c>
      <c r="E631" s="6" t="s">
        <v>1014</v>
      </c>
      <c r="F631" s="6" t="s">
        <v>1015</v>
      </c>
      <c r="G631" s="6">
        <v>9.72693693E9</v>
      </c>
      <c r="H631" s="6">
        <v>4.0149832E7</v>
      </c>
      <c r="I631" s="6" t="s">
        <v>26</v>
      </c>
      <c r="J631" s="6" t="s">
        <v>21</v>
      </c>
      <c r="K631" s="6" t="s">
        <v>22</v>
      </c>
      <c r="L631" s="6">
        <v>70.0</v>
      </c>
      <c r="M631" s="5">
        <v>46013.0</v>
      </c>
      <c r="N631" s="6" t="s">
        <v>23</v>
      </c>
      <c r="O631" s="6" t="str">
        <f>SUMIFS([1]order_sku_sales_bb2_report!P:P,[1]order_sku_sales_bb2_report!H:H,C28412,[1]order_sku_sales_bb2_report!J:J,H28412)</f>
        <v>#ERROR!</v>
      </c>
      <c r="P631" s="6" t="str">
        <f>SUMIFS([1]order_sku_sales_bb2_report!O:O,[1]order_sku_sales_bb2_report!H:H,C28412,[1]order_sku_sales_bb2_report!J:J,H28412)</f>
        <v>#ERROR!</v>
      </c>
      <c r="Q631" s="6" t="str">
        <f t="shared" si="1"/>
        <v>22-12-2025</v>
      </c>
      <c r="R631" s="6" t="str">
        <f>IFERROR( VLOOKUP(C28412,[1]expressOrderReport!$S:$AZ,34,0),0)</f>
        <v>#ERROR!</v>
      </c>
      <c r="S631" s="6" t="str">
        <f>ARRAY_CONSTRAIN(ARRAYFORMULA(_xludf.XLOOKUP(D28412,[1]order_Report_SA_ID_BB2.0!V:V,[1]order_Report_SA_ID_BB2.0!AM:AM,"")), 1, 1)</f>
        <v>#ERROR!</v>
      </c>
      <c r="T631" s="6" t="str">
        <f t="shared" si="2"/>
        <v>Dec'25</v>
      </c>
    </row>
    <row r="632" ht="15.75" customHeight="1">
      <c r="A632" s="5">
        <v>46013.0</v>
      </c>
      <c r="B632" s="6">
        <v>2300.0</v>
      </c>
      <c r="C632" s="6">
        <v>1.859165237E9</v>
      </c>
      <c r="D632" s="6">
        <v>9771911.0</v>
      </c>
      <c r="E632" s="6" t="s">
        <v>1016</v>
      </c>
      <c r="F632" s="6" t="s">
        <v>1017</v>
      </c>
      <c r="G632" s="6">
        <v>8.105867075E9</v>
      </c>
      <c r="H632" s="6">
        <v>4.0149832E7</v>
      </c>
      <c r="I632" s="6" t="s">
        <v>26</v>
      </c>
      <c r="J632" s="6" t="s">
        <v>21</v>
      </c>
      <c r="K632" s="6" t="s">
        <v>22</v>
      </c>
      <c r="L632" s="6">
        <v>24.0</v>
      </c>
      <c r="M632" s="5">
        <v>46013.0</v>
      </c>
      <c r="N632" s="6" t="s">
        <v>23</v>
      </c>
      <c r="O632" s="6" t="str">
        <f>SUMIFS([1]order_sku_sales_bb2_report!P:P,[1]order_sku_sales_bb2_report!H:H,C28415,[1]order_sku_sales_bb2_report!J:J,H28415)</f>
        <v>#ERROR!</v>
      </c>
      <c r="P632" s="6" t="str">
        <f>SUMIFS([1]order_sku_sales_bb2_report!O:O,[1]order_sku_sales_bb2_report!H:H,C28415,[1]order_sku_sales_bb2_report!J:J,H28415)</f>
        <v>#ERROR!</v>
      </c>
      <c r="Q632" s="6" t="str">
        <f t="shared" si="1"/>
        <v>22-12-2025</v>
      </c>
      <c r="R632" s="6" t="str">
        <f>IFERROR( VLOOKUP(C28415,[1]expressOrderReport!$S:$AZ,34,0),0)</f>
        <v>#ERROR!</v>
      </c>
      <c r="S632" s="6" t="str">
        <f>ARRAY_CONSTRAIN(ARRAYFORMULA(_xludf.XLOOKUP(D28415,[1]order_Report_SA_ID_BB2.0!V:V,[1]order_Report_SA_ID_BB2.0!AM:AM,"")), 1, 1)</f>
        <v>#ERROR!</v>
      </c>
      <c r="T632" s="6" t="str">
        <f t="shared" si="2"/>
        <v>Dec'25</v>
      </c>
    </row>
    <row r="633" ht="15.75" customHeight="1">
      <c r="A633" s="5">
        <v>46013.0</v>
      </c>
      <c r="B633" s="6">
        <v>2302.0</v>
      </c>
      <c r="C633" s="6">
        <v>1.859165237E9</v>
      </c>
      <c r="D633" s="6">
        <v>9771911.0</v>
      </c>
      <c r="E633" s="6" t="s">
        <v>1016</v>
      </c>
      <c r="F633" s="6" t="s">
        <v>1017</v>
      </c>
      <c r="G633" s="6">
        <v>8.105867075E9</v>
      </c>
      <c r="H633" s="6">
        <v>4.014983E7</v>
      </c>
      <c r="I633" s="6" t="s">
        <v>30</v>
      </c>
      <c r="J633" s="6" t="s">
        <v>21</v>
      </c>
      <c r="K633" s="6" t="s">
        <v>22</v>
      </c>
      <c r="L633" s="6">
        <v>24.0</v>
      </c>
      <c r="M633" s="5">
        <v>46013.0</v>
      </c>
      <c r="N633" s="6" t="s">
        <v>23</v>
      </c>
      <c r="O633" s="6" t="str">
        <f>SUMIFS([1]order_sku_sales_bb2_report!P:P,[1]order_sku_sales_bb2_report!H:H,C28416,[1]order_sku_sales_bb2_report!J:J,H28416)</f>
        <v>#ERROR!</v>
      </c>
      <c r="P633" s="6" t="str">
        <f>SUMIFS([1]order_sku_sales_bb2_report!O:O,[1]order_sku_sales_bb2_report!H:H,C28416,[1]order_sku_sales_bb2_report!J:J,H28416)</f>
        <v>#ERROR!</v>
      </c>
      <c r="Q633" s="6" t="str">
        <f t="shared" si="1"/>
        <v>22-12-2025</v>
      </c>
      <c r="R633" s="6" t="str">
        <f>IFERROR( VLOOKUP(C28416,[1]expressOrderReport!$S:$AZ,34,0),0)</f>
        <v>#ERROR!</v>
      </c>
      <c r="S633" s="6" t="str">
        <f>ARRAY_CONSTRAIN(ARRAYFORMULA(_xludf.XLOOKUP(D28416,[1]order_Report_SA_ID_BB2.0!V:V,[1]order_Report_SA_ID_BB2.0!AM:AM,"")), 1, 1)</f>
        <v>#ERROR!</v>
      </c>
      <c r="T633" s="6" t="str">
        <f t="shared" si="2"/>
        <v>Dec'25</v>
      </c>
    </row>
    <row r="634" ht="15.75" customHeight="1">
      <c r="A634" s="5">
        <v>46013.0</v>
      </c>
      <c r="B634" s="6">
        <v>1456.0</v>
      </c>
      <c r="C634" s="6">
        <v>1.859165245E9</v>
      </c>
      <c r="D634" s="6">
        <v>8672578.0</v>
      </c>
      <c r="E634" s="6" t="s">
        <v>1018</v>
      </c>
      <c r="F634" s="6" t="s">
        <v>1019</v>
      </c>
      <c r="G634" s="6">
        <v>9.611856713E9</v>
      </c>
      <c r="H634" s="6">
        <v>4.0276324E7</v>
      </c>
      <c r="I634" s="6" t="s">
        <v>30</v>
      </c>
      <c r="J634" s="6" t="s">
        <v>21</v>
      </c>
      <c r="K634" s="6" t="s">
        <v>22</v>
      </c>
      <c r="L634" s="6">
        <v>39.0</v>
      </c>
      <c r="M634" s="5">
        <v>46013.0</v>
      </c>
      <c r="N634" s="6" t="s">
        <v>23</v>
      </c>
      <c r="O634" s="6" t="str">
        <f>SUMIFS([1]order_sku_sales_bb2_report!P:P,[1]order_sku_sales_bb2_report!H:H,C28417,[1]order_sku_sales_bb2_report!J:J,H28417)</f>
        <v>#ERROR!</v>
      </c>
      <c r="P634" s="6" t="str">
        <f>SUMIFS([1]order_sku_sales_bb2_report!O:O,[1]order_sku_sales_bb2_report!H:H,C28417,[1]order_sku_sales_bb2_report!J:J,H28417)</f>
        <v>#ERROR!</v>
      </c>
      <c r="Q634" s="6" t="str">
        <f t="shared" si="1"/>
        <v>22-12-2025</v>
      </c>
      <c r="R634" s="6" t="str">
        <f>IFERROR( VLOOKUP(C28417,[1]expressOrderReport!$S:$AZ,34,0),0)</f>
        <v>#ERROR!</v>
      </c>
      <c r="S634" s="6" t="str">
        <f>ARRAY_CONSTRAIN(ARRAYFORMULA(_xludf.XLOOKUP(D28417,[1]order_Report_SA_ID_BB2.0!V:V,[1]order_Report_SA_ID_BB2.0!AM:AM,"")), 1, 1)</f>
        <v>#ERROR!</v>
      </c>
      <c r="T634" s="6" t="str">
        <f t="shared" si="2"/>
        <v>Dec'25</v>
      </c>
    </row>
    <row r="635" ht="15.75" customHeight="1">
      <c r="A635" s="5">
        <v>46013.0</v>
      </c>
      <c r="B635" s="6">
        <v>1756.0</v>
      </c>
      <c r="C635" s="6">
        <v>1.859165256E9</v>
      </c>
      <c r="D635" s="6">
        <v>637190.0</v>
      </c>
      <c r="E635" s="6" t="s">
        <v>1020</v>
      </c>
      <c r="F635" s="6" t="s">
        <v>1021</v>
      </c>
      <c r="G635" s="6">
        <v>9.945158042E9</v>
      </c>
      <c r="H635" s="6">
        <v>4.0149833E7</v>
      </c>
      <c r="I635" s="6" t="s">
        <v>40</v>
      </c>
      <c r="J635" s="6" t="s">
        <v>21</v>
      </c>
      <c r="K635" s="6" t="s">
        <v>22</v>
      </c>
      <c r="L635" s="6">
        <v>54.0</v>
      </c>
      <c r="M635" s="5">
        <v>46013.0</v>
      </c>
      <c r="N635" s="6" t="s">
        <v>23</v>
      </c>
      <c r="O635" s="6" t="str">
        <f>SUMIFS([1]order_sku_sales_bb2_report!P:P,[1]order_sku_sales_bb2_report!H:H,C28418,[1]order_sku_sales_bb2_report!J:J,H28418)</f>
        <v>#ERROR!</v>
      </c>
      <c r="P635" s="6" t="str">
        <f>SUMIFS([1]order_sku_sales_bb2_report!O:O,[1]order_sku_sales_bb2_report!H:H,C28418,[1]order_sku_sales_bb2_report!J:J,H28418)</f>
        <v>#ERROR!</v>
      </c>
      <c r="Q635" s="6" t="str">
        <f t="shared" si="1"/>
        <v>22-12-2025</v>
      </c>
      <c r="R635" s="6" t="str">
        <f>IFERROR( VLOOKUP(C28418,[1]expressOrderReport!$S:$AZ,34,0),0)</f>
        <v>#ERROR!</v>
      </c>
      <c r="S635" s="6" t="str">
        <f>ARRAY_CONSTRAIN(ARRAYFORMULA(_xludf.XLOOKUP(D28418,[1]order_Report_SA_ID_BB2.0!V:V,[1]order_Report_SA_ID_BB2.0!AM:AM,"")), 1, 1)</f>
        <v>#ERROR!</v>
      </c>
      <c r="T635" s="6" t="str">
        <f t="shared" si="2"/>
        <v>Dec'25</v>
      </c>
    </row>
    <row r="636" ht="15.75" customHeight="1">
      <c r="A636" s="5">
        <v>46013.0</v>
      </c>
      <c r="B636" s="6">
        <v>4266.0</v>
      </c>
      <c r="C636" s="6">
        <v>1.859165262E9</v>
      </c>
      <c r="D636" s="6">
        <v>7695180.0</v>
      </c>
      <c r="E636" s="6" t="s">
        <v>1022</v>
      </c>
      <c r="F636" s="6" t="s">
        <v>1023</v>
      </c>
      <c r="G636" s="6">
        <v>9.066921296E9</v>
      </c>
      <c r="H636" s="6">
        <v>4.0149832E7</v>
      </c>
      <c r="I636" s="6" t="s">
        <v>26</v>
      </c>
      <c r="J636" s="6" t="s">
        <v>21</v>
      </c>
      <c r="K636" s="6" t="s">
        <v>22</v>
      </c>
      <c r="L636" s="6">
        <v>24.0</v>
      </c>
      <c r="M636" s="5">
        <v>46013.0</v>
      </c>
      <c r="N636" s="6" t="s">
        <v>23</v>
      </c>
      <c r="O636" s="6" t="str">
        <f>SUMIFS([1]order_sku_sales_bb2_report!P:P,[1]order_sku_sales_bb2_report!H:H,C28419,[1]order_sku_sales_bb2_report!J:J,H28419)</f>
        <v>#ERROR!</v>
      </c>
      <c r="P636" s="6" t="str">
        <f>SUMIFS([1]order_sku_sales_bb2_report!O:O,[1]order_sku_sales_bb2_report!H:H,C28419,[1]order_sku_sales_bb2_report!J:J,H28419)</f>
        <v>#ERROR!</v>
      </c>
      <c r="Q636" s="6" t="str">
        <f t="shared" si="1"/>
        <v>22-12-2025</v>
      </c>
      <c r="R636" s="6" t="str">
        <f>IFERROR( VLOOKUP(C28419,[1]expressOrderReport!$S:$AZ,34,0),0)</f>
        <v>#ERROR!</v>
      </c>
      <c r="S636" s="6" t="str">
        <f>ARRAY_CONSTRAIN(ARRAYFORMULA(_xludf.XLOOKUP(D28419,[1]order_Report_SA_ID_BB2.0!V:V,[1]order_Report_SA_ID_BB2.0!AM:AM,"")), 1, 1)</f>
        <v>#ERROR!</v>
      </c>
      <c r="T636" s="6" t="str">
        <f t="shared" si="2"/>
        <v>Dec'25</v>
      </c>
    </row>
    <row r="637" ht="15.75" customHeight="1">
      <c r="A637" s="5">
        <v>46013.0</v>
      </c>
      <c r="B637" s="6">
        <v>4802.0</v>
      </c>
      <c r="C637" s="6">
        <v>1.859165268E9</v>
      </c>
      <c r="D637" s="6">
        <v>1.7521997E7</v>
      </c>
      <c r="E637" s="6" t="s">
        <v>1024</v>
      </c>
      <c r="F637" s="6" t="s">
        <v>1025</v>
      </c>
      <c r="G637" s="6">
        <v>9.8739701E9</v>
      </c>
      <c r="H637" s="6">
        <v>4.0086154E7</v>
      </c>
      <c r="I637" s="6" t="s">
        <v>846</v>
      </c>
      <c r="J637" s="6" t="s">
        <v>21</v>
      </c>
      <c r="K637" s="6" t="s">
        <v>22</v>
      </c>
      <c r="L637" s="6">
        <v>58.4</v>
      </c>
      <c r="M637" s="5">
        <v>46013.0</v>
      </c>
      <c r="N637" s="6" t="s">
        <v>23</v>
      </c>
      <c r="O637" s="6" t="str">
        <f>SUMIFS([1]order_sku_sales_bb2_report!P:P,[1]order_sku_sales_bb2_report!H:H,C28420,[1]order_sku_sales_bb2_report!J:J,H28420)</f>
        <v>#ERROR!</v>
      </c>
      <c r="P637" s="6" t="str">
        <f>SUMIFS([1]order_sku_sales_bb2_report!O:O,[1]order_sku_sales_bb2_report!H:H,C28420,[1]order_sku_sales_bb2_report!J:J,H28420)</f>
        <v>#ERROR!</v>
      </c>
      <c r="Q637" s="6" t="str">
        <f t="shared" si="1"/>
        <v>22-12-2025</v>
      </c>
      <c r="R637" s="6" t="str">
        <f>IFERROR( VLOOKUP(C28420,[1]expressOrderReport!$S:$AZ,34,0),0)</f>
        <v>#ERROR!</v>
      </c>
      <c r="S637" s="6" t="str">
        <f>ARRAY_CONSTRAIN(ARRAYFORMULA(_xludf.XLOOKUP(D28420,[1]order_Report_SA_ID_BB2.0!V:V,[1]order_Report_SA_ID_BB2.0!AM:AM,"")), 1, 1)</f>
        <v>#ERROR!</v>
      </c>
      <c r="T637" s="6" t="str">
        <f t="shared" si="2"/>
        <v>Dec'25</v>
      </c>
    </row>
    <row r="638" ht="15.75" customHeight="1">
      <c r="A638" s="5">
        <v>46013.0</v>
      </c>
      <c r="B638" s="6">
        <v>9069.0</v>
      </c>
      <c r="C638" s="6">
        <v>1.859165277E9</v>
      </c>
      <c r="D638" s="6">
        <v>1.6531654E7</v>
      </c>
      <c r="E638" s="6" t="s">
        <v>1026</v>
      </c>
      <c r="F638" s="6" t="s">
        <v>1027</v>
      </c>
      <c r="G638" s="6">
        <v>9.900703345E9</v>
      </c>
      <c r="H638" s="6">
        <v>4.0158264E7</v>
      </c>
      <c r="I638" s="6" t="s">
        <v>26</v>
      </c>
      <c r="J638" s="6" t="s">
        <v>21</v>
      </c>
      <c r="K638" s="6" t="s">
        <v>22</v>
      </c>
      <c r="L638" s="6">
        <v>46.0</v>
      </c>
      <c r="M638" s="5">
        <v>46013.0</v>
      </c>
      <c r="N638" s="6" t="s">
        <v>23</v>
      </c>
      <c r="O638" s="6" t="str">
        <f>SUMIFS([1]order_sku_sales_bb2_report!P:P,[1]order_sku_sales_bb2_report!H:H,C28421,[1]order_sku_sales_bb2_report!J:J,H28421)</f>
        <v>#ERROR!</v>
      </c>
      <c r="P638" s="6" t="str">
        <f>SUMIFS([1]order_sku_sales_bb2_report!O:O,[1]order_sku_sales_bb2_report!H:H,C28421,[1]order_sku_sales_bb2_report!J:J,H28421)</f>
        <v>#ERROR!</v>
      </c>
      <c r="Q638" s="6" t="str">
        <f t="shared" si="1"/>
        <v>22-12-2025</v>
      </c>
      <c r="R638" s="6" t="str">
        <f>IFERROR( VLOOKUP(C28421,[1]expressOrderReport!$S:$AZ,34,0),0)</f>
        <v>#ERROR!</v>
      </c>
      <c r="S638" s="6" t="str">
        <f>ARRAY_CONSTRAIN(ARRAYFORMULA(_xludf.XLOOKUP(D28421,[1]order_Report_SA_ID_BB2.0!V:V,[1]order_Report_SA_ID_BB2.0!AM:AM,"")), 1, 1)</f>
        <v>#ERROR!</v>
      </c>
      <c r="T638" s="6" t="str">
        <f t="shared" si="2"/>
        <v>Dec'25</v>
      </c>
    </row>
    <row r="639" ht="15.75" customHeight="1">
      <c r="A639" s="5">
        <v>46013.0</v>
      </c>
      <c r="B639" s="6">
        <v>3726.0</v>
      </c>
      <c r="C639" s="6">
        <v>1.859167052E9</v>
      </c>
      <c r="D639" s="6">
        <v>1.7564686E7</v>
      </c>
      <c r="E639" s="6" t="s">
        <v>1028</v>
      </c>
      <c r="F639" s="6" t="s">
        <v>1029</v>
      </c>
      <c r="G639" s="6">
        <v>9.916907747E9</v>
      </c>
      <c r="H639" s="6">
        <v>4.0149832E7</v>
      </c>
      <c r="I639" s="6" t="s">
        <v>26</v>
      </c>
      <c r="J639" s="6" t="s">
        <v>21</v>
      </c>
      <c r="K639" s="6" t="s">
        <v>22</v>
      </c>
      <c r="L639" s="6">
        <v>75.0</v>
      </c>
      <c r="M639" s="5">
        <v>46013.0</v>
      </c>
      <c r="N639" s="6" t="s">
        <v>23</v>
      </c>
      <c r="O639" s="6" t="str">
        <f>SUMIFS([1]order_sku_sales_bb2_report!P:P,[1]order_sku_sales_bb2_report!H:H,C28422,[1]order_sku_sales_bb2_report!J:J,H28422)</f>
        <v>#ERROR!</v>
      </c>
      <c r="P639" s="6" t="str">
        <f>SUMIFS([1]order_sku_sales_bb2_report!O:O,[1]order_sku_sales_bb2_report!H:H,C28422,[1]order_sku_sales_bb2_report!J:J,H28422)</f>
        <v>#ERROR!</v>
      </c>
      <c r="Q639" s="6" t="str">
        <f t="shared" si="1"/>
        <v>22-12-2025</v>
      </c>
      <c r="R639" s="6" t="str">
        <f>IFERROR( VLOOKUP(C28422,[1]expressOrderReport!$S:$AZ,34,0),0)</f>
        <v>#ERROR!</v>
      </c>
      <c r="S639" s="6" t="str">
        <f>ARRAY_CONSTRAIN(ARRAYFORMULA(_xludf.XLOOKUP(D28422,[1]order_Report_SA_ID_BB2.0!V:V,[1]order_Report_SA_ID_BB2.0!AM:AM,"")), 1, 1)</f>
        <v>#ERROR!</v>
      </c>
      <c r="T639" s="6" t="str">
        <f t="shared" si="2"/>
        <v>Dec'25</v>
      </c>
    </row>
    <row r="640" ht="15.75" customHeight="1">
      <c r="A640" s="5">
        <v>46013.0</v>
      </c>
      <c r="B640" s="6">
        <v>3729.0</v>
      </c>
      <c r="C640" s="6">
        <v>1.859167052E9</v>
      </c>
      <c r="D640" s="6">
        <v>1.7564686E7</v>
      </c>
      <c r="E640" s="6" t="s">
        <v>1028</v>
      </c>
      <c r="F640" s="6" t="s">
        <v>1029</v>
      </c>
      <c r="G640" s="6">
        <v>9.916907747E9</v>
      </c>
      <c r="H640" s="6">
        <v>4.0149833E7</v>
      </c>
      <c r="I640" s="6" t="s">
        <v>40</v>
      </c>
      <c r="J640" s="6" t="s">
        <v>21</v>
      </c>
      <c r="K640" s="6" t="s">
        <v>22</v>
      </c>
      <c r="L640" s="6">
        <v>75.0</v>
      </c>
      <c r="M640" s="5">
        <v>46013.0</v>
      </c>
      <c r="N640" s="6" t="s">
        <v>23</v>
      </c>
      <c r="O640" s="6" t="str">
        <f>SUMIFS([1]order_sku_sales_bb2_report!P:P,[1]order_sku_sales_bb2_report!H:H,C28423,[1]order_sku_sales_bb2_report!J:J,H28423)</f>
        <v>#ERROR!</v>
      </c>
      <c r="P640" s="6" t="str">
        <f>SUMIFS([1]order_sku_sales_bb2_report!O:O,[1]order_sku_sales_bb2_report!H:H,C28423,[1]order_sku_sales_bb2_report!J:J,H28423)</f>
        <v>#ERROR!</v>
      </c>
      <c r="Q640" s="6" t="str">
        <f t="shared" si="1"/>
        <v>22-12-2025</v>
      </c>
      <c r="R640" s="6" t="str">
        <f>IFERROR( VLOOKUP(C28423,[1]expressOrderReport!$S:$AZ,34,0),0)</f>
        <v>#ERROR!</v>
      </c>
      <c r="S640" s="6" t="str">
        <f>ARRAY_CONSTRAIN(ARRAYFORMULA(_xludf.XLOOKUP(D28423,[1]order_Report_SA_ID_BB2.0!V:V,[1]order_Report_SA_ID_BB2.0!AM:AM,"")), 1, 1)</f>
        <v>#ERROR!</v>
      </c>
      <c r="T640" s="6" t="str">
        <f t="shared" si="2"/>
        <v>Dec'25</v>
      </c>
    </row>
    <row r="641" ht="15.75" customHeight="1">
      <c r="A641" s="5">
        <v>46013.0</v>
      </c>
      <c r="B641" s="6">
        <v>1786.0</v>
      </c>
      <c r="C641" s="6">
        <v>1.859167058E9</v>
      </c>
      <c r="D641" s="6">
        <v>1.615177E7</v>
      </c>
      <c r="E641" s="6" t="s">
        <v>1030</v>
      </c>
      <c r="F641" s="6" t="s">
        <v>1031</v>
      </c>
      <c r="G641" s="6">
        <v>9.844314136E9</v>
      </c>
      <c r="H641" s="6">
        <v>4.0149834E7</v>
      </c>
      <c r="I641" s="6" t="s">
        <v>40</v>
      </c>
      <c r="J641" s="6" t="s">
        <v>21</v>
      </c>
      <c r="K641" s="6" t="s">
        <v>22</v>
      </c>
      <c r="L641" s="6">
        <v>104.0</v>
      </c>
      <c r="M641" s="5">
        <v>46013.0</v>
      </c>
      <c r="N641" s="6" t="s">
        <v>23</v>
      </c>
      <c r="O641" s="6" t="str">
        <f>SUMIFS([1]order_sku_sales_bb2_report!P:P,[1]order_sku_sales_bb2_report!H:H,C28424,[1]order_sku_sales_bb2_report!J:J,H28424)</f>
        <v>#ERROR!</v>
      </c>
      <c r="P641" s="6" t="str">
        <f>SUMIFS([1]order_sku_sales_bb2_report!O:O,[1]order_sku_sales_bb2_report!H:H,C28424,[1]order_sku_sales_bb2_report!J:J,H28424)</f>
        <v>#ERROR!</v>
      </c>
      <c r="Q641" s="6" t="str">
        <f t="shared" si="1"/>
        <v>22-12-2025</v>
      </c>
      <c r="R641" s="6" t="str">
        <f>IFERROR( VLOOKUP(C28424,[1]expressOrderReport!$S:$AZ,34,0),0)</f>
        <v>#ERROR!</v>
      </c>
      <c r="S641" s="6" t="str">
        <f>ARRAY_CONSTRAIN(ARRAYFORMULA(_xludf.XLOOKUP(D28424,[1]order_Report_SA_ID_BB2.0!V:V,[1]order_Report_SA_ID_BB2.0!AM:AM,"")), 1, 1)</f>
        <v>#ERROR!</v>
      </c>
      <c r="T641" s="6" t="str">
        <f t="shared" si="2"/>
        <v>Dec'25</v>
      </c>
    </row>
    <row r="642" ht="15.75" customHeight="1">
      <c r="A642" s="5">
        <v>46013.0</v>
      </c>
      <c r="B642" s="6">
        <v>5050.0</v>
      </c>
      <c r="C642" s="6">
        <v>1.859167064E9</v>
      </c>
      <c r="D642" s="6">
        <v>2744740.0</v>
      </c>
      <c r="E642" s="6" t="s">
        <v>1032</v>
      </c>
      <c r="F642" s="6" t="s">
        <v>1033</v>
      </c>
      <c r="G642" s="6">
        <v>9.538322532E9</v>
      </c>
      <c r="H642" s="6">
        <v>4.0149833E7</v>
      </c>
      <c r="I642" s="6" t="s">
        <v>40</v>
      </c>
      <c r="J642" s="6" t="s">
        <v>21</v>
      </c>
      <c r="K642" s="6" t="s">
        <v>22</v>
      </c>
      <c r="L642" s="6">
        <v>54.0</v>
      </c>
      <c r="M642" s="5">
        <v>46013.0</v>
      </c>
      <c r="N642" s="6" t="s">
        <v>23</v>
      </c>
      <c r="O642" s="6" t="str">
        <f>SUMIFS([1]order_sku_sales_bb2_report!P:P,[1]order_sku_sales_bb2_report!H:H,C28425,[1]order_sku_sales_bb2_report!J:J,H28425)</f>
        <v>#ERROR!</v>
      </c>
      <c r="P642" s="6" t="str">
        <f>SUMIFS([1]order_sku_sales_bb2_report!O:O,[1]order_sku_sales_bb2_report!H:H,C28425,[1]order_sku_sales_bb2_report!J:J,H28425)</f>
        <v>#ERROR!</v>
      </c>
      <c r="Q642" s="6" t="str">
        <f t="shared" si="1"/>
        <v>22-12-2025</v>
      </c>
      <c r="R642" s="6" t="str">
        <f>IFERROR( VLOOKUP(C28425,[1]expressOrderReport!$S:$AZ,34,0),0)</f>
        <v>#ERROR!</v>
      </c>
      <c r="S642" s="6" t="str">
        <f>ARRAY_CONSTRAIN(ARRAYFORMULA(_xludf.XLOOKUP(D28425,[1]order_Report_SA_ID_BB2.0!V:V,[1]order_Report_SA_ID_BB2.0!AM:AM,"")), 1, 1)</f>
        <v>#ERROR!</v>
      </c>
      <c r="T642" s="6" t="str">
        <f t="shared" si="2"/>
        <v>Dec'25</v>
      </c>
    </row>
    <row r="643" ht="15.75" customHeight="1">
      <c r="A643" s="5">
        <v>46013.0</v>
      </c>
      <c r="B643" s="6">
        <v>1204.0</v>
      </c>
      <c r="C643" s="6">
        <v>1.85916707E9</v>
      </c>
      <c r="D643" s="6">
        <v>1.7629499E7</v>
      </c>
      <c r="E643" s="6" t="s">
        <v>1034</v>
      </c>
      <c r="F643" s="6" t="s">
        <v>1035</v>
      </c>
      <c r="G643" s="6">
        <v>9.00897755E9</v>
      </c>
      <c r="H643" s="6">
        <v>4.0147633E7</v>
      </c>
      <c r="I643" s="6" t="s">
        <v>1036</v>
      </c>
      <c r="J643" s="6" t="s">
        <v>21</v>
      </c>
      <c r="K643" s="6" t="s">
        <v>22</v>
      </c>
      <c r="L643" s="6">
        <v>66.0</v>
      </c>
      <c r="M643" s="5">
        <v>46013.0</v>
      </c>
      <c r="N643" s="6" t="s">
        <v>23</v>
      </c>
      <c r="O643" s="6" t="str">
        <f>SUMIFS([1]order_sku_sales_bb2_report!P:P,[1]order_sku_sales_bb2_report!H:H,C28426,[1]order_sku_sales_bb2_report!J:J,H28426)</f>
        <v>#ERROR!</v>
      </c>
      <c r="P643" s="6" t="str">
        <f>SUMIFS([1]order_sku_sales_bb2_report!O:O,[1]order_sku_sales_bb2_report!H:H,C28426,[1]order_sku_sales_bb2_report!J:J,H28426)</f>
        <v>#ERROR!</v>
      </c>
      <c r="Q643" s="6" t="str">
        <f t="shared" si="1"/>
        <v>22-12-2025</v>
      </c>
      <c r="R643" s="6" t="str">
        <f>IFERROR( VLOOKUP(C28426,[1]expressOrderReport!$S:$AZ,34,0),0)</f>
        <v>#ERROR!</v>
      </c>
      <c r="S643" s="6" t="str">
        <f>ARRAY_CONSTRAIN(ARRAYFORMULA(_xludf.XLOOKUP(D28426,[1]order_Report_SA_ID_BB2.0!V:V,[1]order_Report_SA_ID_BB2.0!AM:AM,"")), 1, 1)</f>
        <v>#ERROR!</v>
      </c>
      <c r="T643" s="6" t="str">
        <f t="shared" si="2"/>
        <v>Dec'25</v>
      </c>
    </row>
    <row r="644" ht="15.75" customHeight="1">
      <c r="A644" s="5">
        <v>46013.0</v>
      </c>
      <c r="B644" s="6">
        <v>1208.0</v>
      </c>
      <c r="C644" s="6">
        <v>1.85916707E9</v>
      </c>
      <c r="D644" s="6">
        <v>1.7629499E7</v>
      </c>
      <c r="E644" s="6" t="s">
        <v>1034</v>
      </c>
      <c r="F644" s="6" t="s">
        <v>1035</v>
      </c>
      <c r="G644" s="6">
        <v>9.00897755E9</v>
      </c>
      <c r="H644" s="6">
        <v>4.0149829E7</v>
      </c>
      <c r="I644" s="6" t="s">
        <v>355</v>
      </c>
      <c r="J644" s="6" t="s">
        <v>21</v>
      </c>
      <c r="K644" s="6" t="s">
        <v>22</v>
      </c>
      <c r="L644" s="6">
        <v>66.0</v>
      </c>
      <c r="M644" s="5">
        <v>46013.0</v>
      </c>
      <c r="N644" s="6" t="s">
        <v>23</v>
      </c>
      <c r="O644" s="6" t="str">
        <f>SUMIFS([1]order_sku_sales_bb2_report!P:P,[1]order_sku_sales_bb2_report!H:H,C28427,[1]order_sku_sales_bb2_report!J:J,H28427)</f>
        <v>#ERROR!</v>
      </c>
      <c r="P644" s="6" t="str">
        <f>SUMIFS([1]order_sku_sales_bb2_report!O:O,[1]order_sku_sales_bb2_report!H:H,C28427,[1]order_sku_sales_bb2_report!J:J,H28427)</f>
        <v>#ERROR!</v>
      </c>
      <c r="Q644" s="6" t="str">
        <f t="shared" si="1"/>
        <v>22-12-2025</v>
      </c>
      <c r="R644" s="6" t="str">
        <f>IFERROR( VLOOKUP(C28427,[1]expressOrderReport!$S:$AZ,34,0),0)</f>
        <v>#ERROR!</v>
      </c>
      <c r="S644" s="6" t="str">
        <f>ARRAY_CONSTRAIN(ARRAYFORMULA(_xludf.XLOOKUP(D28427,[1]order_Report_SA_ID_BB2.0!V:V,[1]order_Report_SA_ID_BB2.0!AM:AM,"")), 1, 1)</f>
        <v>#ERROR!</v>
      </c>
      <c r="T644" s="6" t="str">
        <f t="shared" si="2"/>
        <v>Dec'25</v>
      </c>
    </row>
    <row r="645" ht="15.75" customHeight="1">
      <c r="A645" s="5">
        <v>46013.0</v>
      </c>
      <c r="B645" s="6">
        <v>1148.0</v>
      </c>
      <c r="C645" s="6">
        <v>1.859167078E9</v>
      </c>
      <c r="D645" s="6">
        <v>4395527.0</v>
      </c>
      <c r="E645" s="6" t="s">
        <v>1037</v>
      </c>
      <c r="F645" s="6" t="s">
        <v>1038</v>
      </c>
      <c r="G645" s="6">
        <v>8.105827395E9</v>
      </c>
      <c r="H645" s="6">
        <v>4.0149832E7</v>
      </c>
      <c r="I645" s="6" t="s">
        <v>26</v>
      </c>
      <c r="J645" s="6" t="s">
        <v>21</v>
      </c>
      <c r="K645" s="6" t="s">
        <v>22</v>
      </c>
      <c r="L645" s="6">
        <v>48.0</v>
      </c>
      <c r="M645" s="5">
        <v>46013.0</v>
      </c>
      <c r="N645" s="6" t="s">
        <v>23</v>
      </c>
      <c r="O645" s="6" t="str">
        <f>SUMIFS([1]order_sku_sales_bb2_report!P:P,[1]order_sku_sales_bb2_report!H:H,C28428,[1]order_sku_sales_bb2_report!J:J,H28428)</f>
        <v>#ERROR!</v>
      </c>
      <c r="P645" s="6" t="str">
        <f>SUMIFS([1]order_sku_sales_bb2_report!O:O,[1]order_sku_sales_bb2_report!H:H,C28428,[1]order_sku_sales_bb2_report!J:J,H28428)</f>
        <v>#ERROR!</v>
      </c>
      <c r="Q645" s="6" t="str">
        <f t="shared" si="1"/>
        <v>22-12-2025</v>
      </c>
      <c r="R645" s="6" t="str">
        <f>IFERROR( VLOOKUP(C28428,[1]expressOrderReport!$S:$AZ,34,0),0)</f>
        <v>#ERROR!</v>
      </c>
      <c r="S645" s="6" t="str">
        <f>ARRAY_CONSTRAIN(ARRAYFORMULA(_xludf.XLOOKUP(D28428,[1]order_Report_SA_ID_BB2.0!V:V,[1]order_Report_SA_ID_BB2.0!AM:AM,"")), 1, 1)</f>
        <v>#ERROR!</v>
      </c>
      <c r="T645" s="6" t="str">
        <f t="shared" si="2"/>
        <v>Dec'25</v>
      </c>
    </row>
    <row r="646" ht="15.75" customHeight="1">
      <c r="A646" s="5">
        <v>46013.0</v>
      </c>
      <c r="B646" s="6">
        <v>4038.0</v>
      </c>
      <c r="C646" s="6">
        <v>1.859167082E9</v>
      </c>
      <c r="D646" s="6">
        <v>2968685.0</v>
      </c>
      <c r="E646" s="6" t="s">
        <v>1039</v>
      </c>
      <c r="F646" s="6" t="s">
        <v>1040</v>
      </c>
      <c r="G646" s="6">
        <v>9.954325022E9</v>
      </c>
      <c r="H646" s="6">
        <v>4.0148717E7</v>
      </c>
      <c r="I646" s="6" t="s">
        <v>226</v>
      </c>
      <c r="J646" s="6" t="s">
        <v>21</v>
      </c>
      <c r="K646" s="6" t="s">
        <v>22</v>
      </c>
      <c r="L646" s="6">
        <v>193.0</v>
      </c>
      <c r="M646" s="5">
        <v>46013.0</v>
      </c>
      <c r="N646" s="6" t="s">
        <v>23</v>
      </c>
      <c r="O646" s="6" t="str">
        <f>SUMIFS([1]order_sku_sales_bb2_report!P:P,[1]order_sku_sales_bb2_report!H:H,C28429,[1]order_sku_sales_bb2_report!J:J,H28429)</f>
        <v>#ERROR!</v>
      </c>
      <c r="P646" s="6" t="str">
        <f>SUMIFS([1]order_sku_sales_bb2_report!O:O,[1]order_sku_sales_bb2_report!H:H,C28429,[1]order_sku_sales_bb2_report!J:J,H28429)</f>
        <v>#ERROR!</v>
      </c>
      <c r="Q646" s="6" t="str">
        <f t="shared" si="1"/>
        <v>22-12-2025</v>
      </c>
      <c r="R646" s="6" t="str">
        <f>IFERROR( VLOOKUP(C28429,[1]expressOrderReport!$S:$AZ,34,0),0)</f>
        <v>#ERROR!</v>
      </c>
      <c r="S646" s="6" t="str">
        <f>ARRAY_CONSTRAIN(ARRAYFORMULA(_xludf.XLOOKUP(D28429,[1]order_Report_SA_ID_BB2.0!V:V,[1]order_Report_SA_ID_BB2.0!AM:AM,"")), 1, 1)</f>
        <v>#ERROR!</v>
      </c>
      <c r="T646" s="6" t="str">
        <f t="shared" si="2"/>
        <v>Dec'25</v>
      </c>
    </row>
    <row r="647" ht="15.75" customHeight="1">
      <c r="A647" s="5">
        <v>46013.0</v>
      </c>
      <c r="B647" s="6">
        <v>6535.0</v>
      </c>
      <c r="C647" s="6">
        <v>1.859167082E9</v>
      </c>
      <c r="D647" s="6">
        <v>2968685.0</v>
      </c>
      <c r="E647" s="6" t="s">
        <v>1039</v>
      </c>
      <c r="F647" s="6" t="s">
        <v>1040</v>
      </c>
      <c r="G647" s="6">
        <v>9.954325022E9</v>
      </c>
      <c r="H647" s="6">
        <v>4.0148728E7</v>
      </c>
      <c r="I647" s="6" t="s">
        <v>1041</v>
      </c>
      <c r="J647" s="6" t="s">
        <v>21</v>
      </c>
      <c r="K647" s="6" t="s">
        <v>22</v>
      </c>
      <c r="L647" s="6">
        <v>193.0</v>
      </c>
      <c r="M647" s="5">
        <v>46013.0</v>
      </c>
      <c r="N647" s="6" t="s">
        <v>23</v>
      </c>
      <c r="O647" s="6" t="str">
        <f>SUMIFS([1]order_sku_sales_bb2_report!P:P,[1]order_sku_sales_bb2_report!H:H,C28430,[1]order_sku_sales_bb2_report!J:J,H28430)</f>
        <v>#ERROR!</v>
      </c>
      <c r="P647" s="6" t="str">
        <f>SUMIFS([1]order_sku_sales_bb2_report!O:O,[1]order_sku_sales_bb2_report!H:H,C28430,[1]order_sku_sales_bb2_report!J:J,H28430)</f>
        <v>#ERROR!</v>
      </c>
      <c r="Q647" s="6" t="str">
        <f t="shared" si="1"/>
        <v>22-12-2025</v>
      </c>
      <c r="R647" s="6" t="str">
        <f>IFERROR( VLOOKUP(C28430,[1]expressOrderReport!$S:$AZ,34,0),0)</f>
        <v>#ERROR!</v>
      </c>
      <c r="S647" s="6" t="str">
        <f>ARRAY_CONSTRAIN(ARRAYFORMULA(_xludf.XLOOKUP(D28430,[1]order_Report_SA_ID_BB2.0!V:V,[1]order_Report_SA_ID_BB2.0!AM:AM,"")), 1, 1)</f>
        <v>#ERROR!</v>
      </c>
      <c r="T647" s="6" t="str">
        <f t="shared" si="2"/>
        <v>Dec'25</v>
      </c>
    </row>
    <row r="648" ht="15.75" customHeight="1">
      <c r="A648" s="5">
        <v>46013.0</v>
      </c>
      <c r="B648" s="6">
        <v>4495.0</v>
      </c>
      <c r="C648" s="6">
        <v>1.859167086E9</v>
      </c>
      <c r="D648" s="6">
        <v>1.6998983E7</v>
      </c>
      <c r="E648" s="6" t="s">
        <v>1042</v>
      </c>
      <c r="F648" s="6" t="s">
        <v>1043</v>
      </c>
      <c r="G648" s="6">
        <v>9.986812122E9</v>
      </c>
      <c r="H648" s="6">
        <v>2.0001186E7</v>
      </c>
      <c r="I648" s="6" t="s">
        <v>430</v>
      </c>
      <c r="J648" s="6" t="s">
        <v>21</v>
      </c>
      <c r="K648" s="6" t="s">
        <v>22</v>
      </c>
      <c r="L648" s="6">
        <v>7.27</v>
      </c>
      <c r="M648" s="5">
        <v>46013.0</v>
      </c>
      <c r="N648" s="6" t="s">
        <v>23</v>
      </c>
      <c r="O648" s="6" t="str">
        <f>SUMIFS([1]order_sku_sales_bb2_report!P:P,[1]order_sku_sales_bb2_report!H:H,C28431,[1]order_sku_sales_bb2_report!J:J,H28431)</f>
        <v>#ERROR!</v>
      </c>
      <c r="P648" s="6" t="str">
        <f>SUMIFS([1]order_sku_sales_bb2_report!O:O,[1]order_sku_sales_bb2_report!H:H,C28431,[1]order_sku_sales_bb2_report!J:J,H28431)</f>
        <v>#ERROR!</v>
      </c>
      <c r="Q648" s="6" t="str">
        <f t="shared" si="1"/>
        <v>22-12-2025</v>
      </c>
      <c r="R648" s="6" t="str">
        <f>IFERROR( VLOOKUP(C28431,[1]expressOrderReport!$S:$AZ,34,0),0)</f>
        <v>#ERROR!</v>
      </c>
      <c r="S648" s="6" t="str">
        <f>ARRAY_CONSTRAIN(ARRAYFORMULA(_xludf.XLOOKUP(D28431,[1]order_Report_SA_ID_BB2.0!V:V,[1]order_Report_SA_ID_BB2.0!AM:AM,"")), 1, 1)</f>
        <v>#ERROR!</v>
      </c>
      <c r="T648" s="6" t="str">
        <f t="shared" si="2"/>
        <v>Dec'25</v>
      </c>
    </row>
    <row r="649" ht="15.75" customHeight="1">
      <c r="A649" s="5">
        <v>46013.0</v>
      </c>
      <c r="B649" s="6">
        <v>4358.0</v>
      </c>
      <c r="C649" s="6">
        <v>1.859167093E9</v>
      </c>
      <c r="D649" s="6">
        <v>1.7880489E7</v>
      </c>
      <c r="E649" s="6" t="s">
        <v>1044</v>
      </c>
      <c r="F649" s="6" t="s">
        <v>1045</v>
      </c>
      <c r="G649" s="6">
        <v>9.908641993E9</v>
      </c>
      <c r="H649" s="6">
        <v>4.014983E7</v>
      </c>
      <c r="I649" s="6" t="s">
        <v>30</v>
      </c>
      <c r="J649" s="6" t="s">
        <v>21</v>
      </c>
      <c r="K649" s="6" t="s">
        <v>22</v>
      </c>
      <c r="L649" s="6">
        <v>28.0</v>
      </c>
      <c r="M649" s="5">
        <v>46013.0</v>
      </c>
      <c r="N649" s="6" t="s">
        <v>23</v>
      </c>
      <c r="O649" s="6" t="str">
        <f>SUMIFS([1]order_sku_sales_bb2_report!P:P,[1]order_sku_sales_bb2_report!H:H,C28432,[1]order_sku_sales_bb2_report!J:J,H28432)</f>
        <v>#ERROR!</v>
      </c>
      <c r="P649" s="6" t="str">
        <f>SUMIFS([1]order_sku_sales_bb2_report!O:O,[1]order_sku_sales_bb2_report!H:H,C28432,[1]order_sku_sales_bb2_report!J:J,H28432)</f>
        <v>#ERROR!</v>
      </c>
      <c r="Q649" s="6" t="str">
        <f t="shared" si="1"/>
        <v>22-12-2025</v>
      </c>
      <c r="R649" s="6" t="str">
        <f>IFERROR( VLOOKUP(C28432,[1]expressOrderReport!$S:$AZ,34,0),0)</f>
        <v>#ERROR!</v>
      </c>
      <c r="S649" s="6" t="str">
        <f>ARRAY_CONSTRAIN(ARRAYFORMULA(_xludf.XLOOKUP(D28432,[1]order_Report_SA_ID_BB2.0!V:V,[1]order_Report_SA_ID_BB2.0!AM:AM,"")), 1, 1)</f>
        <v>#ERROR!</v>
      </c>
      <c r="T649" s="6" t="str">
        <f t="shared" si="2"/>
        <v>Dec'25</v>
      </c>
    </row>
    <row r="650" ht="15.75" customHeight="1">
      <c r="A650" s="5">
        <v>46013.0</v>
      </c>
      <c r="B650" s="6">
        <v>10029.0</v>
      </c>
      <c r="C650" s="6">
        <v>1.859167093E9</v>
      </c>
      <c r="D650" s="6">
        <v>1.7880489E7</v>
      </c>
      <c r="E650" s="6" t="s">
        <v>1044</v>
      </c>
      <c r="F650" s="6" t="s">
        <v>1045</v>
      </c>
      <c r="G650" s="6">
        <v>9.908641993E9</v>
      </c>
      <c r="H650" s="6">
        <v>4.0161616E7</v>
      </c>
      <c r="I650" s="6" t="s">
        <v>20</v>
      </c>
      <c r="J650" s="6" t="s">
        <v>21</v>
      </c>
      <c r="K650" s="6" t="s">
        <v>22</v>
      </c>
      <c r="L650" s="6">
        <v>28.0</v>
      </c>
      <c r="M650" s="5">
        <v>46013.0</v>
      </c>
      <c r="N650" s="6" t="s">
        <v>23</v>
      </c>
      <c r="O650" s="6" t="str">
        <f>SUMIFS([1]order_sku_sales_bb2_report!P:P,[1]order_sku_sales_bb2_report!H:H,C28433,[1]order_sku_sales_bb2_report!J:J,H28433)</f>
        <v>#ERROR!</v>
      </c>
      <c r="P650" s="6" t="str">
        <f>SUMIFS([1]order_sku_sales_bb2_report!O:O,[1]order_sku_sales_bb2_report!H:H,C28433,[1]order_sku_sales_bb2_report!J:J,H28433)</f>
        <v>#ERROR!</v>
      </c>
      <c r="Q650" s="6" t="str">
        <f t="shared" si="1"/>
        <v>22-12-2025</v>
      </c>
      <c r="R650" s="6" t="str">
        <f>IFERROR( VLOOKUP(C28433,[1]expressOrderReport!$S:$AZ,34,0),0)</f>
        <v>#ERROR!</v>
      </c>
      <c r="S650" s="6" t="str">
        <f>ARRAY_CONSTRAIN(ARRAYFORMULA(_xludf.XLOOKUP(D28433,[1]order_Report_SA_ID_BB2.0!V:V,[1]order_Report_SA_ID_BB2.0!AM:AM,"")), 1, 1)</f>
        <v>#ERROR!</v>
      </c>
      <c r="T650" s="6" t="str">
        <f t="shared" si="2"/>
        <v>Dec'25</v>
      </c>
    </row>
    <row r="651" ht="15.75" customHeight="1">
      <c r="A651" s="5">
        <v>46013.0</v>
      </c>
      <c r="B651" s="6">
        <v>1779.0</v>
      </c>
      <c r="C651" s="6">
        <v>1.859167101E9</v>
      </c>
      <c r="D651" s="6">
        <v>1.6527538E7</v>
      </c>
      <c r="E651" s="6" t="s">
        <v>1046</v>
      </c>
      <c r="F651" s="6" t="s">
        <v>1047</v>
      </c>
      <c r="G651" s="6">
        <v>8.884800015E9</v>
      </c>
      <c r="H651" s="6">
        <v>4.0147597E7</v>
      </c>
      <c r="I651" s="6" t="s">
        <v>59</v>
      </c>
      <c r="J651" s="6" t="s">
        <v>21</v>
      </c>
      <c r="K651" s="6" t="s">
        <v>22</v>
      </c>
      <c r="L651" s="6">
        <v>52.0</v>
      </c>
      <c r="M651" s="5">
        <v>46013.0</v>
      </c>
      <c r="N651" s="6" t="s">
        <v>23</v>
      </c>
      <c r="O651" s="6" t="str">
        <f>SUMIFS([1]order_sku_sales_bb2_report!P:P,[1]order_sku_sales_bb2_report!H:H,C28434,[1]order_sku_sales_bb2_report!J:J,H28434)</f>
        <v>#ERROR!</v>
      </c>
      <c r="P651" s="6" t="str">
        <f>SUMIFS([1]order_sku_sales_bb2_report!O:O,[1]order_sku_sales_bb2_report!H:H,C28434,[1]order_sku_sales_bb2_report!J:J,H28434)</f>
        <v>#ERROR!</v>
      </c>
      <c r="Q651" s="6" t="str">
        <f t="shared" si="1"/>
        <v>22-12-2025</v>
      </c>
      <c r="R651" s="6" t="str">
        <f>IFERROR( VLOOKUP(C28434,[1]expressOrderReport!$S:$AZ,34,0),0)</f>
        <v>#ERROR!</v>
      </c>
      <c r="S651" s="6" t="str">
        <f>ARRAY_CONSTRAIN(ARRAYFORMULA(_xludf.XLOOKUP(D28434,[1]order_Report_SA_ID_BB2.0!V:V,[1]order_Report_SA_ID_BB2.0!AM:AM,"")), 1, 1)</f>
        <v>#ERROR!</v>
      </c>
      <c r="T651" s="6" t="str">
        <f t="shared" si="2"/>
        <v>Dec'25</v>
      </c>
    </row>
    <row r="652" ht="15.75" customHeight="1">
      <c r="A652" s="5">
        <v>46013.0</v>
      </c>
      <c r="B652" s="6">
        <v>11444.0</v>
      </c>
      <c r="C652" s="6">
        <v>1.85916711E9</v>
      </c>
      <c r="D652" s="6">
        <v>1.6648184E7</v>
      </c>
      <c r="E652" s="6" t="s">
        <v>1048</v>
      </c>
      <c r="F652" s="6" t="s">
        <v>1049</v>
      </c>
      <c r="G652" s="6">
        <v>8.123640347E9</v>
      </c>
      <c r="H652" s="6">
        <v>4.0003813E7</v>
      </c>
      <c r="I652" s="6" t="s">
        <v>1050</v>
      </c>
      <c r="J652" s="6" t="s">
        <v>21</v>
      </c>
      <c r="K652" s="6" t="s">
        <v>22</v>
      </c>
      <c r="L652" s="6">
        <v>175.0</v>
      </c>
      <c r="M652" s="5">
        <v>46013.0</v>
      </c>
      <c r="N652" s="6" t="s">
        <v>23</v>
      </c>
      <c r="O652" s="6" t="str">
        <f>SUMIFS([1]order_sku_sales_bb2_report!P:P,[1]order_sku_sales_bb2_report!H:H,C28435,[1]order_sku_sales_bb2_report!J:J,H28435)</f>
        <v>#ERROR!</v>
      </c>
      <c r="P652" s="6" t="str">
        <f>SUMIFS([1]order_sku_sales_bb2_report!O:O,[1]order_sku_sales_bb2_report!H:H,C28435,[1]order_sku_sales_bb2_report!J:J,H28435)</f>
        <v>#ERROR!</v>
      </c>
      <c r="Q652" s="6" t="str">
        <f t="shared" si="1"/>
        <v>22-12-2025</v>
      </c>
      <c r="R652" s="6" t="str">
        <f>IFERROR( VLOOKUP(C28435,[1]expressOrderReport!$S:$AZ,34,0),0)</f>
        <v>#ERROR!</v>
      </c>
      <c r="S652" s="6" t="str">
        <f>ARRAY_CONSTRAIN(ARRAYFORMULA(_xludf.XLOOKUP(D28435,[1]order_Report_SA_ID_BB2.0!V:V,[1]order_Report_SA_ID_BB2.0!AM:AM,"")), 1, 1)</f>
        <v>#ERROR!</v>
      </c>
      <c r="T652" s="6" t="str">
        <f t="shared" si="2"/>
        <v>Dec'25</v>
      </c>
    </row>
    <row r="653" ht="15.75" customHeight="1">
      <c r="A653" s="5">
        <v>46013.0</v>
      </c>
      <c r="B653" s="6">
        <v>5176.0</v>
      </c>
      <c r="C653" s="6">
        <v>1.859167116E9</v>
      </c>
      <c r="D653" s="6">
        <v>2159226.0</v>
      </c>
      <c r="E653" s="6" t="s">
        <v>1051</v>
      </c>
      <c r="F653" s="6" t="s">
        <v>1052</v>
      </c>
      <c r="G653" s="6">
        <v>8.880680301E9</v>
      </c>
      <c r="H653" s="6">
        <v>4.0149832E7</v>
      </c>
      <c r="I653" s="6" t="s">
        <v>26</v>
      </c>
      <c r="J653" s="6" t="s">
        <v>21</v>
      </c>
      <c r="K653" s="6" t="s">
        <v>22</v>
      </c>
      <c r="L653" s="6">
        <v>100.0</v>
      </c>
      <c r="M653" s="5">
        <v>46013.0</v>
      </c>
      <c r="N653" s="6" t="s">
        <v>23</v>
      </c>
      <c r="O653" s="6" t="str">
        <f>SUMIFS([1]order_sku_sales_bb2_report!P:P,[1]order_sku_sales_bb2_report!H:H,C28436,[1]order_sku_sales_bb2_report!J:J,H28436)</f>
        <v>#ERROR!</v>
      </c>
      <c r="P653" s="6" t="str">
        <f>SUMIFS([1]order_sku_sales_bb2_report!O:O,[1]order_sku_sales_bb2_report!H:H,C28436,[1]order_sku_sales_bb2_report!J:J,H28436)</f>
        <v>#ERROR!</v>
      </c>
      <c r="Q653" s="6" t="str">
        <f t="shared" si="1"/>
        <v>22-12-2025</v>
      </c>
      <c r="R653" s="6" t="str">
        <f>IFERROR( VLOOKUP(C28436,[1]expressOrderReport!$S:$AZ,34,0),0)</f>
        <v>#ERROR!</v>
      </c>
      <c r="S653" s="6" t="str">
        <f>ARRAY_CONSTRAIN(ARRAYFORMULA(_xludf.XLOOKUP(D28436,[1]order_Report_SA_ID_BB2.0!V:V,[1]order_Report_SA_ID_BB2.0!AM:AM,"")), 1, 1)</f>
        <v>#ERROR!</v>
      </c>
      <c r="T653" s="6" t="str">
        <f t="shared" si="2"/>
        <v>Dec'25</v>
      </c>
    </row>
    <row r="654" ht="15.75" customHeight="1">
      <c r="A654" s="5">
        <v>46013.0</v>
      </c>
      <c r="B654" s="6">
        <v>10227.0</v>
      </c>
      <c r="C654" s="6">
        <v>1.859167116E9</v>
      </c>
      <c r="D654" s="6">
        <v>2159226.0</v>
      </c>
      <c r="E654" s="6" t="s">
        <v>1051</v>
      </c>
      <c r="F654" s="6" t="s">
        <v>1052</v>
      </c>
      <c r="G654" s="6">
        <v>8.880680301E9</v>
      </c>
      <c r="H654" s="6">
        <v>4.014983E7</v>
      </c>
      <c r="I654" s="6" t="s">
        <v>30</v>
      </c>
      <c r="J654" s="6" t="s">
        <v>21</v>
      </c>
      <c r="K654" s="6" t="s">
        <v>22</v>
      </c>
      <c r="L654" s="6">
        <v>100.0</v>
      </c>
      <c r="M654" s="5">
        <v>46013.0</v>
      </c>
      <c r="N654" s="6" t="s">
        <v>23</v>
      </c>
      <c r="O654" s="6" t="str">
        <f>SUMIFS([1]order_sku_sales_bb2_report!P:P,[1]order_sku_sales_bb2_report!H:H,C28437,[1]order_sku_sales_bb2_report!J:J,H28437)</f>
        <v>#ERROR!</v>
      </c>
      <c r="P654" s="6" t="str">
        <f>SUMIFS([1]order_sku_sales_bb2_report!O:O,[1]order_sku_sales_bb2_report!H:H,C28437,[1]order_sku_sales_bb2_report!J:J,H28437)</f>
        <v>#ERROR!</v>
      </c>
      <c r="Q654" s="6" t="str">
        <f t="shared" si="1"/>
        <v>22-12-2025</v>
      </c>
      <c r="R654" s="6" t="str">
        <f>IFERROR( VLOOKUP(C28437,[1]expressOrderReport!$S:$AZ,34,0),0)</f>
        <v>#ERROR!</v>
      </c>
      <c r="S654" s="6" t="str">
        <f>ARRAY_CONSTRAIN(ARRAYFORMULA(_xludf.XLOOKUP(D28437,[1]order_Report_SA_ID_BB2.0!V:V,[1]order_Report_SA_ID_BB2.0!AM:AM,"")), 1, 1)</f>
        <v>#ERROR!</v>
      </c>
      <c r="T654" s="6" t="str">
        <f t="shared" si="2"/>
        <v>Dec'25</v>
      </c>
    </row>
    <row r="655" ht="15.75" customHeight="1">
      <c r="A655" s="5">
        <v>46013.0</v>
      </c>
      <c r="B655" s="6">
        <v>1372.0</v>
      </c>
      <c r="C655" s="6">
        <v>1.859167124E9</v>
      </c>
      <c r="D655" s="6">
        <v>1.8100528E7</v>
      </c>
      <c r="E655" s="6" t="s">
        <v>1053</v>
      </c>
      <c r="F655" s="6" t="s">
        <v>1054</v>
      </c>
      <c r="G655" s="6">
        <v>9.036037697E9</v>
      </c>
      <c r="H655" s="6">
        <v>4.0148716E7</v>
      </c>
      <c r="I655" s="6" t="s">
        <v>148</v>
      </c>
      <c r="J655" s="6" t="s">
        <v>21</v>
      </c>
      <c r="K655" s="6" t="s">
        <v>22</v>
      </c>
      <c r="L655" s="6">
        <v>87.0</v>
      </c>
      <c r="M655" s="5">
        <v>46013.0</v>
      </c>
      <c r="N655" s="6" t="s">
        <v>23</v>
      </c>
      <c r="O655" s="6" t="str">
        <f>SUMIFS([1]order_sku_sales_bb2_report!P:P,[1]order_sku_sales_bb2_report!H:H,C28438,[1]order_sku_sales_bb2_report!J:J,H28438)</f>
        <v>#ERROR!</v>
      </c>
      <c r="P655" s="6" t="str">
        <f>SUMIFS([1]order_sku_sales_bb2_report!O:O,[1]order_sku_sales_bb2_report!H:H,C28438,[1]order_sku_sales_bb2_report!J:J,H28438)</f>
        <v>#ERROR!</v>
      </c>
      <c r="Q655" s="6" t="str">
        <f t="shared" si="1"/>
        <v>22-12-2025</v>
      </c>
      <c r="R655" s="6" t="str">
        <f>IFERROR( VLOOKUP(C28438,[1]expressOrderReport!$S:$AZ,34,0),0)</f>
        <v>#ERROR!</v>
      </c>
      <c r="S655" s="6" t="str">
        <f>ARRAY_CONSTRAIN(ARRAYFORMULA(_xludf.XLOOKUP(D28438,[1]order_Report_SA_ID_BB2.0!V:V,[1]order_Report_SA_ID_BB2.0!AM:AM,"")), 1, 1)</f>
        <v>#ERROR!</v>
      </c>
      <c r="T655" s="6" t="str">
        <f t="shared" si="2"/>
        <v>Dec'25</v>
      </c>
    </row>
    <row r="656" ht="15.75" customHeight="1">
      <c r="A656" s="5">
        <v>46013.0</v>
      </c>
      <c r="B656" s="6">
        <v>1373.0</v>
      </c>
      <c r="C656" s="6">
        <v>1.859167124E9</v>
      </c>
      <c r="D656" s="6">
        <v>1.8100528E7</v>
      </c>
      <c r="E656" s="6" t="s">
        <v>1053</v>
      </c>
      <c r="F656" s="6" t="s">
        <v>1054</v>
      </c>
      <c r="G656" s="6">
        <v>9.036037697E9</v>
      </c>
      <c r="H656" s="6">
        <v>4.0148723E7</v>
      </c>
      <c r="I656" s="6" t="s">
        <v>69</v>
      </c>
      <c r="J656" s="6" t="s">
        <v>21</v>
      </c>
      <c r="K656" s="6" t="s">
        <v>22</v>
      </c>
      <c r="L656" s="6">
        <v>87.0</v>
      </c>
      <c r="M656" s="5">
        <v>46013.0</v>
      </c>
      <c r="N656" s="6" t="s">
        <v>23</v>
      </c>
      <c r="O656" s="6" t="str">
        <f>SUMIFS([1]order_sku_sales_bb2_report!P:P,[1]order_sku_sales_bb2_report!H:H,C28439,[1]order_sku_sales_bb2_report!J:J,H28439)</f>
        <v>#ERROR!</v>
      </c>
      <c r="P656" s="6" t="str">
        <f>SUMIFS([1]order_sku_sales_bb2_report!O:O,[1]order_sku_sales_bb2_report!H:H,C28439,[1]order_sku_sales_bb2_report!J:J,H28439)</f>
        <v>#ERROR!</v>
      </c>
      <c r="Q656" s="6" t="str">
        <f t="shared" si="1"/>
        <v>22-12-2025</v>
      </c>
      <c r="R656" s="6" t="str">
        <f>IFERROR( VLOOKUP(C28439,[1]expressOrderReport!$S:$AZ,34,0),0)</f>
        <v>#ERROR!</v>
      </c>
      <c r="S656" s="6" t="str">
        <f>ARRAY_CONSTRAIN(ARRAYFORMULA(_xludf.XLOOKUP(D28439,[1]order_Report_SA_ID_BB2.0!V:V,[1]order_Report_SA_ID_BB2.0!AM:AM,"")), 1, 1)</f>
        <v>#ERROR!</v>
      </c>
      <c r="T656" s="6" t="str">
        <f t="shared" si="2"/>
        <v>Dec'25</v>
      </c>
    </row>
    <row r="657" ht="15.75" customHeight="1">
      <c r="A657" s="5">
        <v>46013.0</v>
      </c>
      <c r="B657" s="6">
        <v>644.0</v>
      </c>
      <c r="C657" s="6">
        <v>1.859167126E9</v>
      </c>
      <c r="D657" s="6">
        <v>1.6189445E7</v>
      </c>
      <c r="E657" s="6" t="s">
        <v>1055</v>
      </c>
      <c r="F657" s="6" t="s">
        <v>1056</v>
      </c>
      <c r="G657" s="6">
        <v>9.845028483E9</v>
      </c>
      <c r="H657" s="6">
        <v>4.0158264E7</v>
      </c>
      <c r="I657" s="6" t="s">
        <v>26</v>
      </c>
      <c r="J657" s="6" t="s">
        <v>21</v>
      </c>
      <c r="K657" s="6" t="s">
        <v>22</v>
      </c>
      <c r="L657" s="6">
        <v>138.0</v>
      </c>
      <c r="M657" s="5">
        <v>46013.0</v>
      </c>
      <c r="N657" s="6" t="s">
        <v>23</v>
      </c>
      <c r="O657" s="6" t="str">
        <f>SUMIFS([1]order_sku_sales_bb2_report!P:P,[1]order_sku_sales_bb2_report!H:H,C28440,[1]order_sku_sales_bb2_report!J:J,H28440)</f>
        <v>#ERROR!</v>
      </c>
      <c r="P657" s="6" t="str">
        <f>SUMIFS([1]order_sku_sales_bb2_report!O:O,[1]order_sku_sales_bb2_report!H:H,C28440,[1]order_sku_sales_bb2_report!J:J,H28440)</f>
        <v>#ERROR!</v>
      </c>
      <c r="Q657" s="6" t="str">
        <f t="shared" si="1"/>
        <v>22-12-2025</v>
      </c>
      <c r="R657" s="6" t="str">
        <f>IFERROR( VLOOKUP(C28440,[1]expressOrderReport!$S:$AZ,34,0),0)</f>
        <v>#ERROR!</v>
      </c>
      <c r="S657" s="6" t="str">
        <f>ARRAY_CONSTRAIN(ARRAYFORMULA(_xludf.XLOOKUP(D28440,[1]order_Report_SA_ID_BB2.0!V:V,[1]order_Report_SA_ID_BB2.0!AM:AM,"")), 1, 1)</f>
        <v>#ERROR!</v>
      </c>
      <c r="T657" s="6" t="str">
        <f t="shared" si="2"/>
        <v>Dec'25</v>
      </c>
    </row>
    <row r="658" ht="15.75" customHeight="1">
      <c r="A658" s="5">
        <v>46013.0</v>
      </c>
      <c r="B658" s="6">
        <v>646.0</v>
      </c>
      <c r="C658" s="6">
        <v>1.859167126E9</v>
      </c>
      <c r="D658" s="6">
        <v>1.6189445E7</v>
      </c>
      <c r="E658" s="6" t="s">
        <v>1055</v>
      </c>
      <c r="F658" s="6" t="s">
        <v>1056</v>
      </c>
      <c r="G658" s="6">
        <v>9.845028483E9</v>
      </c>
      <c r="H658" s="6">
        <v>2.0002407E7</v>
      </c>
      <c r="I658" s="6" t="s">
        <v>1057</v>
      </c>
      <c r="J658" s="6" t="s">
        <v>21</v>
      </c>
      <c r="K658" s="6" t="s">
        <v>22</v>
      </c>
      <c r="L658" s="6">
        <v>138.0</v>
      </c>
      <c r="M658" s="5">
        <v>46013.0</v>
      </c>
      <c r="N658" s="6" t="s">
        <v>23</v>
      </c>
      <c r="O658" s="6" t="str">
        <f>SUMIFS([1]order_sku_sales_bb2_report!P:P,[1]order_sku_sales_bb2_report!H:H,C28441,[1]order_sku_sales_bb2_report!J:J,H28441)</f>
        <v>#ERROR!</v>
      </c>
      <c r="P658" s="6" t="str">
        <f>SUMIFS([1]order_sku_sales_bb2_report!O:O,[1]order_sku_sales_bb2_report!H:H,C28441,[1]order_sku_sales_bb2_report!J:J,H28441)</f>
        <v>#ERROR!</v>
      </c>
      <c r="Q658" s="6" t="str">
        <f t="shared" si="1"/>
        <v>22-12-2025</v>
      </c>
      <c r="R658" s="6" t="str">
        <f>IFERROR( VLOOKUP(C28441,[1]expressOrderReport!$S:$AZ,34,0),0)</f>
        <v>#ERROR!</v>
      </c>
      <c r="S658" s="6" t="str">
        <f>ARRAY_CONSTRAIN(ARRAYFORMULA(_xludf.XLOOKUP(D28441,[1]order_Report_SA_ID_BB2.0!V:V,[1]order_Report_SA_ID_BB2.0!AM:AM,"")), 1, 1)</f>
        <v>#ERROR!</v>
      </c>
      <c r="T658" s="6" t="str">
        <f t="shared" si="2"/>
        <v>Dec'25</v>
      </c>
    </row>
    <row r="659" ht="15.75" customHeight="1">
      <c r="A659" s="5">
        <v>46013.0</v>
      </c>
      <c r="B659" s="6">
        <v>4256.0</v>
      </c>
      <c r="C659" s="6">
        <v>1.859167132E9</v>
      </c>
      <c r="D659" s="6">
        <v>476879.0</v>
      </c>
      <c r="E659" s="6" t="s">
        <v>1058</v>
      </c>
      <c r="F659" s="6" t="s">
        <v>1059</v>
      </c>
      <c r="G659" s="6">
        <v>9.620274038E9</v>
      </c>
      <c r="H659" s="6">
        <v>4.0148714E7</v>
      </c>
      <c r="I659" s="6" t="s">
        <v>183</v>
      </c>
      <c r="J659" s="6" t="s">
        <v>21</v>
      </c>
      <c r="K659" s="6" t="s">
        <v>22</v>
      </c>
      <c r="L659" s="6">
        <v>94.0</v>
      </c>
      <c r="M659" s="5">
        <v>46013.0</v>
      </c>
      <c r="N659" s="6" t="s">
        <v>23</v>
      </c>
      <c r="O659" s="6" t="str">
        <f>SUMIFS([1]order_sku_sales_bb2_report!P:P,[1]order_sku_sales_bb2_report!H:H,C28442,[1]order_sku_sales_bb2_report!J:J,H28442)</f>
        <v>#ERROR!</v>
      </c>
      <c r="P659" s="6" t="str">
        <f>SUMIFS([1]order_sku_sales_bb2_report!O:O,[1]order_sku_sales_bb2_report!H:H,C28442,[1]order_sku_sales_bb2_report!J:J,H28442)</f>
        <v>#ERROR!</v>
      </c>
      <c r="Q659" s="6" t="str">
        <f t="shared" si="1"/>
        <v>22-12-2025</v>
      </c>
      <c r="R659" s="6" t="str">
        <f>IFERROR( VLOOKUP(C28442,[1]expressOrderReport!$S:$AZ,34,0),0)</f>
        <v>#ERROR!</v>
      </c>
      <c r="S659" s="6" t="str">
        <f>ARRAY_CONSTRAIN(ARRAYFORMULA(_xludf.XLOOKUP(D28442,[1]order_Report_SA_ID_BB2.0!V:V,[1]order_Report_SA_ID_BB2.0!AM:AM,"")), 1, 1)</f>
        <v>#ERROR!</v>
      </c>
      <c r="T659" s="6" t="str">
        <f t="shared" si="2"/>
        <v>Dec'25</v>
      </c>
    </row>
    <row r="660" ht="15.75" customHeight="1">
      <c r="A660" s="5">
        <v>46013.0</v>
      </c>
      <c r="B660" s="6">
        <v>10115.0</v>
      </c>
      <c r="C660" s="6">
        <v>1.859167136E9</v>
      </c>
      <c r="D660" s="6">
        <v>1.8429303E7</v>
      </c>
      <c r="E660" s="6" t="s">
        <v>1060</v>
      </c>
      <c r="F660" s="6" t="s">
        <v>1061</v>
      </c>
      <c r="G660" s="6">
        <v>8.762530214E9</v>
      </c>
      <c r="H660" s="6">
        <v>4.0149834E7</v>
      </c>
      <c r="I660" s="6" t="s">
        <v>40</v>
      </c>
      <c r="J660" s="6" t="s">
        <v>21</v>
      </c>
      <c r="K660" s="6" t="s">
        <v>22</v>
      </c>
      <c r="L660" s="6">
        <v>52.0</v>
      </c>
      <c r="M660" s="5">
        <v>46013.0</v>
      </c>
      <c r="N660" s="6" t="s">
        <v>23</v>
      </c>
      <c r="O660" s="6" t="str">
        <f>SUMIFS([1]order_sku_sales_bb2_report!P:P,[1]order_sku_sales_bb2_report!H:H,C28443,[1]order_sku_sales_bb2_report!J:J,H28443)</f>
        <v>#ERROR!</v>
      </c>
      <c r="P660" s="6" t="str">
        <f>SUMIFS([1]order_sku_sales_bb2_report!O:O,[1]order_sku_sales_bb2_report!H:H,C28443,[1]order_sku_sales_bb2_report!J:J,H28443)</f>
        <v>#ERROR!</v>
      </c>
      <c r="Q660" s="6" t="str">
        <f t="shared" si="1"/>
        <v>22-12-2025</v>
      </c>
      <c r="R660" s="6" t="str">
        <f>IFERROR( VLOOKUP(C28443,[1]expressOrderReport!$S:$AZ,34,0),0)</f>
        <v>#ERROR!</v>
      </c>
      <c r="S660" s="6" t="str">
        <f>ARRAY_CONSTRAIN(ARRAYFORMULA(_xludf.XLOOKUP(D28443,[1]order_Report_SA_ID_BB2.0!V:V,[1]order_Report_SA_ID_BB2.0!AM:AM,"")), 1, 1)</f>
        <v>#ERROR!</v>
      </c>
      <c r="T660" s="6" t="str">
        <f t="shared" si="2"/>
        <v>Dec'25</v>
      </c>
    </row>
    <row r="661" ht="15.75" customHeight="1">
      <c r="A661" s="5">
        <v>46013.0</v>
      </c>
      <c r="B661" s="6">
        <v>6983.0</v>
      </c>
      <c r="C661" s="6">
        <v>1.85916714E9</v>
      </c>
      <c r="D661" s="6">
        <v>1.6136682E7</v>
      </c>
      <c r="E661" s="6" t="s">
        <v>1062</v>
      </c>
      <c r="F661" s="6" t="s">
        <v>1063</v>
      </c>
      <c r="G661" s="6">
        <v>8.867673472E9</v>
      </c>
      <c r="H661" s="6">
        <v>4.0147597E7</v>
      </c>
      <c r="I661" s="6" t="s">
        <v>59</v>
      </c>
      <c r="J661" s="6" t="s">
        <v>21</v>
      </c>
      <c r="K661" s="6" t="s">
        <v>22</v>
      </c>
      <c r="L661" s="6">
        <v>86.0</v>
      </c>
      <c r="M661" s="5">
        <v>46013.0</v>
      </c>
      <c r="N661" s="6" t="s">
        <v>23</v>
      </c>
      <c r="O661" s="6" t="str">
        <f>SUMIFS([1]order_sku_sales_bb2_report!P:P,[1]order_sku_sales_bb2_report!H:H,C28444,[1]order_sku_sales_bb2_report!J:J,H28444)</f>
        <v>#ERROR!</v>
      </c>
      <c r="P661" s="6" t="str">
        <f>SUMIFS([1]order_sku_sales_bb2_report!O:O,[1]order_sku_sales_bb2_report!H:H,C28444,[1]order_sku_sales_bb2_report!J:J,H28444)</f>
        <v>#ERROR!</v>
      </c>
      <c r="Q661" s="6" t="str">
        <f t="shared" si="1"/>
        <v>22-12-2025</v>
      </c>
      <c r="R661" s="6" t="str">
        <f>IFERROR( VLOOKUP(C28444,[1]expressOrderReport!$S:$AZ,34,0),0)</f>
        <v>#ERROR!</v>
      </c>
      <c r="S661" s="6" t="str">
        <f>ARRAY_CONSTRAIN(ARRAYFORMULA(_xludf.XLOOKUP(D28444,[1]order_Report_SA_ID_BB2.0!V:V,[1]order_Report_SA_ID_BB2.0!AM:AM,"")), 1, 1)</f>
        <v>#ERROR!</v>
      </c>
      <c r="T661" s="6" t="str">
        <f t="shared" si="2"/>
        <v>Dec'25</v>
      </c>
    </row>
    <row r="662" ht="15.75" customHeight="1">
      <c r="A662" s="5">
        <v>46013.0</v>
      </c>
      <c r="B662" s="6">
        <v>6984.0</v>
      </c>
      <c r="C662" s="6">
        <v>1.85916714E9</v>
      </c>
      <c r="D662" s="6">
        <v>1.6136682E7</v>
      </c>
      <c r="E662" s="6" t="s">
        <v>1062</v>
      </c>
      <c r="F662" s="6" t="s">
        <v>1063</v>
      </c>
      <c r="G662" s="6">
        <v>8.867673472E9</v>
      </c>
      <c r="H662" s="6">
        <v>4.0149829E7</v>
      </c>
      <c r="I662" s="6" t="s">
        <v>355</v>
      </c>
      <c r="J662" s="6" t="s">
        <v>21</v>
      </c>
      <c r="K662" s="6" t="s">
        <v>22</v>
      </c>
      <c r="L662" s="6">
        <v>86.0</v>
      </c>
      <c r="M662" s="5">
        <v>46013.0</v>
      </c>
      <c r="N662" s="6" t="s">
        <v>23</v>
      </c>
      <c r="O662" s="6" t="str">
        <f>SUMIFS([1]order_sku_sales_bb2_report!P:P,[1]order_sku_sales_bb2_report!H:H,C28445,[1]order_sku_sales_bb2_report!J:J,H28445)</f>
        <v>#ERROR!</v>
      </c>
      <c r="P662" s="6" t="str">
        <f>SUMIFS([1]order_sku_sales_bb2_report!O:O,[1]order_sku_sales_bb2_report!H:H,C28445,[1]order_sku_sales_bb2_report!J:J,H28445)</f>
        <v>#ERROR!</v>
      </c>
      <c r="Q662" s="6" t="str">
        <f t="shared" si="1"/>
        <v>22-12-2025</v>
      </c>
      <c r="R662" s="6" t="str">
        <f>IFERROR( VLOOKUP(C28445,[1]expressOrderReport!$S:$AZ,34,0),0)</f>
        <v>#ERROR!</v>
      </c>
      <c r="S662" s="6" t="str">
        <f>ARRAY_CONSTRAIN(ARRAYFORMULA(_xludf.XLOOKUP(D28445,[1]order_Report_SA_ID_BB2.0!V:V,[1]order_Report_SA_ID_BB2.0!AM:AM,"")), 1, 1)</f>
        <v>#ERROR!</v>
      </c>
      <c r="T662" s="6" t="str">
        <f t="shared" si="2"/>
        <v>Dec'25</v>
      </c>
    </row>
    <row r="663" ht="15.75" customHeight="1">
      <c r="A663" s="5">
        <v>46013.0</v>
      </c>
      <c r="B663" s="6">
        <v>8659.0</v>
      </c>
      <c r="C663" s="6">
        <v>1.859167144E9</v>
      </c>
      <c r="D663" s="6">
        <v>1.6386276E7</v>
      </c>
      <c r="E663" s="6" t="s">
        <v>1064</v>
      </c>
      <c r="F663" s="6" t="s">
        <v>1065</v>
      </c>
      <c r="G663" s="6">
        <v>8.056542599E9</v>
      </c>
      <c r="H663" s="6">
        <v>4.0149832E7</v>
      </c>
      <c r="I663" s="6" t="s">
        <v>26</v>
      </c>
      <c r="J663" s="6" t="s">
        <v>21</v>
      </c>
      <c r="K663" s="6" t="s">
        <v>22</v>
      </c>
      <c r="L663" s="6">
        <v>24.0</v>
      </c>
      <c r="M663" s="5">
        <v>46013.0</v>
      </c>
      <c r="N663" s="6" t="s">
        <v>23</v>
      </c>
      <c r="O663" s="6" t="str">
        <f>SUMIFS([1]order_sku_sales_bb2_report!P:P,[1]order_sku_sales_bb2_report!H:H,C28446,[1]order_sku_sales_bb2_report!J:J,H28446)</f>
        <v>#ERROR!</v>
      </c>
      <c r="P663" s="6" t="str">
        <f>SUMIFS([1]order_sku_sales_bb2_report!O:O,[1]order_sku_sales_bb2_report!H:H,C28446,[1]order_sku_sales_bb2_report!J:J,H28446)</f>
        <v>#ERROR!</v>
      </c>
      <c r="Q663" s="6" t="str">
        <f t="shared" si="1"/>
        <v>22-12-2025</v>
      </c>
      <c r="R663" s="6" t="str">
        <f>IFERROR( VLOOKUP(C28446,[1]expressOrderReport!$S:$AZ,34,0),0)</f>
        <v>#ERROR!</v>
      </c>
      <c r="S663" s="6" t="str">
        <f>ARRAY_CONSTRAIN(ARRAYFORMULA(_xludf.XLOOKUP(D28446,[1]order_Report_SA_ID_BB2.0!V:V,[1]order_Report_SA_ID_BB2.0!AM:AM,"")), 1, 1)</f>
        <v>#ERROR!</v>
      </c>
      <c r="T663" s="6" t="str">
        <f t="shared" si="2"/>
        <v>Dec'25</v>
      </c>
    </row>
    <row r="664" ht="15.75" customHeight="1">
      <c r="A664" s="5">
        <v>46013.0</v>
      </c>
      <c r="B664" s="6">
        <v>344.0</v>
      </c>
      <c r="C664" s="6">
        <v>1.859167146E9</v>
      </c>
      <c r="D664" s="6">
        <v>2780175.0</v>
      </c>
      <c r="E664" s="6" t="s">
        <v>1066</v>
      </c>
      <c r="F664" s="6" t="s">
        <v>1067</v>
      </c>
      <c r="G664" s="6">
        <v>9.962886361E9</v>
      </c>
      <c r="H664" s="6">
        <v>4.0049915E7</v>
      </c>
      <c r="I664" s="6" t="s">
        <v>172</v>
      </c>
      <c r="J664" s="6" t="s">
        <v>21</v>
      </c>
      <c r="K664" s="6" t="s">
        <v>22</v>
      </c>
      <c r="L664" s="6">
        <v>25.0</v>
      </c>
      <c r="M664" s="5">
        <v>46013.0</v>
      </c>
      <c r="N664" s="6" t="s">
        <v>23</v>
      </c>
      <c r="O664" s="6" t="str">
        <f>SUMIFS([1]order_sku_sales_bb2_report!P:P,[1]order_sku_sales_bb2_report!H:H,C28447,[1]order_sku_sales_bb2_report!J:J,H28447)</f>
        <v>#ERROR!</v>
      </c>
      <c r="P664" s="6" t="str">
        <f>SUMIFS([1]order_sku_sales_bb2_report!O:O,[1]order_sku_sales_bb2_report!H:H,C28447,[1]order_sku_sales_bb2_report!J:J,H28447)</f>
        <v>#ERROR!</v>
      </c>
      <c r="Q664" s="6" t="str">
        <f t="shared" si="1"/>
        <v>22-12-2025</v>
      </c>
      <c r="R664" s="6" t="str">
        <f>IFERROR( VLOOKUP(C28447,[1]expressOrderReport!$S:$AZ,34,0),0)</f>
        <v>#ERROR!</v>
      </c>
      <c r="S664" s="6" t="str">
        <f>ARRAY_CONSTRAIN(ARRAYFORMULA(_xludf.XLOOKUP(D28447,[1]order_Report_SA_ID_BB2.0!V:V,[1]order_Report_SA_ID_BB2.0!AM:AM,"")), 1, 1)</f>
        <v>#ERROR!</v>
      </c>
      <c r="T664" s="6" t="str">
        <f t="shared" si="2"/>
        <v>Dec'25</v>
      </c>
    </row>
    <row r="665" ht="15.75" customHeight="1">
      <c r="A665" s="5">
        <v>46013.0</v>
      </c>
      <c r="B665" s="6">
        <v>8745.0</v>
      </c>
      <c r="C665" s="6">
        <v>1.85916715E9</v>
      </c>
      <c r="D665" s="6">
        <v>1.0017345E7</v>
      </c>
      <c r="E665" s="6" t="s">
        <v>1068</v>
      </c>
      <c r="F665" s="6" t="s">
        <v>1069</v>
      </c>
      <c r="G665" s="6">
        <v>9.83569898E9</v>
      </c>
      <c r="H665" s="6">
        <v>4.0147597E7</v>
      </c>
      <c r="I665" s="6" t="s">
        <v>59</v>
      </c>
      <c r="J665" s="6" t="s">
        <v>21</v>
      </c>
      <c r="K665" s="6" t="s">
        <v>22</v>
      </c>
      <c r="L665" s="6">
        <v>60.55</v>
      </c>
      <c r="M665" s="5">
        <v>46013.0</v>
      </c>
      <c r="N665" s="6" t="s">
        <v>23</v>
      </c>
      <c r="O665" s="6" t="str">
        <f>SUMIFS([1]order_sku_sales_bb2_report!P:P,[1]order_sku_sales_bb2_report!H:H,C28448,[1]order_sku_sales_bb2_report!J:J,H28448)</f>
        <v>#ERROR!</v>
      </c>
      <c r="P665" s="6" t="str">
        <f>SUMIFS([1]order_sku_sales_bb2_report!O:O,[1]order_sku_sales_bb2_report!H:H,C28448,[1]order_sku_sales_bb2_report!J:J,H28448)</f>
        <v>#ERROR!</v>
      </c>
      <c r="Q665" s="6" t="str">
        <f t="shared" si="1"/>
        <v>22-12-2025</v>
      </c>
      <c r="R665" s="6" t="str">
        <f>IFERROR( VLOOKUP(C28448,[1]expressOrderReport!$S:$AZ,34,0),0)</f>
        <v>#ERROR!</v>
      </c>
      <c r="S665" s="6" t="str">
        <f>ARRAY_CONSTRAIN(ARRAYFORMULA(_xludf.XLOOKUP(D28448,[1]order_Report_SA_ID_BB2.0!V:V,[1]order_Report_SA_ID_BB2.0!AM:AM,"")), 1, 1)</f>
        <v>#ERROR!</v>
      </c>
      <c r="T665" s="6" t="str">
        <f t="shared" si="2"/>
        <v>Dec'25</v>
      </c>
    </row>
    <row r="666" ht="15.75" customHeight="1">
      <c r="A666" s="5">
        <v>46013.0</v>
      </c>
      <c r="B666" s="6">
        <v>8746.0</v>
      </c>
      <c r="C666" s="6">
        <v>1.85916715E9</v>
      </c>
      <c r="D666" s="6">
        <v>1.0017345E7</v>
      </c>
      <c r="E666" s="6" t="s">
        <v>1068</v>
      </c>
      <c r="F666" s="6" t="s">
        <v>1069</v>
      </c>
      <c r="G666" s="6">
        <v>9.83569898E9</v>
      </c>
      <c r="H666" s="6">
        <v>4.0019269E7</v>
      </c>
      <c r="I666" s="6" t="s">
        <v>1070</v>
      </c>
      <c r="J666" s="6" t="s">
        <v>21</v>
      </c>
      <c r="K666" s="6" t="s">
        <v>22</v>
      </c>
      <c r="L666" s="6">
        <v>60.55</v>
      </c>
      <c r="M666" s="5">
        <v>46013.0</v>
      </c>
      <c r="N666" s="6" t="s">
        <v>23</v>
      </c>
      <c r="O666" s="6" t="str">
        <f>SUMIFS([1]order_sku_sales_bb2_report!P:P,[1]order_sku_sales_bb2_report!H:H,C28449,[1]order_sku_sales_bb2_report!J:J,H28449)</f>
        <v>#ERROR!</v>
      </c>
      <c r="P666" s="6" t="str">
        <f>SUMIFS([1]order_sku_sales_bb2_report!O:O,[1]order_sku_sales_bb2_report!H:H,C28449,[1]order_sku_sales_bb2_report!J:J,H28449)</f>
        <v>#ERROR!</v>
      </c>
      <c r="Q666" s="6" t="str">
        <f t="shared" si="1"/>
        <v>22-12-2025</v>
      </c>
      <c r="R666" s="6" t="str">
        <f>IFERROR( VLOOKUP(C28449,[1]expressOrderReport!$S:$AZ,34,0),0)</f>
        <v>#ERROR!</v>
      </c>
      <c r="S666" s="6" t="str">
        <f>ARRAY_CONSTRAIN(ARRAYFORMULA(_xludf.XLOOKUP(D28449,[1]order_Report_SA_ID_BB2.0!V:V,[1]order_Report_SA_ID_BB2.0!AM:AM,"")), 1, 1)</f>
        <v>#ERROR!</v>
      </c>
      <c r="T666" s="6" t="str">
        <f t="shared" si="2"/>
        <v>Dec'25</v>
      </c>
    </row>
    <row r="667" ht="15.75" customHeight="1">
      <c r="A667" s="5">
        <v>46013.0</v>
      </c>
      <c r="B667" s="6">
        <v>4142.0</v>
      </c>
      <c r="C667" s="6">
        <v>1.859167155E9</v>
      </c>
      <c r="D667" s="6">
        <v>1.8952639E7</v>
      </c>
      <c r="E667" s="6" t="s">
        <v>1071</v>
      </c>
      <c r="F667" s="6" t="s">
        <v>1072</v>
      </c>
      <c r="G667" s="6">
        <v>9.971323338E9</v>
      </c>
      <c r="H667" s="6">
        <v>4.0147597E7</v>
      </c>
      <c r="I667" s="6" t="s">
        <v>59</v>
      </c>
      <c r="J667" s="6" t="s">
        <v>21</v>
      </c>
      <c r="K667" s="6" t="s">
        <v>22</v>
      </c>
      <c r="L667" s="6">
        <v>26.0</v>
      </c>
      <c r="M667" s="5">
        <v>46013.0</v>
      </c>
      <c r="N667" s="6" t="s">
        <v>23</v>
      </c>
      <c r="O667" s="6" t="str">
        <f>SUMIFS([1]order_sku_sales_bb2_report!P:P,[1]order_sku_sales_bb2_report!H:H,C28450,[1]order_sku_sales_bb2_report!J:J,H28450)</f>
        <v>#ERROR!</v>
      </c>
      <c r="P667" s="6" t="str">
        <f>SUMIFS([1]order_sku_sales_bb2_report!O:O,[1]order_sku_sales_bb2_report!H:H,C28450,[1]order_sku_sales_bb2_report!J:J,H28450)</f>
        <v>#ERROR!</v>
      </c>
      <c r="Q667" s="6" t="str">
        <f t="shared" si="1"/>
        <v>22-12-2025</v>
      </c>
      <c r="R667" s="6" t="str">
        <f>IFERROR( VLOOKUP(C28450,[1]expressOrderReport!$S:$AZ,34,0),0)</f>
        <v>#ERROR!</v>
      </c>
      <c r="S667" s="6" t="str">
        <f>ARRAY_CONSTRAIN(ARRAYFORMULA(_xludf.XLOOKUP(D28450,[1]order_Report_SA_ID_BB2.0!V:V,[1]order_Report_SA_ID_BB2.0!AM:AM,"")), 1, 1)</f>
        <v>#ERROR!</v>
      </c>
      <c r="T667" s="6" t="str">
        <f t="shared" si="2"/>
        <v>Dec'25</v>
      </c>
    </row>
    <row r="668" ht="15.75" customHeight="1">
      <c r="A668" s="5">
        <v>46013.0</v>
      </c>
      <c r="B668" s="6">
        <v>3751.0</v>
      </c>
      <c r="C668" s="6">
        <v>1.859167159E9</v>
      </c>
      <c r="D668" s="6">
        <v>1.9221536E7</v>
      </c>
      <c r="E668" s="6" t="s">
        <v>1073</v>
      </c>
      <c r="F668" s="6" t="s">
        <v>1074</v>
      </c>
      <c r="G668" s="6">
        <v>6.362108758E9</v>
      </c>
      <c r="H668" s="6">
        <v>4.0149832E7</v>
      </c>
      <c r="I668" s="6" t="s">
        <v>26</v>
      </c>
      <c r="J668" s="6" t="s">
        <v>21</v>
      </c>
      <c r="K668" s="6" t="s">
        <v>22</v>
      </c>
      <c r="L668" s="6">
        <v>48.0</v>
      </c>
      <c r="M668" s="5">
        <v>46013.0</v>
      </c>
      <c r="N668" s="6" t="s">
        <v>23</v>
      </c>
      <c r="O668" s="6" t="str">
        <f>SUMIFS([1]order_sku_sales_bb2_report!P:P,[1]order_sku_sales_bb2_report!H:H,C28451,[1]order_sku_sales_bb2_report!J:J,H28451)</f>
        <v>#ERROR!</v>
      </c>
      <c r="P668" s="6" t="str">
        <f>SUMIFS([1]order_sku_sales_bb2_report!O:O,[1]order_sku_sales_bb2_report!H:H,C28451,[1]order_sku_sales_bb2_report!J:J,H28451)</f>
        <v>#ERROR!</v>
      </c>
      <c r="Q668" s="6" t="str">
        <f t="shared" si="1"/>
        <v>22-12-2025</v>
      </c>
      <c r="R668" s="6" t="str">
        <f>IFERROR( VLOOKUP(C28451,[1]expressOrderReport!$S:$AZ,34,0),0)</f>
        <v>#ERROR!</v>
      </c>
      <c r="S668" s="6" t="str">
        <f>ARRAY_CONSTRAIN(ARRAYFORMULA(_xludf.XLOOKUP(D28451,[1]order_Report_SA_ID_BB2.0!V:V,[1]order_Report_SA_ID_BB2.0!AM:AM,"")), 1, 1)</f>
        <v>#ERROR!</v>
      </c>
      <c r="T668" s="6" t="str">
        <f t="shared" si="2"/>
        <v>Dec'25</v>
      </c>
    </row>
    <row r="669" ht="15.75" customHeight="1">
      <c r="A669" s="5">
        <v>46013.0</v>
      </c>
      <c r="B669" s="6">
        <v>9403.0</v>
      </c>
      <c r="C669" s="6">
        <v>1.859167163E9</v>
      </c>
      <c r="D669" s="6">
        <v>1.6387703E7</v>
      </c>
      <c r="E669" s="6" t="s">
        <v>1075</v>
      </c>
      <c r="F669" s="6" t="s">
        <v>1076</v>
      </c>
      <c r="G669" s="6">
        <v>9.663146493E9</v>
      </c>
      <c r="H669" s="6">
        <v>4.0149831E7</v>
      </c>
      <c r="I669" s="6" t="s">
        <v>65</v>
      </c>
      <c r="J669" s="6" t="s">
        <v>21</v>
      </c>
      <c r="K669" s="6" t="s">
        <v>22</v>
      </c>
      <c r="L669" s="6">
        <v>26.0</v>
      </c>
      <c r="M669" s="5">
        <v>46013.0</v>
      </c>
      <c r="N669" s="6" t="s">
        <v>23</v>
      </c>
      <c r="O669" s="6" t="str">
        <f>SUMIFS([1]order_sku_sales_bb2_report!P:P,[1]order_sku_sales_bb2_report!H:H,C28452,[1]order_sku_sales_bb2_report!J:J,H28452)</f>
        <v>#ERROR!</v>
      </c>
      <c r="P669" s="6" t="str">
        <f>SUMIFS([1]order_sku_sales_bb2_report!O:O,[1]order_sku_sales_bb2_report!H:H,C28452,[1]order_sku_sales_bb2_report!J:J,H28452)</f>
        <v>#ERROR!</v>
      </c>
      <c r="Q669" s="6" t="str">
        <f t="shared" si="1"/>
        <v>22-12-2025</v>
      </c>
      <c r="R669" s="6" t="str">
        <f>IFERROR( VLOOKUP(C28452,[1]expressOrderReport!$S:$AZ,34,0),0)</f>
        <v>#ERROR!</v>
      </c>
      <c r="S669" s="6" t="str">
        <f>ARRAY_CONSTRAIN(ARRAYFORMULA(_xludf.XLOOKUP(D28452,[1]order_Report_SA_ID_BB2.0!V:V,[1]order_Report_SA_ID_BB2.0!AM:AM,"")), 1, 1)</f>
        <v>#ERROR!</v>
      </c>
      <c r="T669" s="6" t="str">
        <f t="shared" si="2"/>
        <v>Dec'25</v>
      </c>
    </row>
    <row r="670" ht="15.75" customHeight="1">
      <c r="A670" s="5">
        <v>46013.0</v>
      </c>
      <c r="B670" s="6">
        <v>9450.0</v>
      </c>
      <c r="C670" s="6">
        <v>1.859167166E9</v>
      </c>
      <c r="D670" s="6">
        <v>1.6070723E7</v>
      </c>
      <c r="E670" s="6" t="s">
        <v>1077</v>
      </c>
      <c r="F670" s="6" t="s">
        <v>1078</v>
      </c>
      <c r="G670" s="6">
        <v>9.632347001E9</v>
      </c>
      <c r="H670" s="6">
        <v>4.0149832E7</v>
      </c>
      <c r="I670" s="6" t="s">
        <v>26</v>
      </c>
      <c r="J670" s="6" t="s">
        <v>21</v>
      </c>
      <c r="K670" s="6" t="s">
        <v>22</v>
      </c>
      <c r="L670" s="6">
        <v>73.0</v>
      </c>
      <c r="M670" s="5">
        <v>46013.0</v>
      </c>
      <c r="N670" s="6" t="s">
        <v>23</v>
      </c>
      <c r="O670" s="6" t="str">
        <f>SUMIFS([1]order_sku_sales_bb2_report!P:P,[1]order_sku_sales_bb2_report!H:H,C28453,[1]order_sku_sales_bb2_report!J:J,H28453)</f>
        <v>#ERROR!</v>
      </c>
      <c r="P670" s="6" t="str">
        <f>SUMIFS([1]order_sku_sales_bb2_report!O:O,[1]order_sku_sales_bb2_report!H:H,C28453,[1]order_sku_sales_bb2_report!J:J,H28453)</f>
        <v>#ERROR!</v>
      </c>
      <c r="Q670" s="6" t="str">
        <f t="shared" si="1"/>
        <v>22-12-2025</v>
      </c>
      <c r="R670" s="6" t="str">
        <f>IFERROR( VLOOKUP(C28453,[1]expressOrderReport!$S:$AZ,34,0),0)</f>
        <v>#ERROR!</v>
      </c>
      <c r="S670" s="6" t="str">
        <f>ARRAY_CONSTRAIN(ARRAYFORMULA(_xludf.XLOOKUP(D28453,[1]order_Report_SA_ID_BB2.0!V:V,[1]order_Report_SA_ID_BB2.0!AM:AM,"")), 1, 1)</f>
        <v>#ERROR!</v>
      </c>
      <c r="T670" s="6" t="str">
        <f t="shared" si="2"/>
        <v>Dec'25</v>
      </c>
    </row>
    <row r="671" ht="15.75" customHeight="1">
      <c r="A671" s="5">
        <v>46013.0</v>
      </c>
      <c r="B671" s="6">
        <v>9451.0</v>
      </c>
      <c r="C671" s="6">
        <v>1.859167166E9</v>
      </c>
      <c r="D671" s="6">
        <v>1.6070723E7</v>
      </c>
      <c r="E671" s="6" t="s">
        <v>1077</v>
      </c>
      <c r="F671" s="6" t="s">
        <v>1078</v>
      </c>
      <c r="G671" s="6">
        <v>9.632347001E9</v>
      </c>
      <c r="H671" s="6">
        <v>4.0332424E7</v>
      </c>
      <c r="I671" s="6" t="s">
        <v>110</v>
      </c>
      <c r="J671" s="6" t="s">
        <v>21</v>
      </c>
      <c r="K671" s="6" t="s">
        <v>22</v>
      </c>
      <c r="L671" s="6">
        <v>73.0</v>
      </c>
      <c r="M671" s="5">
        <v>46013.0</v>
      </c>
      <c r="N671" s="6" t="s">
        <v>23</v>
      </c>
      <c r="O671" s="6" t="str">
        <f>SUMIFS([1]order_sku_sales_bb2_report!P:P,[1]order_sku_sales_bb2_report!H:H,C28454,[1]order_sku_sales_bb2_report!J:J,H28454)</f>
        <v>#ERROR!</v>
      </c>
      <c r="P671" s="6" t="str">
        <f>SUMIFS([1]order_sku_sales_bb2_report!O:O,[1]order_sku_sales_bb2_report!H:H,C28454,[1]order_sku_sales_bb2_report!J:J,H28454)</f>
        <v>#ERROR!</v>
      </c>
      <c r="Q671" s="6" t="str">
        <f t="shared" si="1"/>
        <v>22-12-2025</v>
      </c>
      <c r="R671" s="6" t="str">
        <f>IFERROR( VLOOKUP(C28454,[1]expressOrderReport!$S:$AZ,34,0),0)</f>
        <v>#ERROR!</v>
      </c>
      <c r="S671" s="6" t="str">
        <f>ARRAY_CONSTRAIN(ARRAYFORMULA(_xludf.XLOOKUP(D28454,[1]order_Report_SA_ID_BB2.0!V:V,[1]order_Report_SA_ID_BB2.0!AM:AM,"")), 1, 1)</f>
        <v>#ERROR!</v>
      </c>
      <c r="T671" s="6" t="str">
        <f t="shared" si="2"/>
        <v>Dec'25</v>
      </c>
    </row>
    <row r="672" ht="15.75" customHeight="1">
      <c r="A672" s="5">
        <v>46013.0</v>
      </c>
      <c r="B672" s="6">
        <v>1104.0</v>
      </c>
      <c r="C672" s="6">
        <v>1.85916717E9</v>
      </c>
      <c r="D672" s="6">
        <v>6632302.0</v>
      </c>
      <c r="E672" s="6" t="s">
        <v>1079</v>
      </c>
      <c r="F672" s="6" t="s">
        <v>1080</v>
      </c>
      <c r="G672" s="6">
        <v>8.800570988E9</v>
      </c>
      <c r="H672" s="6">
        <v>4.0149832E7</v>
      </c>
      <c r="I672" s="6" t="s">
        <v>26</v>
      </c>
      <c r="J672" s="6" t="s">
        <v>21</v>
      </c>
      <c r="K672" s="6" t="s">
        <v>22</v>
      </c>
      <c r="L672" s="6">
        <v>172.0</v>
      </c>
      <c r="M672" s="5">
        <v>46013.0</v>
      </c>
      <c r="N672" s="6" t="s">
        <v>23</v>
      </c>
      <c r="O672" s="6" t="str">
        <f>SUMIFS([1]order_sku_sales_bb2_report!P:P,[1]order_sku_sales_bb2_report!H:H,C28455,[1]order_sku_sales_bb2_report!J:J,H28455)</f>
        <v>#ERROR!</v>
      </c>
      <c r="P672" s="6" t="str">
        <f>SUMIFS([1]order_sku_sales_bb2_report!O:O,[1]order_sku_sales_bb2_report!H:H,C28455,[1]order_sku_sales_bb2_report!J:J,H28455)</f>
        <v>#ERROR!</v>
      </c>
      <c r="Q672" s="6" t="str">
        <f t="shared" si="1"/>
        <v>22-12-2025</v>
      </c>
      <c r="R672" s="6" t="str">
        <f>IFERROR( VLOOKUP(C28455,[1]expressOrderReport!$S:$AZ,34,0),0)</f>
        <v>#ERROR!</v>
      </c>
      <c r="S672" s="6" t="str">
        <f>ARRAY_CONSTRAIN(ARRAYFORMULA(_xludf.XLOOKUP(D28455,[1]order_Report_SA_ID_BB2.0!V:V,[1]order_Report_SA_ID_BB2.0!AM:AM,"")), 1, 1)</f>
        <v>#ERROR!</v>
      </c>
      <c r="T672" s="6" t="str">
        <f t="shared" si="2"/>
        <v>Dec'25</v>
      </c>
    </row>
    <row r="673" ht="15.75" customHeight="1">
      <c r="A673" s="5">
        <v>46013.0</v>
      </c>
      <c r="B673" s="6">
        <v>1107.0</v>
      </c>
      <c r="C673" s="6">
        <v>1.85916717E9</v>
      </c>
      <c r="D673" s="6">
        <v>6632302.0</v>
      </c>
      <c r="E673" s="6" t="s">
        <v>1079</v>
      </c>
      <c r="F673" s="6" t="s">
        <v>1080</v>
      </c>
      <c r="G673" s="6">
        <v>8.800570988E9</v>
      </c>
      <c r="H673" s="6">
        <v>4.014983E7</v>
      </c>
      <c r="I673" s="6" t="s">
        <v>30</v>
      </c>
      <c r="J673" s="6" t="s">
        <v>21</v>
      </c>
      <c r="K673" s="6" t="s">
        <v>22</v>
      </c>
      <c r="L673" s="6">
        <v>172.0</v>
      </c>
      <c r="M673" s="5">
        <v>46013.0</v>
      </c>
      <c r="N673" s="6" t="s">
        <v>23</v>
      </c>
      <c r="O673" s="6" t="str">
        <f>SUMIFS([1]order_sku_sales_bb2_report!P:P,[1]order_sku_sales_bb2_report!H:H,C28456,[1]order_sku_sales_bb2_report!J:J,H28456)</f>
        <v>#ERROR!</v>
      </c>
      <c r="P673" s="6" t="str">
        <f>SUMIFS([1]order_sku_sales_bb2_report!O:O,[1]order_sku_sales_bb2_report!H:H,C28456,[1]order_sku_sales_bb2_report!J:J,H28456)</f>
        <v>#ERROR!</v>
      </c>
      <c r="Q673" s="6" t="str">
        <f t="shared" si="1"/>
        <v>22-12-2025</v>
      </c>
      <c r="R673" s="6" t="str">
        <f>IFERROR( VLOOKUP(C28456,[1]expressOrderReport!$S:$AZ,34,0),0)</f>
        <v>#ERROR!</v>
      </c>
      <c r="S673" s="6" t="str">
        <f>ARRAY_CONSTRAIN(ARRAYFORMULA(_xludf.XLOOKUP(D28456,[1]order_Report_SA_ID_BB2.0!V:V,[1]order_Report_SA_ID_BB2.0!AM:AM,"")), 1, 1)</f>
        <v>#ERROR!</v>
      </c>
      <c r="T673" s="6" t="str">
        <f t="shared" si="2"/>
        <v>Dec'25</v>
      </c>
    </row>
    <row r="674" ht="15.75" customHeight="1">
      <c r="A674" s="5">
        <v>46013.0</v>
      </c>
      <c r="B674" s="6">
        <v>1961.0</v>
      </c>
      <c r="C674" s="6">
        <v>1.859167173E9</v>
      </c>
      <c r="D674" s="6">
        <v>1.6169468E7</v>
      </c>
      <c r="E674" s="6" t="s">
        <v>1081</v>
      </c>
      <c r="F674" s="6" t="s">
        <v>1082</v>
      </c>
      <c r="G674" s="6">
        <v>9.008381642E9</v>
      </c>
      <c r="H674" s="6">
        <v>4.0149833E7</v>
      </c>
      <c r="I674" s="6" t="s">
        <v>40</v>
      </c>
      <c r="J674" s="6" t="s">
        <v>21</v>
      </c>
      <c r="K674" s="6" t="s">
        <v>22</v>
      </c>
      <c r="L674" s="6">
        <v>81.0</v>
      </c>
      <c r="M674" s="5">
        <v>46013.0</v>
      </c>
      <c r="N674" s="6" t="s">
        <v>23</v>
      </c>
      <c r="O674" s="6" t="str">
        <f>SUMIFS([1]order_sku_sales_bb2_report!P:P,[1]order_sku_sales_bb2_report!H:H,C28457,[1]order_sku_sales_bb2_report!J:J,H28457)</f>
        <v>#ERROR!</v>
      </c>
      <c r="P674" s="6" t="str">
        <f>SUMIFS([1]order_sku_sales_bb2_report!O:O,[1]order_sku_sales_bb2_report!H:H,C28457,[1]order_sku_sales_bb2_report!J:J,H28457)</f>
        <v>#ERROR!</v>
      </c>
      <c r="Q674" s="6" t="str">
        <f t="shared" si="1"/>
        <v>22-12-2025</v>
      </c>
      <c r="R674" s="6" t="str">
        <f>IFERROR( VLOOKUP(C28457,[1]expressOrderReport!$S:$AZ,34,0),0)</f>
        <v>#ERROR!</v>
      </c>
      <c r="S674" s="6" t="str">
        <f>ARRAY_CONSTRAIN(ARRAYFORMULA(_xludf.XLOOKUP(D28457,[1]order_Report_SA_ID_BB2.0!V:V,[1]order_Report_SA_ID_BB2.0!AM:AM,"")), 1, 1)</f>
        <v>#ERROR!</v>
      </c>
      <c r="T674" s="6" t="str">
        <f t="shared" si="2"/>
        <v>Dec'25</v>
      </c>
    </row>
    <row r="675" ht="15.75" customHeight="1">
      <c r="A675" s="5">
        <v>46013.0</v>
      </c>
      <c r="B675" s="6">
        <v>3771.0</v>
      </c>
      <c r="C675" s="6">
        <v>1.859167178E9</v>
      </c>
      <c r="D675" s="6">
        <v>1.970508E7</v>
      </c>
      <c r="E675" s="6" t="s">
        <v>1083</v>
      </c>
      <c r="F675" s="6" t="s">
        <v>1084</v>
      </c>
      <c r="G675" s="6">
        <v>9.312941751E9</v>
      </c>
      <c r="H675" s="6">
        <v>4.0149832E7</v>
      </c>
      <c r="I675" s="6" t="s">
        <v>26</v>
      </c>
      <c r="J675" s="6" t="s">
        <v>21</v>
      </c>
      <c r="K675" s="6" t="s">
        <v>22</v>
      </c>
      <c r="L675" s="6">
        <v>72.0</v>
      </c>
      <c r="M675" s="5">
        <v>46013.0</v>
      </c>
      <c r="N675" s="6" t="s">
        <v>23</v>
      </c>
      <c r="O675" s="6" t="str">
        <f>SUMIFS([1]order_sku_sales_bb2_report!P:P,[1]order_sku_sales_bb2_report!H:H,C28458,[1]order_sku_sales_bb2_report!J:J,H28458)</f>
        <v>#ERROR!</v>
      </c>
      <c r="P675" s="6" t="str">
        <f>SUMIFS([1]order_sku_sales_bb2_report!O:O,[1]order_sku_sales_bb2_report!H:H,C28458,[1]order_sku_sales_bb2_report!J:J,H28458)</f>
        <v>#ERROR!</v>
      </c>
      <c r="Q675" s="6" t="str">
        <f t="shared" si="1"/>
        <v>22-12-2025</v>
      </c>
      <c r="R675" s="6" t="str">
        <f>IFERROR( VLOOKUP(C28458,[1]expressOrderReport!$S:$AZ,34,0),0)</f>
        <v>#ERROR!</v>
      </c>
      <c r="S675" s="6" t="str">
        <f>ARRAY_CONSTRAIN(ARRAYFORMULA(_xludf.XLOOKUP(D28458,[1]order_Report_SA_ID_BB2.0!V:V,[1]order_Report_SA_ID_BB2.0!AM:AM,"")), 1, 1)</f>
        <v>#ERROR!</v>
      </c>
      <c r="T675" s="6" t="str">
        <f t="shared" si="2"/>
        <v>Dec'25</v>
      </c>
    </row>
    <row r="676" ht="15.75" customHeight="1">
      <c r="A676" s="5">
        <v>46013.0</v>
      </c>
      <c r="B676" s="6">
        <v>9267.0</v>
      </c>
      <c r="C676" s="6">
        <v>1.859167186E9</v>
      </c>
      <c r="D676" s="6">
        <v>1.783645E7</v>
      </c>
      <c r="E676" s="6" t="s">
        <v>1085</v>
      </c>
      <c r="F676" s="6" t="s">
        <v>1086</v>
      </c>
      <c r="G676" s="6">
        <v>9.845638753E9</v>
      </c>
      <c r="H676" s="6">
        <v>4.0158264E7</v>
      </c>
      <c r="I676" s="6" t="s">
        <v>26</v>
      </c>
      <c r="J676" s="6" t="s">
        <v>21</v>
      </c>
      <c r="K676" s="6" t="s">
        <v>22</v>
      </c>
      <c r="L676" s="6">
        <v>70.0</v>
      </c>
      <c r="M676" s="5">
        <v>46013.0</v>
      </c>
      <c r="N676" s="6" t="s">
        <v>23</v>
      </c>
      <c r="O676" s="6" t="str">
        <f>SUMIFS([1]order_sku_sales_bb2_report!P:P,[1]order_sku_sales_bb2_report!H:H,C28459,[1]order_sku_sales_bb2_report!J:J,H28459)</f>
        <v>#ERROR!</v>
      </c>
      <c r="P676" s="6" t="str">
        <f>SUMIFS([1]order_sku_sales_bb2_report!O:O,[1]order_sku_sales_bb2_report!H:H,C28459,[1]order_sku_sales_bb2_report!J:J,H28459)</f>
        <v>#ERROR!</v>
      </c>
      <c r="Q676" s="6" t="str">
        <f t="shared" si="1"/>
        <v>22-12-2025</v>
      </c>
      <c r="R676" s="6" t="str">
        <f>IFERROR( VLOOKUP(C28459,[1]expressOrderReport!$S:$AZ,34,0),0)</f>
        <v>#ERROR!</v>
      </c>
      <c r="S676" s="6" t="str">
        <f>ARRAY_CONSTRAIN(ARRAYFORMULA(_xludf.XLOOKUP(D28459,[1]order_Report_SA_ID_BB2.0!V:V,[1]order_Report_SA_ID_BB2.0!AM:AM,"")), 1, 1)</f>
        <v>#ERROR!</v>
      </c>
      <c r="T676" s="6" t="str">
        <f t="shared" si="2"/>
        <v>Dec'25</v>
      </c>
    </row>
    <row r="677" ht="15.75" customHeight="1">
      <c r="A677" s="5">
        <v>46013.0</v>
      </c>
      <c r="B677" s="6">
        <v>9268.0</v>
      </c>
      <c r="C677" s="6">
        <v>1.859167186E9</v>
      </c>
      <c r="D677" s="6">
        <v>1.783645E7</v>
      </c>
      <c r="E677" s="6" t="s">
        <v>1085</v>
      </c>
      <c r="F677" s="6" t="s">
        <v>1086</v>
      </c>
      <c r="G677" s="6">
        <v>9.845638753E9</v>
      </c>
      <c r="H677" s="6">
        <v>4.0149832E7</v>
      </c>
      <c r="I677" s="6" t="s">
        <v>26</v>
      </c>
      <c r="J677" s="6" t="s">
        <v>21</v>
      </c>
      <c r="K677" s="6" t="s">
        <v>22</v>
      </c>
      <c r="L677" s="6">
        <v>70.0</v>
      </c>
      <c r="M677" s="5">
        <v>46013.0</v>
      </c>
      <c r="N677" s="6" t="s">
        <v>23</v>
      </c>
      <c r="O677" s="6" t="str">
        <f>SUMIFS([1]order_sku_sales_bb2_report!P:P,[1]order_sku_sales_bb2_report!H:H,C28460,[1]order_sku_sales_bb2_report!J:J,H28460)</f>
        <v>#ERROR!</v>
      </c>
      <c r="P677" s="6" t="str">
        <f>SUMIFS([1]order_sku_sales_bb2_report!O:O,[1]order_sku_sales_bb2_report!H:H,C28460,[1]order_sku_sales_bb2_report!J:J,H28460)</f>
        <v>#ERROR!</v>
      </c>
      <c r="Q677" s="6" t="str">
        <f t="shared" si="1"/>
        <v>22-12-2025</v>
      </c>
      <c r="R677" s="6" t="str">
        <f>IFERROR( VLOOKUP(C28460,[1]expressOrderReport!$S:$AZ,34,0),0)</f>
        <v>#ERROR!</v>
      </c>
      <c r="S677" s="6" t="str">
        <f>ARRAY_CONSTRAIN(ARRAYFORMULA(_xludf.XLOOKUP(D28460,[1]order_Report_SA_ID_BB2.0!V:V,[1]order_Report_SA_ID_BB2.0!AM:AM,"")), 1, 1)</f>
        <v>#ERROR!</v>
      </c>
      <c r="T677" s="6" t="str">
        <f t="shared" si="2"/>
        <v>Dec'25</v>
      </c>
    </row>
    <row r="678" ht="15.75" customHeight="1">
      <c r="A678" s="5">
        <v>46013.0</v>
      </c>
      <c r="B678" s="6">
        <v>4079.0</v>
      </c>
      <c r="C678" s="6">
        <v>1.859167189E9</v>
      </c>
      <c r="D678" s="6">
        <v>1.9705834E7</v>
      </c>
      <c r="E678" s="6" t="s">
        <v>1087</v>
      </c>
      <c r="F678" s="6" t="s">
        <v>1088</v>
      </c>
      <c r="G678" s="6">
        <v>8.971684684E9</v>
      </c>
      <c r="H678" s="6">
        <v>4.0147597E7</v>
      </c>
      <c r="I678" s="6" t="s">
        <v>59</v>
      </c>
      <c r="J678" s="6" t="s">
        <v>21</v>
      </c>
      <c r="K678" s="6" t="s">
        <v>22</v>
      </c>
      <c r="L678" s="6">
        <v>52.0</v>
      </c>
      <c r="M678" s="5">
        <v>46013.0</v>
      </c>
      <c r="N678" s="6" t="s">
        <v>23</v>
      </c>
      <c r="O678" s="6" t="str">
        <f>SUMIFS([1]order_sku_sales_bb2_report!P:P,[1]order_sku_sales_bb2_report!H:H,C28461,[1]order_sku_sales_bb2_report!J:J,H28461)</f>
        <v>#ERROR!</v>
      </c>
      <c r="P678" s="6" t="str">
        <f>SUMIFS([1]order_sku_sales_bb2_report!O:O,[1]order_sku_sales_bb2_report!H:H,C28461,[1]order_sku_sales_bb2_report!J:J,H28461)</f>
        <v>#ERROR!</v>
      </c>
      <c r="Q678" s="6" t="str">
        <f t="shared" si="1"/>
        <v>22-12-2025</v>
      </c>
      <c r="R678" s="6" t="str">
        <f>IFERROR( VLOOKUP(C28461,[1]expressOrderReport!$S:$AZ,34,0),0)</f>
        <v>#ERROR!</v>
      </c>
      <c r="S678" s="6" t="str">
        <f>ARRAY_CONSTRAIN(ARRAYFORMULA(_xludf.XLOOKUP(D28461,[1]order_Report_SA_ID_BB2.0!V:V,[1]order_Report_SA_ID_BB2.0!AM:AM,"")), 1, 1)</f>
        <v>#ERROR!</v>
      </c>
      <c r="T678" s="6" t="str">
        <f t="shared" si="2"/>
        <v>Dec'25</v>
      </c>
    </row>
    <row r="679" ht="15.75" customHeight="1">
      <c r="A679" s="5">
        <v>46013.0</v>
      </c>
      <c r="B679" s="6">
        <v>3786.0</v>
      </c>
      <c r="C679" s="6">
        <v>1.859167194E9</v>
      </c>
      <c r="D679" s="6">
        <v>1.9705488E7</v>
      </c>
      <c r="E679" s="6" t="s">
        <v>1089</v>
      </c>
      <c r="F679" s="6" t="s">
        <v>1090</v>
      </c>
      <c r="G679" s="6">
        <v>9.945132444E9</v>
      </c>
      <c r="H679" s="6">
        <v>4.014983E7</v>
      </c>
      <c r="I679" s="6" t="s">
        <v>30</v>
      </c>
      <c r="J679" s="6" t="s">
        <v>21</v>
      </c>
      <c r="K679" s="6" t="s">
        <v>22</v>
      </c>
      <c r="L679" s="6">
        <v>79.0</v>
      </c>
      <c r="M679" s="5">
        <v>46013.0</v>
      </c>
      <c r="N679" s="6" t="s">
        <v>23</v>
      </c>
      <c r="O679" s="6" t="str">
        <f>SUMIFS([1]order_sku_sales_bb2_report!P:P,[1]order_sku_sales_bb2_report!H:H,C28462,[1]order_sku_sales_bb2_report!J:J,H28462)</f>
        <v>#ERROR!</v>
      </c>
      <c r="P679" s="6" t="str">
        <f>SUMIFS([1]order_sku_sales_bb2_report!O:O,[1]order_sku_sales_bb2_report!H:H,C28462,[1]order_sku_sales_bb2_report!J:J,H28462)</f>
        <v>#ERROR!</v>
      </c>
      <c r="Q679" s="6" t="str">
        <f t="shared" si="1"/>
        <v>22-12-2025</v>
      </c>
      <c r="R679" s="6" t="str">
        <f>IFERROR( VLOOKUP(C28462,[1]expressOrderReport!$S:$AZ,34,0),0)</f>
        <v>#ERROR!</v>
      </c>
      <c r="S679" s="6" t="str">
        <f>ARRAY_CONSTRAIN(ARRAYFORMULA(_xludf.XLOOKUP(D28462,[1]order_Report_SA_ID_BB2.0!V:V,[1]order_Report_SA_ID_BB2.0!AM:AM,"")), 1, 1)</f>
        <v>#ERROR!</v>
      </c>
      <c r="T679" s="6" t="str">
        <f t="shared" si="2"/>
        <v>Dec'25</v>
      </c>
    </row>
    <row r="680" ht="15.75" customHeight="1">
      <c r="A680" s="5">
        <v>46013.0</v>
      </c>
      <c r="B680" s="6">
        <v>3788.0</v>
      </c>
      <c r="C680" s="6">
        <v>1.859167194E9</v>
      </c>
      <c r="D680" s="6">
        <v>1.9705488E7</v>
      </c>
      <c r="E680" s="6" t="s">
        <v>1089</v>
      </c>
      <c r="F680" s="6" t="s">
        <v>1090</v>
      </c>
      <c r="G680" s="6">
        <v>9.945132444E9</v>
      </c>
      <c r="H680" s="6">
        <v>4.0149832E7</v>
      </c>
      <c r="I680" s="6" t="s">
        <v>26</v>
      </c>
      <c r="J680" s="6" t="s">
        <v>21</v>
      </c>
      <c r="K680" s="6" t="s">
        <v>22</v>
      </c>
      <c r="L680" s="6">
        <v>79.0</v>
      </c>
      <c r="M680" s="5">
        <v>46013.0</v>
      </c>
      <c r="N680" s="6" t="s">
        <v>23</v>
      </c>
      <c r="O680" s="6" t="str">
        <f>SUMIFS([1]order_sku_sales_bb2_report!P:P,[1]order_sku_sales_bb2_report!H:H,C28463,[1]order_sku_sales_bb2_report!J:J,H28463)</f>
        <v>#ERROR!</v>
      </c>
      <c r="P680" s="6" t="str">
        <f>SUMIFS([1]order_sku_sales_bb2_report!O:O,[1]order_sku_sales_bb2_report!H:H,C28463,[1]order_sku_sales_bb2_report!J:J,H28463)</f>
        <v>#ERROR!</v>
      </c>
      <c r="Q680" s="6" t="str">
        <f t="shared" si="1"/>
        <v>22-12-2025</v>
      </c>
      <c r="R680" s="6" t="str">
        <f>IFERROR( VLOOKUP(C28463,[1]expressOrderReport!$S:$AZ,34,0),0)</f>
        <v>#ERROR!</v>
      </c>
      <c r="S680" s="6" t="str">
        <f>ARRAY_CONSTRAIN(ARRAYFORMULA(_xludf.XLOOKUP(D28463,[1]order_Report_SA_ID_BB2.0!V:V,[1]order_Report_SA_ID_BB2.0!AM:AM,"")), 1, 1)</f>
        <v>#ERROR!</v>
      </c>
      <c r="T680" s="6" t="str">
        <f t="shared" si="2"/>
        <v>Dec'25</v>
      </c>
    </row>
    <row r="681" ht="15.75" customHeight="1">
      <c r="A681" s="5">
        <v>46013.0</v>
      </c>
      <c r="B681" s="6">
        <v>4825.0</v>
      </c>
      <c r="C681" s="6">
        <v>1.859167194E9</v>
      </c>
      <c r="D681" s="6">
        <v>1.9705488E7</v>
      </c>
      <c r="E681" s="6" t="s">
        <v>1089</v>
      </c>
      <c r="F681" s="6" t="s">
        <v>1090</v>
      </c>
      <c r="G681" s="6">
        <v>9.945132444E9</v>
      </c>
      <c r="H681" s="6">
        <v>4.0149833E7</v>
      </c>
      <c r="I681" s="6" t="s">
        <v>40</v>
      </c>
      <c r="J681" s="6" t="s">
        <v>21</v>
      </c>
      <c r="K681" s="6" t="s">
        <v>22</v>
      </c>
      <c r="L681" s="6">
        <v>79.0</v>
      </c>
      <c r="M681" s="5">
        <v>46013.0</v>
      </c>
      <c r="N681" s="6" t="s">
        <v>23</v>
      </c>
      <c r="O681" s="6" t="str">
        <f>SUMIFS([1]order_sku_sales_bb2_report!P:P,[1]order_sku_sales_bb2_report!H:H,C28464,[1]order_sku_sales_bb2_report!J:J,H28464)</f>
        <v>#ERROR!</v>
      </c>
      <c r="P681" s="6" t="str">
        <f>SUMIFS([1]order_sku_sales_bb2_report!O:O,[1]order_sku_sales_bb2_report!H:H,C28464,[1]order_sku_sales_bb2_report!J:J,H28464)</f>
        <v>#ERROR!</v>
      </c>
      <c r="Q681" s="6" t="str">
        <f t="shared" si="1"/>
        <v>22-12-2025</v>
      </c>
      <c r="R681" s="6" t="str">
        <f>IFERROR( VLOOKUP(C28464,[1]expressOrderReport!$S:$AZ,34,0),0)</f>
        <v>#ERROR!</v>
      </c>
      <c r="S681" s="6" t="str">
        <f>ARRAY_CONSTRAIN(ARRAYFORMULA(_xludf.XLOOKUP(D28464,[1]order_Report_SA_ID_BB2.0!V:V,[1]order_Report_SA_ID_BB2.0!AM:AM,"")), 1, 1)</f>
        <v>#ERROR!</v>
      </c>
      <c r="T681" s="6" t="str">
        <f t="shared" si="2"/>
        <v>Dec'25</v>
      </c>
    </row>
    <row r="682" ht="15.75" customHeight="1">
      <c r="A682" s="5">
        <v>46013.0</v>
      </c>
      <c r="B682" s="6">
        <v>2998.0</v>
      </c>
      <c r="C682" s="6">
        <v>1.859167202E9</v>
      </c>
      <c r="D682" s="6">
        <v>1301331.0</v>
      </c>
      <c r="E682" s="6" t="s">
        <v>1091</v>
      </c>
      <c r="F682" s="6" t="s">
        <v>1092</v>
      </c>
      <c r="G682" s="6">
        <v>9.986770998E9</v>
      </c>
      <c r="H682" s="6">
        <v>4.0158264E7</v>
      </c>
      <c r="I682" s="6" t="s">
        <v>26</v>
      </c>
      <c r="J682" s="6" t="s">
        <v>21</v>
      </c>
      <c r="K682" s="6" t="s">
        <v>22</v>
      </c>
      <c r="L682" s="6">
        <v>92.0</v>
      </c>
      <c r="M682" s="5">
        <v>46013.0</v>
      </c>
      <c r="N682" s="6" t="s">
        <v>23</v>
      </c>
      <c r="O682" s="6" t="str">
        <f>SUMIFS([1]order_sku_sales_bb2_report!P:P,[1]order_sku_sales_bb2_report!H:H,C28465,[1]order_sku_sales_bb2_report!J:J,H28465)</f>
        <v>#ERROR!</v>
      </c>
      <c r="P682" s="6" t="str">
        <f>SUMIFS([1]order_sku_sales_bb2_report!O:O,[1]order_sku_sales_bb2_report!H:H,C28465,[1]order_sku_sales_bb2_report!J:J,H28465)</f>
        <v>#ERROR!</v>
      </c>
      <c r="Q682" s="6" t="str">
        <f t="shared" si="1"/>
        <v>22-12-2025</v>
      </c>
      <c r="R682" s="6" t="str">
        <f>IFERROR( VLOOKUP(C28465,[1]expressOrderReport!$S:$AZ,34,0),0)</f>
        <v>#ERROR!</v>
      </c>
      <c r="S682" s="6" t="str">
        <f>ARRAY_CONSTRAIN(ARRAYFORMULA(_xludf.XLOOKUP(D28465,[1]order_Report_SA_ID_BB2.0!V:V,[1]order_Report_SA_ID_BB2.0!AM:AM,"")), 1, 1)</f>
        <v>#ERROR!</v>
      </c>
      <c r="T682" s="6" t="str">
        <f t="shared" si="2"/>
        <v>Dec'25</v>
      </c>
    </row>
    <row r="683" ht="15.75" customHeight="1">
      <c r="A683" s="5">
        <v>46013.0</v>
      </c>
      <c r="B683" s="6">
        <v>2115.0</v>
      </c>
      <c r="C683" s="6">
        <v>1.85916721E9</v>
      </c>
      <c r="D683" s="6">
        <v>1.7449356E7</v>
      </c>
      <c r="E683" s="6" t="s">
        <v>1093</v>
      </c>
      <c r="F683" s="6" t="s">
        <v>1094</v>
      </c>
      <c r="G683" s="6">
        <v>8.143763661E9</v>
      </c>
      <c r="H683" s="6">
        <v>4.0161616E7</v>
      </c>
      <c r="I683" s="6" t="s">
        <v>20</v>
      </c>
      <c r="J683" s="6" t="s">
        <v>21</v>
      </c>
      <c r="K683" s="6" t="s">
        <v>22</v>
      </c>
      <c r="L683" s="6">
        <v>98.0</v>
      </c>
      <c r="M683" s="5">
        <v>46013.0</v>
      </c>
      <c r="N683" s="6" t="s">
        <v>23</v>
      </c>
      <c r="O683" s="6" t="str">
        <f>SUMIFS([1]order_sku_sales_bb2_report!P:P,[1]order_sku_sales_bb2_report!H:H,C28466,[1]order_sku_sales_bb2_report!J:J,H28466)</f>
        <v>#ERROR!</v>
      </c>
      <c r="P683" s="6" t="str">
        <f>SUMIFS([1]order_sku_sales_bb2_report!O:O,[1]order_sku_sales_bb2_report!H:H,C28466,[1]order_sku_sales_bb2_report!J:J,H28466)</f>
        <v>#ERROR!</v>
      </c>
      <c r="Q683" s="6" t="str">
        <f t="shared" si="1"/>
        <v>22-12-2025</v>
      </c>
      <c r="R683" s="6" t="str">
        <f>IFERROR( VLOOKUP(C28466,[1]expressOrderReport!$S:$AZ,34,0),0)</f>
        <v>#ERROR!</v>
      </c>
      <c r="S683" s="6" t="str">
        <f>ARRAY_CONSTRAIN(ARRAYFORMULA(_xludf.XLOOKUP(D28466,[1]order_Report_SA_ID_BB2.0!V:V,[1]order_Report_SA_ID_BB2.0!AM:AM,"")), 1, 1)</f>
        <v>#ERROR!</v>
      </c>
      <c r="T683" s="6" t="str">
        <f t="shared" si="2"/>
        <v>Dec'25</v>
      </c>
    </row>
    <row r="684" ht="15.75" customHeight="1">
      <c r="A684" s="5">
        <v>46013.0</v>
      </c>
      <c r="B684" s="6">
        <v>2117.0</v>
      </c>
      <c r="C684" s="6">
        <v>1.85916721E9</v>
      </c>
      <c r="D684" s="6">
        <v>1.7449356E7</v>
      </c>
      <c r="E684" s="6" t="s">
        <v>1093</v>
      </c>
      <c r="F684" s="6" t="s">
        <v>1094</v>
      </c>
      <c r="G684" s="6">
        <v>8.143763661E9</v>
      </c>
      <c r="H684" s="6">
        <v>4.0158264E7</v>
      </c>
      <c r="I684" s="6" t="s">
        <v>26</v>
      </c>
      <c r="J684" s="6" t="s">
        <v>21</v>
      </c>
      <c r="K684" s="6" t="s">
        <v>22</v>
      </c>
      <c r="L684" s="6">
        <v>98.0</v>
      </c>
      <c r="M684" s="5">
        <v>46013.0</v>
      </c>
      <c r="N684" s="6" t="s">
        <v>23</v>
      </c>
      <c r="O684" s="6" t="str">
        <f>SUMIFS([1]order_sku_sales_bb2_report!P:P,[1]order_sku_sales_bb2_report!H:H,C28467,[1]order_sku_sales_bb2_report!J:J,H28467)</f>
        <v>#ERROR!</v>
      </c>
      <c r="P684" s="6" t="str">
        <f>SUMIFS([1]order_sku_sales_bb2_report!O:O,[1]order_sku_sales_bb2_report!H:H,C28467,[1]order_sku_sales_bb2_report!J:J,H28467)</f>
        <v>#ERROR!</v>
      </c>
      <c r="Q684" s="6" t="str">
        <f t="shared" si="1"/>
        <v>22-12-2025</v>
      </c>
      <c r="R684" s="6" t="str">
        <f>IFERROR( VLOOKUP(C28467,[1]expressOrderReport!$S:$AZ,34,0),0)</f>
        <v>#ERROR!</v>
      </c>
      <c r="S684" s="6" t="str">
        <f>ARRAY_CONSTRAIN(ARRAYFORMULA(_xludf.XLOOKUP(D28467,[1]order_Report_SA_ID_BB2.0!V:V,[1]order_Report_SA_ID_BB2.0!AM:AM,"")), 1, 1)</f>
        <v>#ERROR!</v>
      </c>
      <c r="T684" s="6" t="str">
        <f t="shared" si="2"/>
        <v>Dec'25</v>
      </c>
    </row>
    <row r="685" ht="15.75" customHeight="1">
      <c r="A685" s="5">
        <v>46013.0</v>
      </c>
      <c r="B685" s="6">
        <v>2123.0</v>
      </c>
      <c r="C685" s="6">
        <v>1.85916721E9</v>
      </c>
      <c r="D685" s="6">
        <v>1.7449356E7</v>
      </c>
      <c r="E685" s="6" t="s">
        <v>1093</v>
      </c>
      <c r="F685" s="6" t="s">
        <v>1094</v>
      </c>
      <c r="G685" s="6">
        <v>8.143763661E9</v>
      </c>
      <c r="H685" s="6">
        <v>4.0149832E7</v>
      </c>
      <c r="I685" s="6" t="s">
        <v>26</v>
      </c>
      <c r="J685" s="6" t="s">
        <v>21</v>
      </c>
      <c r="K685" s="6" t="s">
        <v>22</v>
      </c>
      <c r="L685" s="6">
        <v>98.0</v>
      </c>
      <c r="M685" s="5">
        <v>46013.0</v>
      </c>
      <c r="N685" s="6" t="s">
        <v>23</v>
      </c>
      <c r="O685" s="6" t="str">
        <f>SUMIFS([1]order_sku_sales_bb2_report!P:P,[1]order_sku_sales_bb2_report!H:H,C28468,[1]order_sku_sales_bb2_report!J:J,H28468)</f>
        <v>#ERROR!</v>
      </c>
      <c r="P685" s="6" t="str">
        <f>SUMIFS([1]order_sku_sales_bb2_report!O:O,[1]order_sku_sales_bb2_report!H:H,C28468,[1]order_sku_sales_bb2_report!J:J,H28468)</f>
        <v>#ERROR!</v>
      </c>
      <c r="Q685" s="6" t="str">
        <f t="shared" si="1"/>
        <v>22-12-2025</v>
      </c>
      <c r="R685" s="6" t="str">
        <f>IFERROR( VLOOKUP(C28468,[1]expressOrderReport!$S:$AZ,34,0),0)</f>
        <v>#ERROR!</v>
      </c>
      <c r="S685" s="6" t="str">
        <f>ARRAY_CONSTRAIN(ARRAYFORMULA(_xludf.XLOOKUP(D28468,[1]order_Report_SA_ID_BB2.0!V:V,[1]order_Report_SA_ID_BB2.0!AM:AM,"")), 1, 1)</f>
        <v>#ERROR!</v>
      </c>
      <c r="T685" s="6" t="str">
        <f t="shared" si="2"/>
        <v>Dec'25</v>
      </c>
    </row>
    <row r="686" ht="15.75" customHeight="1">
      <c r="A686" s="5">
        <v>46013.0</v>
      </c>
      <c r="B686" s="6">
        <v>4556.0</v>
      </c>
      <c r="C686" s="6">
        <v>1.859167213E9</v>
      </c>
      <c r="D686" s="6">
        <v>7493771.0</v>
      </c>
      <c r="E686" s="6" t="s">
        <v>1095</v>
      </c>
      <c r="F686" s="6" t="s">
        <v>1096</v>
      </c>
      <c r="G686" s="6">
        <v>7.829135387E9</v>
      </c>
      <c r="H686" s="6">
        <v>4.0158264E7</v>
      </c>
      <c r="I686" s="6" t="s">
        <v>26</v>
      </c>
      <c r="J686" s="6" t="s">
        <v>21</v>
      </c>
      <c r="K686" s="6" t="s">
        <v>22</v>
      </c>
      <c r="L686" s="6">
        <v>46.0</v>
      </c>
      <c r="M686" s="5">
        <v>46013.0</v>
      </c>
      <c r="N686" s="6" t="s">
        <v>23</v>
      </c>
      <c r="O686" s="6" t="str">
        <f>SUMIFS([1]order_sku_sales_bb2_report!P:P,[1]order_sku_sales_bb2_report!H:H,C28469,[1]order_sku_sales_bb2_report!J:J,H28469)</f>
        <v>#ERROR!</v>
      </c>
      <c r="P686" s="6" t="str">
        <f>SUMIFS([1]order_sku_sales_bb2_report!O:O,[1]order_sku_sales_bb2_report!H:H,C28469,[1]order_sku_sales_bb2_report!J:J,H28469)</f>
        <v>#ERROR!</v>
      </c>
      <c r="Q686" s="6" t="str">
        <f t="shared" si="1"/>
        <v>22-12-2025</v>
      </c>
      <c r="R686" s="6" t="str">
        <f>IFERROR( VLOOKUP(C28469,[1]expressOrderReport!$S:$AZ,34,0),0)</f>
        <v>#ERROR!</v>
      </c>
      <c r="S686" s="6" t="str">
        <f>ARRAY_CONSTRAIN(ARRAYFORMULA(_xludf.XLOOKUP(D28469,[1]order_Report_SA_ID_BB2.0!V:V,[1]order_Report_SA_ID_BB2.0!AM:AM,"")), 1, 1)</f>
        <v>#ERROR!</v>
      </c>
      <c r="T686" s="6" t="str">
        <f t="shared" si="2"/>
        <v>Dec'25</v>
      </c>
    </row>
    <row r="687" ht="15.75" customHeight="1">
      <c r="A687" s="5">
        <v>46013.0</v>
      </c>
      <c r="B687" s="6">
        <v>1551.0</v>
      </c>
      <c r="C687" s="6">
        <v>1.859167218E9</v>
      </c>
      <c r="D687" s="6">
        <v>1.0657779E7</v>
      </c>
      <c r="E687" s="6" t="s">
        <v>1097</v>
      </c>
      <c r="F687" s="6" t="s">
        <v>1098</v>
      </c>
      <c r="G687" s="6">
        <v>7.509999789E9</v>
      </c>
      <c r="H687" s="6">
        <v>4.0148717E7</v>
      </c>
      <c r="I687" s="6" t="s">
        <v>226</v>
      </c>
      <c r="J687" s="6" t="s">
        <v>21</v>
      </c>
      <c r="K687" s="6" t="s">
        <v>22</v>
      </c>
      <c r="L687" s="6">
        <v>134.0</v>
      </c>
      <c r="M687" s="5">
        <v>46013.0</v>
      </c>
      <c r="N687" s="6" t="s">
        <v>23</v>
      </c>
      <c r="O687" s="6" t="str">
        <f>SUMIFS([1]order_sku_sales_bb2_report!P:P,[1]order_sku_sales_bb2_report!H:H,C28470,[1]order_sku_sales_bb2_report!J:J,H28470)</f>
        <v>#ERROR!</v>
      </c>
      <c r="P687" s="6" t="str">
        <f>SUMIFS([1]order_sku_sales_bb2_report!O:O,[1]order_sku_sales_bb2_report!H:H,C28470,[1]order_sku_sales_bb2_report!J:J,H28470)</f>
        <v>#ERROR!</v>
      </c>
      <c r="Q687" s="6" t="str">
        <f t="shared" si="1"/>
        <v>22-12-2025</v>
      </c>
      <c r="R687" s="6" t="str">
        <f>IFERROR( VLOOKUP(C28470,[1]expressOrderReport!$S:$AZ,34,0),0)</f>
        <v>#ERROR!</v>
      </c>
      <c r="S687" s="6" t="str">
        <f>ARRAY_CONSTRAIN(ARRAYFORMULA(_xludf.XLOOKUP(D28470,[1]order_Report_SA_ID_BB2.0!V:V,[1]order_Report_SA_ID_BB2.0!AM:AM,"")), 1, 1)</f>
        <v>#ERROR!</v>
      </c>
      <c r="T687" s="6" t="str">
        <f t="shared" si="2"/>
        <v>Dec'25</v>
      </c>
    </row>
    <row r="688" ht="15.75" customHeight="1">
      <c r="A688" s="5">
        <v>46013.0</v>
      </c>
      <c r="B688" s="6">
        <v>10091.0</v>
      </c>
      <c r="C688" s="6">
        <v>1.859167218E9</v>
      </c>
      <c r="D688" s="6">
        <v>1.0657779E7</v>
      </c>
      <c r="E688" s="6" t="s">
        <v>1097</v>
      </c>
      <c r="F688" s="6" t="s">
        <v>1098</v>
      </c>
      <c r="G688" s="6">
        <v>7.509999789E9</v>
      </c>
      <c r="H688" s="6">
        <v>4.0161616E7</v>
      </c>
      <c r="I688" s="6" t="s">
        <v>20</v>
      </c>
      <c r="J688" s="6" t="s">
        <v>21</v>
      </c>
      <c r="K688" s="6" t="s">
        <v>22</v>
      </c>
      <c r="L688" s="6">
        <v>134.0</v>
      </c>
      <c r="M688" s="5">
        <v>46013.0</v>
      </c>
      <c r="N688" s="6" t="s">
        <v>23</v>
      </c>
      <c r="O688" s="6" t="str">
        <f>SUMIFS([1]order_sku_sales_bb2_report!P:P,[1]order_sku_sales_bb2_report!H:H,C28471,[1]order_sku_sales_bb2_report!J:J,H28471)</f>
        <v>#ERROR!</v>
      </c>
      <c r="P688" s="6" t="str">
        <f>SUMIFS([1]order_sku_sales_bb2_report!O:O,[1]order_sku_sales_bb2_report!H:H,C28471,[1]order_sku_sales_bb2_report!J:J,H28471)</f>
        <v>#ERROR!</v>
      </c>
      <c r="Q688" s="6" t="str">
        <f t="shared" si="1"/>
        <v>22-12-2025</v>
      </c>
      <c r="R688" s="6" t="str">
        <f>IFERROR( VLOOKUP(C28471,[1]expressOrderReport!$S:$AZ,34,0),0)</f>
        <v>#ERROR!</v>
      </c>
      <c r="S688" s="6" t="str">
        <f>ARRAY_CONSTRAIN(ARRAYFORMULA(_xludf.XLOOKUP(D28471,[1]order_Report_SA_ID_BB2.0!V:V,[1]order_Report_SA_ID_BB2.0!AM:AM,"")), 1, 1)</f>
        <v>#ERROR!</v>
      </c>
      <c r="T688" s="6" t="str">
        <f t="shared" si="2"/>
        <v>Dec'25</v>
      </c>
    </row>
    <row r="689" ht="15.75" customHeight="1">
      <c r="A689" s="5">
        <v>46013.0</v>
      </c>
      <c r="B689" s="6">
        <v>2293.0</v>
      </c>
      <c r="C689" s="6">
        <v>1.859167223E9</v>
      </c>
      <c r="D689" s="6">
        <v>1.9855988E7</v>
      </c>
      <c r="E689" s="6" t="s">
        <v>1099</v>
      </c>
      <c r="F689" s="6" t="s">
        <v>1100</v>
      </c>
      <c r="G689" s="6">
        <v>9.902318302E9</v>
      </c>
      <c r="H689" s="6">
        <v>4.0149833E7</v>
      </c>
      <c r="I689" s="6" t="s">
        <v>40</v>
      </c>
      <c r="J689" s="6" t="s">
        <v>21</v>
      </c>
      <c r="K689" s="6" t="s">
        <v>22</v>
      </c>
      <c r="L689" s="6">
        <v>54.0</v>
      </c>
      <c r="M689" s="5">
        <v>46013.0</v>
      </c>
      <c r="N689" s="6" t="s">
        <v>23</v>
      </c>
      <c r="O689" s="6" t="str">
        <f>SUMIFS([1]order_sku_sales_bb2_report!P:P,[1]order_sku_sales_bb2_report!H:H,C28472,[1]order_sku_sales_bb2_report!J:J,H28472)</f>
        <v>#ERROR!</v>
      </c>
      <c r="P689" s="6" t="str">
        <f>SUMIFS([1]order_sku_sales_bb2_report!O:O,[1]order_sku_sales_bb2_report!H:H,C28472,[1]order_sku_sales_bb2_report!J:J,H28472)</f>
        <v>#ERROR!</v>
      </c>
      <c r="Q689" s="6" t="str">
        <f t="shared" si="1"/>
        <v>22-12-2025</v>
      </c>
      <c r="R689" s="6" t="str">
        <f>IFERROR( VLOOKUP(C28472,[1]expressOrderReport!$S:$AZ,34,0),0)</f>
        <v>#ERROR!</v>
      </c>
      <c r="S689" s="6" t="str">
        <f>ARRAY_CONSTRAIN(ARRAYFORMULA(_xludf.XLOOKUP(D28472,[1]order_Report_SA_ID_BB2.0!V:V,[1]order_Report_SA_ID_BB2.0!AM:AM,"")), 1, 1)</f>
        <v>#ERROR!</v>
      </c>
      <c r="T689" s="6" t="str">
        <f t="shared" si="2"/>
        <v>Dec'25</v>
      </c>
    </row>
    <row r="690" ht="15.75" customHeight="1">
      <c r="A690" s="5">
        <v>46013.0</v>
      </c>
      <c r="B690" s="6">
        <v>4557.0</v>
      </c>
      <c r="C690" s="6">
        <v>1.859167227E9</v>
      </c>
      <c r="D690" s="6">
        <v>1.9856505E7</v>
      </c>
      <c r="E690" s="6" t="s">
        <v>1101</v>
      </c>
      <c r="F690" s="6" t="s">
        <v>1102</v>
      </c>
      <c r="G690" s="6">
        <v>9.886091054E9</v>
      </c>
      <c r="H690" s="6">
        <v>4.0149832E7</v>
      </c>
      <c r="I690" s="6" t="s">
        <v>26</v>
      </c>
      <c r="J690" s="6" t="s">
        <v>21</v>
      </c>
      <c r="K690" s="6" t="s">
        <v>22</v>
      </c>
      <c r="L690" s="6">
        <v>24.0</v>
      </c>
      <c r="M690" s="5">
        <v>46013.0</v>
      </c>
      <c r="N690" s="6" t="s">
        <v>23</v>
      </c>
      <c r="O690" s="6" t="str">
        <f>SUMIFS([1]order_sku_sales_bb2_report!P:P,[1]order_sku_sales_bb2_report!H:H,C28473,[1]order_sku_sales_bb2_report!J:J,H28473)</f>
        <v>#ERROR!</v>
      </c>
      <c r="P690" s="6" t="str">
        <f>SUMIFS([1]order_sku_sales_bb2_report!O:O,[1]order_sku_sales_bb2_report!H:H,C28473,[1]order_sku_sales_bb2_report!J:J,H28473)</f>
        <v>#ERROR!</v>
      </c>
      <c r="Q690" s="6" t="str">
        <f t="shared" si="1"/>
        <v>22-12-2025</v>
      </c>
      <c r="R690" s="6" t="str">
        <f>IFERROR( VLOOKUP(C28473,[1]expressOrderReport!$S:$AZ,34,0),0)</f>
        <v>#ERROR!</v>
      </c>
      <c r="S690" s="6" t="str">
        <f>ARRAY_CONSTRAIN(ARRAYFORMULA(_xludf.XLOOKUP(D28473,[1]order_Report_SA_ID_BB2.0!V:V,[1]order_Report_SA_ID_BB2.0!AM:AM,"")), 1, 1)</f>
        <v>#ERROR!</v>
      </c>
      <c r="T690" s="6" t="str">
        <f t="shared" si="2"/>
        <v>Dec'25</v>
      </c>
    </row>
    <row r="691" ht="15.75" customHeight="1">
      <c r="A691" s="5">
        <v>46013.0</v>
      </c>
      <c r="B691" s="6">
        <v>3740.0</v>
      </c>
      <c r="C691" s="6">
        <v>1.859167231E9</v>
      </c>
      <c r="D691" s="6">
        <v>1.9704644E7</v>
      </c>
      <c r="E691" s="6" t="s">
        <v>1103</v>
      </c>
      <c r="F691" s="6" t="s">
        <v>1104</v>
      </c>
      <c r="G691" s="6">
        <v>9.901399344E9</v>
      </c>
      <c r="H691" s="6">
        <v>4.0148717E7</v>
      </c>
      <c r="I691" s="6" t="s">
        <v>226</v>
      </c>
      <c r="J691" s="6" t="s">
        <v>21</v>
      </c>
      <c r="K691" s="6" t="s">
        <v>22</v>
      </c>
      <c r="L691" s="6">
        <v>229.6</v>
      </c>
      <c r="M691" s="5">
        <v>46013.0</v>
      </c>
      <c r="N691" s="6" t="s">
        <v>23</v>
      </c>
      <c r="O691" s="6" t="str">
        <f>SUMIFS([1]order_sku_sales_bb2_report!P:P,[1]order_sku_sales_bb2_report!H:H,C28474,[1]order_sku_sales_bb2_report!J:J,H28474)</f>
        <v>#ERROR!</v>
      </c>
      <c r="P691" s="6" t="str">
        <f>SUMIFS([1]order_sku_sales_bb2_report!O:O,[1]order_sku_sales_bb2_report!H:H,C28474,[1]order_sku_sales_bb2_report!J:J,H28474)</f>
        <v>#ERROR!</v>
      </c>
      <c r="Q691" s="6" t="str">
        <f t="shared" si="1"/>
        <v>22-12-2025</v>
      </c>
      <c r="R691" s="6" t="str">
        <f>IFERROR( VLOOKUP(C28474,[1]expressOrderReport!$S:$AZ,34,0),0)</f>
        <v>#ERROR!</v>
      </c>
      <c r="S691" s="6" t="str">
        <f>ARRAY_CONSTRAIN(ARRAYFORMULA(_xludf.XLOOKUP(D28474,[1]order_Report_SA_ID_BB2.0!V:V,[1]order_Report_SA_ID_BB2.0!AM:AM,"")), 1, 1)</f>
        <v>#ERROR!</v>
      </c>
      <c r="T691" s="6" t="str">
        <f t="shared" si="2"/>
        <v>Dec'25</v>
      </c>
    </row>
    <row r="692" ht="15.75" customHeight="1">
      <c r="A692" s="5">
        <v>46013.0</v>
      </c>
      <c r="B692" s="6">
        <v>6319.0</v>
      </c>
      <c r="C692" s="6">
        <v>1.859167231E9</v>
      </c>
      <c r="D692" s="6">
        <v>1.9704644E7</v>
      </c>
      <c r="E692" s="6" t="s">
        <v>1103</v>
      </c>
      <c r="F692" s="6" t="s">
        <v>1104</v>
      </c>
      <c r="G692" s="6">
        <v>9.901399344E9</v>
      </c>
      <c r="H692" s="6">
        <v>4.0123024E7</v>
      </c>
      <c r="I692" s="6" t="s">
        <v>1105</v>
      </c>
      <c r="J692" s="6" t="s">
        <v>21</v>
      </c>
      <c r="K692" s="6" t="s">
        <v>22</v>
      </c>
      <c r="L692" s="6">
        <v>229.6</v>
      </c>
      <c r="M692" s="5">
        <v>46013.0</v>
      </c>
      <c r="N692" s="6" t="s">
        <v>23</v>
      </c>
      <c r="O692" s="6" t="str">
        <f>SUMIFS([1]order_sku_sales_bb2_report!P:P,[1]order_sku_sales_bb2_report!H:H,C28475,[1]order_sku_sales_bb2_report!J:J,H28475)</f>
        <v>#ERROR!</v>
      </c>
      <c r="P692" s="6" t="str">
        <f>SUMIFS([1]order_sku_sales_bb2_report!O:O,[1]order_sku_sales_bb2_report!H:H,C28475,[1]order_sku_sales_bb2_report!J:J,H28475)</f>
        <v>#ERROR!</v>
      </c>
      <c r="Q692" s="6" t="str">
        <f t="shared" si="1"/>
        <v>22-12-2025</v>
      </c>
      <c r="R692" s="6" t="str">
        <f>IFERROR( VLOOKUP(C28475,[1]expressOrderReport!$S:$AZ,34,0),0)</f>
        <v>#ERROR!</v>
      </c>
      <c r="S692" s="6" t="str">
        <f>ARRAY_CONSTRAIN(ARRAYFORMULA(_xludf.XLOOKUP(D28475,[1]order_Report_SA_ID_BB2.0!V:V,[1]order_Report_SA_ID_BB2.0!AM:AM,"")), 1, 1)</f>
        <v>#ERROR!</v>
      </c>
      <c r="T692" s="6" t="str">
        <f t="shared" si="2"/>
        <v>Dec'25</v>
      </c>
    </row>
    <row r="693" ht="15.75" customHeight="1">
      <c r="A693" s="5">
        <v>46013.0</v>
      </c>
      <c r="B693" s="6">
        <v>3829.0</v>
      </c>
      <c r="C693" s="6">
        <v>1.859167235E9</v>
      </c>
      <c r="D693" s="6">
        <v>1.9989849E7</v>
      </c>
      <c r="E693" s="6" t="s">
        <v>1106</v>
      </c>
      <c r="F693" s="6" t="s">
        <v>1107</v>
      </c>
      <c r="G693" s="6">
        <v>8.861493517E9</v>
      </c>
      <c r="H693" s="6">
        <v>4.0149832E7</v>
      </c>
      <c r="I693" s="6" t="s">
        <v>26</v>
      </c>
      <c r="J693" s="6" t="s">
        <v>21</v>
      </c>
      <c r="K693" s="6" t="s">
        <v>22</v>
      </c>
      <c r="L693" s="6">
        <v>72.0</v>
      </c>
      <c r="M693" s="5">
        <v>46013.0</v>
      </c>
      <c r="N693" s="6" t="s">
        <v>23</v>
      </c>
      <c r="O693" s="6" t="str">
        <f>SUMIFS([1]order_sku_sales_bb2_report!P:P,[1]order_sku_sales_bb2_report!H:H,C28476,[1]order_sku_sales_bb2_report!J:J,H28476)</f>
        <v>#ERROR!</v>
      </c>
      <c r="P693" s="6" t="str">
        <f>SUMIFS([1]order_sku_sales_bb2_report!O:O,[1]order_sku_sales_bb2_report!H:H,C28476,[1]order_sku_sales_bb2_report!J:J,H28476)</f>
        <v>#ERROR!</v>
      </c>
      <c r="Q693" s="6" t="str">
        <f t="shared" si="1"/>
        <v>22-12-2025</v>
      </c>
      <c r="R693" s="6" t="str">
        <f>IFERROR( VLOOKUP(C28476,[1]expressOrderReport!$S:$AZ,34,0),0)</f>
        <v>#ERROR!</v>
      </c>
      <c r="S693" s="6" t="str">
        <f>ARRAY_CONSTRAIN(ARRAYFORMULA(_xludf.XLOOKUP(D28476,[1]order_Report_SA_ID_BB2.0!V:V,[1]order_Report_SA_ID_BB2.0!AM:AM,"")), 1, 1)</f>
        <v>#ERROR!</v>
      </c>
      <c r="T693" s="6" t="str">
        <f t="shared" si="2"/>
        <v>Dec'25</v>
      </c>
    </row>
    <row r="694" ht="15.75" customHeight="1">
      <c r="A694" s="5">
        <v>46013.0</v>
      </c>
      <c r="B694" s="6">
        <v>2955.0</v>
      </c>
      <c r="C694" s="6">
        <v>1.859167238E9</v>
      </c>
      <c r="D694" s="6">
        <v>2255265.0</v>
      </c>
      <c r="E694" s="6" t="s">
        <v>1108</v>
      </c>
      <c r="F694" s="6" t="s">
        <v>1109</v>
      </c>
      <c r="G694" s="6">
        <v>9.634478252E9</v>
      </c>
      <c r="H694" s="6">
        <v>4.0161616E7</v>
      </c>
      <c r="I694" s="6" t="s">
        <v>20</v>
      </c>
      <c r="J694" s="6" t="s">
        <v>21</v>
      </c>
      <c r="K694" s="6" t="s">
        <v>22</v>
      </c>
      <c r="L694" s="6">
        <v>168.0</v>
      </c>
      <c r="M694" s="5">
        <v>46013.0</v>
      </c>
      <c r="N694" s="6" t="s">
        <v>23</v>
      </c>
      <c r="O694" s="6" t="str">
        <f>SUMIFS([1]order_sku_sales_bb2_report!P:P,[1]order_sku_sales_bb2_report!H:H,C28477,[1]order_sku_sales_bb2_report!J:J,H28477)</f>
        <v>#ERROR!</v>
      </c>
      <c r="P694" s="6" t="str">
        <f>SUMIFS([1]order_sku_sales_bb2_report!O:O,[1]order_sku_sales_bb2_report!H:H,C28477,[1]order_sku_sales_bb2_report!J:J,H28477)</f>
        <v>#ERROR!</v>
      </c>
      <c r="Q694" s="6" t="str">
        <f t="shared" si="1"/>
        <v>22-12-2025</v>
      </c>
      <c r="R694" s="6" t="str">
        <f>IFERROR( VLOOKUP(C28477,[1]expressOrderReport!$S:$AZ,34,0),0)</f>
        <v>#ERROR!</v>
      </c>
      <c r="S694" s="6" t="str">
        <f>ARRAY_CONSTRAIN(ARRAYFORMULA(_xludf.XLOOKUP(D28477,[1]order_Report_SA_ID_BB2.0!V:V,[1]order_Report_SA_ID_BB2.0!AM:AM,"")), 1, 1)</f>
        <v>#ERROR!</v>
      </c>
      <c r="T694" s="6" t="str">
        <f t="shared" si="2"/>
        <v>Dec'25</v>
      </c>
    </row>
    <row r="695" ht="15.75" customHeight="1">
      <c r="A695" s="5">
        <v>46013.0</v>
      </c>
      <c r="B695" s="6">
        <v>1164.0</v>
      </c>
      <c r="C695" s="6">
        <v>1.859167243E9</v>
      </c>
      <c r="D695" s="6">
        <v>2.0042275E7</v>
      </c>
      <c r="E695" s="6" t="s">
        <v>1110</v>
      </c>
      <c r="F695" s="6" t="s">
        <v>1111</v>
      </c>
      <c r="G695" s="6">
        <v>9.39514225E9</v>
      </c>
      <c r="H695" s="6">
        <v>4.0147597E7</v>
      </c>
      <c r="I695" s="6" t="s">
        <v>59</v>
      </c>
      <c r="J695" s="6" t="s">
        <v>21</v>
      </c>
      <c r="K695" s="6" t="s">
        <v>22</v>
      </c>
      <c r="L695" s="6">
        <v>26.0</v>
      </c>
      <c r="M695" s="5">
        <v>46013.0</v>
      </c>
      <c r="N695" s="6" t="s">
        <v>23</v>
      </c>
      <c r="O695" s="6" t="str">
        <f>SUMIFS([1]order_sku_sales_bb2_report!P:P,[1]order_sku_sales_bb2_report!H:H,C28478,[1]order_sku_sales_bb2_report!J:J,H28478)</f>
        <v>#ERROR!</v>
      </c>
      <c r="P695" s="6" t="str">
        <f>SUMIFS([1]order_sku_sales_bb2_report!O:O,[1]order_sku_sales_bb2_report!H:H,C28478,[1]order_sku_sales_bb2_report!J:J,H28478)</f>
        <v>#ERROR!</v>
      </c>
      <c r="Q695" s="6" t="str">
        <f t="shared" si="1"/>
        <v>22-12-2025</v>
      </c>
      <c r="R695" s="6" t="str">
        <f>IFERROR( VLOOKUP(C28478,[1]expressOrderReport!$S:$AZ,34,0),0)</f>
        <v>#ERROR!</v>
      </c>
      <c r="S695" s="6" t="str">
        <f>ARRAY_CONSTRAIN(ARRAYFORMULA(_xludf.XLOOKUP(D28478,[1]order_Report_SA_ID_BB2.0!V:V,[1]order_Report_SA_ID_BB2.0!AM:AM,"")), 1, 1)</f>
        <v>#ERROR!</v>
      </c>
      <c r="T695" s="6" t="str">
        <f t="shared" si="2"/>
        <v>Dec'25</v>
      </c>
    </row>
    <row r="696" ht="15.75" customHeight="1">
      <c r="A696" s="5">
        <v>46013.0</v>
      </c>
      <c r="B696" s="6">
        <v>2567.0</v>
      </c>
      <c r="C696" s="6">
        <v>1.859165998E9</v>
      </c>
      <c r="D696" s="6">
        <v>1.1935475E7</v>
      </c>
      <c r="E696" s="6" t="s">
        <v>1112</v>
      </c>
      <c r="F696" s="6" t="s">
        <v>1113</v>
      </c>
      <c r="G696" s="6">
        <v>9.97299591E9</v>
      </c>
      <c r="H696" s="6">
        <v>4.0149833E7</v>
      </c>
      <c r="I696" s="6" t="s">
        <v>40</v>
      </c>
      <c r="J696" s="6" t="s">
        <v>21</v>
      </c>
      <c r="K696" s="6" t="s">
        <v>22</v>
      </c>
      <c r="L696" s="6">
        <v>80.0</v>
      </c>
      <c r="M696" s="5">
        <v>46013.0</v>
      </c>
      <c r="N696" s="6" t="s">
        <v>23</v>
      </c>
      <c r="O696" s="6" t="str">
        <f>SUMIFS([1]order_sku_sales_bb2_report!P:P,[1]order_sku_sales_bb2_report!H:H,C28480,[1]order_sku_sales_bb2_report!J:J,H28480)</f>
        <v>#ERROR!</v>
      </c>
      <c r="P696" s="6" t="str">
        <f>SUMIFS([1]order_sku_sales_bb2_report!O:O,[1]order_sku_sales_bb2_report!H:H,C28480,[1]order_sku_sales_bb2_report!J:J,H28480)</f>
        <v>#ERROR!</v>
      </c>
      <c r="Q696" s="6" t="str">
        <f t="shared" si="1"/>
        <v>22-12-2025</v>
      </c>
      <c r="R696" s="6" t="str">
        <f>IFERROR( VLOOKUP(C28480,[1]expressOrderReport!$S:$AZ,34,0),0)</f>
        <v>#ERROR!</v>
      </c>
      <c r="S696" s="6" t="str">
        <f>ARRAY_CONSTRAIN(ARRAYFORMULA(_xludf.XLOOKUP(D28480,[1]order_Report_SA_ID_BB2.0!V:V,[1]order_Report_SA_ID_BB2.0!AM:AM,"")), 1, 1)</f>
        <v>#ERROR!</v>
      </c>
      <c r="T696" s="6" t="str">
        <f t="shared" si="2"/>
        <v>Dec'25</v>
      </c>
    </row>
    <row r="697" ht="15.75" customHeight="1">
      <c r="A697" s="5">
        <v>46013.0</v>
      </c>
      <c r="B697" s="6">
        <v>2569.0</v>
      </c>
      <c r="C697" s="6">
        <v>1.859165998E9</v>
      </c>
      <c r="D697" s="6">
        <v>1.1935475E7</v>
      </c>
      <c r="E697" s="6" t="s">
        <v>1112</v>
      </c>
      <c r="F697" s="6" t="s">
        <v>1113</v>
      </c>
      <c r="G697" s="6">
        <v>9.97299591E9</v>
      </c>
      <c r="H697" s="6">
        <v>4.0148717E7</v>
      </c>
      <c r="I697" s="6" t="s">
        <v>226</v>
      </c>
      <c r="J697" s="6" t="s">
        <v>21</v>
      </c>
      <c r="K697" s="6" t="s">
        <v>22</v>
      </c>
      <c r="L697" s="6">
        <v>80.0</v>
      </c>
      <c r="M697" s="5">
        <v>46013.0</v>
      </c>
      <c r="N697" s="6" t="s">
        <v>23</v>
      </c>
      <c r="O697" s="6" t="str">
        <f>SUMIFS([1]order_sku_sales_bb2_report!P:P,[1]order_sku_sales_bb2_report!H:H,C28481,[1]order_sku_sales_bb2_report!J:J,H28481)</f>
        <v>#ERROR!</v>
      </c>
      <c r="P697" s="6" t="str">
        <f>SUMIFS([1]order_sku_sales_bb2_report!O:O,[1]order_sku_sales_bb2_report!H:H,C28481,[1]order_sku_sales_bb2_report!J:J,H28481)</f>
        <v>#ERROR!</v>
      </c>
      <c r="Q697" s="6" t="str">
        <f t="shared" si="1"/>
        <v>22-12-2025</v>
      </c>
      <c r="R697" s="6" t="str">
        <f>IFERROR( VLOOKUP(C28481,[1]expressOrderReport!$S:$AZ,34,0),0)</f>
        <v>#ERROR!</v>
      </c>
      <c r="S697" s="6" t="str">
        <f>ARRAY_CONSTRAIN(ARRAYFORMULA(_xludf.XLOOKUP(D28481,[1]order_Report_SA_ID_BB2.0!V:V,[1]order_Report_SA_ID_BB2.0!AM:AM,"")), 1, 1)</f>
        <v>#ERROR!</v>
      </c>
      <c r="T697" s="6" t="str">
        <f t="shared" si="2"/>
        <v>Dec'25</v>
      </c>
    </row>
    <row r="698" ht="15.75" customHeight="1">
      <c r="A698" s="5">
        <v>46013.0</v>
      </c>
      <c r="B698" s="6">
        <v>1473.0</v>
      </c>
      <c r="C698" s="6">
        <v>1.859166003E9</v>
      </c>
      <c r="D698" s="6">
        <v>1.7505511E7</v>
      </c>
      <c r="E698" s="6" t="s">
        <v>1114</v>
      </c>
      <c r="F698" s="6" t="s">
        <v>1115</v>
      </c>
      <c r="G698" s="6">
        <v>9.94575939E9</v>
      </c>
      <c r="H698" s="6">
        <v>4.0001619E7</v>
      </c>
      <c r="I698" s="6" t="s">
        <v>1116</v>
      </c>
      <c r="J698" s="6" t="s">
        <v>21</v>
      </c>
      <c r="K698" s="6" t="s">
        <v>22</v>
      </c>
      <c r="L698" s="6">
        <v>5.0</v>
      </c>
      <c r="M698" s="5">
        <v>46013.0</v>
      </c>
      <c r="N698" s="6" t="s">
        <v>54</v>
      </c>
      <c r="O698" s="6" t="str">
        <f>SUMIFS([1]order_sku_sales_bb2_report!P:P,[1]order_sku_sales_bb2_report!H:H,C28482,[1]order_sku_sales_bb2_report!J:J,H28482)</f>
        <v>#ERROR!</v>
      </c>
      <c r="P698" s="6" t="str">
        <f>SUMIFS([1]order_sku_sales_bb2_report!O:O,[1]order_sku_sales_bb2_report!H:H,C28482,[1]order_sku_sales_bb2_report!J:J,H28482)</f>
        <v>#ERROR!</v>
      </c>
      <c r="Q698" s="6" t="str">
        <f t="shared" si="1"/>
        <v>22-12-2025</v>
      </c>
      <c r="R698" s="6" t="str">
        <f>IFERROR( VLOOKUP(C28482,[1]expressOrderReport!$S:$AZ,34,0),0)</f>
        <v>#ERROR!</v>
      </c>
      <c r="S698" s="6" t="str">
        <f>ARRAY_CONSTRAIN(ARRAYFORMULA(_xludf.XLOOKUP(D28482,[1]order_Report_SA_ID_BB2.0!V:V,[1]order_Report_SA_ID_BB2.0!AM:AM,"")), 1, 1)</f>
        <v>#ERROR!</v>
      </c>
      <c r="T698" s="6" t="str">
        <f t="shared" si="2"/>
        <v>Dec'25</v>
      </c>
    </row>
    <row r="699" ht="15.75" customHeight="1">
      <c r="A699" s="5">
        <v>46013.0</v>
      </c>
      <c r="B699" s="6">
        <v>1696.0</v>
      </c>
      <c r="C699" s="6">
        <v>1.859166018E9</v>
      </c>
      <c r="D699" s="6">
        <v>1.8353253E7</v>
      </c>
      <c r="E699" s="6" t="s">
        <v>1117</v>
      </c>
      <c r="F699" s="6" t="s">
        <v>1118</v>
      </c>
      <c r="G699" s="6">
        <v>7.406432414E9</v>
      </c>
      <c r="H699" s="6">
        <v>4.0149832E7</v>
      </c>
      <c r="I699" s="6" t="s">
        <v>26</v>
      </c>
      <c r="J699" s="6" t="s">
        <v>21</v>
      </c>
      <c r="K699" s="6" t="s">
        <v>22</v>
      </c>
      <c r="L699" s="6">
        <v>72.0</v>
      </c>
      <c r="M699" s="5">
        <v>46013.0</v>
      </c>
      <c r="N699" s="6" t="s">
        <v>23</v>
      </c>
      <c r="O699" s="6" t="str">
        <f>SUMIFS([1]order_sku_sales_bb2_report!P:P,[1]order_sku_sales_bb2_report!H:H,C28483,[1]order_sku_sales_bb2_report!J:J,H28483)</f>
        <v>#ERROR!</v>
      </c>
      <c r="P699" s="6" t="str">
        <f>SUMIFS([1]order_sku_sales_bb2_report!O:O,[1]order_sku_sales_bb2_report!H:H,C28483,[1]order_sku_sales_bb2_report!J:J,H28483)</f>
        <v>#ERROR!</v>
      </c>
      <c r="Q699" s="6" t="str">
        <f t="shared" si="1"/>
        <v>22-12-2025</v>
      </c>
      <c r="R699" s="6" t="str">
        <f>IFERROR( VLOOKUP(C28483,[1]expressOrderReport!$S:$AZ,34,0),0)</f>
        <v>#ERROR!</v>
      </c>
      <c r="S699" s="6" t="str">
        <f>ARRAY_CONSTRAIN(ARRAYFORMULA(_xludf.XLOOKUP(D28483,[1]order_Report_SA_ID_BB2.0!V:V,[1]order_Report_SA_ID_BB2.0!AM:AM,"")), 1, 1)</f>
        <v>#ERROR!</v>
      </c>
      <c r="T699" s="6" t="str">
        <f t="shared" si="2"/>
        <v>Dec'25</v>
      </c>
    </row>
    <row r="700" ht="15.75" customHeight="1">
      <c r="A700" s="5">
        <v>46013.0</v>
      </c>
      <c r="B700" s="6">
        <v>4688.0</v>
      </c>
      <c r="C700" s="6">
        <v>1.859166024E9</v>
      </c>
      <c r="D700" s="6">
        <v>1.9704703E7</v>
      </c>
      <c r="E700" s="6" t="s">
        <v>1119</v>
      </c>
      <c r="F700" s="6" t="s">
        <v>1120</v>
      </c>
      <c r="G700" s="6">
        <v>9.972431008E9</v>
      </c>
      <c r="H700" s="6">
        <v>4.0161616E7</v>
      </c>
      <c r="I700" s="6" t="s">
        <v>20</v>
      </c>
      <c r="J700" s="6" t="s">
        <v>21</v>
      </c>
      <c r="K700" s="6" t="s">
        <v>22</v>
      </c>
      <c r="L700" s="6">
        <v>84.0</v>
      </c>
      <c r="M700" s="5">
        <v>46013.0</v>
      </c>
      <c r="N700" s="6" t="s">
        <v>23</v>
      </c>
      <c r="O700" s="6" t="str">
        <f>SUMIFS([1]order_sku_sales_bb2_report!P:P,[1]order_sku_sales_bb2_report!H:H,C28484,[1]order_sku_sales_bb2_report!J:J,H28484)</f>
        <v>#ERROR!</v>
      </c>
      <c r="P700" s="6" t="str">
        <f>SUMIFS([1]order_sku_sales_bb2_report!O:O,[1]order_sku_sales_bb2_report!H:H,C28484,[1]order_sku_sales_bb2_report!J:J,H28484)</f>
        <v>#ERROR!</v>
      </c>
      <c r="Q700" s="6" t="str">
        <f t="shared" si="1"/>
        <v>22-12-2025</v>
      </c>
      <c r="R700" s="6" t="str">
        <f>IFERROR( VLOOKUP(C28484,[1]expressOrderReport!$S:$AZ,34,0),0)</f>
        <v>#ERROR!</v>
      </c>
      <c r="S700" s="6" t="str">
        <f>ARRAY_CONSTRAIN(ARRAYFORMULA(_xludf.XLOOKUP(D28484,[1]order_Report_SA_ID_BB2.0!V:V,[1]order_Report_SA_ID_BB2.0!AM:AM,"")), 1, 1)</f>
        <v>#ERROR!</v>
      </c>
      <c r="T700" s="6" t="str">
        <f t="shared" si="2"/>
        <v>Dec'25</v>
      </c>
    </row>
    <row r="701" ht="15.75" customHeight="1">
      <c r="A701" s="5">
        <v>46013.0</v>
      </c>
      <c r="B701" s="6">
        <v>3071.0</v>
      </c>
      <c r="C701" s="6">
        <v>1.859166034E9</v>
      </c>
      <c r="D701" s="6">
        <v>714840.0</v>
      </c>
      <c r="E701" s="6" t="s">
        <v>1121</v>
      </c>
      <c r="F701" s="6" t="s">
        <v>1122</v>
      </c>
      <c r="G701" s="6">
        <v>9.483579419E9</v>
      </c>
      <c r="H701" s="6">
        <v>4.0148716E7</v>
      </c>
      <c r="I701" s="6" t="s">
        <v>148</v>
      </c>
      <c r="J701" s="6" t="s">
        <v>21</v>
      </c>
      <c r="K701" s="6" t="s">
        <v>27</v>
      </c>
      <c r="L701" s="6">
        <v>45.0</v>
      </c>
      <c r="M701" s="5">
        <v>46013.0</v>
      </c>
      <c r="N701" s="6" t="s">
        <v>23</v>
      </c>
      <c r="O701" s="6" t="str">
        <f>SUMIFS([1]order_sku_sales_bb2_report!P:P,[1]order_sku_sales_bb2_report!H:H,C28485,[1]order_sku_sales_bb2_report!J:J,H28485)</f>
        <v>#ERROR!</v>
      </c>
      <c r="P701" s="6" t="str">
        <f>SUMIFS([1]order_sku_sales_bb2_report!O:O,[1]order_sku_sales_bb2_report!H:H,C28485,[1]order_sku_sales_bb2_report!J:J,H28485)</f>
        <v>#ERROR!</v>
      </c>
      <c r="Q701" s="6" t="str">
        <f t="shared" si="1"/>
        <v>22-12-2025</v>
      </c>
      <c r="R701" s="6" t="str">
        <f>IFERROR( VLOOKUP(C28485,[1]expressOrderReport!$S:$AZ,34,0),0)</f>
        <v>#ERROR!</v>
      </c>
      <c r="S701" s="6" t="str">
        <f>ARRAY_CONSTRAIN(ARRAYFORMULA(_xludf.XLOOKUP(D28485,[1]order_Report_SA_ID_BB2.0!V:V,[1]order_Report_SA_ID_BB2.0!AM:AM,"")), 1, 1)</f>
        <v>#ERROR!</v>
      </c>
      <c r="T701" s="6" t="str">
        <f t="shared" si="2"/>
        <v>Dec'25</v>
      </c>
    </row>
    <row r="702" ht="15.75" customHeight="1">
      <c r="A702" s="5">
        <v>46013.0</v>
      </c>
      <c r="B702" s="6">
        <v>5811.0</v>
      </c>
      <c r="C702" s="6">
        <v>1.859166039E9</v>
      </c>
      <c r="D702" s="6">
        <v>2.0243007E7</v>
      </c>
      <c r="E702" s="6" t="s">
        <v>1123</v>
      </c>
      <c r="F702" s="6" t="s">
        <v>1124</v>
      </c>
      <c r="G702" s="6">
        <v>9.606057599E9</v>
      </c>
      <c r="H702" s="6">
        <v>4.0147597E7</v>
      </c>
      <c r="I702" s="6" t="s">
        <v>59</v>
      </c>
      <c r="J702" s="6" t="s">
        <v>21</v>
      </c>
      <c r="K702" s="6" t="s">
        <v>22</v>
      </c>
      <c r="L702" s="6">
        <v>52.0</v>
      </c>
      <c r="M702" s="5">
        <v>46013.0</v>
      </c>
      <c r="N702" s="6" t="s">
        <v>23</v>
      </c>
      <c r="O702" s="6" t="str">
        <f>SUMIFS([1]order_sku_sales_bb2_report!P:P,[1]order_sku_sales_bb2_report!H:H,C28486,[1]order_sku_sales_bb2_report!J:J,H28486)</f>
        <v>#ERROR!</v>
      </c>
      <c r="P702" s="6" t="str">
        <f>SUMIFS([1]order_sku_sales_bb2_report!O:O,[1]order_sku_sales_bb2_report!H:H,C28486,[1]order_sku_sales_bb2_report!J:J,H28486)</f>
        <v>#ERROR!</v>
      </c>
      <c r="Q702" s="6" t="str">
        <f t="shared" si="1"/>
        <v>22-12-2025</v>
      </c>
      <c r="R702" s="6" t="str">
        <f>IFERROR( VLOOKUP(C28486,[1]expressOrderReport!$S:$AZ,34,0),0)</f>
        <v>#ERROR!</v>
      </c>
      <c r="S702" s="6" t="str">
        <f>ARRAY_CONSTRAIN(ARRAYFORMULA(_xludf.XLOOKUP(D28486,[1]order_Report_SA_ID_BB2.0!V:V,[1]order_Report_SA_ID_BB2.0!AM:AM,"")), 1, 1)</f>
        <v>#ERROR!</v>
      </c>
      <c r="T702" s="6" t="str">
        <f t="shared" si="2"/>
        <v>Dec'25</v>
      </c>
    </row>
    <row r="703" ht="15.75" customHeight="1">
      <c r="A703" s="5">
        <v>46013.0</v>
      </c>
      <c r="B703" s="6">
        <v>7505.0</v>
      </c>
      <c r="C703" s="6">
        <v>1.85916605E9</v>
      </c>
      <c r="D703" s="6">
        <v>2.0250805E7</v>
      </c>
      <c r="E703" s="6" t="s">
        <v>1125</v>
      </c>
      <c r="F703" s="6" t="s">
        <v>1126</v>
      </c>
      <c r="G703" s="6">
        <v>9.082992073E9</v>
      </c>
      <c r="H703" s="6">
        <v>4.0149833E7</v>
      </c>
      <c r="I703" s="6" t="s">
        <v>40</v>
      </c>
      <c r="J703" s="6" t="s">
        <v>21</v>
      </c>
      <c r="K703" s="6" t="s">
        <v>22</v>
      </c>
      <c r="L703" s="6">
        <v>27.0</v>
      </c>
      <c r="M703" s="5">
        <v>46013.0</v>
      </c>
      <c r="N703" s="6" t="s">
        <v>23</v>
      </c>
      <c r="O703" s="6" t="str">
        <f>SUMIFS([1]order_sku_sales_bb2_report!P:P,[1]order_sku_sales_bb2_report!H:H,C28487,[1]order_sku_sales_bb2_report!J:J,H28487)</f>
        <v>#ERROR!</v>
      </c>
      <c r="P703" s="6" t="str">
        <f>SUMIFS([1]order_sku_sales_bb2_report!O:O,[1]order_sku_sales_bb2_report!H:H,C28487,[1]order_sku_sales_bb2_report!J:J,H28487)</f>
        <v>#ERROR!</v>
      </c>
      <c r="Q703" s="6" t="str">
        <f t="shared" si="1"/>
        <v>22-12-2025</v>
      </c>
      <c r="R703" s="6" t="str">
        <f>IFERROR( VLOOKUP(C28487,[1]expressOrderReport!$S:$AZ,34,0),0)</f>
        <v>#ERROR!</v>
      </c>
      <c r="S703" s="6" t="str">
        <f>ARRAY_CONSTRAIN(ARRAYFORMULA(_xludf.XLOOKUP(D28487,[1]order_Report_SA_ID_BB2.0!V:V,[1]order_Report_SA_ID_BB2.0!AM:AM,"")), 1, 1)</f>
        <v>#ERROR!</v>
      </c>
      <c r="T703" s="6" t="str">
        <f t="shared" si="2"/>
        <v>Dec'25</v>
      </c>
    </row>
    <row r="704" ht="15.75" customHeight="1">
      <c r="A704" s="5">
        <v>46013.0</v>
      </c>
      <c r="B704" s="6">
        <v>4169.0</v>
      </c>
      <c r="C704" s="6">
        <v>1.859166059E9</v>
      </c>
      <c r="D704" s="6">
        <v>1.9704903E7</v>
      </c>
      <c r="E704" s="6" t="s">
        <v>1127</v>
      </c>
      <c r="F704" s="6" t="s">
        <v>1128</v>
      </c>
      <c r="G704" s="6">
        <v>9.880628723E9</v>
      </c>
      <c r="H704" s="6">
        <v>4.0147597E7</v>
      </c>
      <c r="I704" s="6" t="s">
        <v>59</v>
      </c>
      <c r="J704" s="6" t="s">
        <v>21</v>
      </c>
      <c r="K704" s="6" t="s">
        <v>22</v>
      </c>
      <c r="L704" s="6">
        <v>104.0</v>
      </c>
      <c r="M704" s="5">
        <v>46013.0</v>
      </c>
      <c r="N704" s="6" t="s">
        <v>23</v>
      </c>
      <c r="O704" s="6" t="str">
        <f>SUMIFS([1]order_sku_sales_bb2_report!P:P,[1]order_sku_sales_bb2_report!H:H,C28488,[1]order_sku_sales_bb2_report!J:J,H28488)</f>
        <v>#ERROR!</v>
      </c>
      <c r="P704" s="6" t="str">
        <f>SUMIFS([1]order_sku_sales_bb2_report!O:O,[1]order_sku_sales_bb2_report!H:H,C28488,[1]order_sku_sales_bb2_report!J:J,H28488)</f>
        <v>#ERROR!</v>
      </c>
      <c r="Q704" s="6" t="str">
        <f t="shared" si="1"/>
        <v>22-12-2025</v>
      </c>
      <c r="R704" s="6" t="str">
        <f>IFERROR( VLOOKUP(C28488,[1]expressOrderReport!$S:$AZ,34,0),0)</f>
        <v>#ERROR!</v>
      </c>
      <c r="S704" s="6" t="str">
        <f>ARRAY_CONSTRAIN(ARRAYFORMULA(_xludf.XLOOKUP(D28488,[1]order_Report_SA_ID_BB2.0!V:V,[1]order_Report_SA_ID_BB2.0!AM:AM,"")), 1, 1)</f>
        <v>#ERROR!</v>
      </c>
      <c r="T704" s="6" t="str">
        <f t="shared" si="2"/>
        <v>Dec'25</v>
      </c>
    </row>
    <row r="705" ht="15.75" customHeight="1">
      <c r="A705" s="5">
        <v>46013.0</v>
      </c>
      <c r="B705" s="6">
        <v>7623.0</v>
      </c>
      <c r="C705" s="6">
        <v>1.859166065E9</v>
      </c>
      <c r="D705" s="6">
        <v>2.0258428E7</v>
      </c>
      <c r="E705" s="6" t="s">
        <v>1129</v>
      </c>
      <c r="F705" s="6" t="s">
        <v>1130</v>
      </c>
      <c r="G705" s="6">
        <v>9.448094344E9</v>
      </c>
      <c r="H705" s="6">
        <v>4.0158264E7</v>
      </c>
      <c r="I705" s="6" t="s">
        <v>26</v>
      </c>
      <c r="J705" s="6" t="s">
        <v>21</v>
      </c>
      <c r="K705" s="6" t="s">
        <v>22</v>
      </c>
      <c r="L705" s="6">
        <v>92.0</v>
      </c>
      <c r="M705" s="5">
        <v>46013.0</v>
      </c>
      <c r="N705" s="6" t="s">
        <v>23</v>
      </c>
      <c r="O705" s="6" t="str">
        <f>SUMIFS([1]order_sku_sales_bb2_report!P:P,[1]order_sku_sales_bb2_report!H:H,C28489,[1]order_sku_sales_bb2_report!J:J,H28489)</f>
        <v>#ERROR!</v>
      </c>
      <c r="P705" s="6" t="str">
        <f>SUMIFS([1]order_sku_sales_bb2_report!O:O,[1]order_sku_sales_bb2_report!H:H,C28489,[1]order_sku_sales_bb2_report!J:J,H28489)</f>
        <v>#ERROR!</v>
      </c>
      <c r="Q705" s="6" t="str">
        <f t="shared" si="1"/>
        <v>22-12-2025</v>
      </c>
      <c r="R705" s="6" t="str">
        <f>IFERROR( VLOOKUP(C28489,[1]expressOrderReport!$S:$AZ,34,0),0)</f>
        <v>#ERROR!</v>
      </c>
      <c r="S705" s="6" t="str">
        <f>ARRAY_CONSTRAIN(ARRAYFORMULA(_xludf.XLOOKUP(D28489,[1]order_Report_SA_ID_BB2.0!V:V,[1]order_Report_SA_ID_BB2.0!AM:AM,"")), 1, 1)</f>
        <v>#ERROR!</v>
      </c>
      <c r="T705" s="6" t="str">
        <f t="shared" si="2"/>
        <v>Dec'25</v>
      </c>
    </row>
    <row r="706" ht="15.75" customHeight="1">
      <c r="A706" s="5">
        <v>46013.0</v>
      </c>
      <c r="B706" s="6">
        <v>9272.0</v>
      </c>
      <c r="C706" s="6">
        <v>1.859166071E9</v>
      </c>
      <c r="D706" s="6">
        <v>8812.0</v>
      </c>
      <c r="E706" s="6" t="s">
        <v>1131</v>
      </c>
      <c r="F706" s="6" t="s">
        <v>1132</v>
      </c>
      <c r="G706" s="6">
        <v>9.945164735E9</v>
      </c>
      <c r="H706" s="6">
        <v>4.0149834E7</v>
      </c>
      <c r="I706" s="6" t="s">
        <v>40</v>
      </c>
      <c r="J706" s="6" t="s">
        <v>21</v>
      </c>
      <c r="K706" s="6" t="s">
        <v>22</v>
      </c>
      <c r="L706" s="6">
        <v>52.0</v>
      </c>
      <c r="M706" s="5">
        <v>46013.0</v>
      </c>
      <c r="N706" s="6" t="s">
        <v>23</v>
      </c>
      <c r="O706" s="6" t="str">
        <f>SUMIFS([1]order_sku_sales_bb2_report!P:P,[1]order_sku_sales_bb2_report!H:H,C28490,[1]order_sku_sales_bb2_report!J:J,H28490)</f>
        <v>#ERROR!</v>
      </c>
      <c r="P706" s="6" t="str">
        <f>SUMIFS([1]order_sku_sales_bb2_report!O:O,[1]order_sku_sales_bb2_report!H:H,C28490,[1]order_sku_sales_bb2_report!J:J,H28490)</f>
        <v>#ERROR!</v>
      </c>
      <c r="Q706" s="6" t="str">
        <f t="shared" si="1"/>
        <v>22-12-2025</v>
      </c>
      <c r="R706" s="6" t="str">
        <f>IFERROR( VLOOKUP(C28490,[1]expressOrderReport!$S:$AZ,34,0),0)</f>
        <v>#ERROR!</v>
      </c>
      <c r="S706" s="6" t="str">
        <f>ARRAY_CONSTRAIN(ARRAYFORMULA(_xludf.XLOOKUP(D28490,[1]order_Report_SA_ID_BB2.0!V:V,[1]order_Report_SA_ID_BB2.0!AM:AM,"")), 1, 1)</f>
        <v>#ERROR!</v>
      </c>
      <c r="T706" s="6" t="str">
        <f t="shared" si="2"/>
        <v>Dec'25</v>
      </c>
    </row>
    <row r="707" ht="15.75" customHeight="1">
      <c r="A707" s="5">
        <v>46013.0</v>
      </c>
      <c r="B707" s="6">
        <v>9208.0</v>
      </c>
      <c r="C707" s="6">
        <v>1.859166074E9</v>
      </c>
      <c r="D707" s="6">
        <v>4096961.0</v>
      </c>
      <c r="E707" s="6" t="s">
        <v>1133</v>
      </c>
      <c r="F707" s="6" t="s">
        <v>1134</v>
      </c>
      <c r="G707" s="6">
        <v>9.591944003E9</v>
      </c>
      <c r="H707" s="6">
        <v>4.0148723E7</v>
      </c>
      <c r="I707" s="6" t="s">
        <v>69</v>
      </c>
      <c r="J707" s="6" t="s">
        <v>21</v>
      </c>
      <c r="K707" s="6" t="s">
        <v>22</v>
      </c>
      <c r="L707" s="6">
        <v>94.0</v>
      </c>
      <c r="M707" s="5">
        <v>46013.0</v>
      </c>
      <c r="N707" s="6" t="s">
        <v>23</v>
      </c>
      <c r="O707" s="6" t="str">
        <f>SUMIFS([1]order_sku_sales_bb2_report!P:P,[1]order_sku_sales_bb2_report!H:H,C28491,[1]order_sku_sales_bb2_report!J:J,H28491)</f>
        <v>#ERROR!</v>
      </c>
      <c r="P707" s="6" t="str">
        <f>SUMIFS([1]order_sku_sales_bb2_report!O:O,[1]order_sku_sales_bb2_report!H:H,C28491,[1]order_sku_sales_bb2_report!J:J,H28491)</f>
        <v>#ERROR!</v>
      </c>
      <c r="Q707" s="6" t="str">
        <f t="shared" si="1"/>
        <v>22-12-2025</v>
      </c>
      <c r="R707" s="6" t="str">
        <f>IFERROR( VLOOKUP(C28491,[1]expressOrderReport!$S:$AZ,34,0),0)</f>
        <v>#ERROR!</v>
      </c>
      <c r="S707" s="6" t="str">
        <f>ARRAY_CONSTRAIN(ARRAYFORMULA(_xludf.XLOOKUP(D28491,[1]order_Report_SA_ID_BB2.0!V:V,[1]order_Report_SA_ID_BB2.0!AM:AM,"")), 1, 1)</f>
        <v>#ERROR!</v>
      </c>
      <c r="T707" s="6" t="str">
        <f t="shared" si="2"/>
        <v>Dec'25</v>
      </c>
    </row>
    <row r="708" ht="15.75" customHeight="1">
      <c r="A708" s="5">
        <v>46013.0</v>
      </c>
      <c r="B708" s="6">
        <v>9209.0</v>
      </c>
      <c r="C708" s="6">
        <v>1.859166074E9</v>
      </c>
      <c r="D708" s="6">
        <v>4096961.0</v>
      </c>
      <c r="E708" s="6" t="s">
        <v>1133</v>
      </c>
      <c r="F708" s="6" t="s">
        <v>1134</v>
      </c>
      <c r="G708" s="6">
        <v>9.591944003E9</v>
      </c>
      <c r="H708" s="6">
        <v>4.0281258E7</v>
      </c>
      <c r="I708" s="6" t="s">
        <v>1135</v>
      </c>
      <c r="J708" s="6" t="s">
        <v>21</v>
      </c>
      <c r="K708" s="6" t="s">
        <v>22</v>
      </c>
      <c r="L708" s="6">
        <v>94.0</v>
      </c>
      <c r="M708" s="5">
        <v>46013.0</v>
      </c>
      <c r="N708" s="6" t="s">
        <v>23</v>
      </c>
      <c r="O708" s="6" t="str">
        <f>SUMIFS([1]order_sku_sales_bb2_report!P:P,[1]order_sku_sales_bb2_report!H:H,C28492,[1]order_sku_sales_bb2_report!J:J,H28492)</f>
        <v>#ERROR!</v>
      </c>
      <c r="P708" s="6" t="str">
        <f>SUMIFS([1]order_sku_sales_bb2_report!O:O,[1]order_sku_sales_bb2_report!H:H,C28492,[1]order_sku_sales_bb2_report!J:J,H28492)</f>
        <v>#ERROR!</v>
      </c>
      <c r="Q708" s="6" t="str">
        <f t="shared" si="1"/>
        <v>22-12-2025</v>
      </c>
      <c r="R708" s="6" t="str">
        <f>IFERROR( VLOOKUP(C28492,[1]expressOrderReport!$S:$AZ,34,0),0)</f>
        <v>#ERROR!</v>
      </c>
      <c r="S708" s="6" t="str">
        <f>ARRAY_CONSTRAIN(ARRAYFORMULA(_xludf.XLOOKUP(D28492,[1]order_Report_SA_ID_BB2.0!V:V,[1]order_Report_SA_ID_BB2.0!AM:AM,"")), 1, 1)</f>
        <v>#ERROR!</v>
      </c>
      <c r="T708" s="6" t="str">
        <f t="shared" si="2"/>
        <v>Dec'25</v>
      </c>
    </row>
    <row r="709" ht="15.75" customHeight="1">
      <c r="A709" s="5">
        <v>46013.0</v>
      </c>
      <c r="B709" s="6">
        <v>672.0</v>
      </c>
      <c r="C709" s="6">
        <v>1.859166084E9</v>
      </c>
      <c r="D709" s="6">
        <v>2.0343411E7</v>
      </c>
      <c r="E709" s="6" t="s">
        <v>1136</v>
      </c>
      <c r="F709" s="6" t="s">
        <v>1137</v>
      </c>
      <c r="G709" s="6">
        <v>9.886798992E9</v>
      </c>
      <c r="H709" s="6">
        <v>4.0149833E7</v>
      </c>
      <c r="I709" s="6" t="s">
        <v>40</v>
      </c>
      <c r="J709" s="6" t="s">
        <v>21</v>
      </c>
      <c r="K709" s="6" t="s">
        <v>22</v>
      </c>
      <c r="L709" s="6">
        <v>27.0</v>
      </c>
      <c r="M709" s="5">
        <v>46013.0</v>
      </c>
      <c r="N709" s="6" t="s">
        <v>23</v>
      </c>
      <c r="O709" s="6" t="str">
        <f>SUMIFS([1]order_sku_sales_bb2_report!P:P,[1]order_sku_sales_bb2_report!H:H,C28493,[1]order_sku_sales_bb2_report!J:J,H28493)</f>
        <v>#ERROR!</v>
      </c>
      <c r="P709" s="6" t="str">
        <f>SUMIFS([1]order_sku_sales_bb2_report!O:O,[1]order_sku_sales_bb2_report!H:H,C28493,[1]order_sku_sales_bb2_report!J:J,H28493)</f>
        <v>#ERROR!</v>
      </c>
      <c r="Q709" s="6" t="str">
        <f t="shared" si="1"/>
        <v>22-12-2025</v>
      </c>
      <c r="R709" s="6" t="str">
        <f>IFERROR( VLOOKUP(C28493,[1]expressOrderReport!$S:$AZ,34,0),0)</f>
        <v>#ERROR!</v>
      </c>
      <c r="S709" s="6" t="str">
        <f>ARRAY_CONSTRAIN(ARRAYFORMULA(_xludf.XLOOKUP(D28493,[1]order_Report_SA_ID_BB2.0!V:V,[1]order_Report_SA_ID_BB2.0!AM:AM,"")), 1, 1)</f>
        <v>#ERROR!</v>
      </c>
      <c r="T709" s="6" t="str">
        <f t="shared" si="2"/>
        <v>Dec'25</v>
      </c>
    </row>
    <row r="710" ht="15.75" customHeight="1">
      <c r="A710" s="5">
        <v>46013.0</v>
      </c>
      <c r="B710" s="6">
        <v>7932.0</v>
      </c>
      <c r="C710" s="6">
        <v>1.859166092E9</v>
      </c>
      <c r="D710" s="6">
        <v>1.8048099E7</v>
      </c>
      <c r="E710" s="6" t="s">
        <v>1138</v>
      </c>
      <c r="F710" s="6" t="s">
        <v>1139</v>
      </c>
      <c r="G710" s="6">
        <v>9.938755805E9</v>
      </c>
      <c r="H710" s="6">
        <v>4.0149833E7</v>
      </c>
      <c r="I710" s="6" t="s">
        <v>40</v>
      </c>
      <c r="J710" s="6" t="s">
        <v>21</v>
      </c>
      <c r="K710" s="6" t="s">
        <v>22</v>
      </c>
      <c r="L710" s="6">
        <v>27.0</v>
      </c>
      <c r="M710" s="5">
        <v>46013.0</v>
      </c>
      <c r="N710" s="6" t="s">
        <v>23</v>
      </c>
      <c r="O710" s="6" t="str">
        <f>SUMIFS([1]order_sku_sales_bb2_report!P:P,[1]order_sku_sales_bb2_report!H:H,C28494,[1]order_sku_sales_bb2_report!J:J,H28494)</f>
        <v>#ERROR!</v>
      </c>
      <c r="P710" s="6" t="str">
        <f>SUMIFS([1]order_sku_sales_bb2_report!O:O,[1]order_sku_sales_bb2_report!H:H,C28494,[1]order_sku_sales_bb2_report!J:J,H28494)</f>
        <v>#ERROR!</v>
      </c>
      <c r="Q710" s="6" t="str">
        <f t="shared" si="1"/>
        <v>22-12-2025</v>
      </c>
      <c r="R710" s="6" t="str">
        <f>IFERROR( VLOOKUP(C28494,[1]expressOrderReport!$S:$AZ,34,0),0)</f>
        <v>#ERROR!</v>
      </c>
      <c r="S710" s="6" t="str">
        <f>ARRAY_CONSTRAIN(ARRAYFORMULA(_xludf.XLOOKUP(D28494,[1]order_Report_SA_ID_BB2.0!V:V,[1]order_Report_SA_ID_BB2.0!AM:AM,"")), 1, 1)</f>
        <v>#ERROR!</v>
      </c>
      <c r="T710" s="6" t="str">
        <f t="shared" si="2"/>
        <v>Dec'25</v>
      </c>
    </row>
    <row r="711" ht="15.75" customHeight="1">
      <c r="A711" s="5">
        <v>46013.0</v>
      </c>
      <c r="B711" s="6">
        <v>5378.0</v>
      </c>
      <c r="C711" s="6">
        <v>1.859166099E9</v>
      </c>
      <c r="D711" s="6">
        <v>2.048615E7</v>
      </c>
      <c r="E711" s="6" t="s">
        <v>1140</v>
      </c>
      <c r="F711" s="6" t="s">
        <v>1141</v>
      </c>
      <c r="G711" s="6">
        <v>7.79921475E9</v>
      </c>
      <c r="H711" s="6">
        <v>4.0147597E7</v>
      </c>
      <c r="I711" s="6" t="s">
        <v>59</v>
      </c>
      <c r="J711" s="6" t="s">
        <v>21</v>
      </c>
      <c r="K711" s="6" t="s">
        <v>22</v>
      </c>
      <c r="L711" s="6">
        <v>52.0</v>
      </c>
      <c r="M711" s="5">
        <v>46013.0</v>
      </c>
      <c r="N711" s="6" t="s">
        <v>23</v>
      </c>
      <c r="O711" s="6" t="str">
        <f>SUMIFS([1]order_sku_sales_bb2_report!P:P,[1]order_sku_sales_bb2_report!H:H,C28495,[1]order_sku_sales_bb2_report!J:J,H28495)</f>
        <v>#ERROR!</v>
      </c>
      <c r="P711" s="6" t="str">
        <f>SUMIFS([1]order_sku_sales_bb2_report!O:O,[1]order_sku_sales_bb2_report!H:H,C28495,[1]order_sku_sales_bb2_report!J:J,H28495)</f>
        <v>#ERROR!</v>
      </c>
      <c r="Q711" s="6" t="str">
        <f t="shared" si="1"/>
        <v>22-12-2025</v>
      </c>
      <c r="R711" s="6" t="str">
        <f>IFERROR( VLOOKUP(C28495,[1]expressOrderReport!$S:$AZ,34,0),0)</f>
        <v>#ERROR!</v>
      </c>
      <c r="S711" s="6" t="str">
        <f>ARRAY_CONSTRAIN(ARRAYFORMULA(_xludf.XLOOKUP(D28495,[1]order_Report_SA_ID_BB2.0!V:V,[1]order_Report_SA_ID_BB2.0!AM:AM,"")), 1, 1)</f>
        <v>#ERROR!</v>
      </c>
      <c r="T711" s="6" t="str">
        <f t="shared" si="2"/>
        <v>Dec'25</v>
      </c>
    </row>
    <row r="712" ht="15.75" customHeight="1">
      <c r="A712" s="5">
        <v>46013.0</v>
      </c>
      <c r="B712" s="6">
        <v>2100.0</v>
      </c>
      <c r="C712" s="6">
        <v>1.859166105E9</v>
      </c>
      <c r="D712" s="6">
        <v>857497.0</v>
      </c>
      <c r="E712" s="6" t="s">
        <v>1142</v>
      </c>
      <c r="F712" s="6" t="s">
        <v>1143</v>
      </c>
      <c r="G712" s="6">
        <v>8.09556761E9</v>
      </c>
      <c r="H712" s="6">
        <v>4.0149834E7</v>
      </c>
      <c r="I712" s="6" t="s">
        <v>40</v>
      </c>
      <c r="J712" s="6" t="s">
        <v>21</v>
      </c>
      <c r="K712" s="6" t="s">
        <v>22</v>
      </c>
      <c r="L712" s="6">
        <v>79.0</v>
      </c>
      <c r="M712" s="5">
        <v>46013.0</v>
      </c>
      <c r="N712" s="6" t="s">
        <v>23</v>
      </c>
      <c r="O712" s="6" t="str">
        <f>SUMIFS([1]order_sku_sales_bb2_report!P:P,[1]order_sku_sales_bb2_report!H:H,C28496,[1]order_sku_sales_bb2_report!J:J,H28496)</f>
        <v>#ERROR!</v>
      </c>
      <c r="P712" s="6" t="str">
        <f>SUMIFS([1]order_sku_sales_bb2_report!O:O,[1]order_sku_sales_bb2_report!H:H,C28496,[1]order_sku_sales_bb2_report!J:J,H28496)</f>
        <v>#ERROR!</v>
      </c>
      <c r="Q712" s="6" t="str">
        <f t="shared" si="1"/>
        <v>22-12-2025</v>
      </c>
      <c r="R712" s="6" t="str">
        <f>IFERROR( VLOOKUP(C28496,[1]expressOrderReport!$S:$AZ,34,0),0)</f>
        <v>#ERROR!</v>
      </c>
      <c r="S712" s="6" t="str">
        <f>ARRAY_CONSTRAIN(ARRAYFORMULA(_xludf.XLOOKUP(D28496,[1]order_Report_SA_ID_BB2.0!V:V,[1]order_Report_SA_ID_BB2.0!AM:AM,"")), 1, 1)</f>
        <v>#ERROR!</v>
      </c>
      <c r="T712" s="6" t="str">
        <f t="shared" si="2"/>
        <v>Dec'25</v>
      </c>
    </row>
    <row r="713" ht="15.75" customHeight="1">
      <c r="A713" s="5">
        <v>46013.0</v>
      </c>
      <c r="B713" s="6">
        <v>2102.0</v>
      </c>
      <c r="C713" s="6">
        <v>1.859166105E9</v>
      </c>
      <c r="D713" s="6">
        <v>857497.0</v>
      </c>
      <c r="E713" s="6" t="s">
        <v>1142</v>
      </c>
      <c r="F713" s="6" t="s">
        <v>1143</v>
      </c>
      <c r="G713" s="6">
        <v>8.09556761E9</v>
      </c>
      <c r="H713" s="6">
        <v>4.0149833E7</v>
      </c>
      <c r="I713" s="6" t="s">
        <v>40</v>
      </c>
      <c r="J713" s="6" t="s">
        <v>21</v>
      </c>
      <c r="K713" s="6" t="s">
        <v>22</v>
      </c>
      <c r="L713" s="6">
        <v>79.0</v>
      </c>
      <c r="M713" s="5">
        <v>46013.0</v>
      </c>
      <c r="N713" s="6" t="s">
        <v>23</v>
      </c>
      <c r="O713" s="6" t="str">
        <f>SUMIFS([1]order_sku_sales_bb2_report!P:P,[1]order_sku_sales_bb2_report!H:H,C28497,[1]order_sku_sales_bb2_report!J:J,H28497)</f>
        <v>#ERROR!</v>
      </c>
      <c r="P713" s="6" t="str">
        <f>SUMIFS([1]order_sku_sales_bb2_report!O:O,[1]order_sku_sales_bb2_report!H:H,C28497,[1]order_sku_sales_bb2_report!J:J,H28497)</f>
        <v>#ERROR!</v>
      </c>
      <c r="Q713" s="6" t="str">
        <f t="shared" si="1"/>
        <v>22-12-2025</v>
      </c>
      <c r="R713" s="6" t="str">
        <f>IFERROR( VLOOKUP(C28497,[1]expressOrderReport!$S:$AZ,34,0),0)</f>
        <v>#ERROR!</v>
      </c>
      <c r="S713" s="6" t="str">
        <f>ARRAY_CONSTRAIN(ARRAYFORMULA(_xludf.XLOOKUP(D28497,[1]order_Report_SA_ID_BB2.0!V:V,[1]order_Report_SA_ID_BB2.0!AM:AM,"")), 1, 1)</f>
        <v>#ERROR!</v>
      </c>
      <c r="T713" s="6" t="str">
        <f t="shared" si="2"/>
        <v>Dec'25</v>
      </c>
    </row>
    <row r="714" ht="15.75" customHeight="1">
      <c r="A714" s="5">
        <v>46013.0</v>
      </c>
      <c r="B714" s="6">
        <v>7438.0</v>
      </c>
      <c r="C714" s="6">
        <v>1.859166113E9</v>
      </c>
      <c r="D714" s="6">
        <v>2.0593166E7</v>
      </c>
      <c r="E714" s="6" t="s">
        <v>1144</v>
      </c>
      <c r="F714" s="6" t="s">
        <v>1145</v>
      </c>
      <c r="G714" s="6">
        <v>9.349962266E9</v>
      </c>
      <c r="H714" s="6">
        <v>4.0158264E7</v>
      </c>
      <c r="I714" s="6" t="s">
        <v>26</v>
      </c>
      <c r="J714" s="6" t="s">
        <v>21</v>
      </c>
      <c r="K714" s="6" t="s">
        <v>22</v>
      </c>
      <c r="L714" s="6">
        <v>138.0</v>
      </c>
      <c r="M714" s="5">
        <v>46013.0</v>
      </c>
      <c r="N714" s="6" t="s">
        <v>23</v>
      </c>
      <c r="O714" s="6" t="str">
        <f>SUMIFS([1]order_sku_sales_bb2_report!P:P,[1]order_sku_sales_bb2_report!H:H,C28500,[1]order_sku_sales_bb2_report!J:J,H28500)</f>
        <v>#ERROR!</v>
      </c>
      <c r="P714" s="6" t="str">
        <f>SUMIFS([1]order_sku_sales_bb2_report!O:O,[1]order_sku_sales_bb2_report!H:H,C28500,[1]order_sku_sales_bb2_report!J:J,H28500)</f>
        <v>#ERROR!</v>
      </c>
      <c r="Q714" s="6" t="str">
        <f t="shared" si="1"/>
        <v>22-12-2025</v>
      </c>
      <c r="R714" s="6" t="str">
        <f>IFERROR( VLOOKUP(C28500,[1]expressOrderReport!$S:$AZ,34,0),0)</f>
        <v>#ERROR!</v>
      </c>
      <c r="S714" s="6" t="str">
        <f>ARRAY_CONSTRAIN(ARRAYFORMULA(_xludf.XLOOKUP(D28500,[1]order_Report_SA_ID_BB2.0!V:V,[1]order_Report_SA_ID_BB2.0!AM:AM,"")), 1, 1)</f>
        <v>#ERROR!</v>
      </c>
      <c r="T714" s="6" t="str">
        <f t="shared" si="2"/>
        <v>Dec'25</v>
      </c>
    </row>
    <row r="715" ht="15.75" customHeight="1">
      <c r="A715" s="5">
        <v>46013.0</v>
      </c>
      <c r="B715" s="6">
        <v>3067.0</v>
      </c>
      <c r="C715" s="6">
        <v>1.859166121E9</v>
      </c>
      <c r="D715" s="6">
        <v>1041387.0</v>
      </c>
      <c r="E715" s="6" t="s">
        <v>1146</v>
      </c>
      <c r="F715" s="6" t="s">
        <v>1147</v>
      </c>
      <c r="G715" s="6">
        <v>8.197954666E9</v>
      </c>
      <c r="H715" s="6">
        <v>4.0147597E7</v>
      </c>
      <c r="I715" s="6" t="s">
        <v>59</v>
      </c>
      <c r="J715" s="6" t="s">
        <v>21</v>
      </c>
      <c r="K715" s="6" t="s">
        <v>27</v>
      </c>
      <c r="L715" s="6">
        <v>26.0</v>
      </c>
      <c r="M715" s="5">
        <v>46013.0</v>
      </c>
      <c r="N715" s="6" t="s">
        <v>23</v>
      </c>
      <c r="O715" s="6" t="str">
        <f>SUMIFS([1]order_sku_sales_bb2_report!P:P,[1]order_sku_sales_bb2_report!H:H,C28501,[1]order_sku_sales_bb2_report!J:J,H28501)</f>
        <v>#ERROR!</v>
      </c>
      <c r="P715" s="6" t="str">
        <f>SUMIFS([1]order_sku_sales_bb2_report!O:O,[1]order_sku_sales_bb2_report!H:H,C28501,[1]order_sku_sales_bb2_report!J:J,H28501)</f>
        <v>#ERROR!</v>
      </c>
      <c r="Q715" s="6" t="str">
        <f t="shared" si="1"/>
        <v>22-12-2025</v>
      </c>
      <c r="R715" s="6" t="str">
        <f>IFERROR( VLOOKUP(C28501,[1]expressOrderReport!$S:$AZ,34,0),0)</f>
        <v>#ERROR!</v>
      </c>
      <c r="S715" s="6" t="str">
        <f>ARRAY_CONSTRAIN(ARRAYFORMULA(_xludf.XLOOKUP(D28501,[1]order_Report_SA_ID_BB2.0!V:V,[1]order_Report_SA_ID_BB2.0!AM:AM,"")), 1, 1)</f>
        <v>#ERROR!</v>
      </c>
      <c r="T715" s="6" t="str">
        <f t="shared" si="2"/>
        <v>Dec'25</v>
      </c>
    </row>
    <row r="716" ht="15.75" customHeight="1">
      <c r="A716" s="5">
        <v>46013.0</v>
      </c>
      <c r="B716" s="6">
        <v>9136.0</v>
      </c>
      <c r="C716" s="6">
        <v>1.859166127E9</v>
      </c>
      <c r="D716" s="6">
        <v>1.9878012E7</v>
      </c>
      <c r="E716" s="6" t="s">
        <v>1148</v>
      </c>
      <c r="F716" s="6" t="s">
        <v>1149</v>
      </c>
      <c r="G716" s="6">
        <v>9.880756175E9</v>
      </c>
      <c r="H716" s="6">
        <v>4.0149832E7</v>
      </c>
      <c r="I716" s="6" t="s">
        <v>26</v>
      </c>
      <c r="J716" s="6" t="s">
        <v>21</v>
      </c>
      <c r="K716" s="6" t="s">
        <v>22</v>
      </c>
      <c r="L716" s="6">
        <v>24.0</v>
      </c>
      <c r="M716" s="5">
        <v>46013.0</v>
      </c>
      <c r="N716" s="6" t="s">
        <v>23</v>
      </c>
      <c r="O716" s="6" t="str">
        <f>SUMIFS([1]order_sku_sales_bb2_report!P:P,[1]order_sku_sales_bb2_report!H:H,C28502,[1]order_sku_sales_bb2_report!J:J,H28502)</f>
        <v>#ERROR!</v>
      </c>
      <c r="P716" s="6" t="str">
        <f>SUMIFS([1]order_sku_sales_bb2_report!O:O,[1]order_sku_sales_bb2_report!H:H,C28502,[1]order_sku_sales_bb2_report!J:J,H28502)</f>
        <v>#ERROR!</v>
      </c>
      <c r="Q716" s="6" t="str">
        <f t="shared" si="1"/>
        <v>22-12-2025</v>
      </c>
      <c r="R716" s="6" t="str">
        <f>IFERROR( VLOOKUP(C28502,[1]expressOrderReport!$S:$AZ,34,0),0)</f>
        <v>#ERROR!</v>
      </c>
      <c r="S716" s="6" t="str">
        <f>ARRAY_CONSTRAIN(ARRAYFORMULA(_xludf.XLOOKUP(D28502,[1]order_Report_SA_ID_BB2.0!V:V,[1]order_Report_SA_ID_BB2.0!AM:AM,"")), 1, 1)</f>
        <v>#ERROR!</v>
      </c>
      <c r="T716" s="6" t="str">
        <f t="shared" si="2"/>
        <v>Dec'25</v>
      </c>
    </row>
    <row r="717" ht="15.75" customHeight="1">
      <c r="A717" s="5">
        <v>46013.0</v>
      </c>
      <c r="B717" s="6">
        <v>8598.0</v>
      </c>
      <c r="C717" s="6">
        <v>1.859166133E9</v>
      </c>
      <c r="D717" s="6">
        <v>1607111.0</v>
      </c>
      <c r="E717" s="6" t="s">
        <v>1150</v>
      </c>
      <c r="F717" s="6" t="s">
        <v>1151</v>
      </c>
      <c r="G717" s="6">
        <v>9.11036951E9</v>
      </c>
      <c r="H717" s="6">
        <v>4.0161616E7</v>
      </c>
      <c r="I717" s="6" t="s">
        <v>20</v>
      </c>
      <c r="J717" s="6" t="s">
        <v>21</v>
      </c>
      <c r="K717" s="6" t="s">
        <v>22</v>
      </c>
      <c r="L717" s="6">
        <v>28.0</v>
      </c>
      <c r="M717" s="5">
        <v>46013.0</v>
      </c>
      <c r="N717" s="6" t="s">
        <v>23</v>
      </c>
      <c r="O717" s="6" t="str">
        <f>SUMIFS([1]order_sku_sales_bb2_report!P:P,[1]order_sku_sales_bb2_report!H:H,C28503,[1]order_sku_sales_bb2_report!J:J,H28503)</f>
        <v>#ERROR!</v>
      </c>
      <c r="P717" s="6" t="str">
        <f>SUMIFS([1]order_sku_sales_bb2_report!O:O,[1]order_sku_sales_bb2_report!H:H,C28503,[1]order_sku_sales_bb2_report!J:J,H28503)</f>
        <v>#ERROR!</v>
      </c>
      <c r="Q717" s="6" t="str">
        <f t="shared" si="1"/>
        <v>22-12-2025</v>
      </c>
      <c r="R717" s="6" t="str">
        <f>IFERROR( VLOOKUP(C28503,[1]expressOrderReport!$S:$AZ,34,0),0)</f>
        <v>#ERROR!</v>
      </c>
      <c r="S717" s="6" t="str">
        <f>ARRAY_CONSTRAIN(ARRAYFORMULA(_xludf.XLOOKUP(D28503,[1]order_Report_SA_ID_BB2.0!V:V,[1]order_Report_SA_ID_BB2.0!AM:AM,"")), 1, 1)</f>
        <v>#ERROR!</v>
      </c>
      <c r="T717" s="6" t="str">
        <f t="shared" si="2"/>
        <v>Dec'25</v>
      </c>
    </row>
    <row r="718" ht="15.75" customHeight="1">
      <c r="A718" s="5">
        <v>46013.0</v>
      </c>
      <c r="B718" s="6">
        <v>9461.0</v>
      </c>
      <c r="C718" s="6">
        <v>1.859166144E9</v>
      </c>
      <c r="D718" s="6">
        <v>1.6667267E7</v>
      </c>
      <c r="E718" s="6" t="s">
        <v>1152</v>
      </c>
      <c r="F718" s="6" t="s">
        <v>1153</v>
      </c>
      <c r="G718" s="6">
        <v>9.611636625E9</v>
      </c>
      <c r="H718" s="6">
        <v>4.0149831E7</v>
      </c>
      <c r="I718" s="6" t="s">
        <v>65</v>
      </c>
      <c r="J718" s="6" t="s">
        <v>21</v>
      </c>
      <c r="K718" s="6" t="s">
        <v>22</v>
      </c>
      <c r="L718" s="6">
        <v>26.0</v>
      </c>
      <c r="M718" s="5">
        <v>46013.0</v>
      </c>
      <c r="N718" s="6" t="s">
        <v>23</v>
      </c>
      <c r="O718" s="6" t="str">
        <f>SUMIFS([1]order_sku_sales_bb2_report!P:P,[1]order_sku_sales_bb2_report!H:H,C28504,[1]order_sku_sales_bb2_report!J:J,H28504)</f>
        <v>#ERROR!</v>
      </c>
      <c r="P718" s="6" t="str">
        <f>SUMIFS([1]order_sku_sales_bb2_report!O:O,[1]order_sku_sales_bb2_report!H:H,C28504,[1]order_sku_sales_bb2_report!J:J,H28504)</f>
        <v>#ERROR!</v>
      </c>
      <c r="Q718" s="6" t="str">
        <f t="shared" si="1"/>
        <v>22-12-2025</v>
      </c>
      <c r="R718" s="6" t="str">
        <f>IFERROR( VLOOKUP(C28504,[1]expressOrderReport!$S:$AZ,34,0),0)</f>
        <v>#ERROR!</v>
      </c>
      <c r="S718" s="6" t="str">
        <f>ARRAY_CONSTRAIN(ARRAYFORMULA(_xludf.XLOOKUP(D28504,[1]order_Report_SA_ID_BB2.0!V:V,[1]order_Report_SA_ID_BB2.0!AM:AM,"")), 1, 1)</f>
        <v>#ERROR!</v>
      </c>
      <c r="T718" s="6" t="str">
        <f t="shared" si="2"/>
        <v>Dec'25</v>
      </c>
    </row>
    <row r="719" ht="15.75" customHeight="1">
      <c r="A719" s="5">
        <v>46013.0</v>
      </c>
      <c r="B719" s="6">
        <v>8175.0</v>
      </c>
      <c r="C719" s="6">
        <v>1.859166153E9</v>
      </c>
      <c r="D719" s="6">
        <v>1.6458295E7</v>
      </c>
      <c r="E719" s="6" t="s">
        <v>1154</v>
      </c>
      <c r="F719" s="6" t="s">
        <v>1155</v>
      </c>
      <c r="G719" s="6">
        <v>9.900410383E9</v>
      </c>
      <c r="H719" s="6">
        <v>4.0149834E7</v>
      </c>
      <c r="I719" s="6" t="s">
        <v>40</v>
      </c>
      <c r="J719" s="6" t="s">
        <v>21</v>
      </c>
      <c r="K719" s="6" t="s">
        <v>22</v>
      </c>
      <c r="L719" s="6">
        <v>80.0</v>
      </c>
      <c r="M719" s="5">
        <v>46013.0</v>
      </c>
      <c r="N719" s="6" t="s">
        <v>23</v>
      </c>
      <c r="O719" s="6" t="str">
        <f>SUMIFS([1]order_sku_sales_bb2_report!P:P,[1]order_sku_sales_bb2_report!H:H,C28507,[1]order_sku_sales_bb2_report!J:J,H28507)</f>
        <v>#ERROR!</v>
      </c>
      <c r="P719" s="6" t="str">
        <f>SUMIFS([1]order_sku_sales_bb2_report!O:O,[1]order_sku_sales_bb2_report!H:H,C28507,[1]order_sku_sales_bb2_report!J:J,H28507)</f>
        <v>#ERROR!</v>
      </c>
      <c r="Q719" s="6" t="str">
        <f t="shared" si="1"/>
        <v>22-12-2025</v>
      </c>
      <c r="R719" s="6" t="str">
        <f>IFERROR( VLOOKUP(C28507,[1]expressOrderReport!$S:$AZ,34,0),0)</f>
        <v>#ERROR!</v>
      </c>
      <c r="S719" s="6" t="str">
        <f>ARRAY_CONSTRAIN(ARRAYFORMULA(_xludf.XLOOKUP(D28507,[1]order_Report_SA_ID_BB2.0!V:V,[1]order_Report_SA_ID_BB2.0!AM:AM,"")), 1, 1)</f>
        <v>#ERROR!</v>
      </c>
      <c r="T719" s="6" t="str">
        <f t="shared" si="2"/>
        <v>Dec'25</v>
      </c>
    </row>
    <row r="720" ht="15.75" customHeight="1">
      <c r="A720" s="5">
        <v>46013.0</v>
      </c>
      <c r="B720" s="6">
        <v>8176.0</v>
      </c>
      <c r="C720" s="6">
        <v>1.859166153E9</v>
      </c>
      <c r="D720" s="6">
        <v>1.6458295E7</v>
      </c>
      <c r="E720" s="6" t="s">
        <v>1154</v>
      </c>
      <c r="F720" s="6" t="s">
        <v>1155</v>
      </c>
      <c r="G720" s="6">
        <v>9.900410383E9</v>
      </c>
      <c r="H720" s="6">
        <v>4.014983E7</v>
      </c>
      <c r="I720" s="6" t="s">
        <v>30</v>
      </c>
      <c r="J720" s="6" t="s">
        <v>21</v>
      </c>
      <c r="K720" s="6" t="s">
        <v>22</v>
      </c>
      <c r="L720" s="6">
        <v>80.0</v>
      </c>
      <c r="M720" s="5">
        <v>46013.0</v>
      </c>
      <c r="N720" s="6" t="s">
        <v>23</v>
      </c>
      <c r="O720" s="6" t="str">
        <f>SUMIFS([1]order_sku_sales_bb2_report!P:P,[1]order_sku_sales_bb2_report!H:H,C28508,[1]order_sku_sales_bb2_report!J:J,H28508)</f>
        <v>#ERROR!</v>
      </c>
      <c r="P720" s="6" t="str">
        <f>SUMIFS([1]order_sku_sales_bb2_report!O:O,[1]order_sku_sales_bb2_report!H:H,C28508,[1]order_sku_sales_bb2_report!J:J,H28508)</f>
        <v>#ERROR!</v>
      </c>
      <c r="Q720" s="6" t="str">
        <f t="shared" si="1"/>
        <v>22-12-2025</v>
      </c>
      <c r="R720" s="6" t="str">
        <f>IFERROR( VLOOKUP(C28508,[1]expressOrderReport!$S:$AZ,34,0),0)</f>
        <v>#ERROR!</v>
      </c>
      <c r="S720" s="6" t="str">
        <f>ARRAY_CONSTRAIN(ARRAYFORMULA(_xludf.XLOOKUP(D28508,[1]order_Report_SA_ID_BB2.0!V:V,[1]order_Report_SA_ID_BB2.0!AM:AM,"")), 1, 1)</f>
        <v>#ERROR!</v>
      </c>
      <c r="T720" s="6" t="str">
        <f t="shared" si="2"/>
        <v>Dec'25</v>
      </c>
    </row>
    <row r="721" ht="15.75" customHeight="1">
      <c r="A721" s="5">
        <v>46013.0</v>
      </c>
      <c r="B721" s="6">
        <v>668.0</v>
      </c>
      <c r="C721" s="6">
        <v>1.859166159E9</v>
      </c>
      <c r="D721" s="6">
        <v>1.8902032E7</v>
      </c>
      <c r="E721" s="6" t="s">
        <v>1156</v>
      </c>
      <c r="F721" s="6" t="s">
        <v>1157</v>
      </c>
      <c r="G721" s="6">
        <v>8.105928603E9</v>
      </c>
      <c r="H721" s="6">
        <v>4.0149831E7</v>
      </c>
      <c r="I721" s="6" t="s">
        <v>65</v>
      </c>
      <c r="J721" s="6" t="s">
        <v>21</v>
      </c>
      <c r="K721" s="6" t="s">
        <v>22</v>
      </c>
      <c r="L721" s="6">
        <v>52.0</v>
      </c>
      <c r="M721" s="5">
        <v>46013.0</v>
      </c>
      <c r="N721" s="6" t="s">
        <v>23</v>
      </c>
      <c r="O721" s="6" t="str">
        <f>SUMIFS([1]order_sku_sales_bb2_report!P:P,[1]order_sku_sales_bb2_report!H:H,C28509,[1]order_sku_sales_bb2_report!J:J,H28509)</f>
        <v>#ERROR!</v>
      </c>
      <c r="P721" s="6" t="str">
        <f>SUMIFS([1]order_sku_sales_bb2_report!O:O,[1]order_sku_sales_bb2_report!H:H,C28509,[1]order_sku_sales_bb2_report!J:J,H28509)</f>
        <v>#ERROR!</v>
      </c>
      <c r="Q721" s="6" t="str">
        <f t="shared" si="1"/>
        <v>22-12-2025</v>
      </c>
      <c r="R721" s="6" t="str">
        <f>IFERROR( VLOOKUP(C28509,[1]expressOrderReport!$S:$AZ,34,0),0)</f>
        <v>#ERROR!</v>
      </c>
      <c r="S721" s="6" t="str">
        <f>ARRAY_CONSTRAIN(ARRAYFORMULA(_xludf.XLOOKUP(D28509,[1]order_Report_SA_ID_BB2.0!V:V,[1]order_Report_SA_ID_BB2.0!AM:AM,"")), 1, 1)</f>
        <v>#ERROR!</v>
      </c>
      <c r="T721" s="6" t="str">
        <f t="shared" si="2"/>
        <v>Dec'25</v>
      </c>
    </row>
    <row r="722" ht="15.75" customHeight="1">
      <c r="A722" s="5">
        <v>46013.0</v>
      </c>
      <c r="B722" s="6">
        <v>3760.0</v>
      </c>
      <c r="C722" s="6">
        <v>1.859166168E9</v>
      </c>
      <c r="D722" s="6">
        <v>1.970464E7</v>
      </c>
      <c r="E722" s="6" t="s">
        <v>1158</v>
      </c>
      <c r="F722" s="6" t="s">
        <v>1159</v>
      </c>
      <c r="G722" s="6">
        <v>8.105675124E9</v>
      </c>
      <c r="H722" s="6">
        <v>4.0054183E7</v>
      </c>
      <c r="I722" s="6" t="s">
        <v>157</v>
      </c>
      <c r="J722" s="6" t="s">
        <v>21</v>
      </c>
      <c r="K722" s="6" t="s">
        <v>22</v>
      </c>
      <c r="L722" s="6">
        <v>122.42</v>
      </c>
      <c r="M722" s="5">
        <v>46013.0</v>
      </c>
      <c r="N722" s="6" t="s">
        <v>23</v>
      </c>
      <c r="O722" s="6" t="str">
        <f>SUMIFS([1]order_sku_sales_bb2_report!P:P,[1]order_sku_sales_bb2_report!H:H,C28510,[1]order_sku_sales_bb2_report!J:J,H28510)</f>
        <v>#ERROR!</v>
      </c>
      <c r="P722" s="6" t="str">
        <f>SUMIFS([1]order_sku_sales_bb2_report!O:O,[1]order_sku_sales_bb2_report!H:H,C28510,[1]order_sku_sales_bb2_report!J:J,H28510)</f>
        <v>#ERROR!</v>
      </c>
      <c r="Q722" s="6" t="str">
        <f t="shared" si="1"/>
        <v>22-12-2025</v>
      </c>
      <c r="R722" s="6" t="str">
        <f>IFERROR( VLOOKUP(C28510,[1]expressOrderReport!$S:$AZ,34,0),0)</f>
        <v>#ERROR!</v>
      </c>
      <c r="S722" s="6" t="str">
        <f>ARRAY_CONSTRAIN(ARRAYFORMULA(_xludf.XLOOKUP(D28510,[1]order_Report_SA_ID_BB2.0!V:V,[1]order_Report_SA_ID_BB2.0!AM:AM,"")), 1, 1)</f>
        <v>#ERROR!</v>
      </c>
      <c r="T722" s="6" t="str">
        <f t="shared" si="2"/>
        <v>Dec'25</v>
      </c>
    </row>
    <row r="723" ht="15.75" customHeight="1">
      <c r="A723" s="5">
        <v>46013.0</v>
      </c>
      <c r="B723" s="6">
        <v>3761.0</v>
      </c>
      <c r="C723" s="6">
        <v>1.859166168E9</v>
      </c>
      <c r="D723" s="6">
        <v>1.970464E7</v>
      </c>
      <c r="E723" s="6" t="s">
        <v>1158</v>
      </c>
      <c r="F723" s="6" t="s">
        <v>1159</v>
      </c>
      <c r="G723" s="6">
        <v>8.105675124E9</v>
      </c>
      <c r="H723" s="6">
        <v>1.0000194E7</v>
      </c>
      <c r="I723" s="6" t="s">
        <v>1160</v>
      </c>
      <c r="J723" s="6" t="s">
        <v>21</v>
      </c>
      <c r="K723" s="6" t="s">
        <v>22</v>
      </c>
      <c r="L723" s="6">
        <v>122.42</v>
      </c>
      <c r="M723" s="5">
        <v>46013.0</v>
      </c>
      <c r="N723" s="6" t="s">
        <v>23</v>
      </c>
      <c r="O723" s="6" t="str">
        <f>SUMIFS([1]order_sku_sales_bb2_report!P:P,[1]order_sku_sales_bb2_report!H:H,C28511,[1]order_sku_sales_bb2_report!J:J,H28511)</f>
        <v>#ERROR!</v>
      </c>
      <c r="P723" s="6" t="str">
        <f>SUMIFS([1]order_sku_sales_bb2_report!O:O,[1]order_sku_sales_bb2_report!H:H,C28511,[1]order_sku_sales_bb2_report!J:J,H28511)</f>
        <v>#ERROR!</v>
      </c>
      <c r="Q723" s="6" t="str">
        <f t="shared" si="1"/>
        <v>22-12-2025</v>
      </c>
      <c r="R723" s="6" t="str">
        <f>IFERROR( VLOOKUP(C28511,[1]expressOrderReport!$S:$AZ,34,0),0)</f>
        <v>#ERROR!</v>
      </c>
      <c r="S723" s="6" t="str">
        <f>ARRAY_CONSTRAIN(ARRAYFORMULA(_xludf.XLOOKUP(D28511,[1]order_Report_SA_ID_BB2.0!V:V,[1]order_Report_SA_ID_BB2.0!AM:AM,"")), 1, 1)</f>
        <v>#ERROR!</v>
      </c>
      <c r="T723" s="6" t="str">
        <f t="shared" si="2"/>
        <v>Dec'25</v>
      </c>
    </row>
    <row r="724" ht="15.75" customHeight="1">
      <c r="A724" s="5">
        <v>46013.0</v>
      </c>
      <c r="B724" s="6">
        <v>3762.0</v>
      </c>
      <c r="C724" s="6">
        <v>1.859166168E9</v>
      </c>
      <c r="D724" s="6">
        <v>1.970464E7</v>
      </c>
      <c r="E724" s="6" t="s">
        <v>1158</v>
      </c>
      <c r="F724" s="6" t="s">
        <v>1159</v>
      </c>
      <c r="G724" s="6">
        <v>8.105675124E9</v>
      </c>
      <c r="H724" s="6">
        <v>4.0332425E7</v>
      </c>
      <c r="I724" s="6" t="s">
        <v>110</v>
      </c>
      <c r="J724" s="6" t="s">
        <v>21</v>
      </c>
      <c r="K724" s="6" t="s">
        <v>22</v>
      </c>
      <c r="L724" s="6">
        <v>122.42</v>
      </c>
      <c r="M724" s="5">
        <v>46013.0</v>
      </c>
      <c r="N724" s="6" t="s">
        <v>23</v>
      </c>
      <c r="O724" s="6" t="str">
        <f>SUMIFS([1]order_sku_sales_bb2_report!P:P,[1]order_sku_sales_bb2_report!H:H,C28512,[1]order_sku_sales_bb2_report!J:J,H28512)</f>
        <v>#ERROR!</v>
      </c>
      <c r="P724" s="6" t="str">
        <f>SUMIFS([1]order_sku_sales_bb2_report!O:O,[1]order_sku_sales_bb2_report!H:H,C28512,[1]order_sku_sales_bb2_report!J:J,H28512)</f>
        <v>#ERROR!</v>
      </c>
      <c r="Q724" s="6" t="str">
        <f t="shared" si="1"/>
        <v>22-12-2025</v>
      </c>
      <c r="R724" s="6" t="str">
        <f>IFERROR( VLOOKUP(C28512,[1]expressOrderReport!$S:$AZ,34,0),0)</f>
        <v>#ERROR!</v>
      </c>
      <c r="S724" s="6" t="str">
        <f>ARRAY_CONSTRAIN(ARRAYFORMULA(_xludf.XLOOKUP(D28512,[1]order_Report_SA_ID_BB2.0!V:V,[1]order_Report_SA_ID_BB2.0!AM:AM,"")), 1, 1)</f>
        <v>#ERROR!</v>
      </c>
      <c r="T724" s="6" t="str">
        <f t="shared" si="2"/>
        <v>Dec'25</v>
      </c>
    </row>
    <row r="725" ht="15.75" customHeight="1">
      <c r="A725" s="5">
        <v>46013.0</v>
      </c>
      <c r="B725" s="6">
        <v>4819.0</v>
      </c>
      <c r="C725" s="6">
        <v>1.859166168E9</v>
      </c>
      <c r="D725" s="6">
        <v>1.970464E7</v>
      </c>
      <c r="E725" s="6" t="s">
        <v>1158</v>
      </c>
      <c r="F725" s="6" t="s">
        <v>1159</v>
      </c>
      <c r="G725" s="6">
        <v>8.105675124E9</v>
      </c>
      <c r="H725" s="6">
        <v>4.0161616E7</v>
      </c>
      <c r="I725" s="6" t="s">
        <v>20</v>
      </c>
      <c r="J725" s="6" t="s">
        <v>21</v>
      </c>
      <c r="K725" s="6" t="s">
        <v>22</v>
      </c>
      <c r="L725" s="6">
        <v>122.42</v>
      </c>
      <c r="M725" s="5">
        <v>46013.0</v>
      </c>
      <c r="N725" s="6" t="s">
        <v>23</v>
      </c>
      <c r="O725" s="6" t="str">
        <f>SUMIFS([1]order_sku_sales_bb2_report!P:P,[1]order_sku_sales_bb2_report!H:H,C28513,[1]order_sku_sales_bb2_report!J:J,H28513)</f>
        <v>#ERROR!</v>
      </c>
      <c r="P725" s="6" t="str">
        <f>SUMIFS([1]order_sku_sales_bb2_report!O:O,[1]order_sku_sales_bb2_report!H:H,C28513,[1]order_sku_sales_bb2_report!J:J,H28513)</f>
        <v>#ERROR!</v>
      </c>
      <c r="Q725" s="6" t="str">
        <f t="shared" si="1"/>
        <v>22-12-2025</v>
      </c>
      <c r="R725" s="6" t="str">
        <f>IFERROR( VLOOKUP(C28513,[1]expressOrderReport!$S:$AZ,34,0),0)</f>
        <v>#ERROR!</v>
      </c>
      <c r="S725" s="6" t="str">
        <f>ARRAY_CONSTRAIN(ARRAYFORMULA(_xludf.XLOOKUP(D28513,[1]order_Report_SA_ID_BB2.0!V:V,[1]order_Report_SA_ID_BB2.0!AM:AM,"")), 1, 1)</f>
        <v>#ERROR!</v>
      </c>
      <c r="T725" s="6" t="str">
        <f t="shared" si="2"/>
        <v>Dec'25</v>
      </c>
    </row>
    <row r="726" ht="15.75" customHeight="1">
      <c r="A726" s="5">
        <v>46013.0</v>
      </c>
      <c r="B726" s="6">
        <v>9414.0</v>
      </c>
      <c r="C726" s="6">
        <v>1.859166176E9</v>
      </c>
      <c r="D726" s="6">
        <v>2037504.0</v>
      </c>
      <c r="E726" s="6" t="s">
        <v>1161</v>
      </c>
      <c r="F726" s="6" t="s">
        <v>1162</v>
      </c>
      <c r="G726" s="6">
        <v>9.686592231E9</v>
      </c>
      <c r="H726" s="6">
        <v>4.0149833E7</v>
      </c>
      <c r="I726" s="6" t="s">
        <v>40</v>
      </c>
      <c r="J726" s="6" t="s">
        <v>21</v>
      </c>
      <c r="K726" s="6" t="s">
        <v>22</v>
      </c>
      <c r="L726" s="6">
        <v>84.7</v>
      </c>
      <c r="M726" s="5">
        <v>46013.0</v>
      </c>
      <c r="N726" s="6" t="s">
        <v>23</v>
      </c>
      <c r="O726" s="6" t="str">
        <f>SUMIFS([1]order_sku_sales_bb2_report!P:P,[1]order_sku_sales_bb2_report!H:H,C28514,[1]order_sku_sales_bb2_report!J:J,H28514)</f>
        <v>#ERROR!</v>
      </c>
      <c r="P726" s="6" t="str">
        <f>SUMIFS([1]order_sku_sales_bb2_report!O:O,[1]order_sku_sales_bb2_report!H:H,C28514,[1]order_sku_sales_bb2_report!J:J,H28514)</f>
        <v>#ERROR!</v>
      </c>
      <c r="Q726" s="6" t="str">
        <f t="shared" si="1"/>
        <v>22-12-2025</v>
      </c>
      <c r="R726" s="6" t="str">
        <f>IFERROR( VLOOKUP(C28514,[1]expressOrderReport!$S:$AZ,34,0),0)</f>
        <v>#ERROR!</v>
      </c>
      <c r="S726" s="6" t="str">
        <f>ARRAY_CONSTRAIN(ARRAYFORMULA(_xludf.XLOOKUP(D28514,[1]order_Report_SA_ID_BB2.0!V:V,[1]order_Report_SA_ID_BB2.0!AM:AM,"")), 1, 1)</f>
        <v>#ERROR!</v>
      </c>
      <c r="T726" s="6" t="str">
        <f t="shared" si="2"/>
        <v>Dec'25</v>
      </c>
    </row>
    <row r="727" ht="15.75" customHeight="1">
      <c r="A727" s="5">
        <v>46013.0</v>
      </c>
      <c r="B727" s="6">
        <v>9416.0</v>
      </c>
      <c r="C727" s="6">
        <v>1.859166176E9</v>
      </c>
      <c r="D727" s="6">
        <v>2037504.0</v>
      </c>
      <c r="E727" s="6" t="s">
        <v>1161</v>
      </c>
      <c r="F727" s="6" t="s">
        <v>1162</v>
      </c>
      <c r="G727" s="6">
        <v>9.686592231E9</v>
      </c>
      <c r="H727" s="6">
        <v>1.0000071E7</v>
      </c>
      <c r="I727" s="6" t="s">
        <v>1163</v>
      </c>
      <c r="J727" s="6" t="s">
        <v>21</v>
      </c>
      <c r="K727" s="6" t="s">
        <v>22</v>
      </c>
      <c r="L727" s="6">
        <v>84.7</v>
      </c>
      <c r="M727" s="5">
        <v>46013.0</v>
      </c>
      <c r="N727" s="6" t="s">
        <v>23</v>
      </c>
      <c r="O727" s="6" t="str">
        <f>SUMIFS([1]order_sku_sales_bb2_report!P:P,[1]order_sku_sales_bb2_report!H:H,C28515,[1]order_sku_sales_bb2_report!J:J,H28515)</f>
        <v>#ERROR!</v>
      </c>
      <c r="P727" s="6" t="str">
        <f>SUMIFS([1]order_sku_sales_bb2_report!O:O,[1]order_sku_sales_bb2_report!H:H,C28515,[1]order_sku_sales_bb2_report!J:J,H28515)</f>
        <v>#ERROR!</v>
      </c>
      <c r="Q727" s="6" t="str">
        <f t="shared" si="1"/>
        <v>22-12-2025</v>
      </c>
      <c r="R727" s="6" t="str">
        <f>IFERROR( VLOOKUP(C28515,[1]expressOrderReport!$S:$AZ,34,0),0)</f>
        <v>#ERROR!</v>
      </c>
      <c r="S727" s="6" t="str">
        <f>ARRAY_CONSTRAIN(ARRAYFORMULA(_xludf.XLOOKUP(D28515,[1]order_Report_SA_ID_BB2.0!V:V,[1]order_Report_SA_ID_BB2.0!AM:AM,"")), 1, 1)</f>
        <v>#ERROR!</v>
      </c>
      <c r="T727" s="6" t="str">
        <f t="shared" si="2"/>
        <v>Dec'25</v>
      </c>
    </row>
    <row r="728" ht="15.75" customHeight="1">
      <c r="A728" s="5">
        <v>46013.0</v>
      </c>
      <c r="B728" s="6">
        <v>9417.0</v>
      </c>
      <c r="C728" s="6">
        <v>1.859166176E9</v>
      </c>
      <c r="D728" s="6">
        <v>2037504.0</v>
      </c>
      <c r="E728" s="6" t="s">
        <v>1161</v>
      </c>
      <c r="F728" s="6" t="s">
        <v>1162</v>
      </c>
      <c r="G728" s="6">
        <v>9.686592231E9</v>
      </c>
      <c r="H728" s="6">
        <v>1.0000081E7</v>
      </c>
      <c r="I728" s="6" t="s">
        <v>1164</v>
      </c>
      <c r="J728" s="6" t="s">
        <v>21</v>
      </c>
      <c r="K728" s="6" t="s">
        <v>22</v>
      </c>
      <c r="L728" s="6">
        <v>84.7</v>
      </c>
      <c r="M728" s="5">
        <v>46013.0</v>
      </c>
      <c r="N728" s="6" t="s">
        <v>23</v>
      </c>
      <c r="O728" s="6" t="str">
        <f>SUMIFS([1]order_sku_sales_bb2_report!P:P,[1]order_sku_sales_bb2_report!H:H,C28516,[1]order_sku_sales_bb2_report!J:J,H28516)</f>
        <v>#ERROR!</v>
      </c>
      <c r="P728" s="6" t="str">
        <f>SUMIFS([1]order_sku_sales_bb2_report!O:O,[1]order_sku_sales_bb2_report!H:H,C28516,[1]order_sku_sales_bb2_report!J:J,H28516)</f>
        <v>#ERROR!</v>
      </c>
      <c r="Q728" s="6" t="str">
        <f t="shared" si="1"/>
        <v>22-12-2025</v>
      </c>
      <c r="R728" s="6" t="str">
        <f>IFERROR( VLOOKUP(C28516,[1]expressOrderReport!$S:$AZ,34,0),0)</f>
        <v>#ERROR!</v>
      </c>
      <c r="S728" s="6" t="str">
        <f>ARRAY_CONSTRAIN(ARRAYFORMULA(_xludf.XLOOKUP(D28516,[1]order_Report_SA_ID_BB2.0!V:V,[1]order_Report_SA_ID_BB2.0!AM:AM,"")), 1, 1)</f>
        <v>#ERROR!</v>
      </c>
      <c r="T728" s="6" t="str">
        <f t="shared" si="2"/>
        <v>Dec'25</v>
      </c>
    </row>
    <row r="729" ht="15.75" customHeight="1">
      <c r="A729" s="5">
        <v>46013.0</v>
      </c>
      <c r="B729" s="6">
        <v>3848.0</v>
      </c>
      <c r="C729" s="6">
        <v>1.859166186E9</v>
      </c>
      <c r="D729" s="6">
        <v>9295365.0</v>
      </c>
      <c r="E729" s="6" t="s">
        <v>1165</v>
      </c>
      <c r="F729" s="6" t="s">
        <v>1166</v>
      </c>
      <c r="G729" s="6">
        <v>9.015530796E9</v>
      </c>
      <c r="H729" s="6">
        <v>4.0158264E7</v>
      </c>
      <c r="I729" s="6" t="s">
        <v>26</v>
      </c>
      <c r="J729" s="6" t="s">
        <v>21</v>
      </c>
      <c r="K729" s="6" t="s">
        <v>22</v>
      </c>
      <c r="L729" s="6">
        <v>70.0</v>
      </c>
      <c r="M729" s="5">
        <v>46013.0</v>
      </c>
      <c r="N729" s="6" t="s">
        <v>23</v>
      </c>
      <c r="O729" s="6" t="str">
        <f>SUMIFS([1]order_sku_sales_bb2_report!P:P,[1]order_sku_sales_bb2_report!H:H,C28517,[1]order_sku_sales_bb2_report!J:J,H28517)</f>
        <v>#ERROR!</v>
      </c>
      <c r="P729" s="6" t="str">
        <f>SUMIFS([1]order_sku_sales_bb2_report!O:O,[1]order_sku_sales_bb2_report!H:H,C28517,[1]order_sku_sales_bb2_report!J:J,H28517)</f>
        <v>#ERROR!</v>
      </c>
      <c r="Q729" s="6" t="str">
        <f t="shared" si="1"/>
        <v>22-12-2025</v>
      </c>
      <c r="R729" s="6" t="str">
        <f>IFERROR( VLOOKUP(C28517,[1]expressOrderReport!$S:$AZ,34,0),0)</f>
        <v>#ERROR!</v>
      </c>
      <c r="S729" s="6" t="str">
        <f>ARRAY_CONSTRAIN(ARRAYFORMULA(_xludf.XLOOKUP(D28517,[1]order_Report_SA_ID_BB2.0!V:V,[1]order_Report_SA_ID_BB2.0!AM:AM,"")), 1, 1)</f>
        <v>#ERROR!</v>
      </c>
      <c r="T729" s="6" t="str">
        <f t="shared" si="2"/>
        <v>Dec'25</v>
      </c>
    </row>
    <row r="730" ht="15.75" customHeight="1">
      <c r="A730" s="5">
        <v>46013.0</v>
      </c>
      <c r="B730" s="6">
        <v>3850.0</v>
      </c>
      <c r="C730" s="6">
        <v>1.859166186E9</v>
      </c>
      <c r="D730" s="6">
        <v>9295365.0</v>
      </c>
      <c r="E730" s="6" t="s">
        <v>1165</v>
      </c>
      <c r="F730" s="6" t="s">
        <v>1166</v>
      </c>
      <c r="G730" s="6">
        <v>9.015530796E9</v>
      </c>
      <c r="H730" s="6">
        <v>4.0149832E7</v>
      </c>
      <c r="I730" s="6" t="s">
        <v>26</v>
      </c>
      <c r="J730" s="6" t="s">
        <v>21</v>
      </c>
      <c r="K730" s="6" t="s">
        <v>22</v>
      </c>
      <c r="L730" s="6">
        <v>70.0</v>
      </c>
      <c r="M730" s="5">
        <v>46013.0</v>
      </c>
      <c r="N730" s="6" t="s">
        <v>23</v>
      </c>
      <c r="O730" s="6" t="str">
        <f>SUMIFS([1]order_sku_sales_bb2_report!P:P,[1]order_sku_sales_bb2_report!H:H,C28518,[1]order_sku_sales_bb2_report!J:J,H28518)</f>
        <v>#ERROR!</v>
      </c>
      <c r="P730" s="6" t="str">
        <f>SUMIFS([1]order_sku_sales_bb2_report!O:O,[1]order_sku_sales_bb2_report!H:H,C28518,[1]order_sku_sales_bb2_report!J:J,H28518)</f>
        <v>#ERROR!</v>
      </c>
      <c r="Q730" s="6" t="str">
        <f t="shared" si="1"/>
        <v>22-12-2025</v>
      </c>
      <c r="R730" s="6" t="str">
        <f>IFERROR( VLOOKUP(C28518,[1]expressOrderReport!$S:$AZ,34,0),0)</f>
        <v>#ERROR!</v>
      </c>
      <c r="S730" s="6" t="str">
        <f>ARRAY_CONSTRAIN(ARRAYFORMULA(_xludf.XLOOKUP(D28518,[1]order_Report_SA_ID_BB2.0!V:V,[1]order_Report_SA_ID_BB2.0!AM:AM,"")), 1, 1)</f>
        <v>#ERROR!</v>
      </c>
      <c r="T730" s="6" t="str">
        <f t="shared" si="2"/>
        <v>Dec'25</v>
      </c>
    </row>
    <row r="731" ht="15.75" customHeight="1">
      <c r="A731" s="5">
        <v>46013.0</v>
      </c>
      <c r="B731" s="6">
        <v>10703.0</v>
      </c>
      <c r="C731" s="6">
        <v>1.859166193E9</v>
      </c>
      <c r="D731" s="6">
        <v>326383.0</v>
      </c>
      <c r="E731" s="6" t="s">
        <v>1167</v>
      </c>
      <c r="F731" s="6" t="s">
        <v>1168</v>
      </c>
      <c r="G731" s="6">
        <v>9.90174199E9</v>
      </c>
      <c r="H731" s="6">
        <v>4.0149832E7</v>
      </c>
      <c r="I731" s="6" t="s">
        <v>26</v>
      </c>
      <c r="J731" s="6" t="s">
        <v>21</v>
      </c>
      <c r="K731" s="6" t="s">
        <v>22</v>
      </c>
      <c r="L731" s="6">
        <v>24.0</v>
      </c>
      <c r="M731" s="5">
        <v>46013.0</v>
      </c>
      <c r="N731" s="6" t="s">
        <v>23</v>
      </c>
      <c r="O731" s="6" t="str">
        <f>SUMIFS([1]order_sku_sales_bb2_report!P:P,[1]order_sku_sales_bb2_report!H:H,C28519,[1]order_sku_sales_bb2_report!J:J,H28519)</f>
        <v>#ERROR!</v>
      </c>
      <c r="P731" s="6" t="str">
        <f>SUMIFS([1]order_sku_sales_bb2_report!O:O,[1]order_sku_sales_bb2_report!H:H,C28519,[1]order_sku_sales_bb2_report!J:J,H28519)</f>
        <v>#ERROR!</v>
      </c>
      <c r="Q731" s="6" t="str">
        <f t="shared" si="1"/>
        <v>22-12-2025</v>
      </c>
      <c r="R731" s="6" t="str">
        <f>IFERROR( VLOOKUP(C28519,[1]expressOrderReport!$S:$AZ,34,0),0)</f>
        <v>#ERROR!</v>
      </c>
      <c r="S731" s="6" t="str">
        <f>ARRAY_CONSTRAIN(ARRAYFORMULA(_xludf.XLOOKUP(D28519,[1]order_Report_SA_ID_BB2.0!V:V,[1]order_Report_SA_ID_BB2.0!AM:AM,"")), 1, 1)</f>
        <v>#ERROR!</v>
      </c>
      <c r="T731" s="6" t="str">
        <f t="shared" si="2"/>
        <v>Dec'25</v>
      </c>
    </row>
    <row r="732" ht="15.75" customHeight="1">
      <c r="A732" s="5">
        <v>46013.0</v>
      </c>
      <c r="B732" s="6">
        <v>3843.0</v>
      </c>
      <c r="C732" s="6">
        <v>1.859166199E9</v>
      </c>
      <c r="D732" s="6">
        <v>2.1452315E7</v>
      </c>
      <c r="E732" s="6" t="s">
        <v>1169</v>
      </c>
      <c r="F732" s="6" t="s">
        <v>1170</v>
      </c>
      <c r="G732" s="6">
        <v>9.98043366E9</v>
      </c>
      <c r="H732" s="6">
        <v>4.0149834E7</v>
      </c>
      <c r="I732" s="6" t="s">
        <v>40</v>
      </c>
      <c r="J732" s="6" t="s">
        <v>21</v>
      </c>
      <c r="K732" s="6" t="s">
        <v>22</v>
      </c>
      <c r="L732" s="6">
        <v>52.0</v>
      </c>
      <c r="M732" s="5">
        <v>46013.0</v>
      </c>
      <c r="N732" s="6" t="s">
        <v>23</v>
      </c>
      <c r="O732" s="6" t="str">
        <f>SUMIFS([1]order_sku_sales_bb2_report!P:P,[1]order_sku_sales_bb2_report!H:H,C28520,[1]order_sku_sales_bb2_report!J:J,H28520)</f>
        <v>#ERROR!</v>
      </c>
      <c r="P732" s="6" t="str">
        <f>SUMIFS([1]order_sku_sales_bb2_report!O:O,[1]order_sku_sales_bb2_report!H:H,C28520,[1]order_sku_sales_bb2_report!J:J,H28520)</f>
        <v>#ERROR!</v>
      </c>
      <c r="Q732" s="6" t="str">
        <f t="shared" si="1"/>
        <v>22-12-2025</v>
      </c>
      <c r="R732" s="6" t="str">
        <f>IFERROR( VLOOKUP(C28520,[1]expressOrderReport!$S:$AZ,34,0),0)</f>
        <v>#ERROR!</v>
      </c>
      <c r="S732" s="6" t="str">
        <f>ARRAY_CONSTRAIN(ARRAYFORMULA(_xludf.XLOOKUP(D28520,[1]order_Report_SA_ID_BB2.0!V:V,[1]order_Report_SA_ID_BB2.0!AM:AM,"")), 1, 1)</f>
        <v>#ERROR!</v>
      </c>
      <c r="T732" s="6" t="str">
        <f t="shared" si="2"/>
        <v>Dec'25</v>
      </c>
    </row>
    <row r="733" ht="15.75" customHeight="1">
      <c r="A733" s="5">
        <v>46013.0</v>
      </c>
      <c r="B733" s="6">
        <v>9257.0</v>
      </c>
      <c r="C733" s="6">
        <v>1.859166205E9</v>
      </c>
      <c r="D733" s="6">
        <v>1016436.0</v>
      </c>
      <c r="E733" s="6" t="s">
        <v>1171</v>
      </c>
      <c r="F733" s="6" t="s">
        <v>1172</v>
      </c>
      <c r="G733" s="6">
        <v>9.845402214E9</v>
      </c>
      <c r="H733" s="6">
        <v>4.0149832E7</v>
      </c>
      <c r="I733" s="6" t="s">
        <v>26</v>
      </c>
      <c r="J733" s="6" t="s">
        <v>21</v>
      </c>
      <c r="K733" s="6" t="s">
        <v>22</v>
      </c>
      <c r="L733" s="6">
        <v>52.0</v>
      </c>
      <c r="M733" s="5">
        <v>46013.0</v>
      </c>
      <c r="N733" s="6" t="s">
        <v>23</v>
      </c>
      <c r="O733" s="6" t="str">
        <f>SUMIFS([1]order_sku_sales_bb2_report!P:P,[1]order_sku_sales_bb2_report!H:H,C28521,[1]order_sku_sales_bb2_report!J:J,H28521)</f>
        <v>#ERROR!</v>
      </c>
      <c r="P733" s="6" t="str">
        <f>SUMIFS([1]order_sku_sales_bb2_report!O:O,[1]order_sku_sales_bb2_report!H:H,C28521,[1]order_sku_sales_bb2_report!J:J,H28521)</f>
        <v>#ERROR!</v>
      </c>
      <c r="Q733" s="6" t="str">
        <f t="shared" si="1"/>
        <v>22-12-2025</v>
      </c>
      <c r="R733" s="6" t="str">
        <f>IFERROR( VLOOKUP(C28521,[1]expressOrderReport!$S:$AZ,34,0),0)</f>
        <v>#ERROR!</v>
      </c>
      <c r="S733" s="6" t="str">
        <f>ARRAY_CONSTRAIN(ARRAYFORMULA(_xludf.XLOOKUP(D28521,[1]order_Report_SA_ID_BB2.0!V:V,[1]order_Report_SA_ID_BB2.0!AM:AM,"")), 1, 1)</f>
        <v>#ERROR!</v>
      </c>
      <c r="T733" s="6" t="str">
        <f t="shared" si="2"/>
        <v>Dec'25</v>
      </c>
    </row>
    <row r="734" ht="15.75" customHeight="1">
      <c r="A734" s="5">
        <v>46013.0</v>
      </c>
      <c r="B734" s="6">
        <v>9258.0</v>
      </c>
      <c r="C734" s="6">
        <v>1.859166205E9</v>
      </c>
      <c r="D734" s="6">
        <v>1016436.0</v>
      </c>
      <c r="E734" s="6" t="s">
        <v>1171</v>
      </c>
      <c r="F734" s="6" t="s">
        <v>1172</v>
      </c>
      <c r="G734" s="6">
        <v>9.845402214E9</v>
      </c>
      <c r="H734" s="6">
        <v>4.014983E7</v>
      </c>
      <c r="I734" s="6" t="s">
        <v>30</v>
      </c>
      <c r="J734" s="6" t="s">
        <v>21</v>
      </c>
      <c r="K734" s="6" t="s">
        <v>22</v>
      </c>
      <c r="L734" s="6">
        <v>52.0</v>
      </c>
      <c r="M734" s="5">
        <v>46013.0</v>
      </c>
      <c r="N734" s="6" t="s">
        <v>23</v>
      </c>
      <c r="O734" s="6" t="str">
        <f>SUMIFS([1]order_sku_sales_bb2_report!P:P,[1]order_sku_sales_bb2_report!H:H,C28522,[1]order_sku_sales_bb2_report!J:J,H28522)</f>
        <v>#ERROR!</v>
      </c>
      <c r="P734" s="6" t="str">
        <f>SUMIFS([1]order_sku_sales_bb2_report!O:O,[1]order_sku_sales_bb2_report!H:H,C28522,[1]order_sku_sales_bb2_report!J:J,H28522)</f>
        <v>#ERROR!</v>
      </c>
      <c r="Q734" s="6" t="str">
        <f t="shared" si="1"/>
        <v>22-12-2025</v>
      </c>
      <c r="R734" s="6" t="str">
        <f>IFERROR( VLOOKUP(C28522,[1]expressOrderReport!$S:$AZ,34,0),0)</f>
        <v>#ERROR!</v>
      </c>
      <c r="S734" s="6" t="str">
        <f>ARRAY_CONSTRAIN(ARRAYFORMULA(_xludf.XLOOKUP(D28522,[1]order_Report_SA_ID_BB2.0!V:V,[1]order_Report_SA_ID_BB2.0!AM:AM,"")), 1, 1)</f>
        <v>#ERROR!</v>
      </c>
      <c r="T734" s="6" t="str">
        <f t="shared" si="2"/>
        <v>Dec'25</v>
      </c>
    </row>
    <row r="735" ht="15.75" customHeight="1">
      <c r="A735" s="5">
        <v>46013.0</v>
      </c>
      <c r="B735" s="6">
        <v>1590.0</v>
      </c>
      <c r="C735" s="6">
        <v>1.859166212E9</v>
      </c>
      <c r="D735" s="6">
        <v>1.0515732E7</v>
      </c>
      <c r="E735" s="6" t="s">
        <v>1173</v>
      </c>
      <c r="F735" s="6" t="s">
        <v>1174</v>
      </c>
      <c r="G735" s="6">
        <v>9.74149742E9</v>
      </c>
      <c r="H735" s="6">
        <v>4.0149832E7</v>
      </c>
      <c r="I735" s="6" t="s">
        <v>26</v>
      </c>
      <c r="J735" s="6" t="s">
        <v>21</v>
      </c>
      <c r="K735" s="6" t="s">
        <v>22</v>
      </c>
      <c r="L735" s="6">
        <v>24.0</v>
      </c>
      <c r="M735" s="5">
        <v>46013.0</v>
      </c>
      <c r="N735" s="6" t="s">
        <v>23</v>
      </c>
      <c r="O735" s="6" t="str">
        <f>SUMIFS([1]order_sku_sales_bb2_report!P:P,[1]order_sku_sales_bb2_report!H:H,C28523,[1]order_sku_sales_bb2_report!J:J,H28523)</f>
        <v>#ERROR!</v>
      </c>
      <c r="P735" s="6" t="str">
        <f>SUMIFS([1]order_sku_sales_bb2_report!O:O,[1]order_sku_sales_bb2_report!H:H,C28523,[1]order_sku_sales_bb2_report!J:J,H28523)</f>
        <v>#ERROR!</v>
      </c>
      <c r="Q735" s="6" t="str">
        <f t="shared" si="1"/>
        <v>22-12-2025</v>
      </c>
      <c r="R735" s="6" t="str">
        <f>IFERROR( VLOOKUP(C28523,[1]expressOrderReport!$S:$AZ,34,0),0)</f>
        <v>#ERROR!</v>
      </c>
      <c r="S735" s="6" t="str">
        <f>ARRAY_CONSTRAIN(ARRAYFORMULA(_xludf.XLOOKUP(D28523,[1]order_Report_SA_ID_BB2.0!V:V,[1]order_Report_SA_ID_BB2.0!AM:AM,"")), 1, 1)</f>
        <v>#ERROR!</v>
      </c>
      <c r="T735" s="6" t="str">
        <f t="shared" si="2"/>
        <v>Dec'25</v>
      </c>
    </row>
    <row r="736" ht="15.75" customHeight="1">
      <c r="A736" s="5">
        <v>46013.0</v>
      </c>
      <c r="B736" s="6">
        <v>5199.0</v>
      </c>
      <c r="C736" s="6">
        <v>1.859166217E9</v>
      </c>
      <c r="D736" s="6">
        <v>271098.0</v>
      </c>
      <c r="E736" s="6" t="s">
        <v>1175</v>
      </c>
      <c r="F736" s="6" t="s">
        <v>1176</v>
      </c>
      <c r="G736" s="6">
        <v>9.538669767E9</v>
      </c>
      <c r="H736" s="6">
        <v>4.0161616E7</v>
      </c>
      <c r="I736" s="6" t="s">
        <v>20</v>
      </c>
      <c r="J736" s="6" t="s">
        <v>21</v>
      </c>
      <c r="K736" s="6" t="s">
        <v>22</v>
      </c>
      <c r="L736" s="6">
        <v>84.0</v>
      </c>
      <c r="M736" s="5">
        <v>46013.0</v>
      </c>
      <c r="N736" s="6" t="s">
        <v>23</v>
      </c>
      <c r="O736" s="6" t="str">
        <f>SUMIFS([1]order_sku_sales_bb2_report!P:P,[1]order_sku_sales_bb2_report!H:H,C28524,[1]order_sku_sales_bb2_report!J:J,H28524)</f>
        <v>#ERROR!</v>
      </c>
      <c r="P736" s="6" t="str">
        <f>SUMIFS([1]order_sku_sales_bb2_report!O:O,[1]order_sku_sales_bb2_report!H:H,C28524,[1]order_sku_sales_bb2_report!J:J,H28524)</f>
        <v>#ERROR!</v>
      </c>
      <c r="Q736" s="6" t="str">
        <f t="shared" si="1"/>
        <v>22-12-2025</v>
      </c>
      <c r="R736" s="6" t="str">
        <f>IFERROR( VLOOKUP(C28524,[1]expressOrderReport!$S:$AZ,34,0),0)</f>
        <v>#ERROR!</v>
      </c>
      <c r="S736" s="6" t="str">
        <f>ARRAY_CONSTRAIN(ARRAYFORMULA(_xludf.XLOOKUP(D28524,[1]order_Report_SA_ID_BB2.0!V:V,[1]order_Report_SA_ID_BB2.0!AM:AM,"")), 1, 1)</f>
        <v>#ERROR!</v>
      </c>
      <c r="T736" s="6" t="str">
        <f t="shared" si="2"/>
        <v>Dec'25</v>
      </c>
    </row>
    <row r="737" ht="15.75" customHeight="1">
      <c r="A737" s="5">
        <v>46013.0</v>
      </c>
      <c r="B737" s="6">
        <v>7717.0</v>
      </c>
      <c r="C737" s="6">
        <v>1.859166222E9</v>
      </c>
      <c r="D737" s="6">
        <v>9506436.0</v>
      </c>
      <c r="E737" s="6" t="s">
        <v>1177</v>
      </c>
      <c r="F737" s="6" t="s">
        <v>1178</v>
      </c>
      <c r="G737" s="6">
        <v>7.276270333E9</v>
      </c>
      <c r="H737" s="6">
        <v>4.0149833E7</v>
      </c>
      <c r="I737" s="6" t="s">
        <v>40</v>
      </c>
      <c r="J737" s="6" t="s">
        <v>21</v>
      </c>
      <c r="K737" s="6" t="s">
        <v>22</v>
      </c>
      <c r="L737" s="6">
        <v>27.0</v>
      </c>
      <c r="M737" s="5">
        <v>46013.0</v>
      </c>
      <c r="N737" s="6" t="s">
        <v>23</v>
      </c>
      <c r="O737" s="6" t="str">
        <f>SUMIFS([1]order_sku_sales_bb2_report!P:P,[1]order_sku_sales_bb2_report!H:H,C28525,[1]order_sku_sales_bb2_report!J:J,H28525)</f>
        <v>#ERROR!</v>
      </c>
      <c r="P737" s="6" t="str">
        <f>SUMIFS([1]order_sku_sales_bb2_report!O:O,[1]order_sku_sales_bb2_report!H:H,C28525,[1]order_sku_sales_bb2_report!J:J,H28525)</f>
        <v>#ERROR!</v>
      </c>
      <c r="Q737" s="6" t="str">
        <f t="shared" si="1"/>
        <v>22-12-2025</v>
      </c>
      <c r="R737" s="6" t="str">
        <f>IFERROR( VLOOKUP(C28525,[1]expressOrderReport!$S:$AZ,34,0),0)</f>
        <v>#ERROR!</v>
      </c>
      <c r="S737" s="6" t="str">
        <f>ARRAY_CONSTRAIN(ARRAYFORMULA(_xludf.XLOOKUP(D28525,[1]order_Report_SA_ID_BB2.0!V:V,[1]order_Report_SA_ID_BB2.0!AM:AM,"")), 1, 1)</f>
        <v>#ERROR!</v>
      </c>
      <c r="T737" s="6" t="str">
        <f t="shared" si="2"/>
        <v>Dec'25</v>
      </c>
    </row>
    <row r="738" ht="15.75" customHeight="1">
      <c r="A738" s="5">
        <v>46013.0</v>
      </c>
      <c r="B738" s="6">
        <v>9970.0</v>
      </c>
      <c r="C738" s="6">
        <v>1.859166231E9</v>
      </c>
      <c r="D738" s="6">
        <v>4896931.0</v>
      </c>
      <c r="E738" s="6" t="s">
        <v>1179</v>
      </c>
      <c r="F738" s="6" t="s">
        <v>1180</v>
      </c>
      <c r="G738" s="6">
        <v>9.611266625E9</v>
      </c>
      <c r="H738" s="6">
        <v>4.0149834E7</v>
      </c>
      <c r="I738" s="6" t="s">
        <v>40</v>
      </c>
      <c r="J738" s="6" t="s">
        <v>21</v>
      </c>
      <c r="K738" s="6" t="s">
        <v>22</v>
      </c>
      <c r="L738" s="6">
        <v>79.0</v>
      </c>
      <c r="M738" s="5">
        <v>46013.0</v>
      </c>
      <c r="N738" s="6" t="s">
        <v>23</v>
      </c>
      <c r="O738" s="6" t="str">
        <f>SUMIFS([1]order_sku_sales_bb2_report!P:P,[1]order_sku_sales_bb2_report!H:H,C28526,[1]order_sku_sales_bb2_report!J:J,H28526)</f>
        <v>#ERROR!</v>
      </c>
      <c r="P738" s="6" t="str">
        <f>SUMIFS([1]order_sku_sales_bb2_report!O:O,[1]order_sku_sales_bb2_report!H:H,C28526,[1]order_sku_sales_bb2_report!J:J,H28526)</f>
        <v>#ERROR!</v>
      </c>
      <c r="Q738" s="6" t="str">
        <f t="shared" si="1"/>
        <v>22-12-2025</v>
      </c>
      <c r="R738" s="6" t="str">
        <f>IFERROR( VLOOKUP(C28526,[1]expressOrderReport!$S:$AZ,34,0),0)</f>
        <v>#ERROR!</v>
      </c>
      <c r="S738" s="6" t="str">
        <f>ARRAY_CONSTRAIN(ARRAYFORMULA(_xludf.XLOOKUP(D28526,[1]order_Report_SA_ID_BB2.0!V:V,[1]order_Report_SA_ID_BB2.0!AM:AM,"")), 1, 1)</f>
        <v>#ERROR!</v>
      </c>
      <c r="T738" s="6" t="str">
        <f t="shared" si="2"/>
        <v>Dec'25</v>
      </c>
    </row>
    <row r="739" ht="15.75" customHeight="1">
      <c r="A739" s="5">
        <v>46013.0</v>
      </c>
      <c r="B739" s="6">
        <v>9971.0</v>
      </c>
      <c r="C739" s="6">
        <v>1.859166231E9</v>
      </c>
      <c r="D739" s="6">
        <v>4896931.0</v>
      </c>
      <c r="E739" s="6" t="s">
        <v>1179</v>
      </c>
      <c r="F739" s="6" t="s">
        <v>1180</v>
      </c>
      <c r="G739" s="6">
        <v>9.611266625E9</v>
      </c>
      <c r="H739" s="6">
        <v>4.0149833E7</v>
      </c>
      <c r="I739" s="6" t="s">
        <v>40</v>
      </c>
      <c r="J739" s="6" t="s">
        <v>21</v>
      </c>
      <c r="K739" s="6" t="s">
        <v>22</v>
      </c>
      <c r="L739" s="6">
        <v>79.0</v>
      </c>
      <c r="M739" s="5">
        <v>46013.0</v>
      </c>
      <c r="N739" s="6" t="s">
        <v>23</v>
      </c>
      <c r="O739" s="6" t="str">
        <f>SUMIFS([1]order_sku_sales_bb2_report!P:P,[1]order_sku_sales_bb2_report!H:H,C28527,[1]order_sku_sales_bb2_report!J:J,H28527)</f>
        <v>#ERROR!</v>
      </c>
      <c r="P739" s="6" t="str">
        <f>SUMIFS([1]order_sku_sales_bb2_report!O:O,[1]order_sku_sales_bb2_report!H:H,C28527,[1]order_sku_sales_bb2_report!J:J,H28527)</f>
        <v>#ERROR!</v>
      </c>
      <c r="Q739" s="6" t="str">
        <f t="shared" si="1"/>
        <v>22-12-2025</v>
      </c>
      <c r="R739" s="6" t="str">
        <f>IFERROR( VLOOKUP(C28527,[1]expressOrderReport!$S:$AZ,34,0),0)</f>
        <v>#ERROR!</v>
      </c>
      <c r="S739" s="6" t="str">
        <f>ARRAY_CONSTRAIN(ARRAYFORMULA(_xludf.XLOOKUP(D28527,[1]order_Report_SA_ID_BB2.0!V:V,[1]order_Report_SA_ID_BB2.0!AM:AM,"")), 1, 1)</f>
        <v>#ERROR!</v>
      </c>
      <c r="T739" s="6" t="str">
        <f t="shared" si="2"/>
        <v>Dec'25</v>
      </c>
    </row>
    <row r="740" ht="15.75" customHeight="1">
      <c r="A740" s="5">
        <v>46013.0</v>
      </c>
      <c r="B740" s="6">
        <v>2429.0</v>
      </c>
      <c r="C740" s="6">
        <v>1.859166236E9</v>
      </c>
      <c r="D740" s="6">
        <v>643519.0</v>
      </c>
      <c r="E740" s="6" t="s">
        <v>1181</v>
      </c>
      <c r="F740" s="6" t="s">
        <v>1182</v>
      </c>
      <c r="G740" s="6">
        <v>9.99963384E9</v>
      </c>
      <c r="H740" s="6">
        <v>4.0148714E7</v>
      </c>
      <c r="I740" s="6" t="s">
        <v>183</v>
      </c>
      <c r="J740" s="6" t="s">
        <v>21</v>
      </c>
      <c r="K740" s="6" t="s">
        <v>22</v>
      </c>
      <c r="L740" s="6">
        <v>188.0</v>
      </c>
      <c r="M740" s="5">
        <v>46013.0</v>
      </c>
      <c r="N740" s="6" t="s">
        <v>23</v>
      </c>
      <c r="O740" s="6" t="str">
        <f>SUMIFS([1]order_sku_sales_bb2_report!P:P,[1]order_sku_sales_bb2_report!H:H,C28528,[1]order_sku_sales_bb2_report!J:J,H28528)</f>
        <v>#ERROR!</v>
      </c>
      <c r="P740" s="6" t="str">
        <f>SUMIFS([1]order_sku_sales_bb2_report!O:O,[1]order_sku_sales_bb2_report!H:H,C28528,[1]order_sku_sales_bb2_report!J:J,H28528)</f>
        <v>#ERROR!</v>
      </c>
      <c r="Q740" s="6" t="str">
        <f t="shared" si="1"/>
        <v>22-12-2025</v>
      </c>
      <c r="R740" s="6" t="str">
        <f>IFERROR( VLOOKUP(C28528,[1]expressOrderReport!$S:$AZ,34,0),0)</f>
        <v>#ERROR!</v>
      </c>
      <c r="S740" s="6" t="str">
        <f>ARRAY_CONSTRAIN(ARRAYFORMULA(_xludf.XLOOKUP(D28528,[1]order_Report_SA_ID_BB2.0!V:V,[1]order_Report_SA_ID_BB2.0!AM:AM,"")), 1, 1)</f>
        <v>#ERROR!</v>
      </c>
      <c r="T740" s="6" t="str">
        <f t="shared" si="2"/>
        <v>Dec'25</v>
      </c>
    </row>
    <row r="741" ht="15.75" customHeight="1">
      <c r="A741" s="5">
        <v>46013.0</v>
      </c>
      <c r="B741" s="6">
        <v>11810.0</v>
      </c>
      <c r="C741" s="6">
        <v>1.859166248E9</v>
      </c>
      <c r="D741" s="6">
        <v>434956.0</v>
      </c>
      <c r="E741" s="6" t="s">
        <v>1183</v>
      </c>
      <c r="F741" s="6" t="s">
        <v>1184</v>
      </c>
      <c r="G741" s="6">
        <v>9.5383224E9</v>
      </c>
      <c r="H741" s="6">
        <v>4.0148717E7</v>
      </c>
      <c r="I741" s="6" t="s">
        <v>226</v>
      </c>
      <c r="J741" s="6" t="s">
        <v>21</v>
      </c>
      <c r="K741" s="6" t="s">
        <v>22</v>
      </c>
      <c r="L741" s="6">
        <v>159.0</v>
      </c>
      <c r="M741" s="5">
        <v>46013.0</v>
      </c>
      <c r="N741" s="6" t="s">
        <v>23</v>
      </c>
      <c r="O741" s="6" t="str">
        <f>SUMIFS([1]order_sku_sales_bb2_report!P:P,[1]order_sku_sales_bb2_report!H:H,C28529,[1]order_sku_sales_bb2_report!J:J,H28529)</f>
        <v>#ERROR!</v>
      </c>
      <c r="P741" s="6" t="str">
        <f>SUMIFS([1]order_sku_sales_bb2_report!O:O,[1]order_sku_sales_bb2_report!H:H,C28529,[1]order_sku_sales_bb2_report!J:J,H28529)</f>
        <v>#ERROR!</v>
      </c>
      <c r="Q741" s="6" t="str">
        <f t="shared" si="1"/>
        <v>22-12-2025</v>
      </c>
      <c r="R741" s="6" t="str">
        <f>IFERROR( VLOOKUP(C28529,[1]expressOrderReport!$S:$AZ,34,0),0)</f>
        <v>#ERROR!</v>
      </c>
      <c r="S741" s="6" t="str">
        <f>ARRAY_CONSTRAIN(ARRAYFORMULA(_xludf.XLOOKUP(D28529,[1]order_Report_SA_ID_BB2.0!V:V,[1]order_Report_SA_ID_BB2.0!AM:AM,"")), 1, 1)</f>
        <v>#ERROR!</v>
      </c>
      <c r="T741" s="6" t="str">
        <f t="shared" si="2"/>
        <v>Dec'25</v>
      </c>
    </row>
    <row r="742" ht="15.75" customHeight="1">
      <c r="A742" s="5">
        <v>46013.0</v>
      </c>
      <c r="B742" s="6">
        <v>9115.0</v>
      </c>
      <c r="C742" s="6">
        <v>1.859166456E9</v>
      </c>
      <c r="D742" s="6">
        <v>845.0</v>
      </c>
      <c r="E742" s="6" t="s">
        <v>1185</v>
      </c>
      <c r="F742" s="6" t="s">
        <v>1186</v>
      </c>
      <c r="G742" s="6">
        <v>9.844018265E9</v>
      </c>
      <c r="H742" s="6">
        <v>4.0240134E7</v>
      </c>
      <c r="I742" s="6" t="s">
        <v>816</v>
      </c>
      <c r="J742" s="6" t="s">
        <v>21</v>
      </c>
      <c r="K742" s="6" t="s">
        <v>22</v>
      </c>
      <c r="L742" s="6">
        <v>55.0</v>
      </c>
      <c r="M742" s="5">
        <v>46013.0</v>
      </c>
      <c r="N742" s="6" t="s">
        <v>23</v>
      </c>
      <c r="O742" s="6" t="str">
        <f>SUMIFS([1]order_sku_sales_bb2_report!P:P,[1]order_sku_sales_bb2_report!H:H,C28530,[1]order_sku_sales_bb2_report!J:J,H28530)</f>
        <v>#ERROR!</v>
      </c>
      <c r="P742" s="6" t="str">
        <f>SUMIFS([1]order_sku_sales_bb2_report!O:O,[1]order_sku_sales_bb2_report!H:H,C28530,[1]order_sku_sales_bb2_report!J:J,H28530)</f>
        <v>#ERROR!</v>
      </c>
      <c r="Q742" s="6" t="str">
        <f t="shared" si="1"/>
        <v>22-12-2025</v>
      </c>
      <c r="R742" s="6" t="str">
        <f>IFERROR( VLOOKUP(C28530,[1]expressOrderReport!$S:$AZ,34,0),0)</f>
        <v>#ERROR!</v>
      </c>
      <c r="S742" s="6" t="str">
        <f>ARRAY_CONSTRAIN(ARRAYFORMULA(_xludf.XLOOKUP(D28530,[1]order_Report_SA_ID_BB2.0!V:V,[1]order_Report_SA_ID_BB2.0!AM:AM,"")), 1, 1)</f>
        <v>#ERROR!</v>
      </c>
      <c r="T742" s="6" t="str">
        <f t="shared" si="2"/>
        <v>Dec'25</v>
      </c>
    </row>
    <row r="743" ht="15.75" customHeight="1">
      <c r="A743" s="5">
        <v>46013.0</v>
      </c>
      <c r="B743" s="6">
        <v>2221.0</v>
      </c>
      <c r="C743" s="6">
        <v>1.859166464E9</v>
      </c>
      <c r="D743" s="6">
        <v>6771.0</v>
      </c>
      <c r="E743" s="6" t="s">
        <v>1187</v>
      </c>
      <c r="F743" s="6" t="s">
        <v>1188</v>
      </c>
      <c r="G743" s="6">
        <v>7.760288833E9</v>
      </c>
      <c r="H743" s="6">
        <v>4.0148716E7</v>
      </c>
      <c r="I743" s="6" t="s">
        <v>148</v>
      </c>
      <c r="J743" s="6" t="s">
        <v>21</v>
      </c>
      <c r="K743" s="6" t="s">
        <v>22</v>
      </c>
      <c r="L743" s="6">
        <v>90.0</v>
      </c>
      <c r="M743" s="5">
        <v>46013.0</v>
      </c>
      <c r="N743" s="6" t="s">
        <v>23</v>
      </c>
      <c r="O743" s="6" t="str">
        <f>SUMIFS([1]order_sku_sales_bb2_report!P:P,[1]order_sku_sales_bb2_report!H:H,C28531,[1]order_sku_sales_bb2_report!J:J,H28531)</f>
        <v>#ERROR!</v>
      </c>
      <c r="P743" s="6" t="str">
        <f>SUMIFS([1]order_sku_sales_bb2_report!O:O,[1]order_sku_sales_bb2_report!H:H,C28531,[1]order_sku_sales_bb2_report!J:J,H28531)</f>
        <v>#ERROR!</v>
      </c>
      <c r="Q743" s="6" t="str">
        <f t="shared" si="1"/>
        <v>22-12-2025</v>
      </c>
      <c r="R743" s="6" t="str">
        <f>IFERROR( VLOOKUP(C28531,[1]expressOrderReport!$S:$AZ,34,0),0)</f>
        <v>#ERROR!</v>
      </c>
      <c r="S743" s="6" t="str">
        <f>ARRAY_CONSTRAIN(ARRAYFORMULA(_xludf.XLOOKUP(D28531,[1]order_Report_SA_ID_BB2.0!V:V,[1]order_Report_SA_ID_BB2.0!AM:AM,"")), 1, 1)</f>
        <v>#ERROR!</v>
      </c>
      <c r="T743" s="6" t="str">
        <f t="shared" si="2"/>
        <v>Dec'25</v>
      </c>
    </row>
    <row r="744" ht="15.75" customHeight="1">
      <c r="A744" s="5">
        <v>46013.0</v>
      </c>
      <c r="B744" s="6">
        <v>9174.0</v>
      </c>
      <c r="C744" s="6">
        <v>1.859166473E9</v>
      </c>
      <c r="D744" s="6">
        <v>6909.0</v>
      </c>
      <c r="E744" s="6" t="s">
        <v>1189</v>
      </c>
      <c r="F744" s="6" t="s">
        <v>1190</v>
      </c>
      <c r="G744" s="6">
        <v>9.84569506E9</v>
      </c>
      <c r="H744" s="6">
        <v>4.0148717E7</v>
      </c>
      <c r="I744" s="6" t="s">
        <v>226</v>
      </c>
      <c r="J744" s="6" t="s">
        <v>21</v>
      </c>
      <c r="K744" s="6" t="s">
        <v>22</v>
      </c>
      <c r="L744" s="6">
        <v>98.0</v>
      </c>
      <c r="M744" s="5">
        <v>46013.0</v>
      </c>
      <c r="N744" s="6" t="s">
        <v>23</v>
      </c>
      <c r="O744" s="6" t="str">
        <f>SUMIFS([1]order_sku_sales_bb2_report!P:P,[1]order_sku_sales_bb2_report!H:H,C28532,[1]order_sku_sales_bb2_report!J:J,H28532)</f>
        <v>#ERROR!</v>
      </c>
      <c r="P744" s="6" t="str">
        <f>SUMIFS([1]order_sku_sales_bb2_report!O:O,[1]order_sku_sales_bb2_report!H:H,C28532,[1]order_sku_sales_bb2_report!J:J,H28532)</f>
        <v>#ERROR!</v>
      </c>
      <c r="Q744" s="6" t="str">
        <f t="shared" si="1"/>
        <v>22-12-2025</v>
      </c>
      <c r="R744" s="6" t="str">
        <f>IFERROR( VLOOKUP(C28532,[1]expressOrderReport!$S:$AZ,34,0),0)</f>
        <v>#ERROR!</v>
      </c>
      <c r="S744" s="6" t="str">
        <f>ARRAY_CONSTRAIN(ARRAYFORMULA(_xludf.XLOOKUP(D28532,[1]order_Report_SA_ID_BB2.0!V:V,[1]order_Report_SA_ID_BB2.0!AM:AM,"")), 1, 1)</f>
        <v>#ERROR!</v>
      </c>
      <c r="T744" s="6" t="str">
        <f t="shared" si="2"/>
        <v>Dec'25</v>
      </c>
    </row>
    <row r="745" ht="15.75" customHeight="1">
      <c r="A745" s="5">
        <v>46013.0</v>
      </c>
      <c r="B745" s="6">
        <v>9175.0</v>
      </c>
      <c r="C745" s="6">
        <v>1.859166473E9</v>
      </c>
      <c r="D745" s="6">
        <v>6909.0</v>
      </c>
      <c r="E745" s="6" t="s">
        <v>1189</v>
      </c>
      <c r="F745" s="6" t="s">
        <v>1190</v>
      </c>
      <c r="G745" s="6">
        <v>9.84569506E9</v>
      </c>
      <c r="H745" s="6">
        <v>4.0148716E7</v>
      </c>
      <c r="I745" s="6" t="s">
        <v>148</v>
      </c>
      <c r="J745" s="6" t="s">
        <v>21</v>
      </c>
      <c r="K745" s="6" t="s">
        <v>22</v>
      </c>
      <c r="L745" s="6">
        <v>98.0</v>
      </c>
      <c r="M745" s="5">
        <v>46013.0</v>
      </c>
      <c r="N745" s="6" t="s">
        <v>23</v>
      </c>
      <c r="O745" s="6" t="str">
        <f>SUMIFS([1]order_sku_sales_bb2_report!P:P,[1]order_sku_sales_bb2_report!H:H,C28533,[1]order_sku_sales_bb2_report!J:J,H28533)</f>
        <v>#ERROR!</v>
      </c>
      <c r="P745" s="6" t="str">
        <f>SUMIFS([1]order_sku_sales_bb2_report!O:O,[1]order_sku_sales_bb2_report!H:H,C28533,[1]order_sku_sales_bb2_report!J:J,H28533)</f>
        <v>#ERROR!</v>
      </c>
      <c r="Q745" s="6" t="str">
        <f t="shared" si="1"/>
        <v>22-12-2025</v>
      </c>
      <c r="R745" s="6" t="str">
        <f>IFERROR( VLOOKUP(C28533,[1]expressOrderReport!$S:$AZ,34,0),0)</f>
        <v>#ERROR!</v>
      </c>
      <c r="S745" s="6" t="str">
        <f>ARRAY_CONSTRAIN(ARRAYFORMULA(_xludf.XLOOKUP(D28533,[1]order_Report_SA_ID_BB2.0!V:V,[1]order_Report_SA_ID_BB2.0!AM:AM,"")), 1, 1)</f>
        <v>#ERROR!</v>
      </c>
      <c r="T745" s="6" t="str">
        <f t="shared" si="2"/>
        <v>Dec'25</v>
      </c>
    </row>
    <row r="746" ht="15.75" customHeight="1">
      <c r="A746" s="5">
        <v>46013.0</v>
      </c>
      <c r="B746" s="6">
        <v>4432.0</v>
      </c>
      <c r="C746" s="6">
        <v>1.85916648E9</v>
      </c>
      <c r="D746" s="6">
        <v>11536.0</v>
      </c>
      <c r="E746" s="6" t="s">
        <v>1191</v>
      </c>
      <c r="F746" s="6" t="s">
        <v>1192</v>
      </c>
      <c r="G746" s="6">
        <v>9.008491254E9</v>
      </c>
      <c r="H746" s="6">
        <v>4.0149832E7</v>
      </c>
      <c r="I746" s="6" t="s">
        <v>26</v>
      </c>
      <c r="J746" s="6" t="s">
        <v>21</v>
      </c>
      <c r="K746" s="6" t="s">
        <v>22</v>
      </c>
      <c r="L746" s="6">
        <v>96.0</v>
      </c>
      <c r="M746" s="5">
        <v>46013.0</v>
      </c>
      <c r="N746" s="6" t="s">
        <v>23</v>
      </c>
      <c r="O746" s="6" t="str">
        <f>SUMIFS([1]order_sku_sales_bb2_report!P:P,[1]order_sku_sales_bb2_report!H:H,C28534,[1]order_sku_sales_bb2_report!J:J,H28534)</f>
        <v>#ERROR!</v>
      </c>
      <c r="P746" s="6" t="str">
        <f>SUMIFS([1]order_sku_sales_bb2_report!O:O,[1]order_sku_sales_bb2_report!H:H,C28534,[1]order_sku_sales_bb2_report!J:J,H28534)</f>
        <v>#ERROR!</v>
      </c>
      <c r="Q746" s="6" t="str">
        <f t="shared" si="1"/>
        <v>22-12-2025</v>
      </c>
      <c r="R746" s="6" t="str">
        <f>IFERROR( VLOOKUP(C28534,[1]expressOrderReport!$S:$AZ,34,0),0)</f>
        <v>#ERROR!</v>
      </c>
      <c r="S746" s="6" t="str">
        <f>ARRAY_CONSTRAIN(ARRAYFORMULA(_xludf.XLOOKUP(D28534,[1]order_Report_SA_ID_BB2.0!V:V,[1]order_Report_SA_ID_BB2.0!AM:AM,"")), 1, 1)</f>
        <v>#ERROR!</v>
      </c>
      <c r="T746" s="6" t="str">
        <f t="shared" si="2"/>
        <v>Dec'25</v>
      </c>
    </row>
    <row r="747" ht="15.75" customHeight="1">
      <c r="A747" s="5">
        <v>46013.0</v>
      </c>
      <c r="B747" s="6">
        <v>8881.0</v>
      </c>
      <c r="C747" s="6">
        <v>1.859166484E9</v>
      </c>
      <c r="D747" s="6">
        <v>18208.0</v>
      </c>
      <c r="E747" s="6" t="s">
        <v>1193</v>
      </c>
      <c r="F747" s="6" t="s">
        <v>1194</v>
      </c>
      <c r="G747" s="6">
        <v>9.945388038E9</v>
      </c>
      <c r="H747" s="6">
        <v>4.0149832E7</v>
      </c>
      <c r="I747" s="6" t="s">
        <v>26</v>
      </c>
      <c r="J747" s="6" t="s">
        <v>21</v>
      </c>
      <c r="K747" s="6" t="s">
        <v>22</v>
      </c>
      <c r="L747" s="6">
        <v>24.0</v>
      </c>
      <c r="M747" s="5">
        <v>46013.0</v>
      </c>
      <c r="N747" s="6" t="s">
        <v>23</v>
      </c>
      <c r="O747" s="6" t="str">
        <f>SUMIFS([1]order_sku_sales_bb2_report!P:P,[1]order_sku_sales_bb2_report!H:H,C28535,[1]order_sku_sales_bb2_report!J:J,H28535)</f>
        <v>#ERROR!</v>
      </c>
      <c r="P747" s="6" t="str">
        <f>SUMIFS([1]order_sku_sales_bb2_report!O:O,[1]order_sku_sales_bb2_report!H:H,C28535,[1]order_sku_sales_bb2_report!J:J,H28535)</f>
        <v>#ERROR!</v>
      </c>
      <c r="Q747" s="6" t="str">
        <f t="shared" si="1"/>
        <v>22-12-2025</v>
      </c>
      <c r="R747" s="6" t="str">
        <f>IFERROR( VLOOKUP(C28535,[1]expressOrderReport!$S:$AZ,34,0),0)</f>
        <v>#ERROR!</v>
      </c>
      <c r="S747" s="6" t="str">
        <f>ARRAY_CONSTRAIN(ARRAYFORMULA(_xludf.XLOOKUP(D28535,[1]order_Report_SA_ID_BB2.0!V:V,[1]order_Report_SA_ID_BB2.0!AM:AM,"")), 1, 1)</f>
        <v>#ERROR!</v>
      </c>
      <c r="T747" s="6" t="str">
        <f t="shared" si="2"/>
        <v>Dec'25</v>
      </c>
    </row>
    <row r="748" ht="15.75" customHeight="1">
      <c r="A748" s="5">
        <v>46013.0</v>
      </c>
      <c r="B748" s="6">
        <v>11401.0</v>
      </c>
      <c r="C748" s="6">
        <v>1.859166492E9</v>
      </c>
      <c r="D748" s="6">
        <v>22279.0</v>
      </c>
      <c r="E748" s="6" t="s">
        <v>1195</v>
      </c>
      <c r="F748" s="6" t="s">
        <v>1196</v>
      </c>
      <c r="G748" s="6">
        <v>8.762802693E9</v>
      </c>
      <c r="H748" s="6">
        <v>4.0212327E7</v>
      </c>
      <c r="I748" s="6" t="s">
        <v>682</v>
      </c>
      <c r="J748" s="6" t="s">
        <v>21</v>
      </c>
      <c r="K748" s="6" t="s">
        <v>22</v>
      </c>
      <c r="L748" s="6">
        <v>54.0</v>
      </c>
      <c r="M748" s="5">
        <v>46013.0</v>
      </c>
      <c r="N748" s="6" t="s">
        <v>23</v>
      </c>
      <c r="O748" s="6" t="str">
        <f>SUMIFS([1]order_sku_sales_bb2_report!P:P,[1]order_sku_sales_bb2_report!H:H,C28536,[1]order_sku_sales_bb2_report!J:J,H28536)</f>
        <v>#ERROR!</v>
      </c>
      <c r="P748" s="6" t="str">
        <f>SUMIFS([1]order_sku_sales_bb2_report!O:O,[1]order_sku_sales_bb2_report!H:H,C28536,[1]order_sku_sales_bb2_report!J:J,H28536)</f>
        <v>#ERROR!</v>
      </c>
      <c r="Q748" s="6" t="str">
        <f t="shared" si="1"/>
        <v>22-12-2025</v>
      </c>
      <c r="R748" s="6" t="str">
        <f>IFERROR( VLOOKUP(C28536,[1]expressOrderReport!$S:$AZ,34,0),0)</f>
        <v>#ERROR!</v>
      </c>
      <c r="S748" s="6" t="str">
        <f>ARRAY_CONSTRAIN(ARRAYFORMULA(_xludf.XLOOKUP(D28536,[1]order_Report_SA_ID_BB2.0!V:V,[1]order_Report_SA_ID_BB2.0!AM:AM,"")), 1, 1)</f>
        <v>#ERROR!</v>
      </c>
      <c r="T748" s="6" t="str">
        <f t="shared" si="2"/>
        <v>Dec'25</v>
      </c>
    </row>
    <row r="749" ht="15.75" customHeight="1">
      <c r="A749" s="5">
        <v>46013.0</v>
      </c>
      <c r="B749" s="6">
        <v>9119.0</v>
      </c>
      <c r="C749" s="6">
        <v>1.859166494E9</v>
      </c>
      <c r="D749" s="6">
        <v>26800.0</v>
      </c>
      <c r="E749" s="6" t="s">
        <v>1197</v>
      </c>
      <c r="F749" s="6" t="s">
        <v>1198</v>
      </c>
      <c r="G749" s="6">
        <v>9.945200796E9</v>
      </c>
      <c r="H749" s="6">
        <v>4.0149833E7</v>
      </c>
      <c r="I749" s="6" t="s">
        <v>40</v>
      </c>
      <c r="J749" s="6" t="s">
        <v>21</v>
      </c>
      <c r="K749" s="6" t="s">
        <v>22</v>
      </c>
      <c r="L749" s="6">
        <v>38.54</v>
      </c>
      <c r="M749" s="5">
        <v>46013.0</v>
      </c>
      <c r="N749" s="6" t="s">
        <v>23</v>
      </c>
      <c r="O749" s="6" t="str">
        <f>SUMIFS([1]order_sku_sales_bb2_report!P:P,[1]order_sku_sales_bb2_report!H:H,C28537,[1]order_sku_sales_bb2_report!J:J,H28537)</f>
        <v>#ERROR!</v>
      </c>
      <c r="P749" s="6" t="str">
        <f>SUMIFS([1]order_sku_sales_bb2_report!O:O,[1]order_sku_sales_bb2_report!H:H,C28537,[1]order_sku_sales_bb2_report!J:J,H28537)</f>
        <v>#ERROR!</v>
      </c>
      <c r="Q749" s="6" t="str">
        <f t="shared" si="1"/>
        <v>22-12-2025</v>
      </c>
      <c r="R749" s="6" t="str">
        <f>IFERROR( VLOOKUP(C28537,[1]expressOrderReport!$S:$AZ,34,0),0)</f>
        <v>#ERROR!</v>
      </c>
      <c r="S749" s="6" t="str">
        <f>ARRAY_CONSTRAIN(ARRAYFORMULA(_xludf.XLOOKUP(D28537,[1]order_Report_SA_ID_BB2.0!V:V,[1]order_Report_SA_ID_BB2.0!AM:AM,"")), 1, 1)</f>
        <v>#ERROR!</v>
      </c>
      <c r="T749" s="6" t="str">
        <f t="shared" si="2"/>
        <v>Dec'25</v>
      </c>
    </row>
    <row r="750" ht="15.75" customHeight="1">
      <c r="A750" s="5">
        <v>46013.0</v>
      </c>
      <c r="B750" s="6">
        <v>9120.0</v>
      </c>
      <c r="C750" s="6">
        <v>1.859166494E9</v>
      </c>
      <c r="D750" s="6">
        <v>26800.0</v>
      </c>
      <c r="E750" s="6" t="s">
        <v>1197</v>
      </c>
      <c r="F750" s="6" t="s">
        <v>1198</v>
      </c>
      <c r="G750" s="6">
        <v>9.945200796E9</v>
      </c>
      <c r="H750" s="6">
        <v>4.0054183E7</v>
      </c>
      <c r="I750" s="6" t="s">
        <v>157</v>
      </c>
      <c r="J750" s="6" t="s">
        <v>21</v>
      </c>
      <c r="K750" s="6" t="s">
        <v>22</v>
      </c>
      <c r="L750" s="6">
        <v>38.54</v>
      </c>
      <c r="M750" s="5">
        <v>46013.0</v>
      </c>
      <c r="N750" s="6" t="s">
        <v>23</v>
      </c>
      <c r="O750" s="6" t="str">
        <f>SUMIFS([1]order_sku_sales_bb2_report!P:P,[1]order_sku_sales_bb2_report!H:H,C28538,[1]order_sku_sales_bb2_report!J:J,H28538)</f>
        <v>#ERROR!</v>
      </c>
      <c r="P750" s="6" t="str">
        <f>SUMIFS([1]order_sku_sales_bb2_report!O:O,[1]order_sku_sales_bb2_report!H:H,C28538,[1]order_sku_sales_bb2_report!J:J,H28538)</f>
        <v>#ERROR!</v>
      </c>
      <c r="Q750" s="6" t="str">
        <f t="shared" si="1"/>
        <v>22-12-2025</v>
      </c>
      <c r="R750" s="6" t="str">
        <f>IFERROR( VLOOKUP(C28538,[1]expressOrderReport!$S:$AZ,34,0),0)</f>
        <v>#ERROR!</v>
      </c>
      <c r="S750" s="6" t="str">
        <f>ARRAY_CONSTRAIN(ARRAYFORMULA(_xludf.XLOOKUP(D28538,[1]order_Report_SA_ID_BB2.0!V:V,[1]order_Report_SA_ID_BB2.0!AM:AM,"")), 1, 1)</f>
        <v>#ERROR!</v>
      </c>
      <c r="T750" s="6" t="str">
        <f t="shared" si="2"/>
        <v>Dec'25</v>
      </c>
    </row>
    <row r="751" ht="15.75" customHeight="1">
      <c r="A751" s="5">
        <v>46013.0</v>
      </c>
      <c r="B751" s="6">
        <v>2234.0</v>
      </c>
      <c r="C751" s="6">
        <v>1.859166498E9</v>
      </c>
      <c r="D751" s="6">
        <v>44323.0</v>
      </c>
      <c r="E751" s="6" t="s">
        <v>1199</v>
      </c>
      <c r="F751" s="6" t="s">
        <v>1200</v>
      </c>
      <c r="G751" s="6">
        <v>8.861630572E9</v>
      </c>
      <c r="H751" s="6">
        <v>4.0148714E7</v>
      </c>
      <c r="I751" s="6" t="s">
        <v>183</v>
      </c>
      <c r="J751" s="6" t="s">
        <v>21</v>
      </c>
      <c r="K751" s="6" t="s">
        <v>22</v>
      </c>
      <c r="L751" s="6">
        <v>47.0</v>
      </c>
      <c r="M751" s="5">
        <v>46013.0</v>
      </c>
      <c r="N751" s="6" t="s">
        <v>23</v>
      </c>
      <c r="O751" s="6" t="str">
        <f>SUMIFS([1]order_sku_sales_bb2_report!P:P,[1]order_sku_sales_bb2_report!H:H,C28539,[1]order_sku_sales_bb2_report!J:J,H28539)</f>
        <v>#ERROR!</v>
      </c>
      <c r="P751" s="6" t="str">
        <f>SUMIFS([1]order_sku_sales_bb2_report!O:O,[1]order_sku_sales_bb2_report!H:H,C28539,[1]order_sku_sales_bb2_report!J:J,H28539)</f>
        <v>#ERROR!</v>
      </c>
      <c r="Q751" s="6" t="str">
        <f t="shared" si="1"/>
        <v>22-12-2025</v>
      </c>
      <c r="R751" s="6" t="str">
        <f>IFERROR( VLOOKUP(C28539,[1]expressOrderReport!$S:$AZ,34,0),0)</f>
        <v>#ERROR!</v>
      </c>
      <c r="S751" s="6" t="str">
        <f>ARRAY_CONSTRAIN(ARRAYFORMULA(_xludf.XLOOKUP(D28539,[1]order_Report_SA_ID_BB2.0!V:V,[1]order_Report_SA_ID_BB2.0!AM:AM,"")), 1, 1)</f>
        <v>#ERROR!</v>
      </c>
      <c r="T751" s="6" t="str">
        <f t="shared" si="2"/>
        <v>Dec'25</v>
      </c>
    </row>
    <row r="752" ht="15.75" customHeight="1">
      <c r="A752" s="5">
        <v>46013.0</v>
      </c>
      <c r="B752" s="6">
        <v>9496.0</v>
      </c>
      <c r="C752" s="6">
        <v>1.859166504E9</v>
      </c>
      <c r="D752" s="6">
        <v>53674.0</v>
      </c>
      <c r="E752" s="6" t="s">
        <v>1201</v>
      </c>
      <c r="F752" s="6" t="s">
        <v>1202</v>
      </c>
      <c r="G752" s="6">
        <v>9.986006598E9</v>
      </c>
      <c r="H752" s="6">
        <v>4.0149832E7</v>
      </c>
      <c r="I752" s="6" t="s">
        <v>26</v>
      </c>
      <c r="J752" s="6" t="s">
        <v>21</v>
      </c>
      <c r="K752" s="6" t="s">
        <v>22</v>
      </c>
      <c r="L752" s="6">
        <v>24.0</v>
      </c>
      <c r="M752" s="5">
        <v>46013.0</v>
      </c>
      <c r="N752" s="6" t="s">
        <v>23</v>
      </c>
      <c r="O752" s="6" t="str">
        <f>SUMIFS([1]order_sku_sales_bb2_report!P:P,[1]order_sku_sales_bb2_report!H:H,C28540,[1]order_sku_sales_bb2_report!J:J,H28540)</f>
        <v>#ERROR!</v>
      </c>
      <c r="P752" s="6" t="str">
        <f>SUMIFS([1]order_sku_sales_bb2_report!O:O,[1]order_sku_sales_bb2_report!H:H,C28540,[1]order_sku_sales_bb2_report!J:J,H28540)</f>
        <v>#ERROR!</v>
      </c>
      <c r="Q752" s="6" t="str">
        <f t="shared" si="1"/>
        <v>22-12-2025</v>
      </c>
      <c r="R752" s="6" t="str">
        <f>IFERROR( VLOOKUP(C28540,[1]expressOrderReport!$S:$AZ,34,0),0)</f>
        <v>#ERROR!</v>
      </c>
      <c r="S752" s="6" t="str">
        <f>ARRAY_CONSTRAIN(ARRAYFORMULA(_xludf.XLOOKUP(D28540,[1]order_Report_SA_ID_BB2.0!V:V,[1]order_Report_SA_ID_BB2.0!AM:AM,"")), 1, 1)</f>
        <v>#ERROR!</v>
      </c>
      <c r="T752" s="6" t="str">
        <f t="shared" si="2"/>
        <v>Dec'25</v>
      </c>
    </row>
    <row r="753" ht="15.75" customHeight="1">
      <c r="A753" s="5">
        <v>46013.0</v>
      </c>
      <c r="B753" s="6">
        <v>9152.0</v>
      </c>
      <c r="C753" s="6">
        <v>1.859166508E9</v>
      </c>
      <c r="D753" s="6">
        <v>55079.0</v>
      </c>
      <c r="E753" s="6" t="s">
        <v>1203</v>
      </c>
      <c r="F753" s="6" t="s">
        <v>1204</v>
      </c>
      <c r="G753" s="6">
        <v>9.739907771E9</v>
      </c>
      <c r="H753" s="6">
        <v>4.0148716E7</v>
      </c>
      <c r="I753" s="6" t="s">
        <v>148</v>
      </c>
      <c r="J753" s="6" t="s">
        <v>21</v>
      </c>
      <c r="K753" s="6" t="s">
        <v>22</v>
      </c>
      <c r="L753" s="6">
        <v>91.0</v>
      </c>
      <c r="M753" s="5">
        <v>46013.0</v>
      </c>
      <c r="N753" s="6" t="s">
        <v>23</v>
      </c>
      <c r="O753" s="6" t="str">
        <f>SUMIFS([1]order_sku_sales_bb2_report!P:P,[1]order_sku_sales_bb2_report!H:H,C28541,[1]order_sku_sales_bb2_report!J:J,H28541)</f>
        <v>#ERROR!</v>
      </c>
      <c r="P753" s="6" t="str">
        <f>SUMIFS([1]order_sku_sales_bb2_report!O:O,[1]order_sku_sales_bb2_report!H:H,C28541,[1]order_sku_sales_bb2_report!J:J,H28541)</f>
        <v>#ERROR!</v>
      </c>
      <c r="Q753" s="6" t="str">
        <f t="shared" si="1"/>
        <v>22-12-2025</v>
      </c>
      <c r="R753" s="6" t="str">
        <f>IFERROR( VLOOKUP(C28541,[1]expressOrderReport!$S:$AZ,34,0),0)</f>
        <v>#ERROR!</v>
      </c>
      <c r="S753" s="6" t="str">
        <f>ARRAY_CONSTRAIN(ARRAYFORMULA(_xludf.XLOOKUP(D28541,[1]order_Report_SA_ID_BB2.0!V:V,[1]order_Report_SA_ID_BB2.0!AM:AM,"")), 1, 1)</f>
        <v>#ERROR!</v>
      </c>
      <c r="T753" s="6" t="str">
        <f t="shared" si="2"/>
        <v>Dec'25</v>
      </c>
    </row>
    <row r="754" ht="15.75" customHeight="1">
      <c r="A754" s="5">
        <v>46013.0</v>
      </c>
      <c r="B754" s="6">
        <v>10705.0</v>
      </c>
      <c r="C754" s="6">
        <v>1.859166508E9</v>
      </c>
      <c r="D754" s="6">
        <v>55079.0</v>
      </c>
      <c r="E754" s="6" t="s">
        <v>1203</v>
      </c>
      <c r="F754" s="6" t="s">
        <v>1204</v>
      </c>
      <c r="G754" s="6">
        <v>9.739907771E9</v>
      </c>
      <c r="H754" s="6">
        <v>4.0158264E7</v>
      </c>
      <c r="I754" s="6" t="s">
        <v>26</v>
      </c>
      <c r="J754" s="6" t="s">
        <v>21</v>
      </c>
      <c r="K754" s="6" t="s">
        <v>22</v>
      </c>
      <c r="L754" s="6">
        <v>91.0</v>
      </c>
      <c r="M754" s="5">
        <v>46013.0</v>
      </c>
      <c r="N754" s="6" t="s">
        <v>23</v>
      </c>
      <c r="O754" s="6" t="str">
        <f>SUMIFS([1]order_sku_sales_bb2_report!P:P,[1]order_sku_sales_bb2_report!H:H,C28542,[1]order_sku_sales_bb2_report!J:J,H28542)</f>
        <v>#ERROR!</v>
      </c>
      <c r="P754" s="6" t="str">
        <f>SUMIFS([1]order_sku_sales_bb2_report!O:O,[1]order_sku_sales_bb2_report!H:H,C28542,[1]order_sku_sales_bb2_report!J:J,H28542)</f>
        <v>#ERROR!</v>
      </c>
      <c r="Q754" s="6" t="str">
        <f t="shared" si="1"/>
        <v>22-12-2025</v>
      </c>
      <c r="R754" s="6" t="str">
        <f>IFERROR( VLOOKUP(C28542,[1]expressOrderReport!$S:$AZ,34,0),0)</f>
        <v>#ERROR!</v>
      </c>
      <c r="S754" s="6" t="str">
        <f>ARRAY_CONSTRAIN(ARRAYFORMULA(_xludf.XLOOKUP(D28542,[1]order_Report_SA_ID_BB2.0!V:V,[1]order_Report_SA_ID_BB2.0!AM:AM,"")), 1, 1)</f>
        <v>#ERROR!</v>
      </c>
      <c r="T754" s="6" t="str">
        <f t="shared" si="2"/>
        <v>Dec'25</v>
      </c>
    </row>
    <row r="755" ht="15.75" customHeight="1">
      <c r="A755" s="5">
        <v>46013.0</v>
      </c>
      <c r="B755" s="6">
        <v>1384.0</v>
      </c>
      <c r="C755" s="6">
        <v>1.859166514E9</v>
      </c>
      <c r="D755" s="6">
        <v>73198.0</v>
      </c>
      <c r="E755" s="6" t="s">
        <v>1205</v>
      </c>
      <c r="F755" s="6" t="s">
        <v>1206</v>
      </c>
      <c r="G755" s="6">
        <v>9.945216173E9</v>
      </c>
      <c r="H755" s="6">
        <v>4.0147597E7</v>
      </c>
      <c r="I755" s="6" t="s">
        <v>59</v>
      </c>
      <c r="J755" s="6" t="s">
        <v>21</v>
      </c>
      <c r="K755" s="6" t="s">
        <v>22</v>
      </c>
      <c r="L755" s="6">
        <v>26.0</v>
      </c>
      <c r="M755" s="5">
        <v>46013.0</v>
      </c>
      <c r="N755" s="6" t="s">
        <v>23</v>
      </c>
      <c r="O755" s="6" t="str">
        <f>SUMIFS([1]order_sku_sales_bb2_report!P:P,[1]order_sku_sales_bb2_report!H:H,C28543,[1]order_sku_sales_bb2_report!J:J,H28543)</f>
        <v>#ERROR!</v>
      </c>
      <c r="P755" s="6" t="str">
        <f>SUMIFS([1]order_sku_sales_bb2_report!O:O,[1]order_sku_sales_bb2_report!H:H,C28543,[1]order_sku_sales_bb2_report!J:J,H28543)</f>
        <v>#ERROR!</v>
      </c>
      <c r="Q755" s="6" t="str">
        <f t="shared" si="1"/>
        <v>22-12-2025</v>
      </c>
      <c r="R755" s="6" t="str">
        <f>IFERROR( VLOOKUP(C28543,[1]expressOrderReport!$S:$AZ,34,0),0)</f>
        <v>#ERROR!</v>
      </c>
      <c r="S755" s="6" t="str">
        <f>ARRAY_CONSTRAIN(ARRAYFORMULA(_xludf.XLOOKUP(D28543,[1]order_Report_SA_ID_BB2.0!V:V,[1]order_Report_SA_ID_BB2.0!AM:AM,"")), 1, 1)</f>
        <v>#ERROR!</v>
      </c>
      <c r="T755" s="6" t="str">
        <f t="shared" si="2"/>
        <v>Dec'25</v>
      </c>
    </row>
    <row r="756" ht="15.75" customHeight="1">
      <c r="A756" s="5">
        <v>46013.0</v>
      </c>
      <c r="B756" s="6">
        <v>11299.0</v>
      </c>
      <c r="C756" s="6">
        <v>1.859166519E9</v>
      </c>
      <c r="D756" s="6">
        <v>144574.0</v>
      </c>
      <c r="E756" s="6" t="s">
        <v>1207</v>
      </c>
      <c r="F756" s="6" t="s">
        <v>1208</v>
      </c>
      <c r="G756" s="6">
        <v>9.845030577E9</v>
      </c>
      <c r="H756" s="6">
        <v>4.0149834E7</v>
      </c>
      <c r="I756" s="6" t="s">
        <v>40</v>
      </c>
      <c r="J756" s="6" t="s">
        <v>21</v>
      </c>
      <c r="K756" s="6" t="s">
        <v>22</v>
      </c>
      <c r="L756" s="6">
        <v>52.0</v>
      </c>
      <c r="M756" s="5">
        <v>46013.0</v>
      </c>
      <c r="N756" s="6" t="s">
        <v>23</v>
      </c>
      <c r="O756" s="6" t="str">
        <f>SUMIFS([1]order_sku_sales_bb2_report!P:P,[1]order_sku_sales_bb2_report!H:H,C28544,[1]order_sku_sales_bb2_report!J:J,H28544)</f>
        <v>#ERROR!</v>
      </c>
      <c r="P756" s="6" t="str">
        <f>SUMIFS([1]order_sku_sales_bb2_report!O:O,[1]order_sku_sales_bb2_report!H:H,C28544,[1]order_sku_sales_bb2_report!J:J,H28544)</f>
        <v>#ERROR!</v>
      </c>
      <c r="Q756" s="6" t="str">
        <f t="shared" si="1"/>
        <v>22-12-2025</v>
      </c>
      <c r="R756" s="6" t="str">
        <f>IFERROR( VLOOKUP(C28544,[1]expressOrderReport!$S:$AZ,34,0),0)</f>
        <v>#ERROR!</v>
      </c>
      <c r="S756" s="6" t="str">
        <f>ARRAY_CONSTRAIN(ARRAYFORMULA(_xludf.XLOOKUP(D28544,[1]order_Report_SA_ID_BB2.0!V:V,[1]order_Report_SA_ID_BB2.0!AM:AM,"")), 1, 1)</f>
        <v>#ERROR!</v>
      </c>
      <c r="T756" s="6" t="str">
        <f t="shared" si="2"/>
        <v>Dec'25</v>
      </c>
    </row>
    <row r="757" ht="15.75" customHeight="1">
      <c r="A757" s="5">
        <v>46013.0</v>
      </c>
      <c r="B757" s="6">
        <v>6378.0</v>
      </c>
      <c r="C757" s="6">
        <v>1.859166524E9</v>
      </c>
      <c r="D757" s="6">
        <v>161324.0</v>
      </c>
      <c r="E757" s="6" t="s">
        <v>1209</v>
      </c>
      <c r="F757" s="6" t="s">
        <v>1210</v>
      </c>
      <c r="G757" s="6">
        <v>9.945605458E9</v>
      </c>
      <c r="H757" s="6">
        <v>4.0149833E7</v>
      </c>
      <c r="I757" s="6" t="s">
        <v>40</v>
      </c>
      <c r="J757" s="6" t="s">
        <v>21</v>
      </c>
      <c r="K757" s="6" t="s">
        <v>22</v>
      </c>
      <c r="L757" s="6">
        <v>81.0</v>
      </c>
      <c r="M757" s="5">
        <v>46013.0</v>
      </c>
      <c r="N757" s="6" t="s">
        <v>23</v>
      </c>
      <c r="O757" s="6" t="str">
        <f>SUMIFS([1]order_sku_sales_bb2_report!P:P,[1]order_sku_sales_bb2_report!H:H,C28545,[1]order_sku_sales_bb2_report!J:J,H28545)</f>
        <v>#ERROR!</v>
      </c>
      <c r="P757" s="6" t="str">
        <f>SUMIFS([1]order_sku_sales_bb2_report!O:O,[1]order_sku_sales_bb2_report!H:H,C28545,[1]order_sku_sales_bb2_report!J:J,H28545)</f>
        <v>#ERROR!</v>
      </c>
      <c r="Q757" s="6" t="str">
        <f t="shared" si="1"/>
        <v>22-12-2025</v>
      </c>
      <c r="R757" s="6" t="str">
        <f>IFERROR( VLOOKUP(C28545,[1]expressOrderReport!$S:$AZ,34,0),0)</f>
        <v>#ERROR!</v>
      </c>
      <c r="S757" s="6" t="str">
        <f>ARRAY_CONSTRAIN(ARRAYFORMULA(_xludf.XLOOKUP(D28545,[1]order_Report_SA_ID_BB2.0!V:V,[1]order_Report_SA_ID_BB2.0!AM:AM,"")), 1, 1)</f>
        <v>#ERROR!</v>
      </c>
      <c r="T757" s="6" t="str">
        <f t="shared" si="2"/>
        <v>Dec'25</v>
      </c>
    </row>
    <row r="758" ht="15.75" customHeight="1">
      <c r="A758" s="5">
        <v>46013.0</v>
      </c>
      <c r="B758" s="6">
        <v>9624.0</v>
      </c>
      <c r="C758" s="6">
        <v>1.859166531E9</v>
      </c>
      <c r="D758" s="6">
        <v>176469.0</v>
      </c>
      <c r="E758" s="6" t="s">
        <v>1211</v>
      </c>
      <c r="F758" s="6" t="s">
        <v>1212</v>
      </c>
      <c r="G758" s="6">
        <v>9.740984542E9</v>
      </c>
      <c r="H758" s="6">
        <v>4.0149832E7</v>
      </c>
      <c r="I758" s="6" t="s">
        <v>26</v>
      </c>
      <c r="J758" s="6" t="s">
        <v>21</v>
      </c>
      <c r="K758" s="6" t="s">
        <v>22</v>
      </c>
      <c r="L758" s="6">
        <v>146.0</v>
      </c>
      <c r="M758" s="5">
        <v>46013.0</v>
      </c>
      <c r="N758" s="6" t="s">
        <v>23</v>
      </c>
      <c r="O758" s="6" t="str">
        <f>SUMIFS([1]order_sku_sales_bb2_report!P:P,[1]order_sku_sales_bb2_report!H:H,C28546,[1]order_sku_sales_bb2_report!J:J,H28546)</f>
        <v>#ERROR!</v>
      </c>
      <c r="P758" s="6" t="str">
        <f>SUMIFS([1]order_sku_sales_bb2_report!O:O,[1]order_sku_sales_bb2_report!H:H,C28546,[1]order_sku_sales_bb2_report!J:J,H28546)</f>
        <v>#ERROR!</v>
      </c>
      <c r="Q758" s="6" t="str">
        <f t="shared" si="1"/>
        <v>22-12-2025</v>
      </c>
      <c r="R758" s="6" t="str">
        <f>IFERROR( VLOOKUP(C28546,[1]expressOrderReport!$S:$AZ,34,0),0)</f>
        <v>#ERROR!</v>
      </c>
      <c r="S758" s="6" t="str">
        <f>ARRAY_CONSTRAIN(ARRAYFORMULA(_xludf.XLOOKUP(D28546,[1]order_Report_SA_ID_BB2.0!V:V,[1]order_Report_SA_ID_BB2.0!AM:AM,"")), 1, 1)</f>
        <v>#ERROR!</v>
      </c>
      <c r="T758" s="6" t="str">
        <f t="shared" si="2"/>
        <v>Dec'25</v>
      </c>
    </row>
    <row r="759" ht="15.75" customHeight="1">
      <c r="A759" s="5">
        <v>46013.0</v>
      </c>
      <c r="B759" s="6">
        <v>9742.0</v>
      </c>
      <c r="C759" s="6">
        <v>1.859166531E9</v>
      </c>
      <c r="D759" s="6">
        <v>176469.0</v>
      </c>
      <c r="E759" s="6" t="s">
        <v>1211</v>
      </c>
      <c r="F759" s="6" t="s">
        <v>1212</v>
      </c>
      <c r="G759" s="6">
        <v>9.740984542E9</v>
      </c>
      <c r="H759" s="6">
        <v>4.0158264E7</v>
      </c>
      <c r="I759" s="6" t="s">
        <v>26</v>
      </c>
      <c r="J759" s="6" t="s">
        <v>21</v>
      </c>
      <c r="K759" s="6" t="s">
        <v>22</v>
      </c>
      <c r="L759" s="6">
        <v>146.0</v>
      </c>
      <c r="M759" s="5">
        <v>46013.0</v>
      </c>
      <c r="N759" s="6" t="s">
        <v>23</v>
      </c>
      <c r="O759" s="6" t="str">
        <f>SUMIFS([1]order_sku_sales_bb2_report!P:P,[1]order_sku_sales_bb2_report!H:H,C28547,[1]order_sku_sales_bb2_report!J:J,H28547)</f>
        <v>#ERROR!</v>
      </c>
      <c r="P759" s="6" t="str">
        <f>SUMIFS([1]order_sku_sales_bb2_report!O:O,[1]order_sku_sales_bb2_report!H:H,C28547,[1]order_sku_sales_bb2_report!J:J,H28547)</f>
        <v>#ERROR!</v>
      </c>
      <c r="Q759" s="6" t="str">
        <f t="shared" si="1"/>
        <v>22-12-2025</v>
      </c>
      <c r="R759" s="6" t="str">
        <f>IFERROR( VLOOKUP(C28547,[1]expressOrderReport!$S:$AZ,34,0),0)</f>
        <v>#ERROR!</v>
      </c>
      <c r="S759" s="6" t="str">
        <f>ARRAY_CONSTRAIN(ARRAYFORMULA(_xludf.XLOOKUP(D28547,[1]order_Report_SA_ID_BB2.0!V:V,[1]order_Report_SA_ID_BB2.0!AM:AM,"")), 1, 1)</f>
        <v>#ERROR!</v>
      </c>
      <c r="T759" s="6" t="str">
        <f t="shared" si="2"/>
        <v>Dec'25</v>
      </c>
    </row>
    <row r="760" ht="15.75" customHeight="1">
      <c r="A760" s="5">
        <v>46013.0</v>
      </c>
      <c r="B760" s="6">
        <v>9744.0</v>
      </c>
      <c r="C760" s="6">
        <v>1.859166531E9</v>
      </c>
      <c r="D760" s="6">
        <v>176469.0</v>
      </c>
      <c r="E760" s="6" t="s">
        <v>1211</v>
      </c>
      <c r="F760" s="6" t="s">
        <v>1212</v>
      </c>
      <c r="G760" s="6">
        <v>9.740984542E9</v>
      </c>
      <c r="H760" s="6">
        <v>4.014983E7</v>
      </c>
      <c r="I760" s="6" t="s">
        <v>30</v>
      </c>
      <c r="J760" s="6" t="s">
        <v>21</v>
      </c>
      <c r="K760" s="6" t="s">
        <v>22</v>
      </c>
      <c r="L760" s="6">
        <v>146.0</v>
      </c>
      <c r="M760" s="5">
        <v>46013.0</v>
      </c>
      <c r="N760" s="6" t="s">
        <v>23</v>
      </c>
      <c r="O760" s="6" t="str">
        <f>SUMIFS([1]order_sku_sales_bb2_report!P:P,[1]order_sku_sales_bb2_report!H:H,C28548,[1]order_sku_sales_bb2_report!J:J,H28548)</f>
        <v>#ERROR!</v>
      </c>
      <c r="P760" s="6" t="str">
        <f>SUMIFS([1]order_sku_sales_bb2_report!O:O,[1]order_sku_sales_bb2_report!H:H,C28548,[1]order_sku_sales_bb2_report!J:J,H28548)</f>
        <v>#ERROR!</v>
      </c>
      <c r="Q760" s="6" t="str">
        <f t="shared" si="1"/>
        <v>22-12-2025</v>
      </c>
      <c r="R760" s="6" t="str">
        <f>IFERROR( VLOOKUP(C28548,[1]expressOrderReport!$S:$AZ,34,0),0)</f>
        <v>#ERROR!</v>
      </c>
      <c r="S760" s="6" t="str">
        <f>ARRAY_CONSTRAIN(ARRAYFORMULA(_xludf.XLOOKUP(D28548,[1]order_Report_SA_ID_BB2.0!V:V,[1]order_Report_SA_ID_BB2.0!AM:AM,"")), 1, 1)</f>
        <v>#ERROR!</v>
      </c>
      <c r="T760" s="6" t="str">
        <f t="shared" si="2"/>
        <v>Dec'25</v>
      </c>
    </row>
    <row r="761" ht="15.75" customHeight="1">
      <c r="A761" s="5">
        <v>46013.0</v>
      </c>
      <c r="B761" s="6">
        <v>10848.0</v>
      </c>
      <c r="C761" s="6">
        <v>1.859166537E9</v>
      </c>
      <c r="D761" s="6">
        <v>183874.0</v>
      </c>
      <c r="E761" s="6" t="s">
        <v>1213</v>
      </c>
      <c r="F761" s="6" t="s">
        <v>1214</v>
      </c>
      <c r="G761" s="6">
        <v>8.373912881E9</v>
      </c>
      <c r="H761" s="6">
        <v>4.0158264E7</v>
      </c>
      <c r="I761" s="6" t="s">
        <v>26</v>
      </c>
      <c r="J761" s="6" t="s">
        <v>21</v>
      </c>
      <c r="K761" s="6" t="s">
        <v>22</v>
      </c>
      <c r="L761" s="6">
        <v>46.0</v>
      </c>
      <c r="M761" s="5">
        <v>46013.0</v>
      </c>
      <c r="N761" s="6" t="s">
        <v>23</v>
      </c>
      <c r="O761" s="6" t="str">
        <f>SUMIFS([1]order_sku_sales_bb2_report!P:P,[1]order_sku_sales_bb2_report!H:H,C28550,[1]order_sku_sales_bb2_report!J:J,H28550)</f>
        <v>#ERROR!</v>
      </c>
      <c r="P761" s="6" t="str">
        <f>SUMIFS([1]order_sku_sales_bb2_report!O:O,[1]order_sku_sales_bb2_report!H:H,C28550,[1]order_sku_sales_bb2_report!J:J,H28550)</f>
        <v>#ERROR!</v>
      </c>
      <c r="Q761" s="6" t="str">
        <f t="shared" si="1"/>
        <v>22-12-2025</v>
      </c>
      <c r="R761" s="6" t="str">
        <f>IFERROR( VLOOKUP(C28550,[1]expressOrderReport!$S:$AZ,34,0),0)</f>
        <v>#ERROR!</v>
      </c>
      <c r="S761" s="6" t="str">
        <f>ARRAY_CONSTRAIN(ARRAYFORMULA(_xludf.XLOOKUP(D28550,[1]order_Report_SA_ID_BB2.0!V:V,[1]order_Report_SA_ID_BB2.0!AM:AM,"")), 1, 1)</f>
        <v>#ERROR!</v>
      </c>
      <c r="T761" s="6" t="str">
        <f t="shared" si="2"/>
        <v>Dec'25</v>
      </c>
    </row>
    <row r="762" ht="15.75" customHeight="1">
      <c r="A762" s="5">
        <v>46013.0</v>
      </c>
      <c r="B762" s="6">
        <v>9396.0</v>
      </c>
      <c r="C762" s="6">
        <v>1.85916654E9</v>
      </c>
      <c r="D762" s="6">
        <v>184013.0</v>
      </c>
      <c r="E762" s="6" t="s">
        <v>1215</v>
      </c>
      <c r="F762" s="6" t="s">
        <v>1216</v>
      </c>
      <c r="G762" s="6">
        <v>9.986122321E9</v>
      </c>
      <c r="H762" s="6">
        <v>4.0149832E7</v>
      </c>
      <c r="I762" s="6" t="s">
        <v>26</v>
      </c>
      <c r="J762" s="6" t="s">
        <v>21</v>
      </c>
      <c r="K762" s="6" t="s">
        <v>22</v>
      </c>
      <c r="L762" s="6">
        <v>79.2</v>
      </c>
      <c r="M762" s="5">
        <v>46013.0</v>
      </c>
      <c r="N762" s="6" t="s">
        <v>23</v>
      </c>
      <c r="O762" s="6" t="str">
        <f>SUMIFS([1]order_sku_sales_bb2_report!P:P,[1]order_sku_sales_bb2_report!H:H,C28551,[1]order_sku_sales_bb2_report!J:J,H28551)</f>
        <v>#ERROR!</v>
      </c>
      <c r="P762" s="6" t="str">
        <f>SUMIFS([1]order_sku_sales_bb2_report!O:O,[1]order_sku_sales_bb2_report!H:H,C28551,[1]order_sku_sales_bb2_report!J:J,H28551)</f>
        <v>#ERROR!</v>
      </c>
      <c r="Q762" s="6" t="str">
        <f t="shared" si="1"/>
        <v>22-12-2025</v>
      </c>
      <c r="R762" s="6" t="str">
        <f>IFERROR( VLOOKUP(C28551,[1]expressOrderReport!$S:$AZ,34,0),0)</f>
        <v>#ERROR!</v>
      </c>
      <c r="S762" s="6" t="str">
        <f>ARRAY_CONSTRAIN(ARRAYFORMULA(_xludf.XLOOKUP(D28551,[1]order_Report_SA_ID_BB2.0!V:V,[1]order_Report_SA_ID_BB2.0!AM:AM,"")), 1, 1)</f>
        <v>#ERROR!</v>
      </c>
      <c r="T762" s="6" t="str">
        <f t="shared" si="2"/>
        <v>Dec'25</v>
      </c>
    </row>
    <row r="763" ht="15.75" customHeight="1">
      <c r="A763" s="5">
        <v>46013.0</v>
      </c>
      <c r="B763" s="6">
        <v>9398.0</v>
      </c>
      <c r="C763" s="6">
        <v>1.85916654E9</v>
      </c>
      <c r="D763" s="6">
        <v>184013.0</v>
      </c>
      <c r="E763" s="6" t="s">
        <v>1215</v>
      </c>
      <c r="F763" s="6" t="s">
        <v>1216</v>
      </c>
      <c r="G763" s="6">
        <v>9.986122321E9</v>
      </c>
      <c r="H763" s="6">
        <v>2.0001186E7</v>
      </c>
      <c r="I763" s="6" t="s">
        <v>430</v>
      </c>
      <c r="J763" s="6" t="s">
        <v>21</v>
      </c>
      <c r="K763" s="6" t="s">
        <v>22</v>
      </c>
      <c r="L763" s="6">
        <v>79.2</v>
      </c>
      <c r="M763" s="5">
        <v>46013.0</v>
      </c>
      <c r="N763" s="6" t="s">
        <v>23</v>
      </c>
      <c r="O763" s="6" t="str">
        <f>SUMIFS([1]order_sku_sales_bb2_report!P:P,[1]order_sku_sales_bb2_report!H:H,C28552,[1]order_sku_sales_bb2_report!J:J,H28552)</f>
        <v>#ERROR!</v>
      </c>
      <c r="P763" s="6" t="str">
        <f>SUMIFS([1]order_sku_sales_bb2_report!O:O,[1]order_sku_sales_bb2_report!H:H,C28552,[1]order_sku_sales_bb2_report!J:J,H28552)</f>
        <v>#ERROR!</v>
      </c>
      <c r="Q763" s="6" t="str">
        <f t="shared" si="1"/>
        <v>22-12-2025</v>
      </c>
      <c r="R763" s="6" t="str">
        <f>IFERROR( VLOOKUP(C28552,[1]expressOrderReport!$S:$AZ,34,0),0)</f>
        <v>#ERROR!</v>
      </c>
      <c r="S763" s="6" t="str">
        <f>ARRAY_CONSTRAIN(ARRAYFORMULA(_xludf.XLOOKUP(D28552,[1]order_Report_SA_ID_BB2.0!V:V,[1]order_Report_SA_ID_BB2.0!AM:AM,"")), 1, 1)</f>
        <v>#ERROR!</v>
      </c>
      <c r="T763" s="6" t="str">
        <f t="shared" si="2"/>
        <v>Dec'25</v>
      </c>
    </row>
    <row r="764" ht="15.75" customHeight="1">
      <c r="A764" s="5">
        <v>46013.0</v>
      </c>
      <c r="B764" s="6">
        <v>3521.0</v>
      </c>
      <c r="C764" s="6">
        <v>1.859166546E9</v>
      </c>
      <c r="D764" s="6">
        <v>191872.0</v>
      </c>
      <c r="E764" s="6" t="s">
        <v>1217</v>
      </c>
      <c r="F764" s="6" t="s">
        <v>1218</v>
      </c>
      <c r="G764" s="6">
        <v>9.739004521E9</v>
      </c>
      <c r="H764" s="6">
        <v>4.0149832E7</v>
      </c>
      <c r="I764" s="6" t="s">
        <v>26</v>
      </c>
      <c r="J764" s="6" t="s">
        <v>21</v>
      </c>
      <c r="K764" s="6" t="s">
        <v>22</v>
      </c>
      <c r="L764" s="6">
        <v>72.0</v>
      </c>
      <c r="M764" s="5">
        <v>46013.0</v>
      </c>
      <c r="N764" s="6" t="s">
        <v>23</v>
      </c>
      <c r="O764" s="6" t="str">
        <f>SUMIFS([1]order_sku_sales_bb2_report!P:P,[1]order_sku_sales_bb2_report!H:H,C28553,[1]order_sku_sales_bb2_report!J:J,H28553)</f>
        <v>#ERROR!</v>
      </c>
      <c r="P764" s="6" t="str">
        <f>SUMIFS([1]order_sku_sales_bb2_report!O:O,[1]order_sku_sales_bb2_report!H:H,C28553,[1]order_sku_sales_bb2_report!J:J,H28553)</f>
        <v>#ERROR!</v>
      </c>
      <c r="Q764" s="6" t="str">
        <f t="shared" si="1"/>
        <v>22-12-2025</v>
      </c>
      <c r="R764" s="6" t="str">
        <f>IFERROR( VLOOKUP(C28553,[1]expressOrderReport!$S:$AZ,34,0),0)</f>
        <v>#ERROR!</v>
      </c>
      <c r="S764" s="6" t="str">
        <f>ARRAY_CONSTRAIN(ARRAYFORMULA(_xludf.XLOOKUP(D28553,[1]order_Report_SA_ID_BB2.0!V:V,[1]order_Report_SA_ID_BB2.0!AM:AM,"")), 1, 1)</f>
        <v>#ERROR!</v>
      </c>
      <c r="T764" s="6" t="str">
        <f t="shared" si="2"/>
        <v>Dec'25</v>
      </c>
    </row>
    <row r="765" ht="15.75" customHeight="1">
      <c r="A765" s="5">
        <v>46013.0</v>
      </c>
      <c r="B765" s="6">
        <v>9190.0</v>
      </c>
      <c r="C765" s="6">
        <v>1.859166551E9</v>
      </c>
      <c r="D765" s="6">
        <v>195201.0</v>
      </c>
      <c r="E765" s="6" t="s">
        <v>1219</v>
      </c>
      <c r="F765" s="6" t="s">
        <v>1220</v>
      </c>
      <c r="G765" s="6">
        <v>9.845802075E9</v>
      </c>
      <c r="H765" s="6">
        <v>4.014983E7</v>
      </c>
      <c r="I765" s="6" t="s">
        <v>30</v>
      </c>
      <c r="J765" s="6" t="s">
        <v>21</v>
      </c>
      <c r="K765" s="6" t="s">
        <v>22</v>
      </c>
      <c r="L765" s="6">
        <v>88.0</v>
      </c>
      <c r="M765" s="5">
        <v>46013.0</v>
      </c>
      <c r="N765" s="6" t="s">
        <v>23</v>
      </c>
      <c r="O765" s="6" t="str">
        <f>SUMIFS([1]order_sku_sales_bb2_report!P:P,[1]order_sku_sales_bb2_report!H:H,C28554,[1]order_sku_sales_bb2_report!J:J,H28554)</f>
        <v>#ERROR!</v>
      </c>
      <c r="P765" s="6" t="str">
        <f>SUMIFS([1]order_sku_sales_bb2_report!O:O,[1]order_sku_sales_bb2_report!H:H,C28554,[1]order_sku_sales_bb2_report!J:J,H28554)</f>
        <v>#ERROR!</v>
      </c>
      <c r="Q765" s="6" t="str">
        <f t="shared" si="1"/>
        <v>22-12-2025</v>
      </c>
      <c r="R765" s="6" t="str">
        <f>IFERROR( VLOOKUP(C28554,[1]expressOrderReport!$S:$AZ,34,0),0)</f>
        <v>#ERROR!</v>
      </c>
      <c r="S765" s="6" t="str">
        <f>ARRAY_CONSTRAIN(ARRAYFORMULA(_xludf.XLOOKUP(D28554,[1]order_Report_SA_ID_BB2.0!V:V,[1]order_Report_SA_ID_BB2.0!AM:AM,"")), 1, 1)</f>
        <v>#ERROR!</v>
      </c>
      <c r="T765" s="6" t="str">
        <f t="shared" si="2"/>
        <v>Dec'25</v>
      </c>
    </row>
    <row r="766" ht="15.75" customHeight="1">
      <c r="A766" s="5">
        <v>46013.0</v>
      </c>
      <c r="B766" s="6">
        <v>9191.0</v>
      </c>
      <c r="C766" s="6">
        <v>1.859166551E9</v>
      </c>
      <c r="D766" s="6">
        <v>195201.0</v>
      </c>
      <c r="E766" s="6" t="s">
        <v>1219</v>
      </c>
      <c r="F766" s="6" t="s">
        <v>1220</v>
      </c>
      <c r="G766" s="6">
        <v>9.845802075E9</v>
      </c>
      <c r="H766" s="6">
        <v>242673.0</v>
      </c>
      <c r="I766" s="6" t="s">
        <v>815</v>
      </c>
      <c r="J766" s="6" t="s">
        <v>21</v>
      </c>
      <c r="K766" s="6" t="s">
        <v>22</v>
      </c>
      <c r="L766" s="6">
        <v>88.0</v>
      </c>
      <c r="M766" s="5">
        <v>46013.0</v>
      </c>
      <c r="N766" s="6" t="s">
        <v>23</v>
      </c>
      <c r="O766" s="6" t="str">
        <f>SUMIFS([1]order_sku_sales_bb2_report!P:P,[1]order_sku_sales_bb2_report!H:H,C28555,[1]order_sku_sales_bb2_report!J:J,H28555)</f>
        <v>#ERROR!</v>
      </c>
      <c r="P766" s="6" t="str">
        <f>SUMIFS([1]order_sku_sales_bb2_report!O:O,[1]order_sku_sales_bb2_report!H:H,C28555,[1]order_sku_sales_bb2_report!J:J,H28555)</f>
        <v>#ERROR!</v>
      </c>
      <c r="Q766" s="6" t="str">
        <f t="shared" si="1"/>
        <v>22-12-2025</v>
      </c>
      <c r="R766" s="6" t="str">
        <f>IFERROR( VLOOKUP(C28555,[1]expressOrderReport!$S:$AZ,34,0),0)</f>
        <v>#ERROR!</v>
      </c>
      <c r="S766" s="6" t="str">
        <f>ARRAY_CONSTRAIN(ARRAYFORMULA(_xludf.XLOOKUP(D28555,[1]order_Report_SA_ID_BB2.0!V:V,[1]order_Report_SA_ID_BB2.0!AM:AM,"")), 1, 1)</f>
        <v>#ERROR!</v>
      </c>
      <c r="T766" s="6" t="str">
        <f t="shared" si="2"/>
        <v>Dec'25</v>
      </c>
    </row>
    <row r="767" ht="15.75" customHeight="1">
      <c r="A767" s="5">
        <v>46013.0</v>
      </c>
      <c r="B767" s="6">
        <v>9401.0</v>
      </c>
      <c r="C767" s="6">
        <v>1.859166555E9</v>
      </c>
      <c r="D767" s="6">
        <v>199320.0</v>
      </c>
      <c r="E767" s="6" t="s">
        <v>1221</v>
      </c>
      <c r="F767" s="6" t="s">
        <v>1222</v>
      </c>
      <c r="G767" s="6">
        <v>9.411327838E9</v>
      </c>
      <c r="H767" s="6">
        <v>2.0002982E7</v>
      </c>
      <c r="I767" s="6" t="s">
        <v>1223</v>
      </c>
      <c r="J767" s="6" t="s">
        <v>21</v>
      </c>
      <c r="K767" s="6" t="s">
        <v>22</v>
      </c>
      <c r="L767" s="6">
        <v>10.0</v>
      </c>
      <c r="M767" s="5">
        <v>46013.0</v>
      </c>
      <c r="N767" s="6" t="s">
        <v>54</v>
      </c>
      <c r="O767" s="6" t="str">
        <f>SUMIFS([1]order_sku_sales_bb2_report!P:P,[1]order_sku_sales_bb2_report!H:H,C28556,[1]order_sku_sales_bb2_report!J:J,H28556)</f>
        <v>#ERROR!</v>
      </c>
      <c r="P767" s="6" t="str">
        <f>SUMIFS([1]order_sku_sales_bb2_report!O:O,[1]order_sku_sales_bb2_report!H:H,C28556,[1]order_sku_sales_bb2_report!J:J,H28556)</f>
        <v>#ERROR!</v>
      </c>
      <c r="Q767" s="6" t="str">
        <f t="shared" si="1"/>
        <v>22-12-2025</v>
      </c>
      <c r="R767" s="6" t="str">
        <f>IFERROR( VLOOKUP(C28556,[1]expressOrderReport!$S:$AZ,34,0),0)</f>
        <v>#ERROR!</v>
      </c>
      <c r="S767" s="6" t="str">
        <f>ARRAY_CONSTRAIN(ARRAYFORMULA(_xludf.XLOOKUP(D28556,[1]order_Report_SA_ID_BB2.0!V:V,[1]order_Report_SA_ID_BB2.0!AM:AM,"")), 1, 1)</f>
        <v>#ERROR!</v>
      </c>
      <c r="T767" s="6" t="str">
        <f t="shared" si="2"/>
        <v>Dec'25</v>
      </c>
    </row>
    <row r="768" ht="15.75" customHeight="1">
      <c r="A768" s="5">
        <v>46013.0</v>
      </c>
      <c r="B768" s="6">
        <v>6813.0</v>
      </c>
      <c r="C768" s="6">
        <v>1.859166558E9</v>
      </c>
      <c r="D768" s="6">
        <v>238548.0</v>
      </c>
      <c r="E768" s="6" t="s">
        <v>1224</v>
      </c>
      <c r="F768" s="6" t="s">
        <v>1225</v>
      </c>
      <c r="G768" s="6">
        <v>7.382784217E9</v>
      </c>
      <c r="H768" s="6">
        <v>4.0000519E7</v>
      </c>
      <c r="I768" s="6" t="s">
        <v>815</v>
      </c>
      <c r="J768" s="6" t="s">
        <v>21</v>
      </c>
      <c r="K768" s="6" t="s">
        <v>22</v>
      </c>
      <c r="L768" s="6">
        <v>71.0</v>
      </c>
      <c r="M768" s="5">
        <v>46013.0</v>
      </c>
      <c r="N768" s="6" t="s">
        <v>23</v>
      </c>
      <c r="O768" s="6" t="str">
        <f>SUMIFS([1]order_sku_sales_bb2_report!P:P,[1]order_sku_sales_bb2_report!H:H,C28557,[1]order_sku_sales_bb2_report!J:J,H28557)</f>
        <v>#ERROR!</v>
      </c>
      <c r="P768" s="6" t="str">
        <f>SUMIFS([1]order_sku_sales_bb2_report!O:O,[1]order_sku_sales_bb2_report!H:H,C28557,[1]order_sku_sales_bb2_report!J:J,H28557)</f>
        <v>#ERROR!</v>
      </c>
      <c r="Q768" s="6" t="str">
        <f t="shared" si="1"/>
        <v>22-12-2025</v>
      </c>
      <c r="R768" s="6" t="str">
        <f>IFERROR( VLOOKUP(C28557,[1]expressOrderReport!$S:$AZ,34,0),0)</f>
        <v>#ERROR!</v>
      </c>
      <c r="S768" s="6" t="str">
        <f>ARRAY_CONSTRAIN(ARRAYFORMULA(_xludf.XLOOKUP(D28557,[1]order_Report_SA_ID_BB2.0!V:V,[1]order_Report_SA_ID_BB2.0!AM:AM,"")), 1, 1)</f>
        <v>#ERROR!</v>
      </c>
      <c r="T768" s="6" t="str">
        <f t="shared" si="2"/>
        <v>Dec'25</v>
      </c>
    </row>
    <row r="769" ht="15.75" customHeight="1">
      <c r="A769" s="5">
        <v>46013.0</v>
      </c>
      <c r="B769" s="6">
        <v>2538.0</v>
      </c>
      <c r="C769" s="6">
        <v>1.859166562E9</v>
      </c>
      <c r="D769" s="6">
        <v>253259.0</v>
      </c>
      <c r="E769" s="6" t="s">
        <v>1226</v>
      </c>
      <c r="F769" s="6" t="s">
        <v>1227</v>
      </c>
      <c r="G769" s="6">
        <v>9.739977307E9</v>
      </c>
      <c r="H769" s="6">
        <v>4.0149832E7</v>
      </c>
      <c r="I769" s="6" t="s">
        <v>26</v>
      </c>
      <c r="J769" s="6" t="s">
        <v>21</v>
      </c>
      <c r="K769" s="6" t="s">
        <v>22</v>
      </c>
      <c r="L769" s="6">
        <v>24.0</v>
      </c>
      <c r="M769" s="5">
        <v>46013.0</v>
      </c>
      <c r="N769" s="6" t="s">
        <v>23</v>
      </c>
      <c r="O769" s="6" t="str">
        <f>SUMIFS([1]order_sku_sales_bb2_report!P:P,[1]order_sku_sales_bb2_report!H:H,C28558,[1]order_sku_sales_bb2_report!J:J,H28558)</f>
        <v>#ERROR!</v>
      </c>
      <c r="P769" s="6" t="str">
        <f>SUMIFS([1]order_sku_sales_bb2_report!O:O,[1]order_sku_sales_bb2_report!H:H,C28558,[1]order_sku_sales_bb2_report!J:J,H28558)</f>
        <v>#ERROR!</v>
      </c>
      <c r="Q769" s="6" t="str">
        <f t="shared" si="1"/>
        <v>22-12-2025</v>
      </c>
      <c r="R769" s="6" t="str">
        <f>IFERROR( VLOOKUP(C28558,[1]expressOrderReport!$S:$AZ,34,0),0)</f>
        <v>#ERROR!</v>
      </c>
      <c r="S769" s="6" t="str">
        <f>ARRAY_CONSTRAIN(ARRAYFORMULA(_xludf.XLOOKUP(D28558,[1]order_Report_SA_ID_BB2.0!V:V,[1]order_Report_SA_ID_BB2.0!AM:AM,"")), 1, 1)</f>
        <v>#ERROR!</v>
      </c>
      <c r="T769" s="6" t="str">
        <f t="shared" si="2"/>
        <v>Dec'25</v>
      </c>
    </row>
    <row r="770" ht="15.75" customHeight="1">
      <c r="A770" s="5">
        <v>46013.0</v>
      </c>
      <c r="B770" s="6">
        <v>1344.0</v>
      </c>
      <c r="C770" s="6">
        <v>1.859166565E9</v>
      </c>
      <c r="D770" s="6">
        <v>260896.0</v>
      </c>
      <c r="E770" s="6" t="s">
        <v>1228</v>
      </c>
      <c r="F770" s="6" t="s">
        <v>1229</v>
      </c>
      <c r="G770" s="6">
        <v>9.845875011E9</v>
      </c>
      <c r="H770" s="6">
        <v>4.0147597E7</v>
      </c>
      <c r="I770" s="6" t="s">
        <v>59</v>
      </c>
      <c r="J770" s="6" t="s">
        <v>21</v>
      </c>
      <c r="K770" s="6" t="s">
        <v>22</v>
      </c>
      <c r="L770" s="6">
        <v>50.0</v>
      </c>
      <c r="M770" s="5">
        <v>46013.0</v>
      </c>
      <c r="N770" s="6" t="s">
        <v>23</v>
      </c>
      <c r="O770" s="6" t="str">
        <f>SUMIFS([1]order_sku_sales_bb2_report!P:P,[1]order_sku_sales_bb2_report!H:H,C28559,[1]order_sku_sales_bb2_report!J:J,H28559)</f>
        <v>#ERROR!</v>
      </c>
      <c r="P770" s="6" t="str">
        <f>SUMIFS([1]order_sku_sales_bb2_report!O:O,[1]order_sku_sales_bb2_report!H:H,C28559,[1]order_sku_sales_bb2_report!J:J,H28559)</f>
        <v>#ERROR!</v>
      </c>
      <c r="Q770" s="6" t="str">
        <f t="shared" si="1"/>
        <v>22-12-2025</v>
      </c>
      <c r="R770" s="6" t="str">
        <f>IFERROR( VLOOKUP(C28559,[1]expressOrderReport!$S:$AZ,34,0),0)</f>
        <v>#ERROR!</v>
      </c>
      <c r="S770" s="6" t="str">
        <f>ARRAY_CONSTRAIN(ARRAYFORMULA(_xludf.XLOOKUP(D28559,[1]order_Report_SA_ID_BB2.0!V:V,[1]order_Report_SA_ID_BB2.0!AM:AM,"")), 1, 1)</f>
        <v>#ERROR!</v>
      </c>
      <c r="T770" s="6" t="str">
        <f t="shared" si="2"/>
        <v>Dec'25</v>
      </c>
    </row>
    <row r="771" ht="15.75" customHeight="1">
      <c r="A771" s="5">
        <v>46013.0</v>
      </c>
      <c r="B771" s="6">
        <v>1348.0</v>
      </c>
      <c r="C771" s="6">
        <v>1.859166565E9</v>
      </c>
      <c r="D771" s="6">
        <v>260896.0</v>
      </c>
      <c r="E771" s="6" t="s">
        <v>1228</v>
      </c>
      <c r="F771" s="6" t="s">
        <v>1229</v>
      </c>
      <c r="G771" s="6">
        <v>9.845875011E9</v>
      </c>
      <c r="H771" s="6">
        <v>4.0149832E7</v>
      </c>
      <c r="I771" s="6" t="s">
        <v>26</v>
      </c>
      <c r="J771" s="6" t="s">
        <v>21</v>
      </c>
      <c r="K771" s="6" t="s">
        <v>22</v>
      </c>
      <c r="L771" s="6">
        <v>50.0</v>
      </c>
      <c r="M771" s="5">
        <v>46013.0</v>
      </c>
      <c r="N771" s="6" t="s">
        <v>23</v>
      </c>
      <c r="O771" s="6" t="str">
        <f>SUMIFS([1]order_sku_sales_bb2_report!P:P,[1]order_sku_sales_bb2_report!H:H,C28560,[1]order_sku_sales_bb2_report!J:J,H28560)</f>
        <v>#ERROR!</v>
      </c>
      <c r="P771" s="6" t="str">
        <f>SUMIFS([1]order_sku_sales_bb2_report!O:O,[1]order_sku_sales_bb2_report!H:H,C28560,[1]order_sku_sales_bb2_report!J:J,H28560)</f>
        <v>#ERROR!</v>
      </c>
      <c r="Q771" s="6" t="str">
        <f t="shared" si="1"/>
        <v>22-12-2025</v>
      </c>
      <c r="R771" s="6" t="str">
        <f>IFERROR( VLOOKUP(C28560,[1]expressOrderReport!$S:$AZ,34,0),0)</f>
        <v>#ERROR!</v>
      </c>
      <c r="S771" s="6" t="str">
        <f>ARRAY_CONSTRAIN(ARRAYFORMULA(_xludf.XLOOKUP(D28560,[1]order_Report_SA_ID_BB2.0!V:V,[1]order_Report_SA_ID_BB2.0!AM:AM,"")), 1, 1)</f>
        <v>#ERROR!</v>
      </c>
      <c r="T771" s="6" t="str">
        <f t="shared" si="2"/>
        <v>Dec'25</v>
      </c>
    </row>
    <row r="772" ht="15.75" customHeight="1">
      <c r="A772" s="5">
        <v>46013.0</v>
      </c>
      <c r="B772" s="6">
        <v>7451.0</v>
      </c>
      <c r="C772" s="6">
        <v>1.859166569E9</v>
      </c>
      <c r="D772" s="6">
        <v>326874.0</v>
      </c>
      <c r="E772" s="6" t="s">
        <v>1230</v>
      </c>
      <c r="F772" s="6" t="s">
        <v>1231</v>
      </c>
      <c r="G772" s="6">
        <v>9.164029525E9</v>
      </c>
      <c r="H772" s="6">
        <v>4.0149834E7</v>
      </c>
      <c r="I772" s="6" t="s">
        <v>40</v>
      </c>
      <c r="J772" s="6" t="s">
        <v>21</v>
      </c>
      <c r="K772" s="6" t="s">
        <v>22</v>
      </c>
      <c r="L772" s="6">
        <v>52.0</v>
      </c>
      <c r="M772" s="5">
        <v>46013.0</v>
      </c>
      <c r="N772" s="6" t="s">
        <v>23</v>
      </c>
      <c r="O772" s="6" t="str">
        <f>SUMIFS([1]order_sku_sales_bb2_report!P:P,[1]order_sku_sales_bb2_report!H:H,C28561,[1]order_sku_sales_bb2_report!J:J,H28561)</f>
        <v>#ERROR!</v>
      </c>
      <c r="P772" s="6" t="str">
        <f>SUMIFS([1]order_sku_sales_bb2_report!O:O,[1]order_sku_sales_bb2_report!H:H,C28561,[1]order_sku_sales_bb2_report!J:J,H28561)</f>
        <v>#ERROR!</v>
      </c>
      <c r="Q772" s="6" t="str">
        <f t="shared" si="1"/>
        <v>22-12-2025</v>
      </c>
      <c r="R772" s="6" t="str">
        <f>IFERROR( VLOOKUP(C28561,[1]expressOrderReport!$S:$AZ,34,0),0)</f>
        <v>#ERROR!</v>
      </c>
      <c r="S772" s="6" t="str">
        <f>ARRAY_CONSTRAIN(ARRAYFORMULA(_xludf.XLOOKUP(D28561,[1]order_Report_SA_ID_BB2.0!V:V,[1]order_Report_SA_ID_BB2.0!AM:AM,"")), 1, 1)</f>
        <v>#ERROR!</v>
      </c>
      <c r="T772" s="6" t="str">
        <f t="shared" si="2"/>
        <v>Dec'25</v>
      </c>
    </row>
    <row r="773" ht="15.75" customHeight="1">
      <c r="A773" s="5">
        <v>46013.0</v>
      </c>
      <c r="B773" s="6">
        <v>7823.0</v>
      </c>
      <c r="C773" s="6">
        <v>1.859166574E9</v>
      </c>
      <c r="D773" s="6">
        <v>372493.0</v>
      </c>
      <c r="E773" s="6" t="s">
        <v>1232</v>
      </c>
      <c r="F773" s="6" t="s">
        <v>1233</v>
      </c>
      <c r="G773" s="6">
        <v>7.022006089E9</v>
      </c>
      <c r="H773" s="6">
        <v>4.014983E7</v>
      </c>
      <c r="I773" s="6" t="s">
        <v>30</v>
      </c>
      <c r="J773" s="6" t="s">
        <v>21</v>
      </c>
      <c r="K773" s="6" t="s">
        <v>22</v>
      </c>
      <c r="L773" s="6">
        <v>75.0</v>
      </c>
      <c r="M773" s="5">
        <v>46013.0</v>
      </c>
      <c r="N773" s="6" t="s">
        <v>23</v>
      </c>
      <c r="O773" s="6" t="str">
        <f>SUMIFS([1]order_sku_sales_bb2_report!P:P,[1]order_sku_sales_bb2_report!H:H,C28562,[1]order_sku_sales_bb2_report!J:J,H28562)</f>
        <v>#ERROR!</v>
      </c>
      <c r="P773" s="6" t="str">
        <f>SUMIFS([1]order_sku_sales_bb2_report!O:O,[1]order_sku_sales_bb2_report!H:H,C28562,[1]order_sku_sales_bb2_report!J:J,H28562)</f>
        <v>#ERROR!</v>
      </c>
      <c r="Q773" s="6" t="str">
        <f t="shared" si="1"/>
        <v>22-12-2025</v>
      </c>
      <c r="R773" s="6" t="str">
        <f>IFERROR( VLOOKUP(C28562,[1]expressOrderReport!$S:$AZ,34,0),0)</f>
        <v>#ERROR!</v>
      </c>
      <c r="S773" s="6" t="str">
        <f>ARRAY_CONSTRAIN(ARRAYFORMULA(_xludf.XLOOKUP(D28562,[1]order_Report_SA_ID_BB2.0!V:V,[1]order_Report_SA_ID_BB2.0!AM:AM,"")), 1, 1)</f>
        <v>#ERROR!</v>
      </c>
      <c r="T773" s="6" t="str">
        <f t="shared" si="2"/>
        <v>Dec'25</v>
      </c>
    </row>
    <row r="774" ht="15.75" customHeight="1">
      <c r="A774" s="5">
        <v>46013.0</v>
      </c>
      <c r="B774" s="6">
        <v>7824.0</v>
      </c>
      <c r="C774" s="6">
        <v>1.859166574E9</v>
      </c>
      <c r="D774" s="6">
        <v>372493.0</v>
      </c>
      <c r="E774" s="6" t="s">
        <v>1232</v>
      </c>
      <c r="F774" s="6" t="s">
        <v>1233</v>
      </c>
      <c r="G774" s="6">
        <v>7.022006089E9</v>
      </c>
      <c r="H774" s="6">
        <v>4.0148718E7</v>
      </c>
      <c r="I774" s="6" t="s">
        <v>1234</v>
      </c>
      <c r="J774" s="6" t="s">
        <v>21</v>
      </c>
      <c r="K774" s="6" t="s">
        <v>22</v>
      </c>
      <c r="L774" s="6">
        <v>75.0</v>
      </c>
      <c r="M774" s="5">
        <v>46013.0</v>
      </c>
      <c r="N774" s="6" t="s">
        <v>23</v>
      </c>
      <c r="O774" s="6" t="str">
        <f>SUMIFS([1]order_sku_sales_bb2_report!P:P,[1]order_sku_sales_bb2_report!H:H,C28563,[1]order_sku_sales_bb2_report!J:J,H28563)</f>
        <v>#ERROR!</v>
      </c>
      <c r="P774" s="6" t="str">
        <f>SUMIFS([1]order_sku_sales_bb2_report!O:O,[1]order_sku_sales_bb2_report!H:H,C28563,[1]order_sku_sales_bb2_report!J:J,H28563)</f>
        <v>#ERROR!</v>
      </c>
      <c r="Q774" s="6" t="str">
        <f t="shared" si="1"/>
        <v>22-12-2025</v>
      </c>
      <c r="R774" s="6" t="str">
        <f>IFERROR( VLOOKUP(C28563,[1]expressOrderReport!$S:$AZ,34,0),0)</f>
        <v>#ERROR!</v>
      </c>
      <c r="S774" s="6" t="str">
        <f>ARRAY_CONSTRAIN(ARRAYFORMULA(_xludf.XLOOKUP(D28563,[1]order_Report_SA_ID_BB2.0!V:V,[1]order_Report_SA_ID_BB2.0!AM:AM,"")), 1, 1)</f>
        <v>#ERROR!</v>
      </c>
      <c r="T774" s="6" t="str">
        <f t="shared" si="2"/>
        <v>Dec'25</v>
      </c>
    </row>
    <row r="775" ht="15.75" customHeight="1">
      <c r="A775" s="5">
        <v>46013.0</v>
      </c>
      <c r="B775" s="6">
        <v>9302.0</v>
      </c>
      <c r="C775" s="6">
        <v>1.859166582E9</v>
      </c>
      <c r="D775" s="6">
        <v>407077.0</v>
      </c>
      <c r="E775" s="6" t="s">
        <v>1235</v>
      </c>
      <c r="F775" s="6" t="s">
        <v>1236</v>
      </c>
      <c r="G775" s="6">
        <v>8.197533999E9</v>
      </c>
      <c r="H775" s="6">
        <v>4.0149832E7</v>
      </c>
      <c r="I775" s="6" t="s">
        <v>26</v>
      </c>
      <c r="J775" s="6" t="s">
        <v>21</v>
      </c>
      <c r="K775" s="6" t="s">
        <v>22</v>
      </c>
      <c r="L775" s="6">
        <v>103.16</v>
      </c>
      <c r="M775" s="5">
        <v>46013.0</v>
      </c>
      <c r="N775" s="6" t="s">
        <v>23</v>
      </c>
      <c r="O775" s="6" t="str">
        <f>SUMIFS([1]order_sku_sales_bb2_report!P:P,[1]order_sku_sales_bb2_report!H:H,C28564,[1]order_sku_sales_bb2_report!J:J,H28564)</f>
        <v>#ERROR!</v>
      </c>
      <c r="P775" s="6" t="str">
        <f>SUMIFS([1]order_sku_sales_bb2_report!O:O,[1]order_sku_sales_bb2_report!H:H,C28564,[1]order_sku_sales_bb2_report!J:J,H28564)</f>
        <v>#ERROR!</v>
      </c>
      <c r="Q775" s="6" t="str">
        <f t="shared" si="1"/>
        <v>22-12-2025</v>
      </c>
      <c r="R775" s="6" t="str">
        <f>IFERROR( VLOOKUP(C28564,[1]expressOrderReport!$S:$AZ,34,0),0)</f>
        <v>#ERROR!</v>
      </c>
      <c r="S775" s="6" t="str">
        <f>ARRAY_CONSTRAIN(ARRAYFORMULA(_xludf.XLOOKUP(D28564,[1]order_Report_SA_ID_BB2.0!V:V,[1]order_Report_SA_ID_BB2.0!AM:AM,"")), 1, 1)</f>
        <v>#ERROR!</v>
      </c>
      <c r="T775" s="6" t="str">
        <f t="shared" si="2"/>
        <v>Dec'25</v>
      </c>
    </row>
    <row r="776" ht="15.75" customHeight="1">
      <c r="A776" s="5">
        <v>46013.0</v>
      </c>
      <c r="B776" s="6">
        <v>9303.0</v>
      </c>
      <c r="C776" s="6">
        <v>1.859166582E9</v>
      </c>
      <c r="D776" s="6">
        <v>407077.0</v>
      </c>
      <c r="E776" s="6" t="s">
        <v>1235</v>
      </c>
      <c r="F776" s="6" t="s">
        <v>1236</v>
      </c>
      <c r="G776" s="6">
        <v>8.197533999E9</v>
      </c>
      <c r="H776" s="6">
        <v>4.0148714E7</v>
      </c>
      <c r="I776" s="6" t="s">
        <v>183</v>
      </c>
      <c r="J776" s="6" t="s">
        <v>21</v>
      </c>
      <c r="K776" s="6" t="s">
        <v>22</v>
      </c>
      <c r="L776" s="6">
        <v>103.16</v>
      </c>
      <c r="M776" s="5">
        <v>46013.0</v>
      </c>
      <c r="N776" s="6" t="s">
        <v>23</v>
      </c>
      <c r="O776" s="6" t="str">
        <f>SUMIFS([1]order_sku_sales_bb2_report!P:P,[1]order_sku_sales_bb2_report!H:H,C28565,[1]order_sku_sales_bb2_report!J:J,H28565)</f>
        <v>#ERROR!</v>
      </c>
      <c r="P776" s="6" t="str">
        <f>SUMIFS([1]order_sku_sales_bb2_report!O:O,[1]order_sku_sales_bb2_report!H:H,C28565,[1]order_sku_sales_bb2_report!J:J,H28565)</f>
        <v>#ERROR!</v>
      </c>
      <c r="Q776" s="6" t="str">
        <f t="shared" si="1"/>
        <v>22-12-2025</v>
      </c>
      <c r="R776" s="6" t="str">
        <f>IFERROR( VLOOKUP(C28565,[1]expressOrderReport!$S:$AZ,34,0),0)</f>
        <v>#ERROR!</v>
      </c>
      <c r="S776" s="6" t="str">
        <f>ARRAY_CONSTRAIN(ARRAYFORMULA(_xludf.XLOOKUP(D28565,[1]order_Report_SA_ID_BB2.0!V:V,[1]order_Report_SA_ID_BB2.0!AM:AM,"")), 1, 1)</f>
        <v>#ERROR!</v>
      </c>
      <c r="T776" s="6" t="str">
        <f t="shared" si="2"/>
        <v>Dec'25</v>
      </c>
    </row>
    <row r="777" ht="15.75" customHeight="1">
      <c r="A777" s="5">
        <v>46013.0</v>
      </c>
      <c r="B777" s="6">
        <v>9307.0</v>
      </c>
      <c r="C777" s="6">
        <v>1.859166582E9</v>
      </c>
      <c r="D777" s="6">
        <v>407077.0</v>
      </c>
      <c r="E777" s="6" t="s">
        <v>1235</v>
      </c>
      <c r="F777" s="6" t="s">
        <v>1236</v>
      </c>
      <c r="G777" s="6">
        <v>8.197533999E9</v>
      </c>
      <c r="H777" s="6">
        <v>1.0000097E7</v>
      </c>
      <c r="I777" s="6" t="s">
        <v>285</v>
      </c>
      <c r="J777" s="6" t="s">
        <v>21</v>
      </c>
      <c r="K777" s="6" t="s">
        <v>22</v>
      </c>
      <c r="L777" s="6">
        <v>103.16</v>
      </c>
      <c r="M777" s="5">
        <v>46013.0</v>
      </c>
      <c r="N777" s="6" t="s">
        <v>23</v>
      </c>
      <c r="O777" s="6" t="str">
        <f>SUMIFS([1]order_sku_sales_bb2_report!P:P,[1]order_sku_sales_bb2_report!H:H,C28566,[1]order_sku_sales_bb2_report!J:J,H28566)</f>
        <v>#ERROR!</v>
      </c>
      <c r="P777" s="6" t="str">
        <f>SUMIFS([1]order_sku_sales_bb2_report!O:O,[1]order_sku_sales_bb2_report!H:H,C28566,[1]order_sku_sales_bb2_report!J:J,H28566)</f>
        <v>#ERROR!</v>
      </c>
      <c r="Q777" s="6" t="str">
        <f t="shared" si="1"/>
        <v>22-12-2025</v>
      </c>
      <c r="R777" s="6" t="str">
        <f>IFERROR( VLOOKUP(C28566,[1]expressOrderReport!$S:$AZ,34,0),0)</f>
        <v>#ERROR!</v>
      </c>
      <c r="S777" s="6" t="str">
        <f>ARRAY_CONSTRAIN(ARRAYFORMULA(_xludf.XLOOKUP(D28566,[1]order_Report_SA_ID_BB2.0!V:V,[1]order_Report_SA_ID_BB2.0!AM:AM,"")), 1, 1)</f>
        <v>#ERROR!</v>
      </c>
      <c r="T777" s="6" t="str">
        <f t="shared" si="2"/>
        <v>Dec'25</v>
      </c>
    </row>
    <row r="778" ht="15.75" customHeight="1">
      <c r="A778" s="5">
        <v>46013.0</v>
      </c>
      <c r="B778" s="6">
        <v>1369.0</v>
      </c>
      <c r="C778" s="6">
        <v>1.859166588E9</v>
      </c>
      <c r="D778" s="6">
        <v>412196.0</v>
      </c>
      <c r="E778" s="6" t="s">
        <v>1237</v>
      </c>
      <c r="F778" s="6" t="s">
        <v>1238</v>
      </c>
      <c r="G778" s="6">
        <v>9.886437697E9</v>
      </c>
      <c r="H778" s="6">
        <v>4.0147595E7</v>
      </c>
      <c r="I778" s="6" t="s">
        <v>1239</v>
      </c>
      <c r="J778" s="6" t="s">
        <v>21</v>
      </c>
      <c r="K778" s="6" t="s">
        <v>22</v>
      </c>
      <c r="L778" s="6">
        <v>70.0</v>
      </c>
      <c r="M778" s="5">
        <v>46013.0</v>
      </c>
      <c r="N778" s="6" t="s">
        <v>54</v>
      </c>
      <c r="O778" s="6" t="str">
        <f>SUMIFS([1]order_sku_sales_bb2_report!P:P,[1]order_sku_sales_bb2_report!H:H,C28567,[1]order_sku_sales_bb2_report!J:J,H28567)</f>
        <v>#ERROR!</v>
      </c>
      <c r="P778" s="6" t="str">
        <f>SUMIFS([1]order_sku_sales_bb2_report!O:O,[1]order_sku_sales_bb2_report!H:H,C28567,[1]order_sku_sales_bb2_report!J:J,H28567)</f>
        <v>#ERROR!</v>
      </c>
      <c r="Q778" s="6" t="str">
        <f t="shared" si="1"/>
        <v>22-12-2025</v>
      </c>
      <c r="R778" s="6" t="str">
        <f>IFERROR( VLOOKUP(C28567,[1]expressOrderReport!$S:$AZ,34,0),0)</f>
        <v>#ERROR!</v>
      </c>
      <c r="S778" s="6" t="str">
        <f>ARRAY_CONSTRAIN(ARRAYFORMULA(_xludf.XLOOKUP(D28567,[1]order_Report_SA_ID_BB2.0!V:V,[1]order_Report_SA_ID_BB2.0!AM:AM,"")), 1, 1)</f>
        <v>#ERROR!</v>
      </c>
      <c r="T778" s="6" t="str">
        <f t="shared" si="2"/>
        <v>Dec'25</v>
      </c>
    </row>
    <row r="779" ht="15.75" customHeight="1">
      <c r="A779" s="5">
        <v>46013.0</v>
      </c>
      <c r="B779" s="6">
        <v>10033.0</v>
      </c>
      <c r="C779" s="6">
        <v>1.859166593E9</v>
      </c>
      <c r="D779" s="6">
        <v>427685.0</v>
      </c>
      <c r="E779" s="6" t="s">
        <v>1240</v>
      </c>
      <c r="F779" s="6" t="s">
        <v>1241</v>
      </c>
      <c r="G779" s="6">
        <v>9.342523458E9</v>
      </c>
      <c r="H779" s="6">
        <v>4.0179391E7</v>
      </c>
      <c r="I779" s="6" t="s">
        <v>297</v>
      </c>
      <c r="J779" s="6" t="s">
        <v>21</v>
      </c>
      <c r="K779" s="6" t="s">
        <v>22</v>
      </c>
      <c r="L779" s="6">
        <v>65.0</v>
      </c>
      <c r="M779" s="5">
        <v>46013.0</v>
      </c>
      <c r="N779" s="6" t="s">
        <v>23</v>
      </c>
      <c r="O779" s="6" t="str">
        <f>SUMIFS([1]order_sku_sales_bb2_report!P:P,[1]order_sku_sales_bb2_report!H:H,C28568,[1]order_sku_sales_bb2_report!J:J,H28568)</f>
        <v>#ERROR!</v>
      </c>
      <c r="P779" s="6" t="str">
        <f>SUMIFS([1]order_sku_sales_bb2_report!O:O,[1]order_sku_sales_bb2_report!H:H,C28568,[1]order_sku_sales_bb2_report!J:J,H28568)</f>
        <v>#ERROR!</v>
      </c>
      <c r="Q779" s="6" t="str">
        <f t="shared" si="1"/>
        <v>22-12-2025</v>
      </c>
      <c r="R779" s="6" t="str">
        <f>IFERROR( VLOOKUP(C28568,[1]expressOrderReport!$S:$AZ,34,0),0)</f>
        <v>#ERROR!</v>
      </c>
      <c r="S779" s="6" t="str">
        <f>ARRAY_CONSTRAIN(ARRAYFORMULA(_xludf.XLOOKUP(D28568,[1]order_Report_SA_ID_BB2.0!V:V,[1]order_Report_SA_ID_BB2.0!AM:AM,"")), 1, 1)</f>
        <v>#ERROR!</v>
      </c>
      <c r="T779" s="6" t="str">
        <f t="shared" si="2"/>
        <v>Dec'25</v>
      </c>
    </row>
    <row r="780" ht="15.75" customHeight="1">
      <c r="A780" s="5">
        <v>46013.0</v>
      </c>
      <c r="B780" s="6">
        <v>12082.0</v>
      </c>
      <c r="C780" s="6">
        <v>1.859166593E9</v>
      </c>
      <c r="D780" s="6">
        <v>427685.0</v>
      </c>
      <c r="E780" s="6" t="s">
        <v>1240</v>
      </c>
      <c r="F780" s="6" t="s">
        <v>1241</v>
      </c>
      <c r="G780" s="6">
        <v>9.342523458E9</v>
      </c>
      <c r="H780" s="6">
        <v>4.0038379E7</v>
      </c>
      <c r="I780" s="6" t="s">
        <v>1242</v>
      </c>
      <c r="J780" s="6" t="s">
        <v>21</v>
      </c>
      <c r="K780" s="6" t="s">
        <v>22</v>
      </c>
      <c r="L780" s="6">
        <v>65.0</v>
      </c>
      <c r="M780" s="5">
        <v>46013.0</v>
      </c>
      <c r="N780" s="6" t="s">
        <v>23</v>
      </c>
      <c r="O780" s="6" t="str">
        <f>SUMIFS([1]order_sku_sales_bb2_report!P:P,[1]order_sku_sales_bb2_report!H:H,C28569,[1]order_sku_sales_bb2_report!J:J,H28569)</f>
        <v>#ERROR!</v>
      </c>
      <c r="P780" s="6" t="str">
        <f>SUMIFS([1]order_sku_sales_bb2_report!O:O,[1]order_sku_sales_bb2_report!H:H,C28569,[1]order_sku_sales_bb2_report!J:J,H28569)</f>
        <v>#ERROR!</v>
      </c>
      <c r="Q780" s="6" t="str">
        <f t="shared" si="1"/>
        <v>22-12-2025</v>
      </c>
      <c r="R780" s="6" t="str">
        <f>IFERROR( VLOOKUP(C28569,[1]expressOrderReport!$S:$AZ,34,0),0)</f>
        <v>#ERROR!</v>
      </c>
      <c r="S780" s="6" t="str">
        <f>ARRAY_CONSTRAIN(ARRAYFORMULA(_xludf.XLOOKUP(D28569,[1]order_Report_SA_ID_BB2.0!V:V,[1]order_Report_SA_ID_BB2.0!AM:AM,"")), 1, 1)</f>
        <v>#ERROR!</v>
      </c>
      <c r="T780" s="6" t="str">
        <f t="shared" si="2"/>
        <v>Dec'25</v>
      </c>
    </row>
    <row r="781" ht="15.75" customHeight="1">
      <c r="A781" s="5">
        <v>46013.0</v>
      </c>
      <c r="B781" s="6">
        <v>10225.0</v>
      </c>
      <c r="C781" s="6">
        <v>1.859164791E9</v>
      </c>
      <c r="D781" s="6">
        <v>451420.0</v>
      </c>
      <c r="E781" s="6" t="s">
        <v>1243</v>
      </c>
      <c r="F781" s="6" t="s">
        <v>1244</v>
      </c>
      <c r="G781" s="6">
        <v>9.916203045E9</v>
      </c>
      <c r="H781" s="6">
        <v>4.0148717E7</v>
      </c>
      <c r="I781" s="6" t="s">
        <v>226</v>
      </c>
      <c r="J781" s="6" t="s">
        <v>21</v>
      </c>
      <c r="K781" s="6" t="s">
        <v>22</v>
      </c>
      <c r="L781" s="6">
        <v>106.0</v>
      </c>
      <c r="M781" s="5">
        <v>46013.0</v>
      </c>
      <c r="N781" s="6" t="s">
        <v>23</v>
      </c>
      <c r="O781" s="6" t="str">
        <f>SUMIFS([1]order_sku_sales_bb2_report!P:P,[1]order_sku_sales_bb2_report!H:H,C28570,[1]order_sku_sales_bb2_report!J:J,H28570)</f>
        <v>#ERROR!</v>
      </c>
      <c r="P781" s="6" t="str">
        <f>SUMIFS([1]order_sku_sales_bb2_report!O:O,[1]order_sku_sales_bb2_report!H:H,C28570,[1]order_sku_sales_bb2_report!J:J,H28570)</f>
        <v>#ERROR!</v>
      </c>
      <c r="Q781" s="6" t="str">
        <f t="shared" si="1"/>
        <v>22-12-2025</v>
      </c>
      <c r="R781" s="6" t="str">
        <f>IFERROR( VLOOKUP(C28570,[1]expressOrderReport!$S:$AZ,34,0),0)</f>
        <v>#ERROR!</v>
      </c>
      <c r="S781" s="6" t="str">
        <f>ARRAY_CONSTRAIN(ARRAYFORMULA(_xludf.XLOOKUP(D28570,[1]order_Report_SA_ID_BB2.0!V:V,[1]order_Report_SA_ID_BB2.0!AM:AM,"")), 1, 1)</f>
        <v>#ERROR!</v>
      </c>
      <c r="T781" s="6" t="str">
        <f t="shared" si="2"/>
        <v>Dec'25</v>
      </c>
    </row>
    <row r="782" ht="15.75" customHeight="1">
      <c r="A782" s="5">
        <v>46013.0</v>
      </c>
      <c r="B782" s="6">
        <v>10090.0</v>
      </c>
      <c r="C782" s="6">
        <v>1.859164804E9</v>
      </c>
      <c r="D782" s="6">
        <v>455539.0</v>
      </c>
      <c r="E782" s="6" t="s">
        <v>1245</v>
      </c>
      <c r="F782" s="6" t="s">
        <v>1246</v>
      </c>
      <c r="G782" s="6">
        <v>9.632016526E9</v>
      </c>
      <c r="H782" s="6">
        <v>4.0149834E7</v>
      </c>
      <c r="I782" s="6" t="s">
        <v>40</v>
      </c>
      <c r="J782" s="6" t="s">
        <v>21</v>
      </c>
      <c r="K782" s="6" t="s">
        <v>22</v>
      </c>
      <c r="L782" s="6">
        <v>110.6</v>
      </c>
      <c r="M782" s="5">
        <v>46013.0</v>
      </c>
      <c r="N782" s="6" t="s">
        <v>23</v>
      </c>
      <c r="O782" s="6" t="str">
        <f>SUMIFS([1]order_sku_sales_bb2_report!P:P,[1]order_sku_sales_bb2_report!H:H,C28571,[1]order_sku_sales_bb2_report!J:J,H28571)</f>
        <v>#ERROR!</v>
      </c>
      <c r="P782" s="6" t="str">
        <f>SUMIFS([1]order_sku_sales_bb2_report!O:O,[1]order_sku_sales_bb2_report!H:H,C28571,[1]order_sku_sales_bb2_report!J:J,H28571)</f>
        <v>#ERROR!</v>
      </c>
      <c r="Q782" s="6" t="str">
        <f t="shared" si="1"/>
        <v>22-12-2025</v>
      </c>
      <c r="R782" s="6" t="str">
        <f>IFERROR( VLOOKUP(C28571,[1]expressOrderReport!$S:$AZ,34,0),0)</f>
        <v>#ERROR!</v>
      </c>
      <c r="S782" s="6" t="str">
        <f>ARRAY_CONSTRAIN(ARRAYFORMULA(_xludf.XLOOKUP(D28571,[1]order_Report_SA_ID_BB2.0!V:V,[1]order_Report_SA_ID_BB2.0!AM:AM,"")), 1, 1)</f>
        <v>#ERROR!</v>
      </c>
      <c r="T782" s="6" t="str">
        <f t="shared" si="2"/>
        <v>Dec'25</v>
      </c>
    </row>
    <row r="783" ht="15.75" customHeight="1">
      <c r="A783" s="5">
        <v>46013.0</v>
      </c>
      <c r="B783" s="6">
        <v>10092.0</v>
      </c>
      <c r="C783" s="6">
        <v>1.859164804E9</v>
      </c>
      <c r="D783" s="6">
        <v>455539.0</v>
      </c>
      <c r="E783" s="6" t="s">
        <v>1245</v>
      </c>
      <c r="F783" s="6" t="s">
        <v>1246</v>
      </c>
      <c r="G783" s="6">
        <v>9.632016526E9</v>
      </c>
      <c r="H783" s="6">
        <v>4.014983E7</v>
      </c>
      <c r="I783" s="6" t="s">
        <v>30</v>
      </c>
      <c r="J783" s="6" t="s">
        <v>21</v>
      </c>
      <c r="K783" s="6" t="s">
        <v>22</v>
      </c>
      <c r="L783" s="6">
        <v>110.6</v>
      </c>
      <c r="M783" s="5">
        <v>46013.0</v>
      </c>
      <c r="N783" s="6" t="s">
        <v>23</v>
      </c>
      <c r="O783" s="6" t="str">
        <f>SUMIFS([1]order_sku_sales_bb2_report!P:P,[1]order_sku_sales_bb2_report!H:H,C28572,[1]order_sku_sales_bb2_report!J:J,H28572)</f>
        <v>#ERROR!</v>
      </c>
      <c r="P783" s="6" t="str">
        <f>SUMIFS([1]order_sku_sales_bb2_report!O:O,[1]order_sku_sales_bb2_report!H:H,C28572,[1]order_sku_sales_bb2_report!J:J,H28572)</f>
        <v>#ERROR!</v>
      </c>
      <c r="Q783" s="6" t="str">
        <f t="shared" si="1"/>
        <v>22-12-2025</v>
      </c>
      <c r="R783" s="6" t="str">
        <f>IFERROR( VLOOKUP(C28572,[1]expressOrderReport!$S:$AZ,34,0),0)</f>
        <v>#ERROR!</v>
      </c>
      <c r="S783" s="6" t="str">
        <f>ARRAY_CONSTRAIN(ARRAYFORMULA(_xludf.XLOOKUP(D28572,[1]order_Report_SA_ID_BB2.0!V:V,[1]order_Report_SA_ID_BB2.0!AM:AM,"")), 1, 1)</f>
        <v>#ERROR!</v>
      </c>
      <c r="T783" s="6" t="str">
        <f t="shared" si="2"/>
        <v>Dec'25</v>
      </c>
    </row>
    <row r="784" ht="15.75" customHeight="1">
      <c r="A784" s="5">
        <v>46013.0</v>
      </c>
      <c r="B784" s="6">
        <v>11348.0</v>
      </c>
      <c r="C784" s="6">
        <v>1.859164804E9</v>
      </c>
      <c r="D784" s="6">
        <v>455539.0</v>
      </c>
      <c r="E784" s="6" t="s">
        <v>1245</v>
      </c>
      <c r="F784" s="6" t="s">
        <v>1246</v>
      </c>
      <c r="G784" s="6">
        <v>9.632016526E9</v>
      </c>
      <c r="H784" s="6">
        <v>1.0000382E7</v>
      </c>
      <c r="I784" s="6" t="s">
        <v>36</v>
      </c>
      <c r="J784" s="6" t="s">
        <v>21</v>
      </c>
      <c r="K784" s="6" t="s">
        <v>22</v>
      </c>
      <c r="L784" s="6">
        <v>110.6</v>
      </c>
      <c r="M784" s="5">
        <v>46013.0</v>
      </c>
      <c r="N784" s="6" t="s">
        <v>23</v>
      </c>
      <c r="O784" s="6" t="str">
        <f>SUMIFS([1]order_sku_sales_bb2_report!P:P,[1]order_sku_sales_bb2_report!H:H,C28573,[1]order_sku_sales_bb2_report!J:J,H28573)</f>
        <v>#ERROR!</v>
      </c>
      <c r="P784" s="6" t="str">
        <f>SUMIFS([1]order_sku_sales_bb2_report!O:O,[1]order_sku_sales_bb2_report!H:H,C28573,[1]order_sku_sales_bb2_report!J:J,H28573)</f>
        <v>#ERROR!</v>
      </c>
      <c r="Q784" s="6" t="str">
        <f t="shared" si="1"/>
        <v>22-12-2025</v>
      </c>
      <c r="R784" s="6" t="str">
        <f>IFERROR( VLOOKUP(C28573,[1]expressOrderReport!$S:$AZ,34,0),0)</f>
        <v>#ERROR!</v>
      </c>
      <c r="S784" s="6" t="str">
        <f>ARRAY_CONSTRAIN(ARRAYFORMULA(_xludf.XLOOKUP(D28573,[1]order_Report_SA_ID_BB2.0!V:V,[1]order_Report_SA_ID_BB2.0!AM:AM,"")), 1, 1)</f>
        <v>#ERROR!</v>
      </c>
      <c r="T784" s="6" t="str">
        <f t="shared" si="2"/>
        <v>Dec'25</v>
      </c>
    </row>
    <row r="785" ht="15.75" customHeight="1">
      <c r="A785" s="5">
        <v>46013.0</v>
      </c>
      <c r="B785" s="6">
        <v>12043.0</v>
      </c>
      <c r="C785" s="6">
        <v>1.859164804E9</v>
      </c>
      <c r="D785" s="6">
        <v>455539.0</v>
      </c>
      <c r="E785" s="6" t="s">
        <v>1245</v>
      </c>
      <c r="F785" s="6" t="s">
        <v>1246</v>
      </c>
      <c r="G785" s="6">
        <v>9.632016526E9</v>
      </c>
      <c r="H785" s="6">
        <v>1.0000127E7</v>
      </c>
      <c r="I785" s="6" t="s">
        <v>1247</v>
      </c>
      <c r="J785" s="6" t="s">
        <v>21</v>
      </c>
      <c r="K785" s="6" t="s">
        <v>22</v>
      </c>
      <c r="L785" s="6">
        <v>110.6</v>
      </c>
      <c r="M785" s="5">
        <v>46013.0</v>
      </c>
      <c r="N785" s="6" t="s">
        <v>23</v>
      </c>
      <c r="O785" s="6" t="str">
        <f>SUMIFS([1]order_sku_sales_bb2_report!P:P,[1]order_sku_sales_bb2_report!H:H,C28574,[1]order_sku_sales_bb2_report!J:J,H28574)</f>
        <v>#ERROR!</v>
      </c>
      <c r="P785" s="6" t="str">
        <f>SUMIFS([1]order_sku_sales_bb2_report!O:O,[1]order_sku_sales_bb2_report!H:H,C28574,[1]order_sku_sales_bb2_report!J:J,H28574)</f>
        <v>#ERROR!</v>
      </c>
      <c r="Q785" s="6" t="str">
        <f t="shared" si="1"/>
        <v>22-12-2025</v>
      </c>
      <c r="R785" s="6" t="str">
        <f>IFERROR( VLOOKUP(C28574,[1]expressOrderReport!$S:$AZ,34,0),0)</f>
        <v>#ERROR!</v>
      </c>
      <c r="S785" s="6" t="str">
        <f>ARRAY_CONSTRAIN(ARRAYFORMULA(_xludf.XLOOKUP(D28574,[1]order_Report_SA_ID_BB2.0!V:V,[1]order_Report_SA_ID_BB2.0!AM:AM,"")), 1, 1)</f>
        <v>#ERROR!</v>
      </c>
      <c r="T785" s="6" t="str">
        <f t="shared" si="2"/>
        <v>Dec'25</v>
      </c>
    </row>
    <row r="786" ht="15.75" customHeight="1">
      <c r="A786" s="5">
        <v>46013.0</v>
      </c>
      <c r="B786" s="6">
        <v>12044.0</v>
      </c>
      <c r="C786" s="6">
        <v>1.859164804E9</v>
      </c>
      <c r="D786" s="6">
        <v>455539.0</v>
      </c>
      <c r="E786" s="6" t="s">
        <v>1245</v>
      </c>
      <c r="F786" s="6" t="s">
        <v>1246</v>
      </c>
      <c r="G786" s="6">
        <v>9.632016526E9</v>
      </c>
      <c r="H786" s="6">
        <v>1.0000194E7</v>
      </c>
      <c r="I786" s="6" t="s">
        <v>1160</v>
      </c>
      <c r="J786" s="6" t="s">
        <v>21</v>
      </c>
      <c r="K786" s="6" t="s">
        <v>22</v>
      </c>
      <c r="L786" s="6">
        <v>110.6</v>
      </c>
      <c r="M786" s="5">
        <v>46013.0</v>
      </c>
      <c r="N786" s="6" t="s">
        <v>23</v>
      </c>
      <c r="O786" s="6" t="str">
        <f>SUMIFS([1]order_sku_sales_bb2_report!P:P,[1]order_sku_sales_bb2_report!H:H,C28575,[1]order_sku_sales_bb2_report!J:J,H28575)</f>
        <v>#ERROR!</v>
      </c>
      <c r="P786" s="6" t="str">
        <f>SUMIFS([1]order_sku_sales_bb2_report!O:O,[1]order_sku_sales_bb2_report!H:H,C28575,[1]order_sku_sales_bb2_report!J:J,H28575)</f>
        <v>#ERROR!</v>
      </c>
      <c r="Q786" s="6" t="str">
        <f t="shared" si="1"/>
        <v>22-12-2025</v>
      </c>
      <c r="R786" s="6" t="str">
        <f>IFERROR( VLOOKUP(C28575,[1]expressOrderReport!$S:$AZ,34,0),0)</f>
        <v>#ERROR!</v>
      </c>
      <c r="S786" s="6" t="str">
        <f>ARRAY_CONSTRAIN(ARRAYFORMULA(_xludf.XLOOKUP(D28575,[1]order_Report_SA_ID_BB2.0!V:V,[1]order_Report_SA_ID_BB2.0!AM:AM,"")), 1, 1)</f>
        <v>#ERROR!</v>
      </c>
      <c r="T786" s="6" t="str">
        <f t="shared" si="2"/>
        <v>Dec'25</v>
      </c>
    </row>
    <row r="787" ht="15.75" customHeight="1">
      <c r="A787" s="5">
        <v>46013.0</v>
      </c>
      <c r="B787" s="6">
        <v>11216.0</v>
      </c>
      <c r="C787" s="6">
        <v>1.859164817E9</v>
      </c>
      <c r="D787" s="6">
        <v>520333.0</v>
      </c>
      <c r="E787" s="6" t="s">
        <v>1248</v>
      </c>
      <c r="F787" s="6" t="s">
        <v>1249</v>
      </c>
      <c r="G787" s="6">
        <v>9.88672049E9</v>
      </c>
      <c r="H787" s="6">
        <v>4.0149832E7</v>
      </c>
      <c r="I787" s="6" t="s">
        <v>26</v>
      </c>
      <c r="J787" s="6" t="s">
        <v>21</v>
      </c>
      <c r="K787" s="6" t="s">
        <v>22</v>
      </c>
      <c r="L787" s="6">
        <v>96.0</v>
      </c>
      <c r="M787" s="5">
        <v>46013.0</v>
      </c>
      <c r="N787" s="6" t="s">
        <v>23</v>
      </c>
      <c r="O787" s="6" t="str">
        <f>SUMIFS([1]order_sku_sales_bb2_report!P:P,[1]order_sku_sales_bb2_report!H:H,C28576,[1]order_sku_sales_bb2_report!J:J,H28576)</f>
        <v>#ERROR!</v>
      </c>
      <c r="P787" s="6" t="str">
        <f>SUMIFS([1]order_sku_sales_bb2_report!O:O,[1]order_sku_sales_bb2_report!H:H,C28576,[1]order_sku_sales_bb2_report!J:J,H28576)</f>
        <v>#ERROR!</v>
      </c>
      <c r="Q787" s="6" t="str">
        <f t="shared" si="1"/>
        <v>22-12-2025</v>
      </c>
      <c r="R787" s="6" t="str">
        <f>IFERROR( VLOOKUP(C28576,[1]expressOrderReport!$S:$AZ,34,0),0)</f>
        <v>#ERROR!</v>
      </c>
      <c r="S787" s="6" t="str">
        <f>ARRAY_CONSTRAIN(ARRAYFORMULA(_xludf.XLOOKUP(D28576,[1]order_Report_SA_ID_BB2.0!V:V,[1]order_Report_SA_ID_BB2.0!AM:AM,"")), 1, 1)</f>
        <v>#ERROR!</v>
      </c>
      <c r="T787" s="6" t="str">
        <f t="shared" si="2"/>
        <v>Dec'25</v>
      </c>
    </row>
    <row r="788" ht="15.75" customHeight="1">
      <c r="A788" s="5">
        <v>46013.0</v>
      </c>
      <c r="B788" s="6">
        <v>5839.0</v>
      </c>
      <c r="C788" s="6">
        <v>1.859164824E9</v>
      </c>
      <c r="D788" s="6">
        <v>524578.0</v>
      </c>
      <c r="E788" s="6" t="s">
        <v>589</v>
      </c>
      <c r="F788" s="6" t="s">
        <v>590</v>
      </c>
      <c r="G788" s="6">
        <v>9.535274684E9</v>
      </c>
      <c r="H788" s="6">
        <v>4.0149834E7</v>
      </c>
      <c r="I788" s="6" t="s">
        <v>40</v>
      </c>
      <c r="J788" s="6" t="s">
        <v>21</v>
      </c>
      <c r="K788" s="6" t="s">
        <v>22</v>
      </c>
      <c r="L788" s="6">
        <v>52.0</v>
      </c>
      <c r="M788" s="5">
        <v>46013.0</v>
      </c>
      <c r="N788" s="6" t="s">
        <v>23</v>
      </c>
      <c r="O788" s="6" t="str">
        <f>SUMIFS([1]order_sku_sales_bb2_report!P:P,[1]order_sku_sales_bb2_report!H:H,C28577,[1]order_sku_sales_bb2_report!J:J,H28577)</f>
        <v>#ERROR!</v>
      </c>
      <c r="P788" s="6" t="str">
        <f>SUMIFS([1]order_sku_sales_bb2_report!O:O,[1]order_sku_sales_bb2_report!H:H,C28577,[1]order_sku_sales_bb2_report!J:J,H28577)</f>
        <v>#ERROR!</v>
      </c>
      <c r="Q788" s="6" t="str">
        <f t="shared" si="1"/>
        <v>22-12-2025</v>
      </c>
      <c r="R788" s="6" t="str">
        <f>IFERROR( VLOOKUP(C28577,[1]expressOrderReport!$S:$AZ,34,0),0)</f>
        <v>#ERROR!</v>
      </c>
      <c r="S788" s="6" t="str">
        <f>ARRAY_CONSTRAIN(ARRAYFORMULA(_xludf.XLOOKUP(D28577,[1]order_Report_SA_ID_BB2.0!V:V,[1]order_Report_SA_ID_BB2.0!AM:AM,"")), 1, 1)</f>
        <v>#ERROR!</v>
      </c>
      <c r="T788" s="6" t="str">
        <f t="shared" si="2"/>
        <v>Dec'25</v>
      </c>
    </row>
    <row r="789" ht="15.75" customHeight="1">
      <c r="A789" s="5">
        <v>46013.0</v>
      </c>
      <c r="B789" s="6">
        <v>7465.0</v>
      </c>
      <c r="C789" s="6">
        <v>1.859164837E9</v>
      </c>
      <c r="D789" s="6">
        <v>587910.0</v>
      </c>
      <c r="E789" s="6" t="s">
        <v>1250</v>
      </c>
      <c r="F789" s="6" t="s">
        <v>1251</v>
      </c>
      <c r="G789" s="6">
        <v>9.019982683E9</v>
      </c>
      <c r="H789" s="6">
        <v>4.0148716E7</v>
      </c>
      <c r="I789" s="6" t="s">
        <v>148</v>
      </c>
      <c r="J789" s="6" t="s">
        <v>21</v>
      </c>
      <c r="K789" s="6" t="s">
        <v>22</v>
      </c>
      <c r="L789" s="6">
        <v>45.0</v>
      </c>
      <c r="M789" s="5">
        <v>46013.0</v>
      </c>
      <c r="N789" s="6" t="s">
        <v>23</v>
      </c>
      <c r="O789" s="6" t="str">
        <f>SUMIFS([1]order_sku_sales_bb2_report!P:P,[1]order_sku_sales_bb2_report!H:H,C28578,[1]order_sku_sales_bb2_report!J:J,H28578)</f>
        <v>#ERROR!</v>
      </c>
      <c r="P789" s="6" t="str">
        <f>SUMIFS([1]order_sku_sales_bb2_report!O:O,[1]order_sku_sales_bb2_report!H:H,C28578,[1]order_sku_sales_bb2_report!J:J,H28578)</f>
        <v>#ERROR!</v>
      </c>
      <c r="Q789" s="6" t="str">
        <f t="shared" si="1"/>
        <v>22-12-2025</v>
      </c>
      <c r="R789" s="6" t="str">
        <f>IFERROR( VLOOKUP(C28578,[1]expressOrderReport!$S:$AZ,34,0),0)</f>
        <v>#ERROR!</v>
      </c>
      <c r="S789" s="6" t="str">
        <f>ARRAY_CONSTRAIN(ARRAYFORMULA(_xludf.XLOOKUP(D28578,[1]order_Report_SA_ID_BB2.0!V:V,[1]order_Report_SA_ID_BB2.0!AM:AM,"")), 1, 1)</f>
        <v>#ERROR!</v>
      </c>
      <c r="T789" s="6" t="str">
        <f t="shared" si="2"/>
        <v>Dec'25</v>
      </c>
    </row>
    <row r="790" ht="15.75" customHeight="1">
      <c r="A790" s="5">
        <v>46013.0</v>
      </c>
      <c r="B790" s="6">
        <v>3509.0</v>
      </c>
      <c r="C790" s="6">
        <v>1.859164853E9</v>
      </c>
      <c r="D790" s="6">
        <v>605232.0</v>
      </c>
      <c r="E790" s="6" t="s">
        <v>1252</v>
      </c>
      <c r="F790" s="6" t="s">
        <v>1253</v>
      </c>
      <c r="G790" s="6">
        <v>9.731943983E9</v>
      </c>
      <c r="H790" s="6">
        <v>4.0149833E7</v>
      </c>
      <c r="I790" s="6" t="s">
        <v>40</v>
      </c>
      <c r="J790" s="6" t="s">
        <v>21</v>
      </c>
      <c r="K790" s="6" t="s">
        <v>22</v>
      </c>
      <c r="L790" s="6">
        <v>27.0</v>
      </c>
      <c r="M790" s="5">
        <v>46013.0</v>
      </c>
      <c r="N790" s="6" t="s">
        <v>23</v>
      </c>
      <c r="O790" s="6" t="str">
        <f>SUMIFS([1]order_sku_sales_bb2_report!P:P,[1]order_sku_sales_bb2_report!H:H,C28579,[1]order_sku_sales_bb2_report!J:J,H28579)</f>
        <v>#ERROR!</v>
      </c>
      <c r="P790" s="6" t="str">
        <f>SUMIFS([1]order_sku_sales_bb2_report!O:O,[1]order_sku_sales_bb2_report!H:H,C28579,[1]order_sku_sales_bb2_report!J:J,H28579)</f>
        <v>#ERROR!</v>
      </c>
      <c r="Q790" s="6" t="str">
        <f t="shared" si="1"/>
        <v>22-12-2025</v>
      </c>
      <c r="R790" s="6" t="str">
        <f>IFERROR( VLOOKUP(C28579,[1]expressOrderReport!$S:$AZ,34,0),0)</f>
        <v>#ERROR!</v>
      </c>
      <c r="S790" s="6" t="str">
        <f>ARRAY_CONSTRAIN(ARRAYFORMULA(_xludf.XLOOKUP(D28579,[1]order_Report_SA_ID_BB2.0!V:V,[1]order_Report_SA_ID_BB2.0!AM:AM,"")), 1, 1)</f>
        <v>#ERROR!</v>
      </c>
      <c r="T790" s="6" t="str">
        <f t="shared" si="2"/>
        <v>Dec'25</v>
      </c>
    </row>
    <row r="791" ht="15.75" customHeight="1">
      <c r="A791" s="5">
        <v>46013.0</v>
      </c>
      <c r="B791" s="6">
        <v>11931.0</v>
      </c>
      <c r="C791" s="6">
        <v>1.85916486E9</v>
      </c>
      <c r="D791" s="6">
        <v>329734.0</v>
      </c>
      <c r="E791" s="6" t="s">
        <v>1254</v>
      </c>
      <c r="F791" s="6" t="s">
        <v>1255</v>
      </c>
      <c r="G791" s="6">
        <v>9.740177797E9</v>
      </c>
      <c r="H791" s="6">
        <v>4.0222179E7</v>
      </c>
      <c r="I791" s="6" t="s">
        <v>1256</v>
      </c>
      <c r="J791" s="6" t="s">
        <v>21</v>
      </c>
      <c r="K791" s="6" t="s">
        <v>22</v>
      </c>
      <c r="L791" s="6">
        <v>90.0</v>
      </c>
      <c r="M791" s="5">
        <v>46013.0</v>
      </c>
      <c r="N791" s="6" t="s">
        <v>23</v>
      </c>
      <c r="O791" s="6" t="str">
        <f>SUMIFS([1]order_sku_sales_bb2_report!P:P,[1]order_sku_sales_bb2_report!H:H,C28580,[1]order_sku_sales_bb2_report!J:J,H28580)</f>
        <v>#ERROR!</v>
      </c>
      <c r="P791" s="6" t="str">
        <f>SUMIFS([1]order_sku_sales_bb2_report!O:O,[1]order_sku_sales_bb2_report!H:H,C28580,[1]order_sku_sales_bb2_report!J:J,H28580)</f>
        <v>#ERROR!</v>
      </c>
      <c r="Q791" s="6" t="str">
        <f t="shared" si="1"/>
        <v>22-12-2025</v>
      </c>
      <c r="R791" s="6" t="str">
        <f>IFERROR( VLOOKUP(C28580,[1]expressOrderReport!$S:$AZ,34,0),0)</f>
        <v>#ERROR!</v>
      </c>
      <c r="S791" s="6" t="str">
        <f>ARRAY_CONSTRAIN(ARRAYFORMULA(_xludf.XLOOKUP(D28580,[1]order_Report_SA_ID_BB2.0!V:V,[1]order_Report_SA_ID_BB2.0!AM:AM,"")), 1, 1)</f>
        <v>#ERROR!</v>
      </c>
      <c r="T791" s="6" t="str">
        <f t="shared" si="2"/>
        <v>Dec'25</v>
      </c>
    </row>
    <row r="792" ht="15.75" customHeight="1">
      <c r="A792" s="5">
        <v>46013.0</v>
      </c>
      <c r="B792" s="6">
        <v>11505.0</v>
      </c>
      <c r="C792" s="6">
        <v>1.859164869E9</v>
      </c>
      <c r="D792" s="6">
        <v>716446.0</v>
      </c>
      <c r="E792" s="6" t="s">
        <v>1257</v>
      </c>
      <c r="F792" s="6" t="s">
        <v>1258</v>
      </c>
      <c r="G792" s="6">
        <v>9.972876767E9</v>
      </c>
      <c r="H792" s="6">
        <v>4.0149832E7</v>
      </c>
      <c r="I792" s="6" t="s">
        <v>26</v>
      </c>
      <c r="J792" s="6" t="s">
        <v>21</v>
      </c>
      <c r="K792" s="6" t="s">
        <v>22</v>
      </c>
      <c r="L792" s="6">
        <v>96.0</v>
      </c>
      <c r="M792" s="5">
        <v>46013.0</v>
      </c>
      <c r="N792" s="6" t="s">
        <v>23</v>
      </c>
      <c r="O792" s="6" t="str">
        <f>SUMIFS([1]order_sku_sales_bb2_report!P:P,[1]order_sku_sales_bb2_report!H:H,C28581,[1]order_sku_sales_bb2_report!J:J,H28581)</f>
        <v>#ERROR!</v>
      </c>
      <c r="P792" s="6" t="str">
        <f>SUMIFS([1]order_sku_sales_bb2_report!O:O,[1]order_sku_sales_bb2_report!H:H,C28581,[1]order_sku_sales_bb2_report!J:J,H28581)</f>
        <v>#ERROR!</v>
      </c>
      <c r="Q792" s="6" t="str">
        <f t="shared" si="1"/>
        <v>22-12-2025</v>
      </c>
      <c r="R792" s="6" t="str">
        <f>IFERROR( VLOOKUP(C28581,[1]expressOrderReport!$S:$AZ,34,0),0)</f>
        <v>#ERROR!</v>
      </c>
      <c r="S792" s="6" t="str">
        <f>ARRAY_CONSTRAIN(ARRAYFORMULA(_xludf.XLOOKUP(D28581,[1]order_Report_SA_ID_BB2.0!V:V,[1]order_Report_SA_ID_BB2.0!AM:AM,"")), 1, 1)</f>
        <v>#ERROR!</v>
      </c>
      <c r="T792" s="6" t="str">
        <f t="shared" si="2"/>
        <v>Dec'25</v>
      </c>
    </row>
    <row r="793" ht="15.75" customHeight="1">
      <c r="A793" s="5">
        <v>46013.0</v>
      </c>
      <c r="B793" s="6">
        <v>925.0</v>
      </c>
      <c r="C793" s="6">
        <v>1.859164878E9</v>
      </c>
      <c r="D793" s="6">
        <v>719651.0</v>
      </c>
      <c r="E793" s="6" t="s">
        <v>1259</v>
      </c>
      <c r="F793" s="6" t="s">
        <v>1260</v>
      </c>
      <c r="G793" s="6">
        <v>9.900016329E9</v>
      </c>
      <c r="H793" s="6">
        <v>4.0149834E7</v>
      </c>
      <c r="I793" s="6" t="s">
        <v>40</v>
      </c>
      <c r="J793" s="6" t="s">
        <v>21</v>
      </c>
      <c r="K793" s="6" t="s">
        <v>22</v>
      </c>
      <c r="L793" s="6">
        <v>52.0</v>
      </c>
      <c r="M793" s="5">
        <v>46013.0</v>
      </c>
      <c r="N793" s="6" t="s">
        <v>23</v>
      </c>
      <c r="O793" s="6" t="str">
        <f>SUMIFS([1]order_sku_sales_bb2_report!P:P,[1]order_sku_sales_bb2_report!H:H,C28582,[1]order_sku_sales_bb2_report!J:J,H28582)</f>
        <v>#ERROR!</v>
      </c>
      <c r="P793" s="6" t="str">
        <f>SUMIFS([1]order_sku_sales_bb2_report!O:O,[1]order_sku_sales_bb2_report!H:H,C28582,[1]order_sku_sales_bb2_report!J:J,H28582)</f>
        <v>#ERROR!</v>
      </c>
      <c r="Q793" s="6" t="str">
        <f t="shared" si="1"/>
        <v>22-12-2025</v>
      </c>
      <c r="R793" s="6" t="str">
        <f>IFERROR( VLOOKUP(C28582,[1]expressOrderReport!$S:$AZ,34,0),0)</f>
        <v>#ERROR!</v>
      </c>
      <c r="S793" s="6" t="str">
        <f>ARRAY_CONSTRAIN(ARRAYFORMULA(_xludf.XLOOKUP(D28582,[1]order_Report_SA_ID_BB2.0!V:V,[1]order_Report_SA_ID_BB2.0!AM:AM,"")), 1, 1)</f>
        <v>#ERROR!</v>
      </c>
      <c r="T793" s="6" t="str">
        <f t="shared" si="2"/>
        <v>Dec'25</v>
      </c>
    </row>
    <row r="794" ht="15.75" customHeight="1">
      <c r="A794" s="5">
        <v>46013.0</v>
      </c>
      <c r="B794" s="6">
        <v>6026.0</v>
      </c>
      <c r="C794" s="6">
        <v>1.859164881E9</v>
      </c>
      <c r="D794" s="6">
        <v>714273.0</v>
      </c>
      <c r="E794" s="6" t="s">
        <v>1261</v>
      </c>
      <c r="F794" s="6" t="s">
        <v>1262</v>
      </c>
      <c r="G794" s="6">
        <v>8.867000116E9</v>
      </c>
      <c r="H794" s="6">
        <v>4.0147597E7</v>
      </c>
      <c r="I794" s="6" t="s">
        <v>59</v>
      </c>
      <c r="J794" s="6" t="s">
        <v>21</v>
      </c>
      <c r="K794" s="6" t="s">
        <v>22</v>
      </c>
      <c r="L794" s="6">
        <v>26.0</v>
      </c>
      <c r="M794" s="5">
        <v>46013.0</v>
      </c>
      <c r="N794" s="6" t="s">
        <v>23</v>
      </c>
      <c r="O794" s="6" t="str">
        <f>SUMIFS([1]order_sku_sales_bb2_report!P:P,[1]order_sku_sales_bb2_report!H:H,C28583,[1]order_sku_sales_bb2_report!J:J,H28583)</f>
        <v>#ERROR!</v>
      </c>
      <c r="P794" s="6" t="str">
        <f>SUMIFS([1]order_sku_sales_bb2_report!O:O,[1]order_sku_sales_bb2_report!H:H,C28583,[1]order_sku_sales_bb2_report!J:J,H28583)</f>
        <v>#ERROR!</v>
      </c>
      <c r="Q794" s="6" t="str">
        <f t="shared" si="1"/>
        <v>22-12-2025</v>
      </c>
      <c r="R794" s="6" t="str">
        <f>IFERROR( VLOOKUP(C28583,[1]expressOrderReport!$S:$AZ,34,0),0)</f>
        <v>#ERROR!</v>
      </c>
      <c r="S794" s="6" t="str">
        <f>ARRAY_CONSTRAIN(ARRAYFORMULA(_xludf.XLOOKUP(D28583,[1]order_Report_SA_ID_BB2.0!V:V,[1]order_Report_SA_ID_BB2.0!AM:AM,"")), 1, 1)</f>
        <v>#ERROR!</v>
      </c>
      <c r="T794" s="6" t="str">
        <f t="shared" si="2"/>
        <v>Dec'25</v>
      </c>
    </row>
    <row r="795" ht="15.75" customHeight="1">
      <c r="A795" s="5">
        <v>46013.0</v>
      </c>
      <c r="B795" s="6">
        <v>3800.0</v>
      </c>
      <c r="C795" s="6">
        <v>1.859164889E9</v>
      </c>
      <c r="D795" s="6">
        <v>570961.0</v>
      </c>
      <c r="E795" s="6" t="s">
        <v>1263</v>
      </c>
      <c r="F795" s="6" t="s">
        <v>1264</v>
      </c>
      <c r="G795" s="6">
        <v>8.892301275E9</v>
      </c>
      <c r="H795" s="6">
        <v>4.0185392E7</v>
      </c>
      <c r="I795" s="6" t="s">
        <v>1265</v>
      </c>
      <c r="J795" s="6" t="s">
        <v>21</v>
      </c>
      <c r="K795" s="6" t="s">
        <v>22</v>
      </c>
      <c r="L795" s="6">
        <v>25.0</v>
      </c>
      <c r="M795" s="5">
        <v>46013.0</v>
      </c>
      <c r="N795" s="6" t="s">
        <v>54</v>
      </c>
      <c r="O795" s="6" t="str">
        <f>SUMIFS([1]order_sku_sales_bb2_report!P:P,[1]order_sku_sales_bb2_report!H:H,C28584,[1]order_sku_sales_bb2_report!J:J,H28584)</f>
        <v>#ERROR!</v>
      </c>
      <c r="P795" s="6" t="str">
        <f>SUMIFS([1]order_sku_sales_bb2_report!O:O,[1]order_sku_sales_bb2_report!H:H,C28584,[1]order_sku_sales_bb2_report!J:J,H28584)</f>
        <v>#ERROR!</v>
      </c>
      <c r="Q795" s="6" t="str">
        <f t="shared" si="1"/>
        <v>22-12-2025</v>
      </c>
      <c r="R795" s="6" t="str">
        <f>IFERROR( VLOOKUP(C28584,[1]expressOrderReport!$S:$AZ,34,0),0)</f>
        <v>#ERROR!</v>
      </c>
      <c r="S795" s="6" t="str">
        <f>ARRAY_CONSTRAIN(ARRAYFORMULA(_xludf.XLOOKUP(D28584,[1]order_Report_SA_ID_BB2.0!V:V,[1]order_Report_SA_ID_BB2.0!AM:AM,"")), 1, 1)</f>
        <v>#ERROR!</v>
      </c>
      <c r="T795" s="6" t="str">
        <f t="shared" si="2"/>
        <v>Dec'25</v>
      </c>
    </row>
    <row r="796" ht="15.75" customHeight="1">
      <c r="A796" s="5">
        <v>46013.0</v>
      </c>
      <c r="B796" s="6">
        <v>5893.0</v>
      </c>
      <c r="C796" s="6">
        <v>1.859164902E9</v>
      </c>
      <c r="D796" s="6">
        <v>136577.0</v>
      </c>
      <c r="E796" s="6" t="s">
        <v>1266</v>
      </c>
      <c r="F796" s="6" t="s">
        <v>1267</v>
      </c>
      <c r="G796" s="6">
        <v>9.900102598E9</v>
      </c>
      <c r="H796" s="6">
        <v>4.0149833E7</v>
      </c>
      <c r="I796" s="6" t="s">
        <v>40</v>
      </c>
      <c r="J796" s="6" t="s">
        <v>21</v>
      </c>
      <c r="K796" s="6" t="s">
        <v>22</v>
      </c>
      <c r="L796" s="6">
        <v>27.0</v>
      </c>
      <c r="M796" s="5">
        <v>46013.0</v>
      </c>
      <c r="N796" s="6" t="s">
        <v>23</v>
      </c>
      <c r="O796" s="6" t="str">
        <f>SUMIFS([1]order_sku_sales_bb2_report!P:P,[1]order_sku_sales_bb2_report!H:H,C28585,[1]order_sku_sales_bb2_report!J:J,H28585)</f>
        <v>#ERROR!</v>
      </c>
      <c r="P796" s="6" t="str">
        <f>SUMIFS([1]order_sku_sales_bb2_report!O:O,[1]order_sku_sales_bb2_report!H:H,C28585,[1]order_sku_sales_bb2_report!J:J,H28585)</f>
        <v>#ERROR!</v>
      </c>
      <c r="Q796" s="6" t="str">
        <f t="shared" si="1"/>
        <v>22-12-2025</v>
      </c>
      <c r="R796" s="6" t="str">
        <f>IFERROR( VLOOKUP(C28585,[1]expressOrderReport!$S:$AZ,34,0),0)</f>
        <v>#ERROR!</v>
      </c>
      <c r="S796" s="6" t="str">
        <f>ARRAY_CONSTRAIN(ARRAYFORMULA(_xludf.XLOOKUP(D28585,[1]order_Report_SA_ID_BB2.0!V:V,[1]order_Report_SA_ID_BB2.0!AM:AM,"")), 1, 1)</f>
        <v>#ERROR!</v>
      </c>
      <c r="T796" s="6" t="str">
        <f t="shared" si="2"/>
        <v>Dec'25</v>
      </c>
    </row>
    <row r="797" ht="15.75" customHeight="1">
      <c r="A797" s="5">
        <v>46013.0</v>
      </c>
      <c r="B797" s="6">
        <v>4624.0</v>
      </c>
      <c r="C797" s="6">
        <v>1.85916491E9</v>
      </c>
      <c r="D797" s="6">
        <v>787938.0</v>
      </c>
      <c r="E797" s="6" t="s">
        <v>1268</v>
      </c>
      <c r="F797" s="6" t="s">
        <v>1269</v>
      </c>
      <c r="G797" s="6">
        <v>8.884675777E9</v>
      </c>
      <c r="H797" s="6">
        <v>4.0149834E7</v>
      </c>
      <c r="I797" s="6" t="s">
        <v>40</v>
      </c>
      <c r="J797" s="6" t="s">
        <v>21</v>
      </c>
      <c r="K797" s="6" t="s">
        <v>22</v>
      </c>
      <c r="L797" s="6">
        <v>52.0</v>
      </c>
      <c r="M797" s="5">
        <v>46013.0</v>
      </c>
      <c r="N797" s="6" t="s">
        <v>23</v>
      </c>
      <c r="O797" s="6" t="str">
        <f>SUMIFS([1]order_sku_sales_bb2_report!P:P,[1]order_sku_sales_bb2_report!H:H,C28586,[1]order_sku_sales_bb2_report!J:J,H28586)</f>
        <v>#ERROR!</v>
      </c>
      <c r="P797" s="6" t="str">
        <f>SUMIFS([1]order_sku_sales_bb2_report!O:O,[1]order_sku_sales_bb2_report!H:H,C28586,[1]order_sku_sales_bb2_report!J:J,H28586)</f>
        <v>#ERROR!</v>
      </c>
      <c r="Q797" s="6" t="str">
        <f t="shared" si="1"/>
        <v>22-12-2025</v>
      </c>
      <c r="R797" s="6" t="str">
        <f>IFERROR( VLOOKUP(C28586,[1]expressOrderReport!$S:$AZ,34,0),0)</f>
        <v>#ERROR!</v>
      </c>
      <c r="S797" s="6" t="str">
        <f>ARRAY_CONSTRAIN(ARRAYFORMULA(_xludf.XLOOKUP(D28586,[1]order_Report_SA_ID_BB2.0!V:V,[1]order_Report_SA_ID_BB2.0!AM:AM,"")), 1, 1)</f>
        <v>#ERROR!</v>
      </c>
      <c r="T797" s="6" t="str">
        <f t="shared" si="2"/>
        <v>Dec'25</v>
      </c>
    </row>
    <row r="798" ht="15.75" customHeight="1">
      <c r="A798" s="5">
        <v>46013.0</v>
      </c>
      <c r="B798" s="6">
        <v>4626.0</v>
      </c>
      <c r="C798" s="6">
        <v>1.85916491E9</v>
      </c>
      <c r="D798" s="6">
        <v>787938.0</v>
      </c>
      <c r="E798" s="6" t="s">
        <v>1268</v>
      </c>
      <c r="F798" s="6" t="s">
        <v>1269</v>
      </c>
      <c r="G798" s="6">
        <v>8.884675777E9</v>
      </c>
      <c r="H798" s="6">
        <v>4.014983E7</v>
      </c>
      <c r="I798" s="6" t="s">
        <v>30</v>
      </c>
      <c r="J798" s="6" t="s">
        <v>21</v>
      </c>
      <c r="K798" s="6" t="s">
        <v>22</v>
      </c>
      <c r="L798" s="6">
        <v>52.0</v>
      </c>
      <c r="M798" s="5">
        <v>46013.0</v>
      </c>
      <c r="N798" s="6" t="s">
        <v>23</v>
      </c>
      <c r="O798" s="6" t="str">
        <f>SUMIFS([1]order_sku_sales_bb2_report!P:P,[1]order_sku_sales_bb2_report!H:H,C28587,[1]order_sku_sales_bb2_report!J:J,H28587)</f>
        <v>#ERROR!</v>
      </c>
      <c r="P798" s="6" t="str">
        <f>SUMIFS([1]order_sku_sales_bb2_report!O:O,[1]order_sku_sales_bb2_report!H:H,C28587,[1]order_sku_sales_bb2_report!J:J,H28587)</f>
        <v>#ERROR!</v>
      </c>
      <c r="Q798" s="6" t="str">
        <f t="shared" si="1"/>
        <v>22-12-2025</v>
      </c>
      <c r="R798" s="6" t="str">
        <f>IFERROR( VLOOKUP(C28587,[1]expressOrderReport!$S:$AZ,34,0),0)</f>
        <v>#ERROR!</v>
      </c>
      <c r="S798" s="6" t="str">
        <f>ARRAY_CONSTRAIN(ARRAYFORMULA(_xludf.XLOOKUP(D28587,[1]order_Report_SA_ID_BB2.0!V:V,[1]order_Report_SA_ID_BB2.0!AM:AM,"")), 1, 1)</f>
        <v>#ERROR!</v>
      </c>
      <c r="T798" s="6" t="str">
        <f t="shared" si="2"/>
        <v>Dec'25</v>
      </c>
    </row>
    <row r="799" ht="15.75" customHeight="1">
      <c r="A799" s="5">
        <v>46013.0</v>
      </c>
      <c r="B799" s="6">
        <v>5510.0</v>
      </c>
      <c r="C799" s="6">
        <v>1.859164923E9</v>
      </c>
      <c r="D799" s="6">
        <v>822570.0</v>
      </c>
      <c r="E799" s="6" t="s">
        <v>1270</v>
      </c>
      <c r="F799" s="6" t="s">
        <v>1271</v>
      </c>
      <c r="G799" s="6">
        <v>9.845726821E9</v>
      </c>
      <c r="H799" s="6">
        <v>4.0149831E7</v>
      </c>
      <c r="I799" s="6" t="s">
        <v>65</v>
      </c>
      <c r="J799" s="6" t="s">
        <v>21</v>
      </c>
      <c r="K799" s="6" t="s">
        <v>22</v>
      </c>
      <c r="L799" s="6">
        <v>52.0</v>
      </c>
      <c r="M799" s="5">
        <v>46013.0</v>
      </c>
      <c r="N799" s="6" t="s">
        <v>23</v>
      </c>
      <c r="O799" s="6" t="str">
        <f>SUMIFS([1]order_sku_sales_bb2_report!P:P,[1]order_sku_sales_bb2_report!H:H,C28588,[1]order_sku_sales_bb2_report!J:J,H28588)</f>
        <v>#ERROR!</v>
      </c>
      <c r="P799" s="6" t="str">
        <f>SUMIFS([1]order_sku_sales_bb2_report!O:O,[1]order_sku_sales_bb2_report!H:H,C28588,[1]order_sku_sales_bb2_report!J:J,H28588)</f>
        <v>#ERROR!</v>
      </c>
      <c r="Q799" s="6" t="str">
        <f t="shared" si="1"/>
        <v>22-12-2025</v>
      </c>
      <c r="R799" s="6" t="str">
        <f>IFERROR( VLOOKUP(C28588,[1]expressOrderReport!$S:$AZ,34,0),0)</f>
        <v>#ERROR!</v>
      </c>
      <c r="S799" s="6" t="str">
        <f>ARRAY_CONSTRAIN(ARRAYFORMULA(_xludf.XLOOKUP(D28588,[1]order_Report_SA_ID_BB2.0!V:V,[1]order_Report_SA_ID_BB2.0!AM:AM,"")), 1, 1)</f>
        <v>#ERROR!</v>
      </c>
      <c r="T799" s="6" t="str">
        <f t="shared" si="2"/>
        <v>Dec'25</v>
      </c>
    </row>
    <row r="800" ht="15.75" customHeight="1">
      <c r="A800" s="5">
        <v>46013.0</v>
      </c>
      <c r="B800" s="6">
        <v>9457.0</v>
      </c>
      <c r="C800" s="6">
        <v>1.859164935E9</v>
      </c>
      <c r="D800" s="6">
        <v>897874.0</v>
      </c>
      <c r="E800" s="6" t="s">
        <v>1272</v>
      </c>
      <c r="F800" s="6" t="s">
        <v>1273</v>
      </c>
      <c r="G800" s="6">
        <v>7.022553014E9</v>
      </c>
      <c r="H800" s="6">
        <v>4.0149832E7</v>
      </c>
      <c r="I800" s="6" t="s">
        <v>26</v>
      </c>
      <c r="J800" s="6" t="s">
        <v>21</v>
      </c>
      <c r="K800" s="6" t="s">
        <v>22</v>
      </c>
      <c r="L800" s="6">
        <v>72.0</v>
      </c>
      <c r="M800" s="5">
        <v>46013.0</v>
      </c>
      <c r="N800" s="6" t="s">
        <v>23</v>
      </c>
      <c r="O800" s="6" t="str">
        <f>SUMIFS([1]order_sku_sales_bb2_report!P:P,[1]order_sku_sales_bb2_report!H:H,C28589,[1]order_sku_sales_bb2_report!J:J,H28589)</f>
        <v>#ERROR!</v>
      </c>
      <c r="P800" s="6" t="str">
        <f>SUMIFS([1]order_sku_sales_bb2_report!O:O,[1]order_sku_sales_bb2_report!H:H,C28589,[1]order_sku_sales_bb2_report!J:J,H28589)</f>
        <v>#ERROR!</v>
      </c>
      <c r="Q800" s="6" t="str">
        <f t="shared" si="1"/>
        <v>22-12-2025</v>
      </c>
      <c r="R800" s="6" t="str">
        <f>IFERROR( VLOOKUP(C28589,[1]expressOrderReport!$S:$AZ,34,0),0)</f>
        <v>#ERROR!</v>
      </c>
      <c r="S800" s="6" t="str">
        <f>ARRAY_CONSTRAIN(ARRAYFORMULA(_xludf.XLOOKUP(D28589,[1]order_Report_SA_ID_BB2.0!V:V,[1]order_Report_SA_ID_BB2.0!AM:AM,"")), 1, 1)</f>
        <v>#ERROR!</v>
      </c>
      <c r="T800" s="6" t="str">
        <f t="shared" si="2"/>
        <v>Dec'25</v>
      </c>
    </row>
    <row r="801" ht="15.75" customHeight="1">
      <c r="A801" s="5">
        <v>46013.0</v>
      </c>
      <c r="B801" s="6">
        <v>5316.0</v>
      </c>
      <c r="C801" s="6">
        <v>1.859164947E9</v>
      </c>
      <c r="D801" s="6">
        <v>974730.0</v>
      </c>
      <c r="E801" s="6" t="s">
        <v>1274</v>
      </c>
      <c r="F801" s="6" t="s">
        <v>1275</v>
      </c>
      <c r="G801" s="6">
        <v>9.986023863E9</v>
      </c>
      <c r="H801" s="6">
        <v>271205.0</v>
      </c>
      <c r="I801" s="6" t="s">
        <v>941</v>
      </c>
      <c r="J801" s="6" t="s">
        <v>21</v>
      </c>
      <c r="K801" s="6" t="s">
        <v>22</v>
      </c>
      <c r="L801" s="6">
        <v>140.05</v>
      </c>
      <c r="M801" s="5">
        <v>46013.0</v>
      </c>
      <c r="N801" s="6" t="s">
        <v>23</v>
      </c>
      <c r="O801" s="6" t="str">
        <f>SUMIFS([1]order_sku_sales_bb2_report!P:P,[1]order_sku_sales_bb2_report!H:H,C28590,[1]order_sku_sales_bb2_report!J:J,H28590)</f>
        <v>#ERROR!</v>
      </c>
      <c r="P801" s="6" t="str">
        <f>SUMIFS([1]order_sku_sales_bb2_report!O:O,[1]order_sku_sales_bb2_report!H:H,C28590,[1]order_sku_sales_bb2_report!J:J,H28590)</f>
        <v>#ERROR!</v>
      </c>
      <c r="Q801" s="6" t="str">
        <f t="shared" si="1"/>
        <v>22-12-2025</v>
      </c>
      <c r="R801" s="6" t="str">
        <f>IFERROR( VLOOKUP(C28590,[1]expressOrderReport!$S:$AZ,34,0),0)</f>
        <v>#ERROR!</v>
      </c>
      <c r="S801" s="6" t="str">
        <f>ARRAY_CONSTRAIN(ARRAYFORMULA(_xludf.XLOOKUP(D28590,[1]order_Report_SA_ID_BB2.0!V:V,[1]order_Report_SA_ID_BB2.0!AM:AM,"")), 1, 1)</f>
        <v>#ERROR!</v>
      </c>
      <c r="T801" s="6" t="str">
        <f t="shared" si="2"/>
        <v>Dec'25</v>
      </c>
    </row>
    <row r="802" ht="15.75" customHeight="1">
      <c r="A802" s="5">
        <v>46013.0</v>
      </c>
      <c r="B802" s="6">
        <v>6631.0</v>
      </c>
      <c r="C802" s="6">
        <v>1.859164947E9</v>
      </c>
      <c r="D802" s="6">
        <v>974730.0</v>
      </c>
      <c r="E802" s="6" t="s">
        <v>1274</v>
      </c>
      <c r="F802" s="6" t="s">
        <v>1275</v>
      </c>
      <c r="G802" s="6">
        <v>9.986023863E9</v>
      </c>
      <c r="H802" s="6">
        <v>4.0158264E7</v>
      </c>
      <c r="I802" s="6" t="s">
        <v>26</v>
      </c>
      <c r="J802" s="6" t="s">
        <v>21</v>
      </c>
      <c r="K802" s="6" t="s">
        <v>22</v>
      </c>
      <c r="L802" s="6">
        <v>140.05</v>
      </c>
      <c r="M802" s="5">
        <v>46013.0</v>
      </c>
      <c r="N802" s="6" t="s">
        <v>23</v>
      </c>
      <c r="O802" s="6" t="str">
        <f>SUMIFS([1]order_sku_sales_bb2_report!P:P,[1]order_sku_sales_bb2_report!H:H,C28591,[1]order_sku_sales_bb2_report!J:J,H28591)</f>
        <v>#ERROR!</v>
      </c>
      <c r="P802" s="6" t="str">
        <f>SUMIFS([1]order_sku_sales_bb2_report!O:O,[1]order_sku_sales_bb2_report!H:H,C28591,[1]order_sku_sales_bb2_report!J:J,H28591)</f>
        <v>#ERROR!</v>
      </c>
      <c r="Q802" s="6" t="str">
        <f t="shared" si="1"/>
        <v>22-12-2025</v>
      </c>
      <c r="R802" s="6" t="str">
        <f>IFERROR( VLOOKUP(C28591,[1]expressOrderReport!$S:$AZ,34,0),0)</f>
        <v>#ERROR!</v>
      </c>
      <c r="S802" s="6" t="str">
        <f>ARRAY_CONSTRAIN(ARRAYFORMULA(_xludf.XLOOKUP(D28591,[1]order_Report_SA_ID_BB2.0!V:V,[1]order_Report_SA_ID_BB2.0!AM:AM,"")), 1, 1)</f>
        <v>#ERROR!</v>
      </c>
      <c r="T802" s="6" t="str">
        <f t="shared" si="2"/>
        <v>Dec'25</v>
      </c>
    </row>
    <row r="803" ht="15.75" customHeight="1">
      <c r="A803" s="5">
        <v>46013.0</v>
      </c>
      <c r="B803" s="6">
        <v>9363.0</v>
      </c>
      <c r="C803" s="6">
        <v>1.859164957E9</v>
      </c>
      <c r="D803" s="6">
        <v>971022.0</v>
      </c>
      <c r="E803" s="6" t="s">
        <v>1276</v>
      </c>
      <c r="F803" s="6" t="s">
        <v>1277</v>
      </c>
      <c r="G803" s="6">
        <v>9.986066711E9</v>
      </c>
      <c r="H803" s="6">
        <v>4.0149832E7</v>
      </c>
      <c r="I803" s="6" t="s">
        <v>26</v>
      </c>
      <c r="J803" s="6" t="s">
        <v>21</v>
      </c>
      <c r="K803" s="6" t="s">
        <v>22</v>
      </c>
      <c r="L803" s="6">
        <v>72.0</v>
      </c>
      <c r="M803" s="5">
        <v>46013.0</v>
      </c>
      <c r="N803" s="6" t="s">
        <v>23</v>
      </c>
      <c r="O803" s="6" t="str">
        <f>SUMIFS([1]order_sku_sales_bb2_report!P:P,[1]order_sku_sales_bb2_report!H:H,C28592,[1]order_sku_sales_bb2_report!J:J,H28592)</f>
        <v>#ERROR!</v>
      </c>
      <c r="P803" s="6" t="str">
        <f>SUMIFS([1]order_sku_sales_bb2_report!O:O,[1]order_sku_sales_bb2_report!H:H,C28592,[1]order_sku_sales_bb2_report!J:J,H28592)</f>
        <v>#ERROR!</v>
      </c>
      <c r="Q803" s="6" t="str">
        <f t="shared" si="1"/>
        <v>22-12-2025</v>
      </c>
      <c r="R803" s="6" t="str">
        <f>IFERROR( VLOOKUP(C28592,[1]expressOrderReport!$S:$AZ,34,0),0)</f>
        <v>#ERROR!</v>
      </c>
      <c r="S803" s="6" t="str">
        <f>ARRAY_CONSTRAIN(ARRAYFORMULA(_xludf.XLOOKUP(D28592,[1]order_Report_SA_ID_BB2.0!V:V,[1]order_Report_SA_ID_BB2.0!AM:AM,"")), 1, 1)</f>
        <v>#ERROR!</v>
      </c>
      <c r="T803" s="6" t="str">
        <f t="shared" si="2"/>
        <v>Dec'25</v>
      </c>
    </row>
    <row r="804" ht="15.75" customHeight="1">
      <c r="A804" s="5">
        <v>46013.0</v>
      </c>
      <c r="B804" s="6">
        <v>5490.0</v>
      </c>
      <c r="C804" s="6">
        <v>1.859164968E9</v>
      </c>
      <c r="D804" s="6">
        <v>2200.0</v>
      </c>
      <c r="E804" s="6" t="s">
        <v>1278</v>
      </c>
      <c r="F804" s="6" t="s">
        <v>1279</v>
      </c>
      <c r="G804" s="6">
        <v>9.980396E9</v>
      </c>
      <c r="H804" s="6">
        <v>4.0054183E7</v>
      </c>
      <c r="I804" s="6" t="s">
        <v>157</v>
      </c>
      <c r="J804" s="6" t="s">
        <v>21</v>
      </c>
      <c r="K804" s="6" t="s">
        <v>22</v>
      </c>
      <c r="L804" s="6">
        <v>11.31</v>
      </c>
      <c r="M804" s="5">
        <v>46013.0</v>
      </c>
      <c r="N804" s="6" t="s">
        <v>23</v>
      </c>
      <c r="O804" s="6" t="str">
        <f>SUMIFS([1]order_sku_sales_bb2_report!P:P,[1]order_sku_sales_bb2_report!H:H,C28593,[1]order_sku_sales_bb2_report!J:J,H28593)</f>
        <v>#ERROR!</v>
      </c>
      <c r="P804" s="6" t="str">
        <f>SUMIFS([1]order_sku_sales_bb2_report!O:O,[1]order_sku_sales_bb2_report!H:H,C28593,[1]order_sku_sales_bb2_report!J:J,H28593)</f>
        <v>#ERROR!</v>
      </c>
      <c r="Q804" s="6" t="str">
        <f t="shared" si="1"/>
        <v>22-12-2025</v>
      </c>
      <c r="R804" s="6" t="str">
        <f>IFERROR( VLOOKUP(C28593,[1]expressOrderReport!$S:$AZ,34,0),0)</f>
        <v>#ERROR!</v>
      </c>
      <c r="S804" s="6" t="str">
        <f>ARRAY_CONSTRAIN(ARRAYFORMULA(_xludf.XLOOKUP(D28593,[1]order_Report_SA_ID_BB2.0!V:V,[1]order_Report_SA_ID_BB2.0!AM:AM,"")), 1, 1)</f>
        <v>#ERROR!</v>
      </c>
      <c r="T804" s="6" t="str">
        <f t="shared" si="2"/>
        <v>Dec'25</v>
      </c>
    </row>
    <row r="805" ht="15.75" customHeight="1">
      <c r="A805" s="5">
        <v>46013.0</v>
      </c>
      <c r="B805" s="6">
        <v>10141.0</v>
      </c>
      <c r="C805" s="6">
        <v>1.85916498E9</v>
      </c>
      <c r="D805" s="6">
        <v>972386.0</v>
      </c>
      <c r="E805" s="6" t="s">
        <v>1280</v>
      </c>
      <c r="F805" s="6" t="s">
        <v>1281</v>
      </c>
      <c r="G805" s="6">
        <v>9.632655988E9</v>
      </c>
      <c r="H805" s="6">
        <v>4.0212327E7</v>
      </c>
      <c r="I805" s="6" t="s">
        <v>682</v>
      </c>
      <c r="J805" s="6" t="s">
        <v>21</v>
      </c>
      <c r="K805" s="6" t="s">
        <v>22</v>
      </c>
      <c r="L805" s="6">
        <v>27.0</v>
      </c>
      <c r="M805" s="5">
        <v>46013.0</v>
      </c>
      <c r="N805" s="6" t="s">
        <v>23</v>
      </c>
      <c r="O805" s="6" t="str">
        <f>SUMIFS([1]order_sku_sales_bb2_report!P:P,[1]order_sku_sales_bb2_report!H:H,C28594,[1]order_sku_sales_bb2_report!J:J,H28594)</f>
        <v>#ERROR!</v>
      </c>
      <c r="P805" s="6" t="str">
        <f>SUMIFS([1]order_sku_sales_bb2_report!O:O,[1]order_sku_sales_bb2_report!H:H,C28594,[1]order_sku_sales_bb2_report!J:J,H28594)</f>
        <v>#ERROR!</v>
      </c>
      <c r="Q805" s="6" t="str">
        <f t="shared" si="1"/>
        <v>22-12-2025</v>
      </c>
      <c r="R805" s="6" t="str">
        <f>IFERROR( VLOOKUP(C28594,[1]expressOrderReport!$S:$AZ,34,0),0)</f>
        <v>#ERROR!</v>
      </c>
      <c r="S805" s="6" t="str">
        <f>ARRAY_CONSTRAIN(ARRAYFORMULA(_xludf.XLOOKUP(D28594,[1]order_Report_SA_ID_BB2.0!V:V,[1]order_Report_SA_ID_BB2.0!AM:AM,"")), 1, 1)</f>
        <v>#ERROR!</v>
      </c>
      <c r="T805" s="6" t="str">
        <f t="shared" si="2"/>
        <v>Dec'25</v>
      </c>
    </row>
    <row r="806" ht="15.75" customHeight="1">
      <c r="A806" s="5">
        <v>46013.0</v>
      </c>
      <c r="B806" s="6">
        <v>648.0</v>
      </c>
      <c r="C806" s="6">
        <v>1.859164993E9</v>
      </c>
      <c r="D806" s="6">
        <v>635161.0</v>
      </c>
      <c r="E806" s="6" t="s">
        <v>1282</v>
      </c>
      <c r="F806" s="6" t="s">
        <v>1283</v>
      </c>
      <c r="G806" s="6">
        <v>9.481555807E9</v>
      </c>
      <c r="H806" s="6">
        <v>4.0149833E7</v>
      </c>
      <c r="I806" s="6" t="s">
        <v>40</v>
      </c>
      <c r="J806" s="6" t="s">
        <v>21</v>
      </c>
      <c r="K806" s="6" t="s">
        <v>22</v>
      </c>
      <c r="L806" s="6">
        <v>54.0</v>
      </c>
      <c r="M806" s="5">
        <v>46013.0</v>
      </c>
      <c r="N806" s="6" t="s">
        <v>23</v>
      </c>
      <c r="O806" s="6" t="str">
        <f>SUMIFS([1]order_sku_sales_bb2_report!P:P,[1]order_sku_sales_bb2_report!H:H,C28595,[1]order_sku_sales_bb2_report!J:J,H28595)</f>
        <v>#ERROR!</v>
      </c>
      <c r="P806" s="6" t="str">
        <f>SUMIFS([1]order_sku_sales_bb2_report!O:O,[1]order_sku_sales_bb2_report!H:H,C28595,[1]order_sku_sales_bb2_report!J:J,H28595)</f>
        <v>#ERROR!</v>
      </c>
      <c r="Q806" s="6" t="str">
        <f t="shared" si="1"/>
        <v>22-12-2025</v>
      </c>
      <c r="R806" s="6" t="str">
        <f>IFERROR( VLOOKUP(C28595,[1]expressOrderReport!$S:$AZ,34,0),0)</f>
        <v>#ERROR!</v>
      </c>
      <c r="S806" s="6" t="str">
        <f>ARRAY_CONSTRAIN(ARRAYFORMULA(_xludf.XLOOKUP(D28595,[1]order_Report_SA_ID_BB2.0!V:V,[1]order_Report_SA_ID_BB2.0!AM:AM,"")), 1, 1)</f>
        <v>#ERROR!</v>
      </c>
      <c r="T806" s="6" t="str">
        <f t="shared" si="2"/>
        <v>Dec'25</v>
      </c>
    </row>
    <row r="807" ht="15.75" customHeight="1">
      <c r="A807" s="5">
        <v>46013.0</v>
      </c>
      <c r="B807" s="6">
        <v>6010.0</v>
      </c>
      <c r="C807" s="6">
        <v>1.859165004E9</v>
      </c>
      <c r="D807" s="6">
        <v>1174793.0</v>
      </c>
      <c r="E807" s="6" t="s">
        <v>1284</v>
      </c>
      <c r="F807" s="6" t="s">
        <v>1285</v>
      </c>
      <c r="G807" s="6">
        <v>8.904111972E9</v>
      </c>
      <c r="H807" s="6">
        <v>4.0149832E7</v>
      </c>
      <c r="I807" s="6" t="s">
        <v>26</v>
      </c>
      <c r="J807" s="6" t="s">
        <v>21</v>
      </c>
      <c r="K807" s="6" t="s">
        <v>22</v>
      </c>
      <c r="L807" s="6">
        <v>48.0</v>
      </c>
      <c r="M807" s="5">
        <v>46013.0</v>
      </c>
      <c r="N807" s="6" t="s">
        <v>23</v>
      </c>
      <c r="O807" s="6" t="str">
        <f>SUMIFS([1]order_sku_sales_bb2_report!P:P,[1]order_sku_sales_bb2_report!H:H,C28596,[1]order_sku_sales_bb2_report!J:J,H28596)</f>
        <v>#ERROR!</v>
      </c>
      <c r="P807" s="6" t="str">
        <f>SUMIFS([1]order_sku_sales_bb2_report!O:O,[1]order_sku_sales_bb2_report!H:H,C28596,[1]order_sku_sales_bb2_report!J:J,H28596)</f>
        <v>#ERROR!</v>
      </c>
      <c r="Q807" s="6" t="str">
        <f t="shared" si="1"/>
        <v>22-12-2025</v>
      </c>
      <c r="R807" s="6" t="str">
        <f>IFERROR( VLOOKUP(C28596,[1]expressOrderReport!$S:$AZ,34,0),0)</f>
        <v>#ERROR!</v>
      </c>
      <c r="S807" s="6" t="str">
        <f>ARRAY_CONSTRAIN(ARRAYFORMULA(_xludf.XLOOKUP(D28596,[1]order_Report_SA_ID_BB2.0!V:V,[1]order_Report_SA_ID_BB2.0!AM:AM,"")), 1, 1)</f>
        <v>#ERROR!</v>
      </c>
      <c r="T807" s="6" t="str">
        <f t="shared" si="2"/>
        <v>Dec'25</v>
      </c>
    </row>
    <row r="808" ht="15.75" customHeight="1">
      <c r="A808" s="5">
        <v>46013.0</v>
      </c>
      <c r="B808" s="6">
        <v>9392.0</v>
      </c>
      <c r="C808" s="6">
        <v>1.859165009E9</v>
      </c>
      <c r="D808" s="6">
        <v>1197946.0</v>
      </c>
      <c r="E808" s="6" t="s">
        <v>1286</v>
      </c>
      <c r="F808" s="6" t="s">
        <v>1287</v>
      </c>
      <c r="G808" s="6">
        <v>8.095217759E9</v>
      </c>
      <c r="H808" s="6">
        <v>4.014983E7</v>
      </c>
      <c r="I808" s="6" t="s">
        <v>30</v>
      </c>
      <c r="J808" s="6" t="s">
        <v>21</v>
      </c>
      <c r="K808" s="6" t="s">
        <v>22</v>
      </c>
      <c r="L808" s="6">
        <v>28.0</v>
      </c>
      <c r="M808" s="5">
        <v>46013.0</v>
      </c>
      <c r="N808" s="6" t="s">
        <v>23</v>
      </c>
      <c r="O808" s="6" t="str">
        <f>SUMIFS([1]order_sku_sales_bb2_report!P:P,[1]order_sku_sales_bb2_report!H:H,C28597,[1]order_sku_sales_bb2_report!J:J,H28597)</f>
        <v>#ERROR!</v>
      </c>
      <c r="P808" s="6" t="str">
        <f>SUMIFS([1]order_sku_sales_bb2_report!O:O,[1]order_sku_sales_bb2_report!H:H,C28597,[1]order_sku_sales_bb2_report!J:J,H28597)</f>
        <v>#ERROR!</v>
      </c>
      <c r="Q808" s="6" t="str">
        <f t="shared" si="1"/>
        <v>22-12-2025</v>
      </c>
      <c r="R808" s="6" t="str">
        <f>IFERROR( VLOOKUP(C28597,[1]expressOrderReport!$S:$AZ,34,0),0)</f>
        <v>#ERROR!</v>
      </c>
      <c r="S808" s="6" t="str">
        <f>ARRAY_CONSTRAIN(ARRAYFORMULA(_xludf.XLOOKUP(D28597,[1]order_Report_SA_ID_BB2.0!V:V,[1]order_Report_SA_ID_BB2.0!AM:AM,"")), 1, 1)</f>
        <v>#ERROR!</v>
      </c>
      <c r="T808" s="6" t="str">
        <f t="shared" si="2"/>
        <v>Dec'25</v>
      </c>
    </row>
    <row r="809" ht="15.75" customHeight="1">
      <c r="A809" s="5">
        <v>46013.0</v>
      </c>
      <c r="B809" s="6">
        <v>6388.0</v>
      </c>
      <c r="C809" s="6">
        <v>1.859165014E9</v>
      </c>
      <c r="D809" s="6">
        <v>7476.0</v>
      </c>
      <c r="E809" s="6" t="s">
        <v>1288</v>
      </c>
      <c r="F809" s="6" t="s">
        <v>1289</v>
      </c>
      <c r="G809" s="6">
        <v>9.449047244E9</v>
      </c>
      <c r="H809" s="6">
        <v>4.0149834E7</v>
      </c>
      <c r="I809" s="6" t="s">
        <v>40</v>
      </c>
      <c r="J809" s="6" t="s">
        <v>21</v>
      </c>
      <c r="K809" s="6" t="s">
        <v>22</v>
      </c>
      <c r="L809" s="6">
        <v>104.0</v>
      </c>
      <c r="M809" s="5">
        <v>46013.0</v>
      </c>
      <c r="N809" s="6" t="s">
        <v>23</v>
      </c>
      <c r="O809" s="6" t="str">
        <f>SUMIFS([1]order_sku_sales_bb2_report!P:P,[1]order_sku_sales_bb2_report!H:H,C28598,[1]order_sku_sales_bb2_report!J:J,H28598)</f>
        <v>#ERROR!</v>
      </c>
      <c r="P809" s="6" t="str">
        <f>SUMIFS([1]order_sku_sales_bb2_report!O:O,[1]order_sku_sales_bb2_report!H:H,C28598,[1]order_sku_sales_bb2_report!J:J,H28598)</f>
        <v>#ERROR!</v>
      </c>
      <c r="Q809" s="6" t="str">
        <f t="shared" si="1"/>
        <v>22-12-2025</v>
      </c>
      <c r="R809" s="6" t="str">
        <f>IFERROR( VLOOKUP(C28598,[1]expressOrderReport!$S:$AZ,34,0),0)</f>
        <v>#ERROR!</v>
      </c>
      <c r="S809" s="6" t="str">
        <f>ARRAY_CONSTRAIN(ARRAYFORMULA(_xludf.XLOOKUP(D28598,[1]order_Report_SA_ID_BB2.0!V:V,[1]order_Report_SA_ID_BB2.0!AM:AM,"")), 1, 1)</f>
        <v>#ERROR!</v>
      </c>
      <c r="T809" s="6" t="str">
        <f t="shared" si="2"/>
        <v>Dec'25</v>
      </c>
    </row>
    <row r="810" ht="15.75" customHeight="1">
      <c r="A810" s="5">
        <v>46013.0</v>
      </c>
      <c r="B810" s="6">
        <v>9275.0</v>
      </c>
      <c r="C810" s="6">
        <v>1.859165026E9</v>
      </c>
      <c r="D810" s="6">
        <v>1063195.0</v>
      </c>
      <c r="E810" s="6" t="s">
        <v>1290</v>
      </c>
      <c r="F810" s="6" t="s">
        <v>1291</v>
      </c>
      <c r="G810" s="6">
        <v>9.632220308E9</v>
      </c>
      <c r="H810" s="6">
        <v>4.0149832E7</v>
      </c>
      <c r="I810" s="6" t="s">
        <v>26</v>
      </c>
      <c r="J810" s="6" t="s">
        <v>21</v>
      </c>
      <c r="K810" s="6" t="s">
        <v>22</v>
      </c>
      <c r="L810" s="6">
        <v>52.0</v>
      </c>
      <c r="M810" s="5">
        <v>46013.0</v>
      </c>
      <c r="N810" s="6" t="s">
        <v>23</v>
      </c>
      <c r="O810" s="6" t="str">
        <f>SUMIFS([1]order_sku_sales_bb2_report!P:P,[1]order_sku_sales_bb2_report!H:H,C28599,[1]order_sku_sales_bb2_report!J:J,H28599)</f>
        <v>#ERROR!</v>
      </c>
      <c r="P810" s="6" t="str">
        <f>SUMIFS([1]order_sku_sales_bb2_report!O:O,[1]order_sku_sales_bb2_report!H:H,C28599,[1]order_sku_sales_bb2_report!J:J,H28599)</f>
        <v>#ERROR!</v>
      </c>
      <c r="Q810" s="6" t="str">
        <f t="shared" si="1"/>
        <v>22-12-2025</v>
      </c>
      <c r="R810" s="6" t="str">
        <f>IFERROR( VLOOKUP(C28599,[1]expressOrderReport!$S:$AZ,34,0),0)</f>
        <v>#ERROR!</v>
      </c>
      <c r="S810" s="6" t="str">
        <f>ARRAY_CONSTRAIN(ARRAYFORMULA(_xludf.XLOOKUP(D28599,[1]order_Report_SA_ID_BB2.0!V:V,[1]order_Report_SA_ID_BB2.0!AM:AM,"")), 1, 1)</f>
        <v>#ERROR!</v>
      </c>
      <c r="T810" s="6" t="str">
        <f t="shared" si="2"/>
        <v>Dec'25</v>
      </c>
    </row>
    <row r="811" ht="15.75" customHeight="1">
      <c r="A811" s="5">
        <v>46013.0</v>
      </c>
      <c r="B811" s="6">
        <v>9276.0</v>
      </c>
      <c r="C811" s="6">
        <v>1.859165026E9</v>
      </c>
      <c r="D811" s="6">
        <v>1063195.0</v>
      </c>
      <c r="E811" s="6" t="s">
        <v>1290</v>
      </c>
      <c r="F811" s="6" t="s">
        <v>1291</v>
      </c>
      <c r="G811" s="6">
        <v>9.632220308E9</v>
      </c>
      <c r="H811" s="6">
        <v>4.0161616E7</v>
      </c>
      <c r="I811" s="6" t="s">
        <v>20</v>
      </c>
      <c r="J811" s="6" t="s">
        <v>21</v>
      </c>
      <c r="K811" s="6" t="s">
        <v>22</v>
      </c>
      <c r="L811" s="6">
        <v>52.0</v>
      </c>
      <c r="M811" s="5">
        <v>46013.0</v>
      </c>
      <c r="N811" s="6" t="s">
        <v>23</v>
      </c>
      <c r="O811" s="6" t="str">
        <f>SUMIFS([1]order_sku_sales_bb2_report!P:P,[1]order_sku_sales_bb2_report!H:H,C28600,[1]order_sku_sales_bb2_report!J:J,H28600)</f>
        <v>#ERROR!</v>
      </c>
      <c r="P811" s="6" t="str">
        <f>SUMIFS([1]order_sku_sales_bb2_report!O:O,[1]order_sku_sales_bb2_report!H:H,C28600,[1]order_sku_sales_bb2_report!J:J,H28600)</f>
        <v>#ERROR!</v>
      </c>
      <c r="Q811" s="6" t="str">
        <f t="shared" si="1"/>
        <v>22-12-2025</v>
      </c>
      <c r="R811" s="6" t="str">
        <f>IFERROR( VLOOKUP(C28600,[1]expressOrderReport!$S:$AZ,34,0),0)</f>
        <v>#ERROR!</v>
      </c>
      <c r="S811" s="6" t="str">
        <f>ARRAY_CONSTRAIN(ARRAYFORMULA(_xludf.XLOOKUP(D28600,[1]order_Report_SA_ID_BB2.0!V:V,[1]order_Report_SA_ID_BB2.0!AM:AM,"")), 1, 1)</f>
        <v>#ERROR!</v>
      </c>
      <c r="T811" s="6" t="str">
        <f t="shared" si="2"/>
        <v>Dec'25</v>
      </c>
    </row>
    <row r="812" ht="15.75" customHeight="1">
      <c r="A812" s="5">
        <v>46013.0</v>
      </c>
      <c r="B812" s="6">
        <v>9289.0</v>
      </c>
      <c r="C812" s="6">
        <v>1.859165036E9</v>
      </c>
      <c r="D812" s="6">
        <v>1250157.0</v>
      </c>
      <c r="E812" s="6" t="s">
        <v>1292</v>
      </c>
      <c r="F812" s="6" t="s">
        <v>1293</v>
      </c>
      <c r="G812" s="6">
        <v>9.740333115E9</v>
      </c>
      <c r="H812" s="6">
        <v>4.0148716E7</v>
      </c>
      <c r="I812" s="6" t="s">
        <v>148</v>
      </c>
      <c r="J812" s="6" t="s">
        <v>21</v>
      </c>
      <c r="K812" s="6" t="s">
        <v>22</v>
      </c>
      <c r="L812" s="6">
        <v>45.0</v>
      </c>
      <c r="M812" s="5">
        <v>46013.0</v>
      </c>
      <c r="N812" s="6" t="s">
        <v>23</v>
      </c>
      <c r="O812" s="6" t="str">
        <f>SUMIFS([1]order_sku_sales_bb2_report!P:P,[1]order_sku_sales_bb2_report!H:H,C28601,[1]order_sku_sales_bb2_report!J:J,H28601)</f>
        <v>#ERROR!</v>
      </c>
      <c r="P812" s="6" t="str">
        <f>SUMIFS([1]order_sku_sales_bb2_report!O:O,[1]order_sku_sales_bb2_report!H:H,C28601,[1]order_sku_sales_bb2_report!J:J,H28601)</f>
        <v>#ERROR!</v>
      </c>
      <c r="Q812" s="6" t="str">
        <f t="shared" si="1"/>
        <v>22-12-2025</v>
      </c>
      <c r="R812" s="6" t="str">
        <f>IFERROR( VLOOKUP(C28601,[1]expressOrderReport!$S:$AZ,34,0),0)</f>
        <v>#ERROR!</v>
      </c>
      <c r="S812" s="6" t="str">
        <f>ARRAY_CONSTRAIN(ARRAYFORMULA(_xludf.XLOOKUP(D28601,[1]order_Report_SA_ID_BB2.0!V:V,[1]order_Report_SA_ID_BB2.0!AM:AM,"")), 1, 1)</f>
        <v>#ERROR!</v>
      </c>
      <c r="T812" s="6" t="str">
        <f t="shared" si="2"/>
        <v>Dec'25</v>
      </c>
    </row>
    <row r="813" ht="15.75" customHeight="1">
      <c r="A813" s="5">
        <v>46013.0</v>
      </c>
      <c r="B813" s="6">
        <v>7800.0</v>
      </c>
      <c r="C813" s="6">
        <v>1.859165055E9</v>
      </c>
      <c r="D813" s="6">
        <v>765349.0</v>
      </c>
      <c r="E813" s="6" t="s">
        <v>1294</v>
      </c>
      <c r="F813" s="6" t="s">
        <v>1295</v>
      </c>
      <c r="G813" s="6">
        <v>9.910336369E9</v>
      </c>
      <c r="H813" s="6">
        <v>4.0057966E7</v>
      </c>
      <c r="I813" s="6" t="s">
        <v>173</v>
      </c>
      <c r="J813" s="6" t="s">
        <v>21</v>
      </c>
      <c r="K813" s="6" t="s">
        <v>22</v>
      </c>
      <c r="L813" s="6">
        <v>160.8</v>
      </c>
      <c r="M813" s="5">
        <v>46013.0</v>
      </c>
      <c r="N813" s="6" t="s">
        <v>23</v>
      </c>
      <c r="O813" s="6" t="str">
        <f>SUMIFS([1]order_sku_sales_bb2_report!P:P,[1]order_sku_sales_bb2_report!H:H,C28603,[1]order_sku_sales_bb2_report!J:J,H28603)</f>
        <v>#ERROR!</v>
      </c>
      <c r="P813" s="6" t="str">
        <f>SUMIFS([1]order_sku_sales_bb2_report!O:O,[1]order_sku_sales_bb2_report!H:H,C28603,[1]order_sku_sales_bb2_report!J:J,H28603)</f>
        <v>#ERROR!</v>
      </c>
      <c r="Q813" s="6" t="str">
        <f t="shared" si="1"/>
        <v>22-12-2025</v>
      </c>
      <c r="R813" s="6" t="str">
        <f>IFERROR( VLOOKUP(C28603,[1]expressOrderReport!$S:$AZ,34,0),0)</f>
        <v>#ERROR!</v>
      </c>
      <c r="S813" s="6" t="str">
        <f>ARRAY_CONSTRAIN(ARRAYFORMULA(_xludf.XLOOKUP(D28603,[1]order_Report_SA_ID_BB2.0!V:V,[1]order_Report_SA_ID_BB2.0!AM:AM,"")), 1, 1)</f>
        <v>#ERROR!</v>
      </c>
      <c r="T813" s="6" t="str">
        <f t="shared" si="2"/>
        <v>Dec'25</v>
      </c>
    </row>
    <row r="814" ht="15.75" customHeight="1">
      <c r="A814" s="5">
        <v>46013.0</v>
      </c>
      <c r="B814" s="6">
        <v>9117.0</v>
      </c>
      <c r="C814" s="6">
        <v>1.859165064E9</v>
      </c>
      <c r="D814" s="6">
        <v>1345211.0</v>
      </c>
      <c r="E814" s="6" t="s">
        <v>1296</v>
      </c>
      <c r="F814" s="6" t="s">
        <v>1297</v>
      </c>
      <c r="G814" s="6">
        <v>9.940468232E9</v>
      </c>
      <c r="H814" s="6">
        <v>4.0149833E7</v>
      </c>
      <c r="I814" s="6" t="s">
        <v>40</v>
      </c>
      <c r="J814" s="6" t="s">
        <v>21</v>
      </c>
      <c r="K814" s="6" t="s">
        <v>22</v>
      </c>
      <c r="L814" s="6">
        <v>82.0</v>
      </c>
      <c r="M814" s="5">
        <v>46013.0</v>
      </c>
      <c r="N814" s="6" t="s">
        <v>23</v>
      </c>
      <c r="O814" s="6" t="str">
        <f>SUMIFS([1]order_sku_sales_bb2_report!P:P,[1]order_sku_sales_bb2_report!H:H,C28604,[1]order_sku_sales_bb2_report!J:J,H28604)</f>
        <v>#ERROR!</v>
      </c>
      <c r="P814" s="6" t="str">
        <f>SUMIFS([1]order_sku_sales_bb2_report!O:O,[1]order_sku_sales_bb2_report!H:H,C28604,[1]order_sku_sales_bb2_report!J:J,H28604)</f>
        <v>#ERROR!</v>
      </c>
      <c r="Q814" s="6" t="str">
        <f t="shared" si="1"/>
        <v>22-12-2025</v>
      </c>
      <c r="R814" s="6" t="str">
        <f>IFERROR( VLOOKUP(C28604,[1]expressOrderReport!$S:$AZ,34,0),0)</f>
        <v>#ERROR!</v>
      </c>
      <c r="S814" s="6" t="str">
        <f>ARRAY_CONSTRAIN(ARRAYFORMULA(_xludf.XLOOKUP(D28604,[1]order_Report_SA_ID_BB2.0!V:V,[1]order_Report_SA_ID_BB2.0!AM:AM,"")), 1, 1)</f>
        <v>#ERROR!</v>
      </c>
      <c r="T814" s="6" t="str">
        <f t="shared" si="2"/>
        <v>Dec'25</v>
      </c>
    </row>
    <row r="815" ht="15.75" customHeight="1">
      <c r="A815" s="5">
        <v>46013.0</v>
      </c>
      <c r="B815" s="6">
        <v>9118.0</v>
      </c>
      <c r="C815" s="6">
        <v>1.859165064E9</v>
      </c>
      <c r="D815" s="6">
        <v>1345211.0</v>
      </c>
      <c r="E815" s="6" t="s">
        <v>1296</v>
      </c>
      <c r="F815" s="6" t="s">
        <v>1297</v>
      </c>
      <c r="G815" s="6">
        <v>9.940468232E9</v>
      </c>
      <c r="H815" s="6">
        <v>4.014983E7</v>
      </c>
      <c r="I815" s="6" t="s">
        <v>30</v>
      </c>
      <c r="J815" s="6" t="s">
        <v>21</v>
      </c>
      <c r="K815" s="6" t="s">
        <v>22</v>
      </c>
      <c r="L815" s="6">
        <v>82.0</v>
      </c>
      <c r="M815" s="5">
        <v>46013.0</v>
      </c>
      <c r="N815" s="6" t="s">
        <v>23</v>
      </c>
      <c r="O815" s="6" t="str">
        <f>SUMIFS([1]order_sku_sales_bb2_report!P:P,[1]order_sku_sales_bb2_report!H:H,C28605,[1]order_sku_sales_bb2_report!J:J,H28605)</f>
        <v>#ERROR!</v>
      </c>
      <c r="P815" s="6" t="str">
        <f>SUMIFS([1]order_sku_sales_bb2_report!O:O,[1]order_sku_sales_bb2_report!H:H,C28605,[1]order_sku_sales_bb2_report!J:J,H28605)</f>
        <v>#ERROR!</v>
      </c>
      <c r="Q815" s="6" t="str">
        <f t="shared" si="1"/>
        <v>22-12-2025</v>
      </c>
      <c r="R815" s="6" t="str">
        <f>IFERROR( VLOOKUP(C28605,[1]expressOrderReport!$S:$AZ,34,0),0)</f>
        <v>#ERROR!</v>
      </c>
      <c r="S815" s="6" t="str">
        <f>ARRAY_CONSTRAIN(ARRAYFORMULA(_xludf.XLOOKUP(D28605,[1]order_Report_SA_ID_BB2.0!V:V,[1]order_Report_SA_ID_BB2.0!AM:AM,"")), 1, 1)</f>
        <v>#ERROR!</v>
      </c>
      <c r="T815" s="6" t="str">
        <f t="shared" si="2"/>
        <v>Dec'25</v>
      </c>
    </row>
    <row r="816" ht="15.75" customHeight="1">
      <c r="A816" s="5">
        <v>46013.0</v>
      </c>
      <c r="B816" s="6">
        <v>4080.0</v>
      </c>
      <c r="C816" s="6">
        <v>1.859165074E9</v>
      </c>
      <c r="D816" s="6">
        <v>440049.0</v>
      </c>
      <c r="E816" s="6" t="s">
        <v>1298</v>
      </c>
      <c r="F816" s="6" t="s">
        <v>1299</v>
      </c>
      <c r="G816" s="6">
        <v>9.90002086E9</v>
      </c>
      <c r="H816" s="6">
        <v>4.0158264E7</v>
      </c>
      <c r="I816" s="6" t="s">
        <v>26</v>
      </c>
      <c r="J816" s="6" t="s">
        <v>21</v>
      </c>
      <c r="K816" s="6" t="s">
        <v>22</v>
      </c>
      <c r="L816" s="6">
        <v>92.0</v>
      </c>
      <c r="M816" s="5">
        <v>46013.0</v>
      </c>
      <c r="N816" s="6" t="s">
        <v>23</v>
      </c>
      <c r="O816" s="6" t="str">
        <f>SUMIFS([1]order_sku_sales_bb2_report!P:P,[1]order_sku_sales_bb2_report!H:H,C28606,[1]order_sku_sales_bb2_report!J:J,H28606)</f>
        <v>#ERROR!</v>
      </c>
      <c r="P816" s="6" t="str">
        <f>SUMIFS([1]order_sku_sales_bb2_report!O:O,[1]order_sku_sales_bb2_report!H:H,C28606,[1]order_sku_sales_bb2_report!J:J,H28606)</f>
        <v>#ERROR!</v>
      </c>
      <c r="Q816" s="6" t="str">
        <f t="shared" si="1"/>
        <v>22-12-2025</v>
      </c>
      <c r="R816" s="6" t="str">
        <f>IFERROR( VLOOKUP(C28606,[1]expressOrderReport!$S:$AZ,34,0),0)</f>
        <v>#ERROR!</v>
      </c>
      <c r="S816" s="6" t="str">
        <f>ARRAY_CONSTRAIN(ARRAYFORMULA(_xludf.XLOOKUP(D28606,[1]order_Report_SA_ID_BB2.0!V:V,[1]order_Report_SA_ID_BB2.0!AM:AM,"")), 1, 1)</f>
        <v>#ERROR!</v>
      </c>
      <c r="T816" s="6" t="str">
        <f t="shared" si="2"/>
        <v>Dec'25</v>
      </c>
    </row>
    <row r="817" ht="15.75" customHeight="1">
      <c r="A817" s="5">
        <v>46013.0</v>
      </c>
      <c r="B817" s="6">
        <v>5358.0</v>
      </c>
      <c r="C817" s="6">
        <v>1.859165088E9</v>
      </c>
      <c r="D817" s="6">
        <v>1063265.0</v>
      </c>
      <c r="E817" s="6" t="s">
        <v>1300</v>
      </c>
      <c r="F817" s="6" t="s">
        <v>1301</v>
      </c>
      <c r="G817" s="6">
        <v>9.483140293E9</v>
      </c>
      <c r="H817" s="6">
        <v>4.0147597E7</v>
      </c>
      <c r="I817" s="6" t="s">
        <v>59</v>
      </c>
      <c r="J817" s="6" t="s">
        <v>21</v>
      </c>
      <c r="K817" s="6" t="s">
        <v>22</v>
      </c>
      <c r="L817" s="6">
        <v>52.0</v>
      </c>
      <c r="M817" s="5">
        <v>46013.0</v>
      </c>
      <c r="N817" s="6" t="s">
        <v>23</v>
      </c>
      <c r="O817" s="6" t="str">
        <f>SUMIFS([1]order_sku_sales_bb2_report!P:P,[1]order_sku_sales_bb2_report!H:H,C28607,[1]order_sku_sales_bb2_report!J:J,H28607)</f>
        <v>#ERROR!</v>
      </c>
      <c r="P817" s="6" t="str">
        <f>SUMIFS([1]order_sku_sales_bb2_report!O:O,[1]order_sku_sales_bb2_report!H:H,C28607,[1]order_sku_sales_bb2_report!J:J,H28607)</f>
        <v>#ERROR!</v>
      </c>
      <c r="Q817" s="6" t="str">
        <f t="shared" si="1"/>
        <v>22-12-2025</v>
      </c>
      <c r="R817" s="6" t="str">
        <f>IFERROR( VLOOKUP(C28607,[1]expressOrderReport!$S:$AZ,34,0),0)</f>
        <v>#ERROR!</v>
      </c>
      <c r="S817" s="6" t="str">
        <f>ARRAY_CONSTRAIN(ARRAYFORMULA(_xludf.XLOOKUP(D28607,[1]order_Report_SA_ID_BB2.0!V:V,[1]order_Report_SA_ID_BB2.0!AM:AM,"")), 1, 1)</f>
        <v>#ERROR!</v>
      </c>
      <c r="T817" s="6" t="str">
        <f t="shared" si="2"/>
        <v>Dec'25</v>
      </c>
    </row>
    <row r="818" ht="15.75" customHeight="1">
      <c r="A818" s="5">
        <v>46013.0</v>
      </c>
      <c r="B818" s="6">
        <v>3510.0</v>
      </c>
      <c r="C818" s="6">
        <v>1.859165101E9</v>
      </c>
      <c r="D818" s="6">
        <v>1574862.0</v>
      </c>
      <c r="E818" s="6" t="s">
        <v>1302</v>
      </c>
      <c r="F818" s="6" t="s">
        <v>1303</v>
      </c>
      <c r="G818" s="6">
        <v>9.986873803E9</v>
      </c>
      <c r="H818" s="6">
        <v>4.0161616E7</v>
      </c>
      <c r="I818" s="6" t="s">
        <v>20</v>
      </c>
      <c r="J818" s="6" t="s">
        <v>21</v>
      </c>
      <c r="K818" s="6" t="s">
        <v>22</v>
      </c>
      <c r="L818" s="6">
        <v>28.0</v>
      </c>
      <c r="M818" s="5">
        <v>46013.0</v>
      </c>
      <c r="N818" s="6" t="s">
        <v>23</v>
      </c>
      <c r="O818" s="6" t="str">
        <f>SUMIFS([1]order_sku_sales_bb2_report!P:P,[1]order_sku_sales_bb2_report!H:H,C28608,[1]order_sku_sales_bb2_report!J:J,H28608)</f>
        <v>#ERROR!</v>
      </c>
      <c r="P818" s="6" t="str">
        <f>SUMIFS([1]order_sku_sales_bb2_report!O:O,[1]order_sku_sales_bb2_report!H:H,C28608,[1]order_sku_sales_bb2_report!J:J,H28608)</f>
        <v>#ERROR!</v>
      </c>
      <c r="Q818" s="6" t="str">
        <f t="shared" si="1"/>
        <v>22-12-2025</v>
      </c>
      <c r="R818" s="6" t="str">
        <f>IFERROR( VLOOKUP(C28608,[1]expressOrderReport!$S:$AZ,34,0),0)</f>
        <v>#ERROR!</v>
      </c>
      <c r="S818" s="6" t="str">
        <f>ARRAY_CONSTRAIN(ARRAYFORMULA(_xludf.XLOOKUP(D28608,[1]order_Report_SA_ID_BB2.0!V:V,[1]order_Report_SA_ID_BB2.0!AM:AM,"")), 1, 1)</f>
        <v>#ERROR!</v>
      </c>
      <c r="T818" s="6" t="str">
        <f t="shared" si="2"/>
        <v>Dec'25</v>
      </c>
    </row>
    <row r="819" ht="15.75" customHeight="1">
      <c r="A819" s="5">
        <v>46013.0</v>
      </c>
      <c r="B819" s="6">
        <v>10393.0</v>
      </c>
      <c r="C819" s="6">
        <v>1.859165111E9</v>
      </c>
      <c r="D819" s="6">
        <v>1590573.0</v>
      </c>
      <c r="E819" s="6" t="s">
        <v>1304</v>
      </c>
      <c r="F819" s="6" t="s">
        <v>1305</v>
      </c>
      <c r="G819" s="6">
        <v>9.4482532E9</v>
      </c>
      <c r="H819" s="6">
        <v>4.0149832E7</v>
      </c>
      <c r="I819" s="6" t="s">
        <v>26</v>
      </c>
      <c r="J819" s="6" t="s">
        <v>21</v>
      </c>
      <c r="K819" s="6" t="s">
        <v>22</v>
      </c>
      <c r="L819" s="6">
        <v>48.0</v>
      </c>
      <c r="M819" s="5">
        <v>46013.0</v>
      </c>
      <c r="N819" s="6" t="s">
        <v>23</v>
      </c>
      <c r="O819" s="6" t="str">
        <f>SUMIFS([1]order_sku_sales_bb2_report!P:P,[1]order_sku_sales_bb2_report!H:H,C28609,[1]order_sku_sales_bb2_report!J:J,H28609)</f>
        <v>#ERROR!</v>
      </c>
      <c r="P819" s="6" t="str">
        <f>SUMIFS([1]order_sku_sales_bb2_report!O:O,[1]order_sku_sales_bb2_report!H:H,C28609,[1]order_sku_sales_bb2_report!J:J,H28609)</f>
        <v>#ERROR!</v>
      </c>
      <c r="Q819" s="6" t="str">
        <f t="shared" si="1"/>
        <v>22-12-2025</v>
      </c>
      <c r="R819" s="6" t="str">
        <f>IFERROR( VLOOKUP(C28609,[1]expressOrderReport!$S:$AZ,34,0),0)</f>
        <v>#ERROR!</v>
      </c>
      <c r="S819" s="6" t="str">
        <f>ARRAY_CONSTRAIN(ARRAYFORMULA(_xludf.XLOOKUP(D28609,[1]order_Report_SA_ID_BB2.0!V:V,[1]order_Report_SA_ID_BB2.0!AM:AM,"")), 1, 1)</f>
        <v>#ERROR!</v>
      </c>
      <c r="T819" s="6" t="str">
        <f t="shared" si="2"/>
        <v>Dec'25</v>
      </c>
    </row>
    <row r="820" ht="15.75" customHeight="1">
      <c r="A820" s="5">
        <v>46013.0</v>
      </c>
      <c r="B820" s="6">
        <v>6309.0</v>
      </c>
      <c r="C820" s="6">
        <v>1.859165388E9</v>
      </c>
      <c r="D820" s="6">
        <v>1621987.0</v>
      </c>
      <c r="E820" s="6" t="s">
        <v>1306</v>
      </c>
      <c r="F820" s="6" t="s">
        <v>1307</v>
      </c>
      <c r="G820" s="6">
        <v>7.760471305E9</v>
      </c>
      <c r="H820" s="6">
        <v>4.0163722E7</v>
      </c>
      <c r="I820" s="6" t="s">
        <v>385</v>
      </c>
      <c r="J820" s="6" t="s">
        <v>21</v>
      </c>
      <c r="K820" s="6" t="s">
        <v>22</v>
      </c>
      <c r="L820" s="6">
        <v>60.8</v>
      </c>
      <c r="M820" s="5">
        <v>46013.0</v>
      </c>
      <c r="N820" s="6" t="s">
        <v>23</v>
      </c>
      <c r="O820" s="6" t="str">
        <f>SUMIFS([1]order_sku_sales_bb2_report!P:P,[1]order_sku_sales_bb2_report!H:H,C28610,[1]order_sku_sales_bb2_report!J:J,H28610)</f>
        <v>#ERROR!</v>
      </c>
      <c r="P820" s="6" t="str">
        <f>SUMIFS([1]order_sku_sales_bb2_report!O:O,[1]order_sku_sales_bb2_report!H:H,C28610,[1]order_sku_sales_bb2_report!J:J,H28610)</f>
        <v>#ERROR!</v>
      </c>
      <c r="Q820" s="6" t="str">
        <f t="shared" si="1"/>
        <v>22-12-2025</v>
      </c>
      <c r="R820" s="6" t="str">
        <f>IFERROR( VLOOKUP(C28610,[1]expressOrderReport!$S:$AZ,34,0),0)</f>
        <v>#ERROR!</v>
      </c>
      <c r="S820" s="6" t="str">
        <f>ARRAY_CONSTRAIN(ARRAYFORMULA(_xludf.XLOOKUP(D28610,[1]order_Report_SA_ID_BB2.0!V:V,[1]order_Report_SA_ID_BB2.0!AM:AM,"")), 1, 1)</f>
        <v>#ERROR!</v>
      </c>
      <c r="T820" s="6" t="str">
        <f t="shared" si="2"/>
        <v>Dec'25</v>
      </c>
    </row>
    <row r="821" ht="15.75" customHeight="1">
      <c r="A821" s="5">
        <v>46013.0</v>
      </c>
      <c r="B821" s="6">
        <v>118.0</v>
      </c>
      <c r="C821" s="6">
        <v>1.859165395E9</v>
      </c>
      <c r="D821" s="6">
        <v>1645929.0</v>
      </c>
      <c r="E821" s="6" t="s">
        <v>1308</v>
      </c>
      <c r="F821" s="6" t="s">
        <v>1309</v>
      </c>
      <c r="G821" s="6">
        <v>9.632779889E9</v>
      </c>
      <c r="H821" s="6">
        <v>4.014983E7</v>
      </c>
      <c r="I821" s="6" t="s">
        <v>30</v>
      </c>
      <c r="J821" s="6" t="s">
        <v>21</v>
      </c>
      <c r="K821" s="6" t="s">
        <v>22</v>
      </c>
      <c r="L821" s="6">
        <v>56.0</v>
      </c>
      <c r="M821" s="5">
        <v>46013.0</v>
      </c>
      <c r="N821" s="6" t="s">
        <v>23</v>
      </c>
      <c r="O821" s="6" t="str">
        <f>SUMIFS([1]order_sku_sales_bb2_report!P:P,[1]order_sku_sales_bb2_report!H:H,C28611,[1]order_sku_sales_bb2_report!J:J,H28611)</f>
        <v>#ERROR!</v>
      </c>
      <c r="P821" s="6" t="str">
        <f>SUMIFS([1]order_sku_sales_bb2_report!O:O,[1]order_sku_sales_bb2_report!H:H,C28611,[1]order_sku_sales_bb2_report!J:J,H28611)</f>
        <v>#ERROR!</v>
      </c>
      <c r="Q821" s="6" t="str">
        <f t="shared" si="1"/>
        <v>22-12-2025</v>
      </c>
      <c r="R821" s="6" t="str">
        <f>IFERROR( VLOOKUP(C28611,[1]expressOrderReport!$S:$AZ,34,0),0)</f>
        <v>#ERROR!</v>
      </c>
      <c r="S821" s="6" t="str">
        <f>ARRAY_CONSTRAIN(ARRAYFORMULA(_xludf.XLOOKUP(D28611,[1]order_Report_SA_ID_BB2.0!V:V,[1]order_Report_SA_ID_BB2.0!AM:AM,"")), 1, 1)</f>
        <v>#ERROR!</v>
      </c>
      <c r="T821" s="6" t="str">
        <f t="shared" si="2"/>
        <v>Dec'25</v>
      </c>
    </row>
    <row r="822" ht="15.75" customHeight="1">
      <c r="A822" s="5">
        <v>46013.0</v>
      </c>
      <c r="B822" s="6">
        <v>9381.0</v>
      </c>
      <c r="C822" s="6">
        <v>1.859165405E9</v>
      </c>
      <c r="D822" s="6">
        <v>1748217.0</v>
      </c>
      <c r="E822" s="6" t="s">
        <v>1310</v>
      </c>
      <c r="F822" s="6" t="s">
        <v>1311</v>
      </c>
      <c r="G822" s="6">
        <v>9.820065225E9</v>
      </c>
      <c r="H822" s="6">
        <v>4.0090893E7</v>
      </c>
      <c r="I822" s="6" t="s">
        <v>35</v>
      </c>
      <c r="J822" s="6" t="s">
        <v>21</v>
      </c>
      <c r="K822" s="6" t="s">
        <v>22</v>
      </c>
      <c r="L822" s="6">
        <v>66.0</v>
      </c>
      <c r="M822" s="5">
        <v>46013.0</v>
      </c>
      <c r="N822" s="6" t="s">
        <v>23</v>
      </c>
      <c r="O822" s="6" t="str">
        <f>SUMIFS([1]order_sku_sales_bb2_report!P:P,[1]order_sku_sales_bb2_report!H:H,C28612,[1]order_sku_sales_bb2_report!J:J,H28612)</f>
        <v>#ERROR!</v>
      </c>
      <c r="P822" s="6" t="str">
        <f>SUMIFS([1]order_sku_sales_bb2_report!O:O,[1]order_sku_sales_bb2_report!H:H,C28612,[1]order_sku_sales_bb2_report!J:J,H28612)</f>
        <v>#ERROR!</v>
      </c>
      <c r="Q822" s="6" t="str">
        <f t="shared" si="1"/>
        <v>22-12-2025</v>
      </c>
      <c r="R822" s="6" t="str">
        <f>IFERROR( VLOOKUP(C28612,[1]expressOrderReport!$S:$AZ,34,0),0)</f>
        <v>#ERROR!</v>
      </c>
      <c r="S822" s="6" t="str">
        <f>ARRAY_CONSTRAIN(ARRAYFORMULA(_xludf.XLOOKUP(D28612,[1]order_Report_SA_ID_BB2.0!V:V,[1]order_Report_SA_ID_BB2.0!AM:AM,"")), 1, 1)</f>
        <v>#ERROR!</v>
      </c>
      <c r="T822" s="6" t="str">
        <f t="shared" si="2"/>
        <v>Dec'25</v>
      </c>
    </row>
    <row r="823" ht="15.75" customHeight="1">
      <c r="A823" s="5">
        <v>46013.0</v>
      </c>
      <c r="B823" s="6">
        <v>1325.0</v>
      </c>
      <c r="C823" s="6">
        <v>1.859165412E9</v>
      </c>
      <c r="D823" s="6">
        <v>1198232.0</v>
      </c>
      <c r="E823" s="6" t="s">
        <v>1312</v>
      </c>
      <c r="F823" s="6" t="s">
        <v>1313</v>
      </c>
      <c r="G823" s="6">
        <v>8.884580033E9</v>
      </c>
      <c r="H823" s="6">
        <v>4.0149833E7</v>
      </c>
      <c r="I823" s="6" t="s">
        <v>40</v>
      </c>
      <c r="J823" s="6" t="s">
        <v>21</v>
      </c>
      <c r="K823" s="6" t="s">
        <v>22</v>
      </c>
      <c r="L823" s="6">
        <v>81.0</v>
      </c>
      <c r="M823" s="5">
        <v>46013.0</v>
      </c>
      <c r="N823" s="6" t="s">
        <v>23</v>
      </c>
      <c r="O823" s="6" t="str">
        <f>SUMIFS([1]order_sku_sales_bb2_report!P:P,[1]order_sku_sales_bb2_report!H:H,C28613,[1]order_sku_sales_bb2_report!J:J,H28613)</f>
        <v>#ERROR!</v>
      </c>
      <c r="P823" s="6" t="str">
        <f>SUMIFS([1]order_sku_sales_bb2_report!O:O,[1]order_sku_sales_bb2_report!H:H,C28613,[1]order_sku_sales_bb2_report!J:J,H28613)</f>
        <v>#ERROR!</v>
      </c>
      <c r="Q823" s="6" t="str">
        <f t="shared" si="1"/>
        <v>22-12-2025</v>
      </c>
      <c r="R823" s="6" t="str">
        <f>IFERROR( VLOOKUP(C28613,[1]expressOrderReport!$S:$AZ,34,0),0)</f>
        <v>#ERROR!</v>
      </c>
      <c r="S823" s="6" t="str">
        <f>ARRAY_CONSTRAIN(ARRAYFORMULA(_xludf.XLOOKUP(D28613,[1]order_Report_SA_ID_BB2.0!V:V,[1]order_Report_SA_ID_BB2.0!AM:AM,"")), 1, 1)</f>
        <v>#ERROR!</v>
      </c>
      <c r="T823" s="6" t="str">
        <f t="shared" si="2"/>
        <v>Dec'25</v>
      </c>
    </row>
    <row r="824" ht="15.75" customHeight="1">
      <c r="A824" s="5">
        <v>46013.0</v>
      </c>
      <c r="B824" s="6">
        <v>7236.0</v>
      </c>
      <c r="C824" s="6">
        <v>1.859165422E9</v>
      </c>
      <c r="D824" s="6">
        <v>1784168.0</v>
      </c>
      <c r="E824" s="6" t="s">
        <v>1314</v>
      </c>
      <c r="F824" s="6" t="s">
        <v>1315</v>
      </c>
      <c r="G824" s="6">
        <v>9.880446578E9</v>
      </c>
      <c r="H824" s="6">
        <v>4.0149832E7</v>
      </c>
      <c r="I824" s="6" t="s">
        <v>26</v>
      </c>
      <c r="J824" s="6" t="s">
        <v>21</v>
      </c>
      <c r="K824" s="6" t="s">
        <v>22</v>
      </c>
      <c r="L824" s="6">
        <v>24.0</v>
      </c>
      <c r="M824" s="5">
        <v>46013.0</v>
      </c>
      <c r="N824" s="6" t="s">
        <v>23</v>
      </c>
      <c r="O824" s="6" t="str">
        <f>SUMIFS([1]order_sku_sales_bb2_report!P:P,[1]order_sku_sales_bb2_report!H:H,C28614,[1]order_sku_sales_bb2_report!J:J,H28614)</f>
        <v>#ERROR!</v>
      </c>
      <c r="P824" s="6" t="str">
        <f>SUMIFS([1]order_sku_sales_bb2_report!O:O,[1]order_sku_sales_bb2_report!H:H,C28614,[1]order_sku_sales_bb2_report!J:J,H28614)</f>
        <v>#ERROR!</v>
      </c>
      <c r="Q824" s="6" t="str">
        <f t="shared" si="1"/>
        <v>22-12-2025</v>
      </c>
      <c r="R824" s="6" t="str">
        <f>IFERROR( VLOOKUP(C28614,[1]expressOrderReport!$S:$AZ,34,0),0)</f>
        <v>#ERROR!</v>
      </c>
      <c r="S824" s="6" t="str">
        <f>ARRAY_CONSTRAIN(ARRAYFORMULA(_xludf.XLOOKUP(D28614,[1]order_Report_SA_ID_BB2.0!V:V,[1]order_Report_SA_ID_BB2.0!AM:AM,"")), 1, 1)</f>
        <v>#ERROR!</v>
      </c>
      <c r="T824" s="6" t="str">
        <f t="shared" si="2"/>
        <v>Dec'25</v>
      </c>
    </row>
    <row r="825" ht="15.75" customHeight="1">
      <c r="A825" s="5">
        <v>46013.0</v>
      </c>
      <c r="B825" s="6">
        <v>4304.0</v>
      </c>
      <c r="C825" s="6">
        <v>1.859165432E9</v>
      </c>
      <c r="D825" s="6">
        <v>1883020.0</v>
      </c>
      <c r="E825" s="6" t="s">
        <v>1316</v>
      </c>
      <c r="F825" s="6" t="s">
        <v>1317</v>
      </c>
      <c r="G825" s="6">
        <v>9.740289835E9</v>
      </c>
      <c r="H825" s="6">
        <v>4.0147597E7</v>
      </c>
      <c r="I825" s="6" t="s">
        <v>59</v>
      </c>
      <c r="J825" s="6" t="s">
        <v>21</v>
      </c>
      <c r="K825" s="6" t="s">
        <v>22</v>
      </c>
      <c r="L825" s="6">
        <v>52.0</v>
      </c>
      <c r="M825" s="5">
        <v>46013.0</v>
      </c>
      <c r="N825" s="6" t="s">
        <v>23</v>
      </c>
      <c r="O825" s="6" t="str">
        <f>SUMIFS([1]order_sku_sales_bb2_report!P:P,[1]order_sku_sales_bb2_report!H:H,C28615,[1]order_sku_sales_bb2_report!J:J,H28615)</f>
        <v>#ERROR!</v>
      </c>
      <c r="P825" s="6" t="str">
        <f>SUMIFS([1]order_sku_sales_bb2_report!O:O,[1]order_sku_sales_bb2_report!H:H,C28615,[1]order_sku_sales_bb2_report!J:J,H28615)</f>
        <v>#ERROR!</v>
      </c>
      <c r="Q825" s="6" t="str">
        <f t="shared" si="1"/>
        <v>22-12-2025</v>
      </c>
      <c r="R825" s="6" t="str">
        <f>IFERROR( VLOOKUP(C28615,[1]expressOrderReport!$S:$AZ,34,0),0)</f>
        <v>#ERROR!</v>
      </c>
      <c r="S825" s="6" t="str">
        <f>ARRAY_CONSTRAIN(ARRAYFORMULA(_xludf.XLOOKUP(D28615,[1]order_Report_SA_ID_BB2.0!V:V,[1]order_Report_SA_ID_BB2.0!AM:AM,"")), 1, 1)</f>
        <v>#ERROR!</v>
      </c>
      <c r="T825" s="6" t="str">
        <f t="shared" si="2"/>
        <v>Dec'25</v>
      </c>
    </row>
    <row r="826" ht="15.75" customHeight="1">
      <c r="A826" s="5">
        <v>46013.0</v>
      </c>
      <c r="B826" s="6">
        <v>9437.0</v>
      </c>
      <c r="C826" s="6">
        <v>1.859165442E9</v>
      </c>
      <c r="D826" s="6">
        <v>1851228.0</v>
      </c>
      <c r="E826" s="6" t="s">
        <v>1318</v>
      </c>
      <c r="F826" s="6" t="s">
        <v>1319</v>
      </c>
      <c r="G826" s="6">
        <v>9.448204031E9</v>
      </c>
      <c r="H826" s="6">
        <v>4.0158264E7</v>
      </c>
      <c r="I826" s="6" t="s">
        <v>26</v>
      </c>
      <c r="J826" s="6" t="s">
        <v>21</v>
      </c>
      <c r="K826" s="6" t="s">
        <v>22</v>
      </c>
      <c r="L826" s="6">
        <v>46.0</v>
      </c>
      <c r="M826" s="5">
        <v>46013.0</v>
      </c>
      <c r="N826" s="6" t="s">
        <v>23</v>
      </c>
      <c r="O826" s="6" t="str">
        <f>SUMIFS([1]order_sku_sales_bb2_report!P:P,[1]order_sku_sales_bb2_report!H:H,C28616,[1]order_sku_sales_bb2_report!J:J,H28616)</f>
        <v>#ERROR!</v>
      </c>
      <c r="P826" s="6" t="str">
        <f>SUMIFS([1]order_sku_sales_bb2_report!O:O,[1]order_sku_sales_bb2_report!H:H,C28616,[1]order_sku_sales_bb2_report!J:J,H28616)</f>
        <v>#ERROR!</v>
      </c>
      <c r="Q826" s="6" t="str">
        <f t="shared" si="1"/>
        <v>22-12-2025</v>
      </c>
      <c r="R826" s="6" t="str">
        <f>IFERROR( VLOOKUP(C28616,[1]expressOrderReport!$S:$AZ,34,0),0)</f>
        <v>#ERROR!</v>
      </c>
      <c r="S826" s="6" t="str">
        <f>ARRAY_CONSTRAIN(ARRAYFORMULA(_xludf.XLOOKUP(D28616,[1]order_Report_SA_ID_BB2.0!V:V,[1]order_Report_SA_ID_BB2.0!AM:AM,"")), 1, 1)</f>
        <v>#ERROR!</v>
      </c>
      <c r="T826" s="6" t="str">
        <f t="shared" si="2"/>
        <v>Dec'25</v>
      </c>
    </row>
    <row r="827" ht="15.75" customHeight="1">
      <c r="A827" s="5">
        <v>46013.0</v>
      </c>
      <c r="B827" s="6">
        <v>9157.0</v>
      </c>
      <c r="C827" s="6">
        <v>1.859165451E9</v>
      </c>
      <c r="D827" s="6">
        <v>1907809.0</v>
      </c>
      <c r="E827" s="6" t="s">
        <v>1320</v>
      </c>
      <c r="F827" s="6" t="s">
        <v>1321</v>
      </c>
      <c r="G827" s="6">
        <v>9.986076011E9</v>
      </c>
      <c r="H827" s="6">
        <v>4.0148717E7</v>
      </c>
      <c r="I827" s="6" t="s">
        <v>226</v>
      </c>
      <c r="J827" s="6" t="s">
        <v>21</v>
      </c>
      <c r="K827" s="6" t="s">
        <v>22</v>
      </c>
      <c r="L827" s="6">
        <v>106.0</v>
      </c>
      <c r="M827" s="5">
        <v>46013.0</v>
      </c>
      <c r="N827" s="6" t="s">
        <v>23</v>
      </c>
      <c r="O827" s="6" t="str">
        <f>SUMIFS([1]order_sku_sales_bb2_report!P:P,[1]order_sku_sales_bb2_report!H:H,C28617,[1]order_sku_sales_bb2_report!J:J,H28617)</f>
        <v>#ERROR!</v>
      </c>
      <c r="P827" s="6" t="str">
        <f>SUMIFS([1]order_sku_sales_bb2_report!O:O,[1]order_sku_sales_bb2_report!H:H,C28617,[1]order_sku_sales_bb2_report!J:J,H28617)</f>
        <v>#ERROR!</v>
      </c>
      <c r="Q827" s="6" t="str">
        <f t="shared" si="1"/>
        <v>22-12-2025</v>
      </c>
      <c r="R827" s="6" t="str">
        <f>IFERROR( VLOOKUP(C28617,[1]expressOrderReport!$S:$AZ,34,0),0)</f>
        <v>#ERROR!</v>
      </c>
      <c r="S827" s="6" t="str">
        <f>ARRAY_CONSTRAIN(ARRAYFORMULA(_xludf.XLOOKUP(D28617,[1]order_Report_SA_ID_BB2.0!V:V,[1]order_Report_SA_ID_BB2.0!AM:AM,"")), 1, 1)</f>
        <v>#ERROR!</v>
      </c>
      <c r="T827" s="6" t="str">
        <f t="shared" si="2"/>
        <v>Dec'25</v>
      </c>
    </row>
    <row r="828" ht="15.75" customHeight="1">
      <c r="A828" s="5">
        <v>46013.0</v>
      </c>
      <c r="B828" s="6">
        <v>9785.0</v>
      </c>
      <c r="C828" s="6">
        <v>1.859165469E9</v>
      </c>
      <c r="D828" s="6">
        <v>1860681.0</v>
      </c>
      <c r="E828" s="6" t="s">
        <v>1322</v>
      </c>
      <c r="F828" s="6" t="s">
        <v>1323</v>
      </c>
      <c r="G828" s="6">
        <v>9.90069066E9</v>
      </c>
      <c r="H828" s="6">
        <v>4.0149833E7</v>
      </c>
      <c r="I828" s="6" t="s">
        <v>40</v>
      </c>
      <c r="J828" s="6" t="s">
        <v>21</v>
      </c>
      <c r="K828" s="6" t="s">
        <v>22</v>
      </c>
      <c r="L828" s="6">
        <v>54.0</v>
      </c>
      <c r="M828" s="5">
        <v>46013.0</v>
      </c>
      <c r="N828" s="6" t="s">
        <v>23</v>
      </c>
      <c r="O828" s="6" t="str">
        <f>SUMIFS([1]order_sku_sales_bb2_report!P:P,[1]order_sku_sales_bb2_report!H:H,C28619,[1]order_sku_sales_bb2_report!J:J,H28619)</f>
        <v>#ERROR!</v>
      </c>
      <c r="P828" s="6" t="str">
        <f>SUMIFS([1]order_sku_sales_bb2_report!O:O,[1]order_sku_sales_bb2_report!H:H,C28619,[1]order_sku_sales_bb2_report!J:J,H28619)</f>
        <v>#ERROR!</v>
      </c>
      <c r="Q828" s="6" t="str">
        <f t="shared" si="1"/>
        <v>22-12-2025</v>
      </c>
      <c r="R828" s="6" t="str">
        <f>IFERROR( VLOOKUP(C28619,[1]expressOrderReport!$S:$AZ,34,0),0)</f>
        <v>#ERROR!</v>
      </c>
      <c r="S828" s="6" t="str">
        <f>ARRAY_CONSTRAIN(ARRAYFORMULA(_xludf.XLOOKUP(D28619,[1]order_Report_SA_ID_BB2.0!V:V,[1]order_Report_SA_ID_BB2.0!AM:AM,"")), 1, 1)</f>
        <v>#ERROR!</v>
      </c>
      <c r="T828" s="6" t="str">
        <f t="shared" si="2"/>
        <v>Dec'25</v>
      </c>
    </row>
    <row r="829" ht="15.75" customHeight="1">
      <c r="A829" s="5">
        <v>46013.0</v>
      </c>
      <c r="B829" s="6">
        <v>10901.0</v>
      </c>
      <c r="C829" s="6">
        <v>1.859165476E9</v>
      </c>
      <c r="D829" s="6">
        <v>2012335.0</v>
      </c>
      <c r="E829" s="6" t="s">
        <v>1324</v>
      </c>
      <c r="F829" s="6" t="s">
        <v>1325</v>
      </c>
      <c r="G829" s="6">
        <v>8.884965058E9</v>
      </c>
      <c r="H829" s="6">
        <v>4.014983E7</v>
      </c>
      <c r="I829" s="6" t="s">
        <v>30</v>
      </c>
      <c r="J829" s="6" t="s">
        <v>21</v>
      </c>
      <c r="K829" s="6" t="s">
        <v>22</v>
      </c>
      <c r="L829" s="6">
        <v>54.0</v>
      </c>
      <c r="M829" s="5">
        <v>46013.0</v>
      </c>
      <c r="N829" s="6" t="s">
        <v>23</v>
      </c>
      <c r="O829" s="6" t="str">
        <f>SUMIFS([1]order_sku_sales_bb2_report!P:P,[1]order_sku_sales_bb2_report!H:H,C28620,[1]order_sku_sales_bb2_report!J:J,H28620)</f>
        <v>#ERROR!</v>
      </c>
      <c r="P829" s="6" t="str">
        <f>SUMIFS([1]order_sku_sales_bb2_report!O:O,[1]order_sku_sales_bb2_report!H:H,C28620,[1]order_sku_sales_bb2_report!J:J,H28620)</f>
        <v>#ERROR!</v>
      </c>
      <c r="Q829" s="6" t="str">
        <f t="shared" si="1"/>
        <v>22-12-2025</v>
      </c>
      <c r="R829" s="6" t="str">
        <f>IFERROR( VLOOKUP(C28620,[1]expressOrderReport!$S:$AZ,34,0),0)</f>
        <v>#ERROR!</v>
      </c>
      <c r="S829" s="6" t="str">
        <f>ARRAY_CONSTRAIN(ARRAYFORMULA(_xludf.XLOOKUP(D28620,[1]order_Report_SA_ID_BB2.0!V:V,[1]order_Report_SA_ID_BB2.0!AM:AM,"")), 1, 1)</f>
        <v>#ERROR!</v>
      </c>
      <c r="T829" s="6" t="str">
        <f t="shared" si="2"/>
        <v>Dec'25</v>
      </c>
    </row>
    <row r="830" ht="15.75" customHeight="1">
      <c r="A830" s="5">
        <v>46013.0</v>
      </c>
      <c r="B830" s="6">
        <v>10902.0</v>
      </c>
      <c r="C830" s="6">
        <v>1.859165476E9</v>
      </c>
      <c r="D830" s="6">
        <v>2012335.0</v>
      </c>
      <c r="E830" s="6" t="s">
        <v>1324</v>
      </c>
      <c r="F830" s="6" t="s">
        <v>1325</v>
      </c>
      <c r="G830" s="6">
        <v>8.884965058E9</v>
      </c>
      <c r="H830" s="6">
        <v>4.0149833E7</v>
      </c>
      <c r="I830" s="6" t="s">
        <v>40</v>
      </c>
      <c r="J830" s="6" t="s">
        <v>21</v>
      </c>
      <c r="K830" s="6" t="s">
        <v>22</v>
      </c>
      <c r="L830" s="6">
        <v>54.0</v>
      </c>
      <c r="M830" s="5">
        <v>46013.0</v>
      </c>
      <c r="N830" s="6" t="s">
        <v>23</v>
      </c>
      <c r="O830" s="6" t="str">
        <f>SUMIFS([1]order_sku_sales_bb2_report!P:P,[1]order_sku_sales_bb2_report!H:H,C28621,[1]order_sku_sales_bb2_report!J:J,H28621)</f>
        <v>#ERROR!</v>
      </c>
      <c r="P830" s="6" t="str">
        <f>SUMIFS([1]order_sku_sales_bb2_report!O:O,[1]order_sku_sales_bb2_report!H:H,C28621,[1]order_sku_sales_bb2_report!J:J,H28621)</f>
        <v>#ERROR!</v>
      </c>
      <c r="Q830" s="6" t="str">
        <f t="shared" si="1"/>
        <v>22-12-2025</v>
      </c>
      <c r="R830" s="6" t="str">
        <f>IFERROR( VLOOKUP(C28621,[1]expressOrderReport!$S:$AZ,34,0),0)</f>
        <v>#ERROR!</v>
      </c>
      <c r="S830" s="6" t="str">
        <f>ARRAY_CONSTRAIN(ARRAYFORMULA(_xludf.XLOOKUP(D28621,[1]order_Report_SA_ID_BB2.0!V:V,[1]order_Report_SA_ID_BB2.0!AM:AM,"")), 1, 1)</f>
        <v>#ERROR!</v>
      </c>
      <c r="T830" s="6" t="str">
        <f t="shared" si="2"/>
        <v>Dec'25</v>
      </c>
    </row>
    <row r="831" ht="15.75" customHeight="1">
      <c r="A831" s="5">
        <v>46013.0</v>
      </c>
      <c r="B831" s="6">
        <v>1579.0</v>
      </c>
      <c r="C831" s="6">
        <v>1.859165484E9</v>
      </c>
      <c r="D831" s="6">
        <v>2024285.0</v>
      </c>
      <c r="E831" s="6" t="s">
        <v>1326</v>
      </c>
      <c r="F831" s="6" t="s">
        <v>1327</v>
      </c>
      <c r="G831" s="6">
        <v>9.791057428E9</v>
      </c>
      <c r="H831" s="6">
        <v>4.0147597E7</v>
      </c>
      <c r="I831" s="6" t="s">
        <v>59</v>
      </c>
      <c r="J831" s="6" t="s">
        <v>21</v>
      </c>
      <c r="K831" s="6" t="s">
        <v>22</v>
      </c>
      <c r="L831" s="6">
        <v>26.0</v>
      </c>
      <c r="M831" s="5">
        <v>46013.0</v>
      </c>
      <c r="N831" s="6" t="s">
        <v>23</v>
      </c>
      <c r="O831" s="6" t="str">
        <f>SUMIFS([1]order_sku_sales_bb2_report!P:P,[1]order_sku_sales_bb2_report!H:H,C28622,[1]order_sku_sales_bb2_report!J:J,H28622)</f>
        <v>#ERROR!</v>
      </c>
      <c r="P831" s="6" t="str">
        <f>SUMIFS([1]order_sku_sales_bb2_report!O:O,[1]order_sku_sales_bb2_report!H:H,C28622,[1]order_sku_sales_bb2_report!J:J,H28622)</f>
        <v>#ERROR!</v>
      </c>
      <c r="Q831" s="6" t="str">
        <f t="shared" si="1"/>
        <v>22-12-2025</v>
      </c>
      <c r="R831" s="6" t="str">
        <f>IFERROR( VLOOKUP(C28622,[1]expressOrderReport!$S:$AZ,34,0),0)</f>
        <v>#ERROR!</v>
      </c>
      <c r="S831" s="6" t="str">
        <f>ARRAY_CONSTRAIN(ARRAYFORMULA(_xludf.XLOOKUP(D28622,[1]order_Report_SA_ID_BB2.0!V:V,[1]order_Report_SA_ID_BB2.0!AM:AM,"")), 1, 1)</f>
        <v>#ERROR!</v>
      </c>
      <c r="T831" s="6" t="str">
        <f t="shared" si="2"/>
        <v>Dec'25</v>
      </c>
    </row>
    <row r="832" ht="15.75" customHeight="1">
      <c r="A832" s="5">
        <v>46013.0</v>
      </c>
      <c r="B832" s="6">
        <v>8194.0</v>
      </c>
      <c r="C832" s="6">
        <v>1.859165493E9</v>
      </c>
      <c r="D832" s="6">
        <v>2035657.0</v>
      </c>
      <c r="E832" s="6" t="s">
        <v>1328</v>
      </c>
      <c r="F832" s="6" t="s">
        <v>1329</v>
      </c>
      <c r="G832" s="6">
        <v>9.945364612E9</v>
      </c>
      <c r="H832" s="6">
        <v>1.0000093E7</v>
      </c>
      <c r="I832" s="6" t="s">
        <v>1330</v>
      </c>
      <c r="J832" s="6" t="s">
        <v>21</v>
      </c>
      <c r="K832" s="6" t="s">
        <v>22</v>
      </c>
      <c r="L832" s="6">
        <v>158.76</v>
      </c>
      <c r="M832" s="5">
        <v>46013.0</v>
      </c>
      <c r="N832" s="6" t="s">
        <v>23</v>
      </c>
      <c r="O832" s="6" t="str">
        <f>SUMIFS([1]order_sku_sales_bb2_report!P:P,[1]order_sku_sales_bb2_report!H:H,C28623,[1]order_sku_sales_bb2_report!J:J,H28623)</f>
        <v>#ERROR!</v>
      </c>
      <c r="P832" s="6" t="str">
        <f>SUMIFS([1]order_sku_sales_bb2_report!O:O,[1]order_sku_sales_bb2_report!H:H,C28623,[1]order_sku_sales_bb2_report!J:J,H28623)</f>
        <v>#ERROR!</v>
      </c>
      <c r="Q832" s="6" t="str">
        <f t="shared" si="1"/>
        <v>22-12-2025</v>
      </c>
      <c r="R832" s="6" t="str">
        <f>IFERROR( VLOOKUP(C28623,[1]expressOrderReport!$S:$AZ,34,0),0)</f>
        <v>#ERROR!</v>
      </c>
      <c r="S832" s="6" t="str">
        <f>ARRAY_CONSTRAIN(ARRAYFORMULA(_xludf.XLOOKUP(D28623,[1]order_Report_SA_ID_BB2.0!V:V,[1]order_Report_SA_ID_BB2.0!AM:AM,"")), 1, 1)</f>
        <v>#ERROR!</v>
      </c>
      <c r="T832" s="6" t="str">
        <f t="shared" si="2"/>
        <v>Dec'25</v>
      </c>
    </row>
    <row r="833" ht="15.75" customHeight="1">
      <c r="A833" s="5">
        <v>46013.0</v>
      </c>
      <c r="B833" s="6">
        <v>8200.0</v>
      </c>
      <c r="C833" s="6">
        <v>1.859165493E9</v>
      </c>
      <c r="D833" s="6">
        <v>2035657.0</v>
      </c>
      <c r="E833" s="6" t="s">
        <v>1328</v>
      </c>
      <c r="F833" s="6" t="s">
        <v>1329</v>
      </c>
      <c r="G833" s="6">
        <v>9.945364612E9</v>
      </c>
      <c r="H833" s="6">
        <v>2.0001186E7</v>
      </c>
      <c r="I833" s="6" t="s">
        <v>430</v>
      </c>
      <c r="J833" s="6" t="s">
        <v>21</v>
      </c>
      <c r="K833" s="6" t="s">
        <v>22</v>
      </c>
      <c r="L833" s="6">
        <v>158.76</v>
      </c>
      <c r="M833" s="5">
        <v>46013.0</v>
      </c>
      <c r="N833" s="6" t="s">
        <v>23</v>
      </c>
      <c r="O833" s="6" t="str">
        <f>SUMIFS([1]order_sku_sales_bb2_report!P:P,[1]order_sku_sales_bb2_report!H:H,C28624,[1]order_sku_sales_bb2_report!J:J,H28624)</f>
        <v>#ERROR!</v>
      </c>
      <c r="P833" s="6" t="str">
        <f>SUMIFS([1]order_sku_sales_bb2_report!O:O,[1]order_sku_sales_bb2_report!H:H,C28624,[1]order_sku_sales_bb2_report!J:J,H28624)</f>
        <v>#ERROR!</v>
      </c>
      <c r="Q833" s="6" t="str">
        <f t="shared" si="1"/>
        <v>22-12-2025</v>
      </c>
      <c r="R833" s="6" t="str">
        <f>IFERROR( VLOOKUP(C28624,[1]expressOrderReport!$S:$AZ,34,0),0)</f>
        <v>#ERROR!</v>
      </c>
      <c r="S833" s="6" t="str">
        <f>ARRAY_CONSTRAIN(ARRAYFORMULA(_xludf.XLOOKUP(D28624,[1]order_Report_SA_ID_BB2.0!V:V,[1]order_Report_SA_ID_BB2.0!AM:AM,"")), 1, 1)</f>
        <v>#ERROR!</v>
      </c>
      <c r="T833" s="6" t="str">
        <f t="shared" si="2"/>
        <v>Dec'25</v>
      </c>
    </row>
    <row r="834" ht="15.75" customHeight="1">
      <c r="A834" s="5">
        <v>46013.0</v>
      </c>
      <c r="B834" s="6">
        <v>1767.0</v>
      </c>
      <c r="C834" s="6">
        <v>1.859165504E9</v>
      </c>
      <c r="D834" s="6">
        <v>2067257.0</v>
      </c>
      <c r="E834" s="6" t="s">
        <v>1331</v>
      </c>
      <c r="F834" s="6" t="s">
        <v>1332</v>
      </c>
      <c r="G834" s="6">
        <v>9.840060226E9</v>
      </c>
      <c r="H834" s="6">
        <v>4.0148723E7</v>
      </c>
      <c r="I834" s="6" t="s">
        <v>69</v>
      </c>
      <c r="J834" s="6" t="s">
        <v>21</v>
      </c>
      <c r="K834" s="6" t="s">
        <v>22</v>
      </c>
      <c r="L834" s="6">
        <v>84.0</v>
      </c>
      <c r="M834" s="5">
        <v>46013.0</v>
      </c>
      <c r="N834" s="6" t="s">
        <v>23</v>
      </c>
      <c r="O834" s="6" t="str">
        <f>SUMIFS([1]order_sku_sales_bb2_report!P:P,[1]order_sku_sales_bb2_report!H:H,C28625,[1]order_sku_sales_bb2_report!J:J,H28625)</f>
        <v>#ERROR!</v>
      </c>
      <c r="P834" s="6" t="str">
        <f>SUMIFS([1]order_sku_sales_bb2_report!O:O,[1]order_sku_sales_bb2_report!H:H,C28625,[1]order_sku_sales_bb2_report!J:J,H28625)</f>
        <v>#ERROR!</v>
      </c>
      <c r="Q834" s="6" t="str">
        <f t="shared" si="1"/>
        <v>22-12-2025</v>
      </c>
      <c r="R834" s="6" t="str">
        <f>IFERROR( VLOOKUP(C28625,[1]expressOrderReport!$S:$AZ,34,0),0)</f>
        <v>#ERROR!</v>
      </c>
      <c r="S834" s="6" t="str">
        <f>ARRAY_CONSTRAIN(ARRAYFORMULA(_xludf.XLOOKUP(D28625,[1]order_Report_SA_ID_BB2.0!V:V,[1]order_Report_SA_ID_BB2.0!AM:AM,"")), 1, 1)</f>
        <v>#ERROR!</v>
      </c>
      <c r="T834" s="6" t="str">
        <f t="shared" si="2"/>
        <v>Dec'25</v>
      </c>
    </row>
    <row r="835" ht="15.75" customHeight="1">
      <c r="A835" s="5">
        <v>46013.0</v>
      </c>
      <c r="B835" s="6">
        <v>7460.0</v>
      </c>
      <c r="C835" s="6">
        <v>1.859165514E9</v>
      </c>
      <c r="D835" s="6">
        <v>2090085.0</v>
      </c>
      <c r="E835" s="6" t="s">
        <v>1333</v>
      </c>
      <c r="F835" s="6" t="s">
        <v>1334</v>
      </c>
      <c r="G835" s="6">
        <v>9.845458112E9</v>
      </c>
      <c r="H835" s="6">
        <v>4.023878E7</v>
      </c>
      <c r="I835" s="6" t="s">
        <v>1335</v>
      </c>
      <c r="J835" s="6" t="s">
        <v>21</v>
      </c>
      <c r="K835" s="6" t="s">
        <v>22</v>
      </c>
      <c r="L835" s="6">
        <v>27.0</v>
      </c>
      <c r="M835" s="5">
        <v>46013.0</v>
      </c>
      <c r="N835" s="6" t="s">
        <v>23</v>
      </c>
      <c r="O835" s="6" t="str">
        <f>SUMIFS([1]order_sku_sales_bb2_report!P:P,[1]order_sku_sales_bb2_report!H:H,C28626,[1]order_sku_sales_bb2_report!J:J,H28626)</f>
        <v>#ERROR!</v>
      </c>
      <c r="P835" s="6" t="str">
        <f>SUMIFS([1]order_sku_sales_bb2_report!O:O,[1]order_sku_sales_bb2_report!H:H,C28626,[1]order_sku_sales_bb2_report!J:J,H28626)</f>
        <v>#ERROR!</v>
      </c>
      <c r="Q835" s="6" t="str">
        <f t="shared" si="1"/>
        <v>22-12-2025</v>
      </c>
      <c r="R835" s="6" t="str">
        <f>IFERROR( VLOOKUP(C28626,[1]expressOrderReport!$S:$AZ,34,0),0)</f>
        <v>#ERROR!</v>
      </c>
      <c r="S835" s="6" t="str">
        <f>ARRAY_CONSTRAIN(ARRAYFORMULA(_xludf.XLOOKUP(D28626,[1]order_Report_SA_ID_BB2.0!V:V,[1]order_Report_SA_ID_BB2.0!AM:AM,"")), 1, 1)</f>
        <v>#ERROR!</v>
      </c>
      <c r="T835" s="6" t="str">
        <f t="shared" si="2"/>
        <v>Dec'25</v>
      </c>
    </row>
    <row r="836" ht="15.75" customHeight="1">
      <c r="A836" s="5">
        <v>46013.0</v>
      </c>
      <c r="B836" s="6">
        <v>7462.0</v>
      </c>
      <c r="C836" s="6">
        <v>1.859165514E9</v>
      </c>
      <c r="D836" s="6">
        <v>2090085.0</v>
      </c>
      <c r="E836" s="6" t="s">
        <v>1333</v>
      </c>
      <c r="F836" s="6" t="s">
        <v>1334</v>
      </c>
      <c r="G836" s="6">
        <v>9.845458112E9</v>
      </c>
      <c r="H836" s="6">
        <v>4.0238784E7</v>
      </c>
      <c r="I836" s="6" t="s">
        <v>1336</v>
      </c>
      <c r="J836" s="6" t="s">
        <v>21</v>
      </c>
      <c r="K836" s="6" t="s">
        <v>22</v>
      </c>
      <c r="L836" s="6">
        <v>27.0</v>
      </c>
      <c r="M836" s="5">
        <v>46013.0</v>
      </c>
      <c r="N836" s="6" t="s">
        <v>23</v>
      </c>
      <c r="O836" s="6" t="str">
        <f>SUMIFS([1]order_sku_sales_bb2_report!P:P,[1]order_sku_sales_bb2_report!H:H,C28627,[1]order_sku_sales_bb2_report!J:J,H28627)</f>
        <v>#ERROR!</v>
      </c>
      <c r="P836" s="6" t="str">
        <f>SUMIFS([1]order_sku_sales_bb2_report!O:O,[1]order_sku_sales_bb2_report!H:H,C28627,[1]order_sku_sales_bb2_report!J:J,H28627)</f>
        <v>#ERROR!</v>
      </c>
      <c r="Q836" s="6" t="str">
        <f t="shared" si="1"/>
        <v>22-12-2025</v>
      </c>
      <c r="R836" s="6" t="str">
        <f>IFERROR( VLOOKUP(C28627,[1]expressOrderReport!$S:$AZ,34,0),0)</f>
        <v>#ERROR!</v>
      </c>
      <c r="S836" s="6" t="str">
        <f>ARRAY_CONSTRAIN(ARRAYFORMULA(_xludf.XLOOKUP(D28627,[1]order_Report_SA_ID_BB2.0!V:V,[1]order_Report_SA_ID_BB2.0!AM:AM,"")), 1, 1)</f>
        <v>#ERROR!</v>
      </c>
      <c r="T836" s="6" t="str">
        <f t="shared" si="2"/>
        <v>Dec'25</v>
      </c>
    </row>
    <row r="837" ht="15.75" customHeight="1">
      <c r="A837" s="5">
        <v>46013.0</v>
      </c>
      <c r="B837" s="6">
        <v>7463.0</v>
      </c>
      <c r="C837" s="6">
        <v>1.859165514E9</v>
      </c>
      <c r="D837" s="6">
        <v>2090085.0</v>
      </c>
      <c r="E837" s="6" t="s">
        <v>1333</v>
      </c>
      <c r="F837" s="6" t="s">
        <v>1334</v>
      </c>
      <c r="G837" s="6">
        <v>9.845458112E9</v>
      </c>
      <c r="H837" s="6">
        <v>4.0149833E7</v>
      </c>
      <c r="I837" s="6" t="s">
        <v>40</v>
      </c>
      <c r="J837" s="6" t="s">
        <v>21</v>
      </c>
      <c r="K837" s="6" t="s">
        <v>22</v>
      </c>
      <c r="L837" s="6">
        <v>27.0</v>
      </c>
      <c r="M837" s="5">
        <v>46013.0</v>
      </c>
      <c r="N837" s="6" t="s">
        <v>23</v>
      </c>
      <c r="O837" s="6" t="str">
        <f>SUMIFS([1]order_sku_sales_bb2_report!P:P,[1]order_sku_sales_bb2_report!H:H,C28628,[1]order_sku_sales_bb2_report!J:J,H28628)</f>
        <v>#ERROR!</v>
      </c>
      <c r="P837" s="6" t="str">
        <f>SUMIFS([1]order_sku_sales_bb2_report!O:O,[1]order_sku_sales_bb2_report!H:H,C28628,[1]order_sku_sales_bb2_report!J:J,H28628)</f>
        <v>#ERROR!</v>
      </c>
      <c r="Q837" s="6" t="str">
        <f t="shared" si="1"/>
        <v>22-12-2025</v>
      </c>
      <c r="R837" s="6" t="str">
        <f>IFERROR( VLOOKUP(C28628,[1]expressOrderReport!$S:$AZ,34,0),0)</f>
        <v>#ERROR!</v>
      </c>
      <c r="S837" s="6" t="str">
        <f>ARRAY_CONSTRAIN(ARRAYFORMULA(_xludf.XLOOKUP(D28628,[1]order_Report_SA_ID_BB2.0!V:V,[1]order_Report_SA_ID_BB2.0!AM:AM,"")), 1, 1)</f>
        <v>#ERROR!</v>
      </c>
      <c r="T837" s="6" t="str">
        <f t="shared" si="2"/>
        <v>Dec'25</v>
      </c>
    </row>
    <row r="838" ht="15.75" customHeight="1">
      <c r="A838" s="5">
        <v>46013.0</v>
      </c>
      <c r="B838" s="6">
        <v>9967.0</v>
      </c>
      <c r="C838" s="6">
        <v>1.859165527E9</v>
      </c>
      <c r="D838" s="6">
        <v>2134990.0</v>
      </c>
      <c r="E838" s="6" t="s">
        <v>1337</v>
      </c>
      <c r="F838" s="6" t="s">
        <v>1338</v>
      </c>
      <c r="G838" s="6">
        <v>9.611618781E9</v>
      </c>
      <c r="H838" s="6">
        <v>4.0149832E7</v>
      </c>
      <c r="I838" s="6" t="s">
        <v>26</v>
      </c>
      <c r="J838" s="6" t="s">
        <v>21</v>
      </c>
      <c r="K838" s="6" t="s">
        <v>22</v>
      </c>
      <c r="L838" s="6">
        <v>74.0</v>
      </c>
      <c r="M838" s="5">
        <v>46013.0</v>
      </c>
      <c r="N838" s="6" t="s">
        <v>23</v>
      </c>
      <c r="O838" s="6" t="str">
        <f>SUMIFS([1]order_sku_sales_bb2_report!P:P,[1]order_sku_sales_bb2_report!H:H,C28629,[1]order_sku_sales_bb2_report!J:J,H28629)</f>
        <v>#ERROR!</v>
      </c>
      <c r="P838" s="6" t="str">
        <f>SUMIFS([1]order_sku_sales_bb2_report!O:O,[1]order_sku_sales_bb2_report!H:H,C28629,[1]order_sku_sales_bb2_report!J:J,H28629)</f>
        <v>#ERROR!</v>
      </c>
      <c r="Q838" s="6" t="str">
        <f t="shared" si="1"/>
        <v>22-12-2025</v>
      </c>
      <c r="R838" s="6" t="str">
        <f>IFERROR( VLOOKUP(C28629,[1]expressOrderReport!$S:$AZ,34,0),0)</f>
        <v>#ERROR!</v>
      </c>
      <c r="S838" s="6" t="str">
        <f>ARRAY_CONSTRAIN(ARRAYFORMULA(_xludf.XLOOKUP(D28629,[1]order_Report_SA_ID_BB2.0!V:V,[1]order_Report_SA_ID_BB2.0!AM:AM,"")), 1, 1)</f>
        <v>#ERROR!</v>
      </c>
      <c r="T838" s="6" t="str">
        <f t="shared" si="2"/>
        <v>Dec'25</v>
      </c>
    </row>
    <row r="839" ht="15.75" customHeight="1">
      <c r="A839" s="5">
        <v>46013.0</v>
      </c>
      <c r="B839" s="6">
        <v>10073.0</v>
      </c>
      <c r="C839" s="6">
        <v>1.859165527E9</v>
      </c>
      <c r="D839" s="6">
        <v>2134990.0</v>
      </c>
      <c r="E839" s="6" t="s">
        <v>1337</v>
      </c>
      <c r="F839" s="6" t="s">
        <v>1338</v>
      </c>
      <c r="G839" s="6">
        <v>9.611618781E9</v>
      </c>
      <c r="H839" s="6">
        <v>4.0332424E7</v>
      </c>
      <c r="I839" s="6" t="s">
        <v>110</v>
      </c>
      <c r="J839" s="6" t="s">
        <v>21</v>
      </c>
      <c r="K839" s="6" t="s">
        <v>22</v>
      </c>
      <c r="L839" s="6">
        <v>74.0</v>
      </c>
      <c r="M839" s="5">
        <v>46013.0</v>
      </c>
      <c r="N839" s="6" t="s">
        <v>23</v>
      </c>
      <c r="O839" s="6" t="str">
        <f>SUMIFS([1]order_sku_sales_bb2_report!P:P,[1]order_sku_sales_bb2_report!H:H,C28630,[1]order_sku_sales_bb2_report!J:J,H28630)</f>
        <v>#ERROR!</v>
      </c>
      <c r="P839" s="6" t="str">
        <f>SUMIFS([1]order_sku_sales_bb2_report!O:O,[1]order_sku_sales_bb2_report!H:H,C28630,[1]order_sku_sales_bb2_report!J:J,H28630)</f>
        <v>#ERROR!</v>
      </c>
      <c r="Q839" s="6" t="str">
        <f t="shared" si="1"/>
        <v>22-12-2025</v>
      </c>
      <c r="R839" s="6" t="str">
        <f>IFERROR( VLOOKUP(C28630,[1]expressOrderReport!$S:$AZ,34,0),0)</f>
        <v>#ERROR!</v>
      </c>
      <c r="S839" s="6" t="str">
        <f>ARRAY_CONSTRAIN(ARRAYFORMULA(_xludf.XLOOKUP(D28630,[1]order_Report_SA_ID_BB2.0!V:V,[1]order_Report_SA_ID_BB2.0!AM:AM,"")), 1, 1)</f>
        <v>#ERROR!</v>
      </c>
      <c r="T839" s="6" t="str">
        <f t="shared" si="2"/>
        <v>Dec'25</v>
      </c>
    </row>
    <row r="840" ht="15.75" customHeight="1">
      <c r="A840" s="5">
        <v>46013.0</v>
      </c>
      <c r="B840" s="6">
        <v>9250.0</v>
      </c>
      <c r="C840" s="6">
        <v>1.859165533E9</v>
      </c>
      <c r="D840" s="6">
        <v>2197357.0</v>
      </c>
      <c r="E840" s="6" t="s">
        <v>1339</v>
      </c>
      <c r="F840" s="6" t="s">
        <v>1340</v>
      </c>
      <c r="G840" s="6">
        <v>9.98643572E9</v>
      </c>
      <c r="H840" s="6">
        <v>4.0149832E7</v>
      </c>
      <c r="I840" s="6" t="s">
        <v>26</v>
      </c>
      <c r="J840" s="6" t="s">
        <v>21</v>
      </c>
      <c r="K840" s="6" t="s">
        <v>22</v>
      </c>
      <c r="L840" s="6">
        <v>72.0</v>
      </c>
      <c r="M840" s="5">
        <v>46013.0</v>
      </c>
      <c r="N840" s="6" t="s">
        <v>23</v>
      </c>
      <c r="O840" s="6" t="str">
        <f>SUMIFS([1]order_sku_sales_bb2_report!P:P,[1]order_sku_sales_bb2_report!H:H,C28631,[1]order_sku_sales_bb2_report!J:J,H28631)</f>
        <v>#ERROR!</v>
      </c>
      <c r="P840" s="6" t="str">
        <f>SUMIFS([1]order_sku_sales_bb2_report!O:O,[1]order_sku_sales_bb2_report!H:H,C28631,[1]order_sku_sales_bb2_report!J:J,H28631)</f>
        <v>#ERROR!</v>
      </c>
      <c r="Q840" s="6" t="str">
        <f t="shared" si="1"/>
        <v>22-12-2025</v>
      </c>
      <c r="R840" s="6" t="str">
        <f>IFERROR( VLOOKUP(C28631,[1]expressOrderReport!$S:$AZ,34,0),0)</f>
        <v>#ERROR!</v>
      </c>
      <c r="S840" s="6" t="str">
        <f>ARRAY_CONSTRAIN(ARRAYFORMULA(_xludf.XLOOKUP(D28631,[1]order_Report_SA_ID_BB2.0!V:V,[1]order_Report_SA_ID_BB2.0!AM:AM,"")), 1, 1)</f>
        <v>#ERROR!</v>
      </c>
      <c r="T840" s="6" t="str">
        <f t="shared" si="2"/>
        <v>Dec'25</v>
      </c>
    </row>
    <row r="841" ht="15.75" customHeight="1">
      <c r="A841" s="5">
        <v>46013.0</v>
      </c>
      <c r="B841" s="6">
        <v>9333.0</v>
      </c>
      <c r="C841" s="6">
        <v>1.859165542E9</v>
      </c>
      <c r="D841" s="6">
        <v>196933.0</v>
      </c>
      <c r="E841" s="6" t="s">
        <v>1341</v>
      </c>
      <c r="F841" s="6" t="s">
        <v>1342</v>
      </c>
      <c r="G841" s="6">
        <v>9.84576317E9</v>
      </c>
      <c r="H841" s="6">
        <v>4.0148717E7</v>
      </c>
      <c r="I841" s="6" t="s">
        <v>226</v>
      </c>
      <c r="J841" s="6" t="s">
        <v>21</v>
      </c>
      <c r="K841" s="6" t="s">
        <v>22</v>
      </c>
      <c r="L841" s="6">
        <v>106.0</v>
      </c>
      <c r="M841" s="5">
        <v>46013.0</v>
      </c>
      <c r="N841" s="6" t="s">
        <v>23</v>
      </c>
      <c r="O841" s="6" t="str">
        <f>SUMIFS([1]order_sku_sales_bb2_report!P:P,[1]order_sku_sales_bb2_report!H:H,C28632,[1]order_sku_sales_bb2_report!J:J,H28632)</f>
        <v>#ERROR!</v>
      </c>
      <c r="P841" s="6" t="str">
        <f>SUMIFS([1]order_sku_sales_bb2_report!O:O,[1]order_sku_sales_bb2_report!H:H,C28632,[1]order_sku_sales_bb2_report!J:J,H28632)</f>
        <v>#ERROR!</v>
      </c>
      <c r="Q841" s="6" t="str">
        <f t="shared" si="1"/>
        <v>22-12-2025</v>
      </c>
      <c r="R841" s="6" t="str">
        <f>IFERROR( VLOOKUP(C28632,[1]expressOrderReport!$S:$AZ,34,0),0)</f>
        <v>#ERROR!</v>
      </c>
      <c r="S841" s="6" t="str">
        <f>ARRAY_CONSTRAIN(ARRAYFORMULA(_xludf.XLOOKUP(D28632,[1]order_Report_SA_ID_BB2.0!V:V,[1]order_Report_SA_ID_BB2.0!AM:AM,"")), 1, 1)</f>
        <v>#ERROR!</v>
      </c>
      <c r="T841" s="6" t="str">
        <f t="shared" si="2"/>
        <v>Dec'25</v>
      </c>
    </row>
    <row r="842" ht="15.75" customHeight="1">
      <c r="A842" s="5">
        <v>46013.0</v>
      </c>
      <c r="B842" s="6">
        <v>8667.0</v>
      </c>
      <c r="C842" s="6">
        <v>1.859165552E9</v>
      </c>
      <c r="D842" s="6">
        <v>1262012.0</v>
      </c>
      <c r="E842" s="6" t="s">
        <v>1343</v>
      </c>
      <c r="F842" s="6" t="s">
        <v>1344</v>
      </c>
      <c r="G842" s="6">
        <v>9.98606861E9</v>
      </c>
      <c r="H842" s="6">
        <v>4.014983E7</v>
      </c>
      <c r="I842" s="6" t="s">
        <v>30</v>
      </c>
      <c r="J842" s="6" t="s">
        <v>21</v>
      </c>
      <c r="K842" s="6" t="s">
        <v>22</v>
      </c>
      <c r="L842" s="6">
        <v>28.0</v>
      </c>
      <c r="M842" s="5">
        <v>46013.0</v>
      </c>
      <c r="N842" s="6" t="s">
        <v>23</v>
      </c>
      <c r="O842" s="6" t="str">
        <f>SUMIFS([1]order_sku_sales_bb2_report!P:P,[1]order_sku_sales_bb2_report!H:H,C28633,[1]order_sku_sales_bb2_report!J:J,H28633)</f>
        <v>#ERROR!</v>
      </c>
      <c r="P842" s="6" t="str">
        <f>SUMIFS([1]order_sku_sales_bb2_report!O:O,[1]order_sku_sales_bb2_report!H:H,C28633,[1]order_sku_sales_bb2_report!J:J,H28633)</f>
        <v>#ERROR!</v>
      </c>
      <c r="Q842" s="6" t="str">
        <f t="shared" si="1"/>
        <v>22-12-2025</v>
      </c>
      <c r="R842" s="6" t="str">
        <f>IFERROR( VLOOKUP(C28633,[1]expressOrderReport!$S:$AZ,34,0),0)</f>
        <v>#ERROR!</v>
      </c>
      <c r="S842" s="6" t="str">
        <f>ARRAY_CONSTRAIN(ARRAYFORMULA(_xludf.XLOOKUP(D28633,[1]order_Report_SA_ID_BB2.0!V:V,[1]order_Report_SA_ID_BB2.0!AM:AM,"")), 1, 1)</f>
        <v>#ERROR!</v>
      </c>
      <c r="T842" s="6" t="str">
        <f t="shared" si="2"/>
        <v>Dec'25</v>
      </c>
    </row>
    <row r="843" ht="15.75" customHeight="1">
      <c r="A843" s="5">
        <v>46013.0</v>
      </c>
      <c r="B843" s="6">
        <v>4027.0</v>
      </c>
      <c r="C843" s="6">
        <v>1.859165562E9</v>
      </c>
      <c r="D843" s="6">
        <v>2291918.0</v>
      </c>
      <c r="E843" s="6" t="s">
        <v>1345</v>
      </c>
      <c r="F843" s="6" t="s">
        <v>1346</v>
      </c>
      <c r="G843" s="6">
        <v>9.97284413E9</v>
      </c>
      <c r="H843" s="6">
        <v>4.0149834E7</v>
      </c>
      <c r="I843" s="6" t="s">
        <v>40</v>
      </c>
      <c r="J843" s="6" t="s">
        <v>21</v>
      </c>
      <c r="K843" s="6" t="s">
        <v>22</v>
      </c>
      <c r="L843" s="6">
        <v>52.0</v>
      </c>
      <c r="M843" s="5">
        <v>46013.0</v>
      </c>
      <c r="N843" s="6" t="s">
        <v>23</v>
      </c>
      <c r="O843" s="6" t="str">
        <f>SUMIFS([1]order_sku_sales_bb2_report!P:P,[1]order_sku_sales_bb2_report!H:H,C28634,[1]order_sku_sales_bb2_report!J:J,H28634)</f>
        <v>#ERROR!</v>
      </c>
      <c r="P843" s="6" t="str">
        <f>SUMIFS([1]order_sku_sales_bb2_report!O:O,[1]order_sku_sales_bb2_report!H:H,C28634,[1]order_sku_sales_bb2_report!J:J,H28634)</f>
        <v>#ERROR!</v>
      </c>
      <c r="Q843" s="6" t="str">
        <f t="shared" si="1"/>
        <v>22-12-2025</v>
      </c>
      <c r="R843" s="6" t="str">
        <f>IFERROR( VLOOKUP(C28634,[1]expressOrderReport!$S:$AZ,34,0),0)</f>
        <v>#ERROR!</v>
      </c>
      <c r="S843" s="6" t="str">
        <f>ARRAY_CONSTRAIN(ARRAYFORMULA(_xludf.XLOOKUP(D28634,[1]order_Report_SA_ID_BB2.0!V:V,[1]order_Report_SA_ID_BB2.0!AM:AM,"")), 1, 1)</f>
        <v>#ERROR!</v>
      </c>
      <c r="T843" s="6" t="str">
        <f t="shared" si="2"/>
        <v>Dec'25</v>
      </c>
    </row>
    <row r="844" ht="15.75" customHeight="1">
      <c r="A844" s="5">
        <v>46013.0</v>
      </c>
      <c r="B844" s="6">
        <v>6633.0</v>
      </c>
      <c r="C844" s="6">
        <v>1.859165571E9</v>
      </c>
      <c r="D844" s="6">
        <v>2338229.0</v>
      </c>
      <c r="E844" s="6" t="s">
        <v>1347</v>
      </c>
      <c r="F844" s="6" t="s">
        <v>1348</v>
      </c>
      <c r="G844" s="6">
        <v>9.88671371E9</v>
      </c>
      <c r="H844" s="6">
        <v>4.0054183E7</v>
      </c>
      <c r="I844" s="6" t="s">
        <v>157</v>
      </c>
      <c r="J844" s="6" t="s">
        <v>21</v>
      </c>
      <c r="K844" s="6" t="s">
        <v>22</v>
      </c>
      <c r="L844" s="6">
        <v>11.09</v>
      </c>
      <c r="M844" s="5">
        <v>46013.0</v>
      </c>
      <c r="N844" s="6" t="s">
        <v>23</v>
      </c>
      <c r="O844" s="6" t="str">
        <f>SUMIFS([1]order_sku_sales_bb2_report!P:P,[1]order_sku_sales_bb2_report!H:H,C28635,[1]order_sku_sales_bb2_report!J:J,H28635)</f>
        <v>#ERROR!</v>
      </c>
      <c r="P844" s="6" t="str">
        <f>SUMIFS([1]order_sku_sales_bb2_report!O:O,[1]order_sku_sales_bb2_report!H:H,C28635,[1]order_sku_sales_bb2_report!J:J,H28635)</f>
        <v>#ERROR!</v>
      </c>
      <c r="Q844" s="6" t="str">
        <f t="shared" si="1"/>
        <v>22-12-2025</v>
      </c>
      <c r="R844" s="6" t="str">
        <f>IFERROR( VLOOKUP(C28635,[1]expressOrderReport!$S:$AZ,34,0),0)</f>
        <v>#ERROR!</v>
      </c>
      <c r="S844" s="6" t="str">
        <f>ARRAY_CONSTRAIN(ARRAYFORMULA(_xludf.XLOOKUP(D28635,[1]order_Report_SA_ID_BB2.0!V:V,[1]order_Report_SA_ID_BB2.0!AM:AM,"")), 1, 1)</f>
        <v>#ERROR!</v>
      </c>
      <c r="T844" s="6" t="str">
        <f t="shared" si="2"/>
        <v>Dec'25</v>
      </c>
    </row>
    <row r="845" ht="15.75" customHeight="1">
      <c r="A845" s="5">
        <v>46013.0</v>
      </c>
      <c r="B845" s="6">
        <v>7667.0</v>
      </c>
      <c r="C845" s="6">
        <v>1.859165583E9</v>
      </c>
      <c r="D845" s="6">
        <v>2362039.0</v>
      </c>
      <c r="E845" s="6" t="s">
        <v>1349</v>
      </c>
      <c r="F845" s="6" t="s">
        <v>1350</v>
      </c>
      <c r="G845" s="6">
        <v>7.406288866E9</v>
      </c>
      <c r="H845" s="6">
        <v>4.0161616E7</v>
      </c>
      <c r="I845" s="6" t="s">
        <v>20</v>
      </c>
      <c r="J845" s="6" t="s">
        <v>21</v>
      </c>
      <c r="K845" s="6" t="s">
        <v>22</v>
      </c>
      <c r="L845" s="6">
        <v>56.0</v>
      </c>
      <c r="M845" s="5">
        <v>46013.0</v>
      </c>
      <c r="N845" s="6" t="s">
        <v>23</v>
      </c>
      <c r="O845" s="6" t="str">
        <f>SUMIFS([1]order_sku_sales_bb2_report!P:P,[1]order_sku_sales_bb2_report!H:H,C28636,[1]order_sku_sales_bb2_report!J:J,H28636)</f>
        <v>#ERROR!</v>
      </c>
      <c r="P845" s="6" t="str">
        <f>SUMIFS([1]order_sku_sales_bb2_report!O:O,[1]order_sku_sales_bb2_report!H:H,C28636,[1]order_sku_sales_bb2_report!J:J,H28636)</f>
        <v>#ERROR!</v>
      </c>
      <c r="Q845" s="6" t="str">
        <f t="shared" si="1"/>
        <v>22-12-2025</v>
      </c>
      <c r="R845" s="6" t="str">
        <f>IFERROR( VLOOKUP(C28636,[1]expressOrderReport!$S:$AZ,34,0),0)</f>
        <v>#ERROR!</v>
      </c>
      <c r="S845" s="6" t="str">
        <f>ARRAY_CONSTRAIN(ARRAYFORMULA(_xludf.XLOOKUP(D28636,[1]order_Report_SA_ID_BB2.0!V:V,[1]order_Report_SA_ID_BB2.0!AM:AM,"")), 1, 1)</f>
        <v>#ERROR!</v>
      </c>
      <c r="T845" s="6" t="str">
        <f t="shared" si="2"/>
        <v>Dec'25</v>
      </c>
    </row>
    <row r="846" ht="15.75" customHeight="1">
      <c r="A846" s="5">
        <v>46013.0</v>
      </c>
      <c r="B846" s="6">
        <v>1989.0</v>
      </c>
      <c r="C846" s="6">
        <v>1.859165595E9</v>
      </c>
      <c r="D846" s="6">
        <v>408747.0</v>
      </c>
      <c r="E846" s="6" t="s">
        <v>1351</v>
      </c>
      <c r="F846" s="6" t="s">
        <v>1352</v>
      </c>
      <c r="G846" s="6">
        <v>9.916816917E9</v>
      </c>
      <c r="H846" s="6">
        <v>4.0022249E7</v>
      </c>
      <c r="I846" s="6" t="s">
        <v>1353</v>
      </c>
      <c r="J846" s="6" t="s">
        <v>21</v>
      </c>
      <c r="K846" s="6" t="s">
        <v>22</v>
      </c>
      <c r="L846" s="6">
        <v>51.2</v>
      </c>
      <c r="M846" s="5">
        <v>46013.0</v>
      </c>
      <c r="N846" s="6" t="s">
        <v>54</v>
      </c>
      <c r="O846" s="6" t="str">
        <f>SUMIFS([1]order_sku_sales_bb2_report!P:P,[1]order_sku_sales_bb2_report!H:H,C28637,[1]order_sku_sales_bb2_report!J:J,H28637)</f>
        <v>#ERROR!</v>
      </c>
      <c r="P846" s="6" t="str">
        <f>SUMIFS([1]order_sku_sales_bb2_report!O:O,[1]order_sku_sales_bb2_report!H:H,C28637,[1]order_sku_sales_bb2_report!J:J,H28637)</f>
        <v>#ERROR!</v>
      </c>
      <c r="Q846" s="6" t="str">
        <f t="shared" si="1"/>
        <v>22-12-2025</v>
      </c>
      <c r="R846" s="6" t="str">
        <f>IFERROR( VLOOKUP(C28637,[1]expressOrderReport!$S:$AZ,34,0),0)</f>
        <v>#ERROR!</v>
      </c>
      <c r="S846" s="6" t="str">
        <f>ARRAY_CONSTRAIN(ARRAYFORMULA(_xludf.XLOOKUP(D28637,[1]order_Report_SA_ID_BB2.0!V:V,[1]order_Report_SA_ID_BB2.0!AM:AM,"")), 1, 1)</f>
        <v>#ERROR!</v>
      </c>
      <c r="T846" s="6" t="str">
        <f t="shared" si="2"/>
        <v>Dec'25</v>
      </c>
    </row>
    <row r="847" ht="15.75" customHeight="1">
      <c r="A847" s="5">
        <v>46013.0</v>
      </c>
      <c r="B847" s="6">
        <v>5491.0</v>
      </c>
      <c r="C847" s="6">
        <v>1.859165607E9</v>
      </c>
      <c r="D847" s="6">
        <v>2382485.0</v>
      </c>
      <c r="E847" s="6" t="s">
        <v>1354</v>
      </c>
      <c r="F847" s="6" t="s">
        <v>1355</v>
      </c>
      <c r="G847" s="6">
        <v>9.97233425E9</v>
      </c>
      <c r="H847" s="6">
        <v>4.0149833E7</v>
      </c>
      <c r="I847" s="6" t="s">
        <v>40</v>
      </c>
      <c r="J847" s="6" t="s">
        <v>21</v>
      </c>
      <c r="K847" s="6" t="s">
        <v>22</v>
      </c>
      <c r="L847" s="6">
        <v>27.0</v>
      </c>
      <c r="M847" s="5">
        <v>46013.0</v>
      </c>
      <c r="N847" s="6" t="s">
        <v>23</v>
      </c>
      <c r="O847" s="6" t="str">
        <f>SUMIFS([1]order_sku_sales_bb2_report!P:P,[1]order_sku_sales_bb2_report!H:H,C28638,[1]order_sku_sales_bb2_report!J:J,H28638)</f>
        <v>#ERROR!</v>
      </c>
      <c r="P847" s="6" t="str">
        <f>SUMIFS([1]order_sku_sales_bb2_report!O:O,[1]order_sku_sales_bb2_report!H:H,C28638,[1]order_sku_sales_bb2_report!J:J,H28638)</f>
        <v>#ERROR!</v>
      </c>
      <c r="Q847" s="6" t="str">
        <f t="shared" si="1"/>
        <v>22-12-2025</v>
      </c>
      <c r="R847" s="6" t="str">
        <f>IFERROR( VLOOKUP(C28638,[1]expressOrderReport!$S:$AZ,34,0),0)</f>
        <v>#ERROR!</v>
      </c>
      <c r="S847" s="6" t="str">
        <f>ARRAY_CONSTRAIN(ARRAYFORMULA(_xludf.XLOOKUP(D28638,[1]order_Report_SA_ID_BB2.0!V:V,[1]order_Report_SA_ID_BB2.0!AM:AM,"")), 1, 1)</f>
        <v>#ERROR!</v>
      </c>
      <c r="T847" s="6" t="str">
        <f t="shared" si="2"/>
        <v>Dec'25</v>
      </c>
    </row>
    <row r="848" ht="15.75" customHeight="1">
      <c r="A848" s="5">
        <v>46013.0</v>
      </c>
      <c r="B848" s="6">
        <v>2257.0</v>
      </c>
      <c r="C848" s="6">
        <v>1.85916562E9</v>
      </c>
      <c r="D848" s="6">
        <v>2503689.0</v>
      </c>
      <c r="E848" s="6" t="s">
        <v>1356</v>
      </c>
      <c r="F848" s="6" t="s">
        <v>1357</v>
      </c>
      <c r="G848" s="6">
        <v>7.89819002E9</v>
      </c>
      <c r="H848" s="6">
        <v>4.0161616E7</v>
      </c>
      <c r="I848" s="6" t="s">
        <v>20</v>
      </c>
      <c r="J848" s="6" t="s">
        <v>21</v>
      </c>
      <c r="K848" s="6" t="s">
        <v>22</v>
      </c>
      <c r="L848" s="6">
        <v>108.0</v>
      </c>
      <c r="M848" s="5">
        <v>46013.0</v>
      </c>
      <c r="N848" s="6" t="s">
        <v>23</v>
      </c>
      <c r="O848" s="6" t="str">
        <f>SUMIFS([1]order_sku_sales_bb2_report!P:P,[1]order_sku_sales_bb2_report!H:H,C28639,[1]order_sku_sales_bb2_report!J:J,H28639)</f>
        <v>#ERROR!</v>
      </c>
      <c r="P848" s="6" t="str">
        <f>SUMIFS([1]order_sku_sales_bb2_report!O:O,[1]order_sku_sales_bb2_report!H:H,C28639,[1]order_sku_sales_bb2_report!J:J,H28639)</f>
        <v>#ERROR!</v>
      </c>
      <c r="Q848" s="6" t="str">
        <f t="shared" si="1"/>
        <v>22-12-2025</v>
      </c>
      <c r="R848" s="6" t="str">
        <f>IFERROR( VLOOKUP(C28639,[1]expressOrderReport!$S:$AZ,34,0),0)</f>
        <v>#ERROR!</v>
      </c>
      <c r="S848" s="6" t="str">
        <f>ARRAY_CONSTRAIN(ARRAYFORMULA(_xludf.XLOOKUP(D28639,[1]order_Report_SA_ID_BB2.0!V:V,[1]order_Report_SA_ID_BB2.0!AM:AM,"")), 1, 1)</f>
        <v>#ERROR!</v>
      </c>
      <c r="T848" s="6" t="str">
        <f t="shared" si="2"/>
        <v>Dec'25</v>
      </c>
    </row>
    <row r="849" ht="15.75" customHeight="1">
      <c r="A849" s="5">
        <v>46013.0</v>
      </c>
      <c r="B849" s="6">
        <v>2671.0</v>
      </c>
      <c r="C849" s="6">
        <v>1.85916562E9</v>
      </c>
      <c r="D849" s="6">
        <v>2503689.0</v>
      </c>
      <c r="E849" s="6" t="s">
        <v>1356</v>
      </c>
      <c r="F849" s="6" t="s">
        <v>1357</v>
      </c>
      <c r="G849" s="6">
        <v>7.89819002E9</v>
      </c>
      <c r="H849" s="6">
        <v>4.0149832E7</v>
      </c>
      <c r="I849" s="6" t="s">
        <v>26</v>
      </c>
      <c r="J849" s="6" t="s">
        <v>21</v>
      </c>
      <c r="K849" s="6" t="s">
        <v>22</v>
      </c>
      <c r="L849" s="6">
        <v>108.0</v>
      </c>
      <c r="M849" s="5">
        <v>46013.0</v>
      </c>
      <c r="N849" s="6" t="s">
        <v>23</v>
      </c>
      <c r="O849" s="6" t="str">
        <f>SUMIFS([1]order_sku_sales_bb2_report!P:P,[1]order_sku_sales_bb2_report!H:H,C28640,[1]order_sku_sales_bb2_report!J:J,H28640)</f>
        <v>#ERROR!</v>
      </c>
      <c r="P849" s="6" t="str">
        <f>SUMIFS([1]order_sku_sales_bb2_report!O:O,[1]order_sku_sales_bb2_report!H:H,C28640,[1]order_sku_sales_bb2_report!J:J,H28640)</f>
        <v>#ERROR!</v>
      </c>
      <c r="Q849" s="6" t="str">
        <f t="shared" si="1"/>
        <v>22-12-2025</v>
      </c>
      <c r="R849" s="6" t="str">
        <f>IFERROR( VLOOKUP(C28640,[1]expressOrderReport!$S:$AZ,34,0),0)</f>
        <v>#ERROR!</v>
      </c>
      <c r="S849" s="6" t="str">
        <f>ARRAY_CONSTRAIN(ARRAYFORMULA(_xludf.XLOOKUP(D28640,[1]order_Report_SA_ID_BB2.0!V:V,[1]order_Report_SA_ID_BB2.0!AM:AM,"")), 1, 1)</f>
        <v>#ERROR!</v>
      </c>
      <c r="T849" s="6" t="str">
        <f t="shared" si="2"/>
        <v>Dec'25</v>
      </c>
    </row>
    <row r="850" ht="15.75" customHeight="1">
      <c r="A850" s="5">
        <v>46013.0</v>
      </c>
      <c r="B850" s="6">
        <v>1848.0</v>
      </c>
      <c r="C850" s="6">
        <v>1.859165636E9</v>
      </c>
      <c r="D850" s="6">
        <v>2545721.0</v>
      </c>
      <c r="E850" s="6" t="s">
        <v>1358</v>
      </c>
      <c r="F850" s="6" t="s">
        <v>1359</v>
      </c>
      <c r="G850" s="6">
        <v>7.760652796E9</v>
      </c>
      <c r="H850" s="6">
        <v>4.0148717E7</v>
      </c>
      <c r="I850" s="6" t="s">
        <v>226</v>
      </c>
      <c r="J850" s="6" t="s">
        <v>21</v>
      </c>
      <c r="K850" s="6" t="s">
        <v>22</v>
      </c>
      <c r="L850" s="6">
        <v>53.0</v>
      </c>
      <c r="M850" s="5">
        <v>46013.0</v>
      </c>
      <c r="N850" s="6" t="s">
        <v>23</v>
      </c>
      <c r="O850" s="6" t="str">
        <f>SUMIFS([1]order_sku_sales_bb2_report!P:P,[1]order_sku_sales_bb2_report!H:H,C28641,[1]order_sku_sales_bb2_report!J:J,H28641)</f>
        <v>#ERROR!</v>
      </c>
      <c r="P850" s="6" t="str">
        <f>SUMIFS([1]order_sku_sales_bb2_report!O:O,[1]order_sku_sales_bb2_report!H:H,C28641,[1]order_sku_sales_bb2_report!J:J,H28641)</f>
        <v>#ERROR!</v>
      </c>
      <c r="Q850" s="6" t="str">
        <f t="shared" si="1"/>
        <v>22-12-2025</v>
      </c>
      <c r="R850" s="6" t="str">
        <f>IFERROR( VLOOKUP(C28641,[1]expressOrderReport!$S:$AZ,34,0),0)</f>
        <v>#ERROR!</v>
      </c>
      <c r="S850" s="6" t="str">
        <f>ARRAY_CONSTRAIN(ARRAYFORMULA(_xludf.XLOOKUP(D28641,[1]order_Report_SA_ID_BB2.0!V:V,[1]order_Report_SA_ID_BB2.0!AM:AM,"")), 1, 1)</f>
        <v>#ERROR!</v>
      </c>
      <c r="T850" s="6" t="str">
        <f t="shared" si="2"/>
        <v>Dec'25</v>
      </c>
    </row>
    <row r="851" ht="15.75" customHeight="1">
      <c r="A851" s="5">
        <v>46013.0</v>
      </c>
      <c r="B851" s="6">
        <v>10083.0</v>
      </c>
      <c r="C851" s="6">
        <v>1.859165647E9</v>
      </c>
      <c r="D851" s="6">
        <v>1353743.0</v>
      </c>
      <c r="E851" s="6" t="s">
        <v>1360</v>
      </c>
      <c r="F851" s="6" t="s">
        <v>1361</v>
      </c>
      <c r="G851" s="6">
        <v>9.500019341E9</v>
      </c>
      <c r="H851" s="6">
        <v>4.0148714E7</v>
      </c>
      <c r="I851" s="6" t="s">
        <v>183</v>
      </c>
      <c r="J851" s="6" t="s">
        <v>21</v>
      </c>
      <c r="K851" s="6" t="s">
        <v>22</v>
      </c>
      <c r="L851" s="6">
        <v>47.0</v>
      </c>
      <c r="M851" s="5">
        <v>46013.0</v>
      </c>
      <c r="N851" s="6" t="s">
        <v>23</v>
      </c>
      <c r="O851" s="6" t="str">
        <f>SUMIFS([1]order_sku_sales_bb2_report!P:P,[1]order_sku_sales_bb2_report!H:H,C28642,[1]order_sku_sales_bb2_report!J:J,H28642)</f>
        <v>#ERROR!</v>
      </c>
      <c r="P851" s="6" t="str">
        <f>SUMIFS([1]order_sku_sales_bb2_report!O:O,[1]order_sku_sales_bb2_report!H:H,C28642,[1]order_sku_sales_bb2_report!J:J,H28642)</f>
        <v>#ERROR!</v>
      </c>
      <c r="Q851" s="6" t="str">
        <f t="shared" si="1"/>
        <v>22-12-2025</v>
      </c>
      <c r="R851" s="6" t="str">
        <f>IFERROR( VLOOKUP(C28642,[1]expressOrderReport!$S:$AZ,34,0),0)</f>
        <v>#ERROR!</v>
      </c>
      <c r="S851" s="6" t="str">
        <f>ARRAY_CONSTRAIN(ARRAYFORMULA(_xludf.XLOOKUP(D28642,[1]order_Report_SA_ID_BB2.0!V:V,[1]order_Report_SA_ID_BB2.0!AM:AM,"")), 1, 1)</f>
        <v>#ERROR!</v>
      </c>
      <c r="T851" s="6" t="str">
        <f t="shared" si="2"/>
        <v>Dec'25</v>
      </c>
    </row>
    <row r="852" ht="15.75" customHeight="1">
      <c r="A852" s="5">
        <v>46013.0</v>
      </c>
      <c r="B852" s="6">
        <v>1709.0</v>
      </c>
      <c r="C852" s="6">
        <v>1.859165655E9</v>
      </c>
      <c r="D852" s="6">
        <v>2818734.0</v>
      </c>
      <c r="E852" s="6" t="s">
        <v>1362</v>
      </c>
      <c r="F852" s="6" t="s">
        <v>1363</v>
      </c>
      <c r="G852" s="6">
        <v>9.902020638E9</v>
      </c>
      <c r="H852" s="6">
        <v>4.0149832E7</v>
      </c>
      <c r="I852" s="6" t="s">
        <v>26</v>
      </c>
      <c r="J852" s="6" t="s">
        <v>21</v>
      </c>
      <c r="K852" s="6" t="s">
        <v>22</v>
      </c>
      <c r="L852" s="6">
        <v>76.0</v>
      </c>
      <c r="M852" s="5">
        <v>46013.0</v>
      </c>
      <c r="N852" s="6" t="s">
        <v>23</v>
      </c>
      <c r="O852" s="6" t="str">
        <f>SUMIFS([1]order_sku_sales_bb2_report!P:P,[1]order_sku_sales_bb2_report!H:H,C28643,[1]order_sku_sales_bb2_report!J:J,H28643)</f>
        <v>#ERROR!</v>
      </c>
      <c r="P852" s="6" t="str">
        <f>SUMIFS([1]order_sku_sales_bb2_report!O:O,[1]order_sku_sales_bb2_report!H:H,C28643,[1]order_sku_sales_bb2_report!J:J,H28643)</f>
        <v>#ERROR!</v>
      </c>
      <c r="Q852" s="6" t="str">
        <f t="shared" si="1"/>
        <v>22-12-2025</v>
      </c>
      <c r="R852" s="6" t="str">
        <f>IFERROR( VLOOKUP(C28643,[1]expressOrderReport!$S:$AZ,34,0),0)</f>
        <v>#ERROR!</v>
      </c>
      <c r="S852" s="6" t="str">
        <f>ARRAY_CONSTRAIN(ARRAYFORMULA(_xludf.XLOOKUP(D28643,[1]order_Report_SA_ID_BB2.0!V:V,[1]order_Report_SA_ID_BB2.0!AM:AM,"")), 1, 1)</f>
        <v>#ERROR!</v>
      </c>
      <c r="T852" s="6" t="str">
        <f t="shared" si="2"/>
        <v>Dec'25</v>
      </c>
    </row>
    <row r="853" ht="15.75" customHeight="1">
      <c r="A853" s="5">
        <v>46013.0</v>
      </c>
      <c r="B853" s="6">
        <v>4594.0</v>
      </c>
      <c r="C853" s="6">
        <v>1.859165655E9</v>
      </c>
      <c r="D853" s="6">
        <v>2818734.0</v>
      </c>
      <c r="E853" s="6" t="s">
        <v>1362</v>
      </c>
      <c r="F853" s="6" t="s">
        <v>1363</v>
      </c>
      <c r="G853" s="6">
        <v>9.902020638E9</v>
      </c>
      <c r="H853" s="6">
        <v>4.014983E7</v>
      </c>
      <c r="I853" s="6" t="s">
        <v>30</v>
      </c>
      <c r="J853" s="6" t="s">
        <v>21</v>
      </c>
      <c r="K853" s="6" t="s">
        <v>22</v>
      </c>
      <c r="L853" s="6">
        <v>76.0</v>
      </c>
      <c r="M853" s="5">
        <v>46013.0</v>
      </c>
      <c r="N853" s="6" t="s">
        <v>23</v>
      </c>
      <c r="O853" s="6" t="str">
        <f>SUMIFS([1]order_sku_sales_bb2_report!P:P,[1]order_sku_sales_bb2_report!H:H,C28644,[1]order_sku_sales_bb2_report!J:J,H28644)</f>
        <v>#ERROR!</v>
      </c>
      <c r="P853" s="6" t="str">
        <f>SUMIFS([1]order_sku_sales_bb2_report!O:O,[1]order_sku_sales_bb2_report!H:H,C28644,[1]order_sku_sales_bb2_report!J:J,H28644)</f>
        <v>#ERROR!</v>
      </c>
      <c r="Q853" s="6" t="str">
        <f t="shared" si="1"/>
        <v>22-12-2025</v>
      </c>
      <c r="R853" s="6" t="str">
        <f>IFERROR( VLOOKUP(C28644,[1]expressOrderReport!$S:$AZ,34,0),0)</f>
        <v>#ERROR!</v>
      </c>
      <c r="S853" s="6" t="str">
        <f>ARRAY_CONSTRAIN(ARRAYFORMULA(_xludf.XLOOKUP(D28644,[1]order_Report_SA_ID_BB2.0!V:V,[1]order_Report_SA_ID_BB2.0!AM:AM,"")), 1, 1)</f>
        <v>#ERROR!</v>
      </c>
      <c r="T853" s="6" t="str">
        <f t="shared" si="2"/>
        <v>Dec'25</v>
      </c>
    </row>
    <row r="854" ht="15.75" customHeight="1">
      <c r="A854" s="5">
        <v>46013.0</v>
      </c>
      <c r="B854" s="6">
        <v>4271.0</v>
      </c>
      <c r="C854" s="6">
        <v>1.859165669E9</v>
      </c>
      <c r="D854" s="6">
        <v>2892318.0</v>
      </c>
      <c r="E854" s="6" t="s">
        <v>1364</v>
      </c>
      <c r="F854" s="6" t="s">
        <v>1365</v>
      </c>
      <c r="G854" s="6">
        <v>9.91630816E9</v>
      </c>
      <c r="H854" s="6">
        <v>4.0148716E7</v>
      </c>
      <c r="I854" s="6" t="s">
        <v>148</v>
      </c>
      <c r="J854" s="6" t="s">
        <v>21</v>
      </c>
      <c r="K854" s="6" t="s">
        <v>22</v>
      </c>
      <c r="L854" s="6">
        <v>72.0</v>
      </c>
      <c r="M854" s="5">
        <v>46013.0</v>
      </c>
      <c r="N854" s="6" t="s">
        <v>23</v>
      </c>
      <c r="O854" s="6" t="str">
        <f>SUMIFS([1]order_sku_sales_bb2_report!P:P,[1]order_sku_sales_bb2_report!H:H,C28645,[1]order_sku_sales_bb2_report!J:J,H28645)</f>
        <v>#ERROR!</v>
      </c>
      <c r="P854" s="6" t="str">
        <f>SUMIFS([1]order_sku_sales_bb2_report!O:O,[1]order_sku_sales_bb2_report!H:H,C28645,[1]order_sku_sales_bb2_report!J:J,H28645)</f>
        <v>#ERROR!</v>
      </c>
      <c r="Q854" s="6" t="str">
        <f t="shared" si="1"/>
        <v>22-12-2025</v>
      </c>
      <c r="R854" s="6" t="str">
        <f>IFERROR( VLOOKUP(C28645,[1]expressOrderReport!$S:$AZ,34,0),0)</f>
        <v>#ERROR!</v>
      </c>
      <c r="S854" s="6" t="str">
        <f>ARRAY_CONSTRAIN(ARRAYFORMULA(_xludf.XLOOKUP(D28645,[1]order_Report_SA_ID_BB2.0!V:V,[1]order_Report_SA_ID_BB2.0!AM:AM,"")), 1, 1)</f>
        <v>#ERROR!</v>
      </c>
      <c r="T854" s="6" t="str">
        <f t="shared" si="2"/>
        <v>Dec'25</v>
      </c>
    </row>
    <row r="855" ht="15.75" customHeight="1">
      <c r="A855" s="5">
        <v>46013.0</v>
      </c>
      <c r="B855" s="6">
        <v>4272.0</v>
      </c>
      <c r="C855" s="6">
        <v>1.859165669E9</v>
      </c>
      <c r="D855" s="6">
        <v>2892318.0</v>
      </c>
      <c r="E855" s="6" t="s">
        <v>1364</v>
      </c>
      <c r="F855" s="6" t="s">
        <v>1365</v>
      </c>
      <c r="G855" s="6">
        <v>9.91630816E9</v>
      </c>
      <c r="H855" s="6">
        <v>4.0149833E7</v>
      </c>
      <c r="I855" s="6" t="s">
        <v>40</v>
      </c>
      <c r="J855" s="6" t="s">
        <v>21</v>
      </c>
      <c r="K855" s="6" t="s">
        <v>22</v>
      </c>
      <c r="L855" s="6">
        <v>72.0</v>
      </c>
      <c r="M855" s="5">
        <v>46013.0</v>
      </c>
      <c r="N855" s="6" t="s">
        <v>23</v>
      </c>
      <c r="O855" s="6" t="str">
        <f>SUMIFS([1]order_sku_sales_bb2_report!P:P,[1]order_sku_sales_bb2_report!H:H,C28646,[1]order_sku_sales_bb2_report!J:J,H28646)</f>
        <v>#ERROR!</v>
      </c>
      <c r="P855" s="6" t="str">
        <f>SUMIFS([1]order_sku_sales_bb2_report!O:O,[1]order_sku_sales_bb2_report!H:H,C28646,[1]order_sku_sales_bb2_report!J:J,H28646)</f>
        <v>#ERROR!</v>
      </c>
      <c r="Q855" s="6" t="str">
        <f t="shared" si="1"/>
        <v>22-12-2025</v>
      </c>
      <c r="R855" s="6" t="str">
        <f>IFERROR( VLOOKUP(C28646,[1]expressOrderReport!$S:$AZ,34,0),0)</f>
        <v>#ERROR!</v>
      </c>
      <c r="S855" s="6" t="str">
        <f>ARRAY_CONSTRAIN(ARRAYFORMULA(_xludf.XLOOKUP(D28646,[1]order_Report_SA_ID_BB2.0!V:V,[1]order_Report_SA_ID_BB2.0!AM:AM,"")), 1, 1)</f>
        <v>#ERROR!</v>
      </c>
      <c r="T855" s="6" t="str">
        <f t="shared" si="2"/>
        <v>Dec'25</v>
      </c>
    </row>
    <row r="856" ht="15.75" customHeight="1">
      <c r="A856" s="5">
        <v>46013.0</v>
      </c>
      <c r="B856" s="6">
        <v>1964.0</v>
      </c>
      <c r="C856" s="6">
        <v>1.859165679E9</v>
      </c>
      <c r="D856" s="6">
        <v>3066328.0</v>
      </c>
      <c r="E856" s="6" t="s">
        <v>1366</v>
      </c>
      <c r="F856" s="6" t="s">
        <v>1367</v>
      </c>
      <c r="G856" s="6">
        <v>9.611961983E9</v>
      </c>
      <c r="H856" s="6">
        <v>4.0147597E7</v>
      </c>
      <c r="I856" s="6" t="s">
        <v>59</v>
      </c>
      <c r="J856" s="6" t="s">
        <v>21</v>
      </c>
      <c r="K856" s="6" t="s">
        <v>22</v>
      </c>
      <c r="L856" s="6">
        <v>52.0</v>
      </c>
      <c r="M856" s="5">
        <v>46013.0</v>
      </c>
      <c r="N856" s="6" t="s">
        <v>23</v>
      </c>
      <c r="O856" s="6" t="str">
        <f>SUMIFS([1]order_sku_sales_bb2_report!P:P,[1]order_sku_sales_bb2_report!H:H,C28648,[1]order_sku_sales_bb2_report!J:J,H28648)</f>
        <v>#ERROR!</v>
      </c>
      <c r="P856" s="6" t="str">
        <f>SUMIFS([1]order_sku_sales_bb2_report!O:O,[1]order_sku_sales_bb2_report!H:H,C28648,[1]order_sku_sales_bb2_report!J:J,H28648)</f>
        <v>#ERROR!</v>
      </c>
      <c r="Q856" s="6" t="str">
        <f t="shared" si="1"/>
        <v>22-12-2025</v>
      </c>
      <c r="R856" s="6" t="str">
        <f>IFERROR( VLOOKUP(C28648,[1]expressOrderReport!$S:$AZ,34,0),0)</f>
        <v>#ERROR!</v>
      </c>
      <c r="S856" s="6" t="str">
        <f>ARRAY_CONSTRAIN(ARRAYFORMULA(_xludf.XLOOKUP(D28648,[1]order_Report_SA_ID_BB2.0!V:V,[1]order_Report_SA_ID_BB2.0!AM:AM,"")), 1, 1)</f>
        <v>#ERROR!</v>
      </c>
      <c r="T856" s="6" t="str">
        <f t="shared" si="2"/>
        <v>Dec'25</v>
      </c>
    </row>
    <row r="857" ht="15.75" customHeight="1">
      <c r="A857" s="5">
        <v>46013.0</v>
      </c>
      <c r="B857" s="6">
        <v>2246.0</v>
      </c>
      <c r="C857" s="6">
        <v>1.859165689E9</v>
      </c>
      <c r="D857" s="6">
        <v>1317775.0</v>
      </c>
      <c r="E857" s="6" t="s">
        <v>1368</v>
      </c>
      <c r="F857" s="6" t="s">
        <v>1369</v>
      </c>
      <c r="G857" s="6">
        <v>9.886898181E9</v>
      </c>
      <c r="H857" s="6">
        <v>4.0149833E7</v>
      </c>
      <c r="I857" s="6" t="s">
        <v>40</v>
      </c>
      <c r="J857" s="6" t="s">
        <v>21</v>
      </c>
      <c r="K857" s="6" t="s">
        <v>22</v>
      </c>
      <c r="L857" s="6">
        <v>27.0</v>
      </c>
      <c r="M857" s="5">
        <v>46013.0</v>
      </c>
      <c r="N857" s="6" t="s">
        <v>23</v>
      </c>
      <c r="O857" s="6" t="str">
        <f>SUMIFS([1]order_sku_sales_bb2_report!P:P,[1]order_sku_sales_bb2_report!H:H,C28649,[1]order_sku_sales_bb2_report!J:J,H28649)</f>
        <v>#ERROR!</v>
      </c>
      <c r="P857" s="6" t="str">
        <f>SUMIFS([1]order_sku_sales_bb2_report!O:O,[1]order_sku_sales_bb2_report!H:H,C28649,[1]order_sku_sales_bb2_report!J:J,H28649)</f>
        <v>#ERROR!</v>
      </c>
      <c r="Q857" s="6" t="str">
        <f t="shared" si="1"/>
        <v>22-12-2025</v>
      </c>
      <c r="R857" s="6" t="str">
        <f>IFERROR( VLOOKUP(C28649,[1]expressOrderReport!$S:$AZ,34,0),0)</f>
        <v>#ERROR!</v>
      </c>
      <c r="S857" s="6" t="str">
        <f>ARRAY_CONSTRAIN(ARRAYFORMULA(_xludf.XLOOKUP(D28649,[1]order_Report_SA_ID_BB2.0!V:V,[1]order_Report_SA_ID_BB2.0!AM:AM,"")), 1, 1)</f>
        <v>#ERROR!</v>
      </c>
      <c r="T857" s="6" t="str">
        <f t="shared" si="2"/>
        <v>Dec'25</v>
      </c>
    </row>
    <row r="858" ht="15.75" customHeight="1">
      <c r="A858" s="5">
        <v>46013.0</v>
      </c>
      <c r="B858" s="6">
        <v>10933.0</v>
      </c>
      <c r="C858" s="6">
        <v>1.859165696E9</v>
      </c>
      <c r="D858" s="6">
        <v>3184286.0</v>
      </c>
      <c r="E858" s="6" t="s">
        <v>1370</v>
      </c>
      <c r="F858" s="6" t="s">
        <v>1371</v>
      </c>
      <c r="G858" s="6">
        <v>9.035953872E9</v>
      </c>
      <c r="H858" s="6">
        <v>4.0054183E7</v>
      </c>
      <c r="I858" s="6" t="s">
        <v>157</v>
      </c>
      <c r="J858" s="6" t="s">
        <v>21</v>
      </c>
      <c r="K858" s="6" t="s">
        <v>22</v>
      </c>
      <c r="L858" s="6">
        <v>11.2</v>
      </c>
      <c r="M858" s="5">
        <v>46013.0</v>
      </c>
      <c r="N858" s="6" t="s">
        <v>23</v>
      </c>
      <c r="O858" s="6" t="str">
        <f>SUMIFS([1]order_sku_sales_bb2_report!P:P,[1]order_sku_sales_bb2_report!H:H,C28650,[1]order_sku_sales_bb2_report!J:J,H28650)</f>
        <v>#ERROR!</v>
      </c>
      <c r="P858" s="6" t="str">
        <f>SUMIFS([1]order_sku_sales_bb2_report!O:O,[1]order_sku_sales_bb2_report!H:H,C28650,[1]order_sku_sales_bb2_report!J:J,H28650)</f>
        <v>#ERROR!</v>
      </c>
      <c r="Q858" s="6" t="str">
        <f t="shared" si="1"/>
        <v>22-12-2025</v>
      </c>
      <c r="R858" s="6" t="str">
        <f>IFERROR( VLOOKUP(C28650,[1]expressOrderReport!$S:$AZ,34,0),0)</f>
        <v>#ERROR!</v>
      </c>
      <c r="S858" s="6" t="str">
        <f>ARRAY_CONSTRAIN(ARRAYFORMULA(_xludf.XLOOKUP(D28650,[1]order_Report_SA_ID_BB2.0!V:V,[1]order_Report_SA_ID_BB2.0!AM:AM,"")), 1, 1)</f>
        <v>#ERROR!</v>
      </c>
      <c r="T858" s="6" t="str">
        <f t="shared" si="2"/>
        <v>Dec'25</v>
      </c>
    </row>
    <row r="859" ht="15.75" customHeight="1">
      <c r="A859" s="5">
        <v>46013.0</v>
      </c>
      <c r="B859" s="6">
        <v>5404.0</v>
      </c>
      <c r="C859" s="6">
        <v>1.859165712E9</v>
      </c>
      <c r="D859" s="6">
        <v>192257.0</v>
      </c>
      <c r="E859" s="6" t="s">
        <v>1372</v>
      </c>
      <c r="F859" s="6" t="s">
        <v>1373</v>
      </c>
      <c r="G859" s="6">
        <v>9.90027863E9</v>
      </c>
      <c r="H859" s="6">
        <v>4.014983E7</v>
      </c>
      <c r="I859" s="6" t="s">
        <v>30</v>
      </c>
      <c r="J859" s="6" t="s">
        <v>21</v>
      </c>
      <c r="K859" s="6" t="s">
        <v>22</v>
      </c>
      <c r="L859" s="6">
        <v>314.0</v>
      </c>
      <c r="M859" s="5">
        <v>46013.0</v>
      </c>
      <c r="N859" s="6" t="s">
        <v>23</v>
      </c>
      <c r="O859" s="6" t="str">
        <f>SUMIFS([1]order_sku_sales_bb2_report!P:P,[1]order_sku_sales_bb2_report!H:H,C28651,[1]order_sku_sales_bb2_report!J:J,H28651)</f>
        <v>#ERROR!</v>
      </c>
      <c r="P859" s="6" t="str">
        <f>SUMIFS([1]order_sku_sales_bb2_report!O:O,[1]order_sku_sales_bb2_report!H:H,C28651,[1]order_sku_sales_bb2_report!J:J,H28651)</f>
        <v>#ERROR!</v>
      </c>
      <c r="Q859" s="6" t="str">
        <f t="shared" si="1"/>
        <v>22-12-2025</v>
      </c>
      <c r="R859" s="6" t="str">
        <f>IFERROR( VLOOKUP(C28651,[1]expressOrderReport!$S:$AZ,34,0),0)</f>
        <v>#ERROR!</v>
      </c>
      <c r="S859" s="6" t="str">
        <f>ARRAY_CONSTRAIN(ARRAYFORMULA(_xludf.XLOOKUP(D28651,[1]order_Report_SA_ID_BB2.0!V:V,[1]order_Report_SA_ID_BB2.0!AM:AM,"")), 1, 1)</f>
        <v>#ERROR!</v>
      </c>
      <c r="T859" s="6" t="str">
        <f t="shared" si="2"/>
        <v>Dec'25</v>
      </c>
    </row>
    <row r="860" ht="15.75" customHeight="1">
      <c r="A860" s="5">
        <v>46013.0</v>
      </c>
      <c r="B860" s="6">
        <v>5406.0</v>
      </c>
      <c r="C860" s="6">
        <v>1.859165712E9</v>
      </c>
      <c r="D860" s="6">
        <v>192257.0</v>
      </c>
      <c r="E860" s="6" t="s">
        <v>1372</v>
      </c>
      <c r="F860" s="6" t="s">
        <v>1373</v>
      </c>
      <c r="G860" s="6">
        <v>9.90027863E9</v>
      </c>
      <c r="H860" s="6">
        <v>4.0158264E7</v>
      </c>
      <c r="I860" s="6" t="s">
        <v>26</v>
      </c>
      <c r="J860" s="6" t="s">
        <v>21</v>
      </c>
      <c r="K860" s="6" t="s">
        <v>22</v>
      </c>
      <c r="L860" s="6">
        <v>314.0</v>
      </c>
      <c r="M860" s="5">
        <v>46013.0</v>
      </c>
      <c r="N860" s="6" t="s">
        <v>23</v>
      </c>
      <c r="O860" s="6" t="str">
        <f>SUMIFS([1]order_sku_sales_bb2_report!P:P,[1]order_sku_sales_bb2_report!H:H,C28652,[1]order_sku_sales_bb2_report!J:J,H28652)</f>
        <v>#ERROR!</v>
      </c>
      <c r="P860" s="6" t="str">
        <f>SUMIFS([1]order_sku_sales_bb2_report!O:O,[1]order_sku_sales_bb2_report!H:H,C28652,[1]order_sku_sales_bb2_report!J:J,H28652)</f>
        <v>#ERROR!</v>
      </c>
      <c r="Q860" s="6" t="str">
        <f t="shared" si="1"/>
        <v>22-12-2025</v>
      </c>
      <c r="R860" s="6" t="str">
        <f>IFERROR( VLOOKUP(C28652,[1]expressOrderReport!$S:$AZ,34,0),0)</f>
        <v>#ERROR!</v>
      </c>
      <c r="S860" s="6" t="str">
        <f>ARRAY_CONSTRAIN(ARRAYFORMULA(_xludf.XLOOKUP(D28652,[1]order_Report_SA_ID_BB2.0!V:V,[1]order_Report_SA_ID_BB2.0!AM:AM,"")), 1, 1)</f>
        <v>#ERROR!</v>
      </c>
      <c r="T860" s="6" t="str">
        <f t="shared" si="2"/>
        <v>Dec'25</v>
      </c>
    </row>
    <row r="861" ht="15.75" customHeight="1">
      <c r="A861" s="5">
        <v>46013.0</v>
      </c>
      <c r="B861" s="6">
        <v>5410.0</v>
      </c>
      <c r="C861" s="6">
        <v>1.859165712E9</v>
      </c>
      <c r="D861" s="6">
        <v>192257.0</v>
      </c>
      <c r="E861" s="6" t="s">
        <v>1372</v>
      </c>
      <c r="F861" s="6" t="s">
        <v>1373</v>
      </c>
      <c r="G861" s="6">
        <v>9.90027863E9</v>
      </c>
      <c r="H861" s="6">
        <v>7.0001171E7</v>
      </c>
      <c r="I861" s="6" t="s">
        <v>1374</v>
      </c>
      <c r="J861" s="6" t="s">
        <v>21</v>
      </c>
      <c r="K861" s="6" t="s">
        <v>22</v>
      </c>
      <c r="L861" s="6">
        <v>314.0</v>
      </c>
      <c r="M861" s="5">
        <v>46013.0</v>
      </c>
      <c r="N861" s="6" t="s">
        <v>23</v>
      </c>
      <c r="O861" s="6" t="str">
        <f>SUMIFS([1]order_sku_sales_bb2_report!P:P,[1]order_sku_sales_bb2_report!H:H,C28653,[1]order_sku_sales_bb2_report!J:J,H28653)</f>
        <v>#ERROR!</v>
      </c>
      <c r="P861" s="6" t="str">
        <f>SUMIFS([1]order_sku_sales_bb2_report!O:O,[1]order_sku_sales_bb2_report!H:H,C28653,[1]order_sku_sales_bb2_report!J:J,H28653)</f>
        <v>#ERROR!</v>
      </c>
      <c r="Q861" s="6" t="str">
        <f t="shared" si="1"/>
        <v>22-12-2025</v>
      </c>
      <c r="R861" s="6" t="str">
        <f>IFERROR( VLOOKUP(C28653,[1]expressOrderReport!$S:$AZ,34,0),0)</f>
        <v>#ERROR!</v>
      </c>
      <c r="S861" s="6" t="str">
        <f>ARRAY_CONSTRAIN(ARRAYFORMULA(_xludf.XLOOKUP(D28653,[1]order_Report_SA_ID_BB2.0!V:V,[1]order_Report_SA_ID_BB2.0!AM:AM,"")), 1, 1)</f>
        <v>#ERROR!</v>
      </c>
      <c r="T861" s="6" t="str">
        <f t="shared" si="2"/>
        <v>Dec'25</v>
      </c>
    </row>
    <row r="862" ht="15.75" customHeight="1">
      <c r="A862" s="5">
        <v>46013.0</v>
      </c>
      <c r="B862" s="6">
        <v>5880.0</v>
      </c>
      <c r="C862" s="6">
        <v>1.859165712E9</v>
      </c>
      <c r="D862" s="6">
        <v>192257.0</v>
      </c>
      <c r="E862" s="6" t="s">
        <v>1372</v>
      </c>
      <c r="F862" s="6" t="s">
        <v>1373</v>
      </c>
      <c r="G862" s="6">
        <v>9.90027863E9</v>
      </c>
      <c r="H862" s="6">
        <v>1.00609485E8</v>
      </c>
      <c r="I862" s="6" t="s">
        <v>1375</v>
      </c>
      <c r="J862" s="6" t="s">
        <v>21</v>
      </c>
      <c r="K862" s="6" t="s">
        <v>22</v>
      </c>
      <c r="L862" s="6">
        <v>314.0</v>
      </c>
      <c r="M862" s="5">
        <v>46013.0</v>
      </c>
      <c r="N862" s="6" t="s">
        <v>23</v>
      </c>
      <c r="O862" s="6" t="str">
        <f>SUMIFS([1]order_sku_sales_bb2_report!P:P,[1]order_sku_sales_bb2_report!H:H,C28654,[1]order_sku_sales_bb2_report!J:J,H28654)</f>
        <v>#ERROR!</v>
      </c>
      <c r="P862" s="6" t="str">
        <f>SUMIFS([1]order_sku_sales_bb2_report!O:O,[1]order_sku_sales_bb2_report!H:H,C28654,[1]order_sku_sales_bb2_report!J:J,H28654)</f>
        <v>#ERROR!</v>
      </c>
      <c r="Q862" s="6" t="str">
        <f t="shared" si="1"/>
        <v>22-12-2025</v>
      </c>
      <c r="R862" s="6" t="str">
        <f>IFERROR( VLOOKUP(C28654,[1]expressOrderReport!$S:$AZ,34,0),0)</f>
        <v>#ERROR!</v>
      </c>
      <c r="S862" s="6" t="str">
        <f>ARRAY_CONSTRAIN(ARRAYFORMULA(_xludf.XLOOKUP(D28654,[1]order_Report_SA_ID_BB2.0!V:V,[1]order_Report_SA_ID_BB2.0!AM:AM,"")), 1, 1)</f>
        <v>#ERROR!</v>
      </c>
      <c r="T862" s="6" t="str">
        <f t="shared" si="2"/>
        <v>Dec'25</v>
      </c>
    </row>
    <row r="863" ht="15.75" customHeight="1">
      <c r="A863" s="5">
        <v>46013.0</v>
      </c>
      <c r="B863" s="6">
        <v>12016.0</v>
      </c>
      <c r="C863" s="6">
        <v>1.859165712E9</v>
      </c>
      <c r="D863" s="6">
        <v>192257.0</v>
      </c>
      <c r="E863" s="6" t="s">
        <v>1372</v>
      </c>
      <c r="F863" s="6" t="s">
        <v>1373</v>
      </c>
      <c r="G863" s="6">
        <v>9.90027863E9</v>
      </c>
      <c r="H863" s="6">
        <v>3.0009284E7</v>
      </c>
      <c r="I863" s="6" t="s">
        <v>1376</v>
      </c>
      <c r="J863" s="6" t="s">
        <v>21</v>
      </c>
      <c r="K863" s="6" t="s">
        <v>22</v>
      </c>
      <c r="L863" s="6">
        <v>314.0</v>
      </c>
      <c r="M863" s="5">
        <v>46013.0</v>
      </c>
      <c r="N863" s="6" t="s">
        <v>23</v>
      </c>
      <c r="O863" s="6" t="str">
        <f>SUMIFS([1]order_sku_sales_bb2_report!P:P,[1]order_sku_sales_bb2_report!H:H,C28655,[1]order_sku_sales_bb2_report!J:J,H28655)</f>
        <v>#ERROR!</v>
      </c>
      <c r="P863" s="6" t="str">
        <f>SUMIFS([1]order_sku_sales_bb2_report!O:O,[1]order_sku_sales_bb2_report!H:H,C28655,[1]order_sku_sales_bb2_report!J:J,H28655)</f>
        <v>#ERROR!</v>
      </c>
      <c r="Q863" s="6" t="str">
        <f t="shared" si="1"/>
        <v>22-12-2025</v>
      </c>
      <c r="R863" s="6" t="str">
        <f>IFERROR( VLOOKUP(C28655,[1]expressOrderReport!$S:$AZ,34,0),0)</f>
        <v>#ERROR!</v>
      </c>
      <c r="S863" s="6" t="str">
        <f>ARRAY_CONSTRAIN(ARRAYFORMULA(_xludf.XLOOKUP(D28655,[1]order_Report_SA_ID_BB2.0!V:V,[1]order_Report_SA_ID_BB2.0!AM:AM,"")), 1, 1)</f>
        <v>#ERROR!</v>
      </c>
      <c r="T863" s="6" t="str">
        <f t="shared" si="2"/>
        <v>Dec'25</v>
      </c>
    </row>
    <row r="864" ht="15.75" customHeight="1">
      <c r="A864" s="5">
        <v>46013.0</v>
      </c>
      <c r="B864" s="6">
        <v>6015.0</v>
      </c>
      <c r="C864" s="6">
        <v>1.859165728E9</v>
      </c>
      <c r="D864" s="6">
        <v>3309179.0</v>
      </c>
      <c r="E864" s="6" t="s">
        <v>1377</v>
      </c>
      <c r="F864" s="6" t="s">
        <v>1378</v>
      </c>
      <c r="G864" s="6">
        <v>7.411512592E9</v>
      </c>
      <c r="H864" s="6">
        <v>4.0149833E7</v>
      </c>
      <c r="I864" s="6" t="s">
        <v>40</v>
      </c>
      <c r="J864" s="6" t="s">
        <v>21</v>
      </c>
      <c r="K864" s="6" t="s">
        <v>22</v>
      </c>
      <c r="L864" s="6">
        <v>27.0</v>
      </c>
      <c r="M864" s="5">
        <v>46013.0</v>
      </c>
      <c r="N864" s="6" t="s">
        <v>23</v>
      </c>
      <c r="O864" s="6" t="str">
        <f>SUMIFS([1]order_sku_sales_bb2_report!P:P,[1]order_sku_sales_bb2_report!H:H,C28656,[1]order_sku_sales_bb2_report!J:J,H28656)</f>
        <v>#ERROR!</v>
      </c>
      <c r="P864" s="6" t="str">
        <f>SUMIFS([1]order_sku_sales_bb2_report!O:O,[1]order_sku_sales_bb2_report!H:H,C28656,[1]order_sku_sales_bb2_report!J:J,H28656)</f>
        <v>#ERROR!</v>
      </c>
      <c r="Q864" s="6" t="str">
        <f t="shared" si="1"/>
        <v>22-12-2025</v>
      </c>
      <c r="R864" s="6" t="str">
        <f>IFERROR( VLOOKUP(C28656,[1]expressOrderReport!$S:$AZ,34,0),0)</f>
        <v>#ERROR!</v>
      </c>
      <c r="S864" s="6" t="str">
        <f>ARRAY_CONSTRAIN(ARRAYFORMULA(_xludf.XLOOKUP(D28656,[1]order_Report_SA_ID_BB2.0!V:V,[1]order_Report_SA_ID_BB2.0!AM:AM,"")), 1, 1)</f>
        <v>#ERROR!</v>
      </c>
      <c r="T864" s="6" t="str">
        <f t="shared" si="2"/>
        <v>Dec'25</v>
      </c>
    </row>
    <row r="865" ht="15.75" customHeight="1">
      <c r="A865" s="5">
        <v>46013.0</v>
      </c>
      <c r="B865" s="6">
        <v>4054.0</v>
      </c>
      <c r="C865" s="6">
        <v>1.859165737E9</v>
      </c>
      <c r="D865" s="6">
        <v>3323192.0</v>
      </c>
      <c r="E865" s="6" t="s">
        <v>1379</v>
      </c>
      <c r="F865" s="6" t="s">
        <v>1380</v>
      </c>
      <c r="G865" s="6">
        <v>9.036487413E9</v>
      </c>
      <c r="H865" s="6">
        <v>4.0158264E7</v>
      </c>
      <c r="I865" s="6" t="s">
        <v>26</v>
      </c>
      <c r="J865" s="6" t="s">
        <v>21</v>
      </c>
      <c r="K865" s="6" t="s">
        <v>22</v>
      </c>
      <c r="L865" s="6">
        <v>74.0</v>
      </c>
      <c r="M865" s="5">
        <v>46013.0</v>
      </c>
      <c r="N865" s="6" t="s">
        <v>23</v>
      </c>
      <c r="O865" s="6" t="str">
        <f>SUMIFS([1]order_sku_sales_bb2_report!P:P,[1]order_sku_sales_bb2_report!H:H,C28657,[1]order_sku_sales_bb2_report!J:J,H28657)</f>
        <v>#ERROR!</v>
      </c>
      <c r="P865" s="6" t="str">
        <f>SUMIFS([1]order_sku_sales_bb2_report!O:O,[1]order_sku_sales_bb2_report!H:H,C28657,[1]order_sku_sales_bb2_report!J:J,H28657)</f>
        <v>#ERROR!</v>
      </c>
      <c r="Q865" s="6" t="str">
        <f t="shared" si="1"/>
        <v>22-12-2025</v>
      </c>
      <c r="R865" s="6" t="str">
        <f>IFERROR( VLOOKUP(C28657,[1]expressOrderReport!$S:$AZ,34,0),0)</f>
        <v>#ERROR!</v>
      </c>
      <c r="S865" s="6" t="str">
        <f>ARRAY_CONSTRAIN(ARRAYFORMULA(_xludf.XLOOKUP(D28657,[1]order_Report_SA_ID_BB2.0!V:V,[1]order_Report_SA_ID_BB2.0!AM:AM,"")), 1, 1)</f>
        <v>#ERROR!</v>
      </c>
      <c r="T865" s="6" t="str">
        <f t="shared" si="2"/>
        <v>Dec'25</v>
      </c>
    </row>
    <row r="866" ht="15.75" customHeight="1">
      <c r="A866" s="5">
        <v>46013.0</v>
      </c>
      <c r="B866" s="6">
        <v>4298.0</v>
      </c>
      <c r="C866" s="6">
        <v>1.859165737E9</v>
      </c>
      <c r="D866" s="6">
        <v>3323192.0</v>
      </c>
      <c r="E866" s="6" t="s">
        <v>1379</v>
      </c>
      <c r="F866" s="6" t="s">
        <v>1380</v>
      </c>
      <c r="G866" s="6">
        <v>9.036487413E9</v>
      </c>
      <c r="H866" s="6">
        <v>4.014983E7</v>
      </c>
      <c r="I866" s="6" t="s">
        <v>30</v>
      </c>
      <c r="J866" s="6" t="s">
        <v>21</v>
      </c>
      <c r="K866" s="6" t="s">
        <v>22</v>
      </c>
      <c r="L866" s="6">
        <v>74.0</v>
      </c>
      <c r="M866" s="5">
        <v>46013.0</v>
      </c>
      <c r="N866" s="6" t="s">
        <v>23</v>
      </c>
      <c r="O866" s="6" t="str">
        <f>SUMIFS([1]order_sku_sales_bb2_report!P:P,[1]order_sku_sales_bb2_report!H:H,C28658,[1]order_sku_sales_bb2_report!J:J,H28658)</f>
        <v>#ERROR!</v>
      </c>
      <c r="P866" s="6" t="str">
        <f>SUMIFS([1]order_sku_sales_bb2_report!O:O,[1]order_sku_sales_bb2_report!H:H,C28658,[1]order_sku_sales_bb2_report!J:J,H28658)</f>
        <v>#ERROR!</v>
      </c>
      <c r="Q866" s="6" t="str">
        <f t="shared" si="1"/>
        <v>22-12-2025</v>
      </c>
      <c r="R866" s="6" t="str">
        <f>IFERROR( VLOOKUP(C28658,[1]expressOrderReport!$S:$AZ,34,0),0)</f>
        <v>#ERROR!</v>
      </c>
      <c r="S866" s="6" t="str">
        <f>ARRAY_CONSTRAIN(ARRAYFORMULA(_xludf.XLOOKUP(D28658,[1]order_Report_SA_ID_BB2.0!V:V,[1]order_Report_SA_ID_BB2.0!AM:AM,"")), 1, 1)</f>
        <v>#ERROR!</v>
      </c>
      <c r="T866" s="6" t="str">
        <f t="shared" si="2"/>
        <v>Dec'25</v>
      </c>
    </row>
    <row r="867" ht="15.75" customHeight="1">
      <c r="A867" s="5">
        <v>46013.0</v>
      </c>
      <c r="B867" s="6">
        <v>8232.0</v>
      </c>
      <c r="C867" s="6">
        <v>1.859165746E9</v>
      </c>
      <c r="D867" s="6">
        <v>1195874.0</v>
      </c>
      <c r="E867" s="6" t="s">
        <v>1381</v>
      </c>
      <c r="F867" s="6" t="s">
        <v>1382</v>
      </c>
      <c r="G867" s="6">
        <v>9.916397905E9</v>
      </c>
      <c r="H867" s="6">
        <v>4.0148717E7</v>
      </c>
      <c r="I867" s="6" t="s">
        <v>226</v>
      </c>
      <c r="J867" s="6" t="s">
        <v>21</v>
      </c>
      <c r="K867" s="6" t="s">
        <v>22</v>
      </c>
      <c r="L867" s="6">
        <v>159.0</v>
      </c>
      <c r="M867" s="5">
        <v>46013.0</v>
      </c>
      <c r="N867" s="6" t="s">
        <v>23</v>
      </c>
      <c r="O867" s="6" t="str">
        <f>SUMIFS([1]order_sku_sales_bb2_report!P:P,[1]order_sku_sales_bb2_report!H:H,C28659,[1]order_sku_sales_bb2_report!J:J,H28659)</f>
        <v>#ERROR!</v>
      </c>
      <c r="P867" s="6" t="str">
        <f>SUMIFS([1]order_sku_sales_bb2_report!O:O,[1]order_sku_sales_bb2_report!H:H,C28659,[1]order_sku_sales_bb2_report!J:J,H28659)</f>
        <v>#ERROR!</v>
      </c>
      <c r="Q867" s="6" t="str">
        <f t="shared" si="1"/>
        <v>22-12-2025</v>
      </c>
      <c r="R867" s="6" t="str">
        <f>IFERROR( VLOOKUP(C28659,[1]expressOrderReport!$S:$AZ,34,0),0)</f>
        <v>#ERROR!</v>
      </c>
      <c r="S867" s="6" t="str">
        <f>ARRAY_CONSTRAIN(ARRAYFORMULA(_xludf.XLOOKUP(D28659,[1]order_Report_SA_ID_BB2.0!V:V,[1]order_Report_SA_ID_BB2.0!AM:AM,"")), 1, 1)</f>
        <v>#ERROR!</v>
      </c>
      <c r="T867" s="6" t="str">
        <f t="shared" si="2"/>
        <v>Dec'25</v>
      </c>
    </row>
    <row r="868" ht="15.75" customHeight="1">
      <c r="A868" s="5">
        <v>46013.0</v>
      </c>
      <c r="B868" s="6">
        <v>8677.0</v>
      </c>
      <c r="C868" s="6">
        <v>1.859165756E9</v>
      </c>
      <c r="D868" s="6">
        <v>3566868.0</v>
      </c>
      <c r="E868" s="6" t="s">
        <v>1383</v>
      </c>
      <c r="F868" s="6" t="s">
        <v>1384</v>
      </c>
      <c r="G868" s="6">
        <v>9.845622198E9</v>
      </c>
      <c r="H868" s="6">
        <v>4.0149832E7</v>
      </c>
      <c r="I868" s="6" t="s">
        <v>26</v>
      </c>
      <c r="J868" s="6" t="s">
        <v>21</v>
      </c>
      <c r="K868" s="6" t="s">
        <v>22</v>
      </c>
      <c r="L868" s="6">
        <v>24.0</v>
      </c>
      <c r="M868" s="5">
        <v>46013.0</v>
      </c>
      <c r="N868" s="6" t="s">
        <v>23</v>
      </c>
      <c r="O868" s="6" t="str">
        <f>SUMIFS([1]order_sku_sales_bb2_report!P:P,[1]order_sku_sales_bb2_report!H:H,C28660,[1]order_sku_sales_bb2_report!J:J,H28660)</f>
        <v>#ERROR!</v>
      </c>
      <c r="P868" s="6" t="str">
        <f>SUMIFS([1]order_sku_sales_bb2_report!O:O,[1]order_sku_sales_bb2_report!H:H,C28660,[1]order_sku_sales_bb2_report!J:J,H28660)</f>
        <v>#ERROR!</v>
      </c>
      <c r="Q868" s="6" t="str">
        <f t="shared" si="1"/>
        <v>22-12-2025</v>
      </c>
      <c r="R868" s="6" t="str">
        <f>IFERROR( VLOOKUP(C28660,[1]expressOrderReport!$S:$AZ,34,0),0)</f>
        <v>#ERROR!</v>
      </c>
      <c r="S868" s="6" t="str">
        <f>ARRAY_CONSTRAIN(ARRAYFORMULA(_xludf.XLOOKUP(D28660,[1]order_Report_SA_ID_BB2.0!V:V,[1]order_Report_SA_ID_BB2.0!AM:AM,"")), 1, 1)</f>
        <v>#ERROR!</v>
      </c>
      <c r="T868" s="6" t="str">
        <f t="shared" si="2"/>
        <v>Dec'25</v>
      </c>
    </row>
    <row r="869" ht="15.75" customHeight="1">
      <c r="A869" s="5">
        <v>46013.0</v>
      </c>
      <c r="B869" s="6">
        <v>5336.0</v>
      </c>
      <c r="C869" s="6">
        <v>1.85916577E9</v>
      </c>
      <c r="D869" s="6">
        <v>3649894.0</v>
      </c>
      <c r="E869" s="6" t="s">
        <v>1385</v>
      </c>
      <c r="F869" s="6" t="s">
        <v>1386</v>
      </c>
      <c r="G869" s="6">
        <v>8.792885848E9</v>
      </c>
      <c r="H869" s="6">
        <v>4.0212327E7</v>
      </c>
      <c r="I869" s="6" t="s">
        <v>682</v>
      </c>
      <c r="J869" s="6" t="s">
        <v>21</v>
      </c>
      <c r="K869" s="6" t="s">
        <v>22</v>
      </c>
      <c r="L869" s="6">
        <v>54.0</v>
      </c>
      <c r="M869" s="5">
        <v>46013.0</v>
      </c>
      <c r="N869" s="6" t="s">
        <v>23</v>
      </c>
      <c r="O869" s="6" t="str">
        <f>SUMIFS([1]order_sku_sales_bb2_report!P:P,[1]order_sku_sales_bb2_report!H:H,C28661,[1]order_sku_sales_bb2_report!J:J,H28661)</f>
        <v>#ERROR!</v>
      </c>
      <c r="P869" s="6" t="str">
        <f>SUMIFS([1]order_sku_sales_bb2_report!O:O,[1]order_sku_sales_bb2_report!H:H,C28661,[1]order_sku_sales_bb2_report!J:J,H28661)</f>
        <v>#ERROR!</v>
      </c>
      <c r="Q869" s="6" t="str">
        <f t="shared" si="1"/>
        <v>22-12-2025</v>
      </c>
      <c r="R869" s="6" t="str">
        <f>IFERROR( VLOOKUP(C28661,[1]expressOrderReport!$S:$AZ,34,0),0)</f>
        <v>#ERROR!</v>
      </c>
      <c r="S869" s="6" t="str">
        <f>ARRAY_CONSTRAIN(ARRAYFORMULA(_xludf.XLOOKUP(D28661,[1]order_Report_SA_ID_BB2.0!V:V,[1]order_Report_SA_ID_BB2.0!AM:AM,"")), 1, 1)</f>
        <v>#ERROR!</v>
      </c>
      <c r="T869" s="6" t="str">
        <f t="shared" si="2"/>
        <v>Dec'25</v>
      </c>
    </row>
    <row r="870" ht="15.75" customHeight="1">
      <c r="A870" s="5">
        <v>46013.0</v>
      </c>
      <c r="B870" s="6">
        <v>10057.0</v>
      </c>
      <c r="C870" s="6">
        <v>1.859166649E9</v>
      </c>
      <c r="D870" s="6">
        <v>1155584.0</v>
      </c>
      <c r="E870" s="6" t="s">
        <v>1387</v>
      </c>
      <c r="F870" s="6" t="s">
        <v>1388</v>
      </c>
      <c r="G870" s="6">
        <v>8.123541196E9</v>
      </c>
      <c r="H870" s="6">
        <v>4.0158264E7</v>
      </c>
      <c r="I870" s="6" t="s">
        <v>26</v>
      </c>
      <c r="J870" s="6" t="s">
        <v>21</v>
      </c>
      <c r="K870" s="6" t="s">
        <v>22</v>
      </c>
      <c r="L870" s="6">
        <v>46.0</v>
      </c>
      <c r="M870" s="5">
        <v>46013.0</v>
      </c>
      <c r="N870" s="6" t="s">
        <v>23</v>
      </c>
      <c r="O870" s="6" t="str">
        <f>SUMIFS([1]order_sku_sales_bb2_report!P:P,[1]order_sku_sales_bb2_report!H:H,C28663,[1]order_sku_sales_bb2_report!J:J,H28663)</f>
        <v>#ERROR!</v>
      </c>
      <c r="P870" s="6" t="str">
        <f>SUMIFS([1]order_sku_sales_bb2_report!O:O,[1]order_sku_sales_bb2_report!H:H,C28663,[1]order_sku_sales_bb2_report!J:J,H28663)</f>
        <v>#ERROR!</v>
      </c>
      <c r="Q870" s="6" t="str">
        <f t="shared" si="1"/>
        <v>22-12-2025</v>
      </c>
      <c r="R870" s="6" t="str">
        <f>IFERROR( VLOOKUP(C28663,[1]expressOrderReport!$S:$AZ,34,0),0)</f>
        <v>#ERROR!</v>
      </c>
      <c r="S870" s="6" t="str">
        <f>ARRAY_CONSTRAIN(ARRAYFORMULA(_xludf.XLOOKUP(D28663,[1]order_Report_SA_ID_BB2.0!V:V,[1]order_Report_SA_ID_BB2.0!AM:AM,"")), 1, 1)</f>
        <v>#ERROR!</v>
      </c>
      <c r="T870" s="6" t="str">
        <f t="shared" si="2"/>
        <v>Dec'25</v>
      </c>
    </row>
    <row r="871" ht="15.75" customHeight="1">
      <c r="A871" s="5">
        <v>46013.0</v>
      </c>
      <c r="B871" s="6">
        <v>3655.0</v>
      </c>
      <c r="C871" s="6">
        <v>1.859166656E9</v>
      </c>
      <c r="D871" s="6">
        <v>3694237.0</v>
      </c>
      <c r="E871" s="6" t="s">
        <v>1389</v>
      </c>
      <c r="F871" s="6" t="s">
        <v>1390</v>
      </c>
      <c r="G871" s="6">
        <v>9.742116626E9</v>
      </c>
      <c r="H871" s="6">
        <v>4.0161616E7</v>
      </c>
      <c r="I871" s="6" t="s">
        <v>20</v>
      </c>
      <c r="J871" s="6" t="s">
        <v>21</v>
      </c>
      <c r="K871" s="6" t="s">
        <v>22</v>
      </c>
      <c r="L871" s="6">
        <v>56.0</v>
      </c>
      <c r="M871" s="5">
        <v>46013.0</v>
      </c>
      <c r="N871" s="6" t="s">
        <v>23</v>
      </c>
      <c r="O871" s="6" t="str">
        <f>SUMIFS([1]order_sku_sales_bb2_report!P:P,[1]order_sku_sales_bb2_report!H:H,C28664,[1]order_sku_sales_bb2_report!J:J,H28664)</f>
        <v>#ERROR!</v>
      </c>
      <c r="P871" s="6" t="str">
        <f>SUMIFS([1]order_sku_sales_bb2_report!O:O,[1]order_sku_sales_bb2_report!H:H,C28664,[1]order_sku_sales_bb2_report!J:J,H28664)</f>
        <v>#ERROR!</v>
      </c>
      <c r="Q871" s="6" t="str">
        <f t="shared" si="1"/>
        <v>22-12-2025</v>
      </c>
      <c r="R871" s="6" t="str">
        <f>IFERROR( VLOOKUP(C28664,[1]expressOrderReport!$S:$AZ,34,0),0)</f>
        <v>#ERROR!</v>
      </c>
      <c r="S871" s="6" t="str">
        <f>ARRAY_CONSTRAIN(ARRAYFORMULA(_xludf.XLOOKUP(D28664,[1]order_Report_SA_ID_BB2.0!V:V,[1]order_Report_SA_ID_BB2.0!AM:AM,"")), 1, 1)</f>
        <v>#ERROR!</v>
      </c>
      <c r="T871" s="6" t="str">
        <f t="shared" si="2"/>
        <v>Dec'25</v>
      </c>
    </row>
    <row r="872" ht="15.75" customHeight="1">
      <c r="A872" s="5">
        <v>46013.0</v>
      </c>
      <c r="B872" s="6">
        <v>4678.0</v>
      </c>
      <c r="C872" s="6">
        <v>1.859166665E9</v>
      </c>
      <c r="D872" s="6">
        <v>203354.0</v>
      </c>
      <c r="E872" s="6" t="s">
        <v>1391</v>
      </c>
      <c r="F872" s="6" t="s">
        <v>1392</v>
      </c>
      <c r="G872" s="6">
        <v>9.901966997E9</v>
      </c>
      <c r="H872" s="6">
        <v>4.0161616E7</v>
      </c>
      <c r="I872" s="6" t="s">
        <v>20</v>
      </c>
      <c r="J872" s="6" t="s">
        <v>21</v>
      </c>
      <c r="K872" s="6" t="s">
        <v>22</v>
      </c>
      <c r="L872" s="6">
        <v>56.0</v>
      </c>
      <c r="M872" s="5">
        <v>46013.0</v>
      </c>
      <c r="N872" s="6" t="s">
        <v>23</v>
      </c>
      <c r="O872" s="6" t="str">
        <f>SUMIFS([1]order_sku_sales_bb2_report!P:P,[1]order_sku_sales_bb2_report!H:H,C28666,[1]order_sku_sales_bb2_report!J:J,H28666)</f>
        <v>#ERROR!</v>
      </c>
      <c r="P872" s="6" t="str">
        <f>SUMIFS([1]order_sku_sales_bb2_report!O:O,[1]order_sku_sales_bb2_report!H:H,C28666,[1]order_sku_sales_bb2_report!J:J,H28666)</f>
        <v>#ERROR!</v>
      </c>
      <c r="Q872" s="6" t="str">
        <f t="shared" si="1"/>
        <v>22-12-2025</v>
      </c>
      <c r="R872" s="6" t="str">
        <f>IFERROR( VLOOKUP(C28666,[1]expressOrderReport!$S:$AZ,34,0),0)</f>
        <v>#ERROR!</v>
      </c>
      <c r="S872" s="6" t="str">
        <f>ARRAY_CONSTRAIN(ARRAYFORMULA(_xludf.XLOOKUP(D28666,[1]order_Report_SA_ID_BB2.0!V:V,[1]order_Report_SA_ID_BB2.0!AM:AM,"")), 1, 1)</f>
        <v>#ERROR!</v>
      </c>
      <c r="T872" s="6" t="str">
        <f t="shared" si="2"/>
        <v>Dec'25</v>
      </c>
    </row>
    <row r="873" ht="15.75" customHeight="1">
      <c r="A873" s="5">
        <v>46013.0</v>
      </c>
      <c r="B873" s="6">
        <v>3504.0</v>
      </c>
      <c r="C873" s="6">
        <v>1.859166671E9</v>
      </c>
      <c r="D873" s="6">
        <v>94320.0</v>
      </c>
      <c r="E873" s="6" t="s">
        <v>1393</v>
      </c>
      <c r="F873" s="6" t="s">
        <v>1394</v>
      </c>
      <c r="G873" s="6">
        <v>9.845910838E9</v>
      </c>
      <c r="H873" s="6">
        <v>4.0149832E7</v>
      </c>
      <c r="I873" s="6" t="s">
        <v>26</v>
      </c>
      <c r="J873" s="6" t="s">
        <v>21</v>
      </c>
      <c r="K873" s="6" t="s">
        <v>22</v>
      </c>
      <c r="L873" s="6">
        <v>72.0</v>
      </c>
      <c r="M873" s="5">
        <v>46013.0</v>
      </c>
      <c r="N873" s="6" t="s">
        <v>23</v>
      </c>
      <c r="O873" s="6" t="str">
        <f>SUMIFS([1]order_sku_sales_bb2_report!P:P,[1]order_sku_sales_bb2_report!H:H,C28667,[1]order_sku_sales_bb2_report!J:J,H28667)</f>
        <v>#ERROR!</v>
      </c>
      <c r="P873" s="6" t="str">
        <f>SUMIFS([1]order_sku_sales_bb2_report!O:O,[1]order_sku_sales_bb2_report!H:H,C28667,[1]order_sku_sales_bb2_report!J:J,H28667)</f>
        <v>#ERROR!</v>
      </c>
      <c r="Q873" s="6" t="str">
        <f t="shared" si="1"/>
        <v>22-12-2025</v>
      </c>
      <c r="R873" s="6" t="str">
        <f>IFERROR( VLOOKUP(C28667,[1]expressOrderReport!$S:$AZ,34,0),0)</f>
        <v>#ERROR!</v>
      </c>
      <c r="S873" s="6" t="str">
        <f>ARRAY_CONSTRAIN(ARRAYFORMULA(_xludf.XLOOKUP(D28667,[1]order_Report_SA_ID_BB2.0!V:V,[1]order_Report_SA_ID_BB2.0!AM:AM,"")), 1, 1)</f>
        <v>#ERROR!</v>
      </c>
      <c r="T873" s="6" t="str">
        <f t="shared" si="2"/>
        <v>Dec'25</v>
      </c>
    </row>
    <row r="874" ht="15.75" customHeight="1">
      <c r="A874" s="5">
        <v>46013.0</v>
      </c>
      <c r="B874" s="6">
        <v>3755.0</v>
      </c>
      <c r="C874" s="6">
        <v>1.859166679E9</v>
      </c>
      <c r="D874" s="6">
        <v>1200117.0</v>
      </c>
      <c r="E874" s="6" t="s">
        <v>1395</v>
      </c>
      <c r="F874" s="6" t="s">
        <v>1396</v>
      </c>
      <c r="G874" s="6">
        <v>9.901947544E9</v>
      </c>
      <c r="H874" s="6">
        <v>4.0149832E7</v>
      </c>
      <c r="I874" s="6" t="s">
        <v>26</v>
      </c>
      <c r="J874" s="6" t="s">
        <v>21</v>
      </c>
      <c r="K874" s="6" t="s">
        <v>22</v>
      </c>
      <c r="L874" s="6">
        <v>121.6</v>
      </c>
      <c r="M874" s="5">
        <v>46013.0</v>
      </c>
      <c r="N874" s="6" t="s">
        <v>23</v>
      </c>
      <c r="O874" s="6" t="str">
        <f>SUMIFS([1]order_sku_sales_bb2_report!P:P,[1]order_sku_sales_bb2_report!H:H,C28668,[1]order_sku_sales_bb2_report!J:J,H28668)</f>
        <v>#ERROR!</v>
      </c>
      <c r="P874" s="6" t="str">
        <f>SUMIFS([1]order_sku_sales_bb2_report!O:O,[1]order_sku_sales_bb2_report!H:H,C28668,[1]order_sku_sales_bb2_report!J:J,H28668)</f>
        <v>#ERROR!</v>
      </c>
      <c r="Q874" s="6" t="str">
        <f t="shared" si="1"/>
        <v>22-12-2025</v>
      </c>
      <c r="R874" s="6" t="str">
        <f>IFERROR( VLOOKUP(C28668,[1]expressOrderReport!$S:$AZ,34,0),0)</f>
        <v>#ERROR!</v>
      </c>
      <c r="S874" s="6" t="str">
        <f>ARRAY_CONSTRAIN(ARRAYFORMULA(_xludf.XLOOKUP(D28668,[1]order_Report_SA_ID_BB2.0!V:V,[1]order_Report_SA_ID_BB2.0!AM:AM,"")), 1, 1)</f>
        <v>#ERROR!</v>
      </c>
      <c r="T874" s="6" t="str">
        <f t="shared" si="2"/>
        <v>Dec'25</v>
      </c>
    </row>
    <row r="875" ht="15.75" customHeight="1">
      <c r="A875" s="5">
        <v>46013.0</v>
      </c>
      <c r="B875" s="6">
        <v>3759.0</v>
      </c>
      <c r="C875" s="6">
        <v>1.859166679E9</v>
      </c>
      <c r="D875" s="6">
        <v>1200117.0</v>
      </c>
      <c r="E875" s="6" t="s">
        <v>1395</v>
      </c>
      <c r="F875" s="6" t="s">
        <v>1396</v>
      </c>
      <c r="G875" s="6">
        <v>9.901947544E9</v>
      </c>
      <c r="H875" s="6">
        <v>4.014983E7</v>
      </c>
      <c r="I875" s="6" t="s">
        <v>30</v>
      </c>
      <c r="J875" s="6" t="s">
        <v>21</v>
      </c>
      <c r="K875" s="6" t="s">
        <v>22</v>
      </c>
      <c r="L875" s="6">
        <v>121.6</v>
      </c>
      <c r="M875" s="5">
        <v>46013.0</v>
      </c>
      <c r="N875" s="6" t="s">
        <v>23</v>
      </c>
      <c r="O875" s="6" t="str">
        <f>SUMIFS([1]order_sku_sales_bb2_report!P:P,[1]order_sku_sales_bb2_report!H:H,C28669,[1]order_sku_sales_bb2_report!J:J,H28669)</f>
        <v>#ERROR!</v>
      </c>
      <c r="P875" s="6" t="str">
        <f>SUMIFS([1]order_sku_sales_bb2_report!O:O,[1]order_sku_sales_bb2_report!H:H,C28669,[1]order_sku_sales_bb2_report!J:J,H28669)</f>
        <v>#ERROR!</v>
      </c>
      <c r="Q875" s="6" t="str">
        <f t="shared" si="1"/>
        <v>22-12-2025</v>
      </c>
      <c r="R875" s="6" t="str">
        <f>IFERROR( VLOOKUP(C28669,[1]expressOrderReport!$S:$AZ,34,0),0)</f>
        <v>#ERROR!</v>
      </c>
      <c r="S875" s="6" t="str">
        <f>ARRAY_CONSTRAIN(ARRAYFORMULA(_xludf.XLOOKUP(D28669,[1]order_Report_SA_ID_BB2.0!V:V,[1]order_Report_SA_ID_BB2.0!AM:AM,"")), 1, 1)</f>
        <v>#ERROR!</v>
      </c>
      <c r="T875" s="6" t="str">
        <f t="shared" si="2"/>
        <v>Dec'25</v>
      </c>
    </row>
    <row r="876" ht="15.75" customHeight="1">
      <c r="A876" s="5">
        <v>46013.0</v>
      </c>
      <c r="B876" s="6">
        <v>4763.0</v>
      </c>
      <c r="C876" s="6">
        <v>1.859166679E9</v>
      </c>
      <c r="D876" s="6">
        <v>1200117.0</v>
      </c>
      <c r="E876" s="6" t="s">
        <v>1395</v>
      </c>
      <c r="F876" s="6" t="s">
        <v>1396</v>
      </c>
      <c r="G876" s="6">
        <v>9.901947544E9</v>
      </c>
      <c r="H876" s="6">
        <v>4.007376E7</v>
      </c>
      <c r="I876" s="6" t="s">
        <v>687</v>
      </c>
      <c r="J876" s="6" t="s">
        <v>21</v>
      </c>
      <c r="K876" s="6" t="s">
        <v>22</v>
      </c>
      <c r="L876" s="6">
        <v>121.6</v>
      </c>
      <c r="M876" s="5">
        <v>46013.0</v>
      </c>
      <c r="N876" s="6" t="s">
        <v>23</v>
      </c>
      <c r="O876" s="6" t="str">
        <f>SUMIFS([1]order_sku_sales_bb2_report!P:P,[1]order_sku_sales_bb2_report!H:H,C28670,[1]order_sku_sales_bb2_report!J:J,H28670)</f>
        <v>#ERROR!</v>
      </c>
      <c r="P876" s="6" t="str">
        <f>SUMIFS([1]order_sku_sales_bb2_report!O:O,[1]order_sku_sales_bb2_report!H:H,C28670,[1]order_sku_sales_bb2_report!J:J,H28670)</f>
        <v>#ERROR!</v>
      </c>
      <c r="Q876" s="6" t="str">
        <f t="shared" si="1"/>
        <v>22-12-2025</v>
      </c>
      <c r="R876" s="6" t="str">
        <f>IFERROR( VLOOKUP(C28670,[1]expressOrderReport!$S:$AZ,34,0),0)</f>
        <v>#ERROR!</v>
      </c>
      <c r="S876" s="6" t="str">
        <f>ARRAY_CONSTRAIN(ARRAYFORMULA(_xludf.XLOOKUP(D28670,[1]order_Report_SA_ID_BB2.0!V:V,[1]order_Report_SA_ID_BB2.0!AM:AM,"")), 1, 1)</f>
        <v>#ERROR!</v>
      </c>
      <c r="T876" s="6" t="str">
        <f t="shared" si="2"/>
        <v>Dec'25</v>
      </c>
    </row>
    <row r="877" ht="15.75" customHeight="1">
      <c r="A877" s="5">
        <v>46013.0</v>
      </c>
      <c r="B877" s="6">
        <v>11394.0</v>
      </c>
      <c r="C877" s="6">
        <v>1.85916669E9</v>
      </c>
      <c r="D877" s="6">
        <v>4220967.0</v>
      </c>
      <c r="E877" s="6" t="s">
        <v>1397</v>
      </c>
      <c r="F877" s="6" t="s">
        <v>1398</v>
      </c>
      <c r="G877" s="6">
        <v>9.43068009E9</v>
      </c>
      <c r="H877" s="6">
        <v>4.01476E7</v>
      </c>
      <c r="I877" s="6" t="s">
        <v>1399</v>
      </c>
      <c r="J877" s="6" t="s">
        <v>21</v>
      </c>
      <c r="K877" s="6" t="s">
        <v>22</v>
      </c>
      <c r="L877" s="6">
        <v>24.0</v>
      </c>
      <c r="M877" s="5">
        <v>46013.0</v>
      </c>
      <c r="N877" s="6" t="s">
        <v>23</v>
      </c>
      <c r="O877" s="6" t="str">
        <f>SUMIFS([1]order_sku_sales_bb2_report!P:P,[1]order_sku_sales_bb2_report!H:H,C28671,[1]order_sku_sales_bb2_report!J:J,H28671)</f>
        <v>#ERROR!</v>
      </c>
      <c r="P877" s="6" t="str">
        <f>SUMIFS([1]order_sku_sales_bb2_report!O:O,[1]order_sku_sales_bb2_report!H:H,C28671,[1]order_sku_sales_bb2_report!J:J,H28671)</f>
        <v>#ERROR!</v>
      </c>
      <c r="Q877" s="6" t="str">
        <f t="shared" si="1"/>
        <v>22-12-2025</v>
      </c>
      <c r="R877" s="6" t="str">
        <f>IFERROR( VLOOKUP(C28671,[1]expressOrderReport!$S:$AZ,34,0),0)</f>
        <v>#ERROR!</v>
      </c>
      <c r="S877" s="6" t="str">
        <f>ARRAY_CONSTRAIN(ARRAYFORMULA(_xludf.XLOOKUP(D28671,[1]order_Report_SA_ID_BB2.0!V:V,[1]order_Report_SA_ID_BB2.0!AM:AM,"")), 1, 1)</f>
        <v>#ERROR!</v>
      </c>
      <c r="T877" s="6" t="str">
        <f t="shared" si="2"/>
        <v>Dec'25</v>
      </c>
    </row>
    <row r="878" ht="15.75" customHeight="1">
      <c r="A878" s="5">
        <v>46013.0</v>
      </c>
      <c r="B878" s="6">
        <v>8022.0</v>
      </c>
      <c r="C878" s="6">
        <v>1.859166699E9</v>
      </c>
      <c r="D878" s="6">
        <v>4240056.0</v>
      </c>
      <c r="E878" s="6" t="s">
        <v>1400</v>
      </c>
      <c r="F878" s="6" t="s">
        <v>1401</v>
      </c>
      <c r="G878" s="6">
        <v>9.972415764E9</v>
      </c>
      <c r="H878" s="6">
        <v>4.0147597E7</v>
      </c>
      <c r="I878" s="6" t="s">
        <v>59</v>
      </c>
      <c r="J878" s="6" t="s">
        <v>21</v>
      </c>
      <c r="K878" s="6" t="s">
        <v>22</v>
      </c>
      <c r="L878" s="6">
        <v>26.0</v>
      </c>
      <c r="M878" s="5">
        <v>46013.0</v>
      </c>
      <c r="N878" s="6" t="s">
        <v>23</v>
      </c>
      <c r="O878" s="6" t="str">
        <f>SUMIFS([1]order_sku_sales_bb2_report!P:P,[1]order_sku_sales_bb2_report!H:H,C28672,[1]order_sku_sales_bb2_report!J:J,H28672)</f>
        <v>#ERROR!</v>
      </c>
      <c r="P878" s="6" t="str">
        <f>SUMIFS([1]order_sku_sales_bb2_report!O:O,[1]order_sku_sales_bb2_report!H:H,C28672,[1]order_sku_sales_bb2_report!J:J,H28672)</f>
        <v>#ERROR!</v>
      </c>
      <c r="Q878" s="6" t="str">
        <f t="shared" si="1"/>
        <v>22-12-2025</v>
      </c>
      <c r="R878" s="6" t="str">
        <f>IFERROR( VLOOKUP(C28672,[1]expressOrderReport!$S:$AZ,34,0),0)</f>
        <v>#ERROR!</v>
      </c>
      <c r="S878" s="6" t="str">
        <f>ARRAY_CONSTRAIN(ARRAYFORMULA(_xludf.XLOOKUP(D28672,[1]order_Report_SA_ID_BB2.0!V:V,[1]order_Report_SA_ID_BB2.0!AM:AM,"")), 1, 1)</f>
        <v>#ERROR!</v>
      </c>
      <c r="T878" s="6" t="str">
        <f t="shared" si="2"/>
        <v>Dec'25</v>
      </c>
    </row>
    <row r="879" ht="15.75" customHeight="1">
      <c r="A879" s="5">
        <v>46013.0</v>
      </c>
      <c r="B879" s="6">
        <v>1320.0</v>
      </c>
      <c r="C879" s="6">
        <v>1.859166707E9</v>
      </c>
      <c r="D879" s="6">
        <v>4277806.0</v>
      </c>
      <c r="E879" s="6" t="s">
        <v>1402</v>
      </c>
      <c r="F879" s="6" t="s">
        <v>1403</v>
      </c>
      <c r="G879" s="6">
        <v>9.900726121E9</v>
      </c>
      <c r="H879" s="6">
        <v>4.0149833E7</v>
      </c>
      <c r="I879" s="6" t="s">
        <v>40</v>
      </c>
      <c r="J879" s="6" t="s">
        <v>21</v>
      </c>
      <c r="K879" s="6" t="s">
        <v>27</v>
      </c>
      <c r="L879" s="6">
        <v>54.0</v>
      </c>
      <c r="M879" s="5">
        <v>46013.0</v>
      </c>
      <c r="N879" s="6" t="s">
        <v>23</v>
      </c>
      <c r="O879" s="6" t="str">
        <f>SUMIFS([1]order_sku_sales_bb2_report!P:P,[1]order_sku_sales_bb2_report!H:H,C28673,[1]order_sku_sales_bb2_report!J:J,H28673)</f>
        <v>#ERROR!</v>
      </c>
      <c r="P879" s="6" t="str">
        <f>SUMIFS([1]order_sku_sales_bb2_report!O:O,[1]order_sku_sales_bb2_report!H:H,C28673,[1]order_sku_sales_bb2_report!J:J,H28673)</f>
        <v>#ERROR!</v>
      </c>
      <c r="Q879" s="6" t="str">
        <f t="shared" si="1"/>
        <v>22-12-2025</v>
      </c>
      <c r="R879" s="6" t="str">
        <f>IFERROR( VLOOKUP(C28673,[1]expressOrderReport!$S:$AZ,34,0),0)</f>
        <v>#ERROR!</v>
      </c>
      <c r="S879" s="6" t="str">
        <f>ARRAY_CONSTRAIN(ARRAYFORMULA(_xludf.XLOOKUP(D28673,[1]order_Report_SA_ID_BB2.0!V:V,[1]order_Report_SA_ID_BB2.0!AM:AM,"")), 1, 1)</f>
        <v>#ERROR!</v>
      </c>
      <c r="T879" s="6" t="str">
        <f t="shared" si="2"/>
        <v>Dec'25</v>
      </c>
    </row>
    <row r="880" ht="15.75" customHeight="1">
      <c r="A880" s="5">
        <v>46013.0</v>
      </c>
      <c r="B880" s="6">
        <v>1799.0</v>
      </c>
      <c r="C880" s="6">
        <v>1.859166715E9</v>
      </c>
      <c r="D880" s="6">
        <v>473154.0</v>
      </c>
      <c r="E880" s="6" t="s">
        <v>1404</v>
      </c>
      <c r="F880" s="6" t="s">
        <v>1405</v>
      </c>
      <c r="G880" s="6">
        <v>9.880590871E9</v>
      </c>
      <c r="H880" s="6">
        <v>4.0149832E7</v>
      </c>
      <c r="I880" s="6" t="s">
        <v>26</v>
      </c>
      <c r="J880" s="6" t="s">
        <v>21</v>
      </c>
      <c r="K880" s="6" t="s">
        <v>22</v>
      </c>
      <c r="L880" s="6">
        <v>48.0</v>
      </c>
      <c r="M880" s="5">
        <v>46013.0</v>
      </c>
      <c r="N880" s="6" t="s">
        <v>23</v>
      </c>
      <c r="O880" s="6" t="str">
        <f>SUMIFS([1]order_sku_sales_bb2_report!P:P,[1]order_sku_sales_bb2_report!H:H,C28674,[1]order_sku_sales_bb2_report!J:J,H28674)</f>
        <v>#ERROR!</v>
      </c>
      <c r="P880" s="6" t="str">
        <f>SUMIFS([1]order_sku_sales_bb2_report!O:O,[1]order_sku_sales_bb2_report!H:H,C28674,[1]order_sku_sales_bb2_report!J:J,H28674)</f>
        <v>#ERROR!</v>
      </c>
      <c r="Q880" s="6" t="str">
        <f t="shared" si="1"/>
        <v>22-12-2025</v>
      </c>
      <c r="R880" s="6" t="str">
        <f>IFERROR( VLOOKUP(C28674,[1]expressOrderReport!$S:$AZ,34,0),0)</f>
        <v>#ERROR!</v>
      </c>
      <c r="S880" s="6" t="str">
        <f>ARRAY_CONSTRAIN(ARRAYFORMULA(_xludf.XLOOKUP(D28674,[1]order_Report_SA_ID_BB2.0!V:V,[1]order_Report_SA_ID_BB2.0!AM:AM,"")), 1, 1)</f>
        <v>#ERROR!</v>
      </c>
      <c r="T880" s="6" t="str">
        <f t="shared" si="2"/>
        <v>Dec'25</v>
      </c>
    </row>
    <row r="881" ht="15.75" customHeight="1">
      <c r="A881" s="5">
        <v>46013.0</v>
      </c>
      <c r="B881" s="6">
        <v>6541.0</v>
      </c>
      <c r="C881" s="6">
        <v>1.859167704E9</v>
      </c>
      <c r="D881" s="6">
        <v>1709519.0</v>
      </c>
      <c r="E881" s="6" t="s">
        <v>1406</v>
      </c>
      <c r="F881" s="6"/>
      <c r="G881" s="6">
        <v>9.916926616E9</v>
      </c>
      <c r="H881" s="6">
        <v>4.0149832E7</v>
      </c>
      <c r="I881" s="6" t="s">
        <v>26</v>
      </c>
      <c r="J881" s="6" t="s">
        <v>21</v>
      </c>
      <c r="K881" s="6" t="s">
        <v>22</v>
      </c>
      <c r="L881" s="6">
        <v>24.0</v>
      </c>
      <c r="M881" s="5">
        <v>46013.0</v>
      </c>
      <c r="N881" s="6" t="s">
        <v>23</v>
      </c>
      <c r="O881" s="6" t="str">
        <f>SUMIFS([1]order_sku_sales_bb2_report!P:P,[1]order_sku_sales_bb2_report!H:H,C28675,[1]order_sku_sales_bb2_report!J:J,H28675)</f>
        <v>#ERROR!</v>
      </c>
      <c r="P881" s="6" t="str">
        <f>SUMIFS([1]order_sku_sales_bb2_report!O:O,[1]order_sku_sales_bb2_report!H:H,C28675,[1]order_sku_sales_bb2_report!J:J,H28675)</f>
        <v>#ERROR!</v>
      </c>
      <c r="Q881" s="6" t="str">
        <f t="shared" si="1"/>
        <v>22-12-2025</v>
      </c>
      <c r="R881" s="6" t="str">
        <f>IFERROR( VLOOKUP(C28675,[1]expressOrderReport!$S:$AZ,34,0),0)</f>
        <v>#ERROR!</v>
      </c>
      <c r="S881" s="6" t="str">
        <f>ARRAY_CONSTRAIN(ARRAYFORMULA(_xludf.XLOOKUP(D28675,[1]order_Report_SA_ID_BB2.0!V:V,[1]order_Report_SA_ID_BB2.0!AM:AM,"")), 1, 1)</f>
        <v>#ERROR!</v>
      </c>
      <c r="T881" s="6" t="str">
        <f t="shared" si="2"/>
        <v>Dec'25</v>
      </c>
    </row>
    <row r="882" ht="15.75" customHeight="1">
      <c r="A882" s="5">
        <v>46013.0</v>
      </c>
      <c r="B882" s="6">
        <v>1971.0</v>
      </c>
      <c r="C882" s="6">
        <v>1.859167709E9</v>
      </c>
      <c r="D882" s="6">
        <v>4457512.0</v>
      </c>
      <c r="E882" s="6" t="s">
        <v>1407</v>
      </c>
      <c r="F882" s="6" t="s">
        <v>1408</v>
      </c>
      <c r="G882" s="6">
        <v>9.48350445E9</v>
      </c>
      <c r="H882" s="6">
        <v>4.0149832E7</v>
      </c>
      <c r="I882" s="6" t="s">
        <v>26</v>
      </c>
      <c r="J882" s="6" t="s">
        <v>21</v>
      </c>
      <c r="K882" s="6" t="s">
        <v>22</v>
      </c>
      <c r="L882" s="6">
        <v>48.0</v>
      </c>
      <c r="M882" s="5">
        <v>46013.0</v>
      </c>
      <c r="N882" s="6" t="s">
        <v>23</v>
      </c>
      <c r="O882" s="6" t="str">
        <f>SUMIFS([1]order_sku_sales_bb2_report!P:P,[1]order_sku_sales_bb2_report!H:H,C28676,[1]order_sku_sales_bb2_report!J:J,H28676)</f>
        <v>#ERROR!</v>
      </c>
      <c r="P882" s="6" t="str">
        <f>SUMIFS([1]order_sku_sales_bb2_report!O:O,[1]order_sku_sales_bb2_report!H:H,C28676,[1]order_sku_sales_bb2_report!J:J,H28676)</f>
        <v>#ERROR!</v>
      </c>
      <c r="Q882" s="6" t="str">
        <f t="shared" si="1"/>
        <v>22-12-2025</v>
      </c>
      <c r="R882" s="6" t="str">
        <f>IFERROR( VLOOKUP(C28676,[1]expressOrderReport!$S:$AZ,34,0),0)</f>
        <v>#ERROR!</v>
      </c>
      <c r="S882" s="6" t="str">
        <f>ARRAY_CONSTRAIN(ARRAYFORMULA(_xludf.XLOOKUP(D28676,[1]order_Report_SA_ID_BB2.0!V:V,[1]order_Report_SA_ID_BB2.0!AM:AM,"")), 1, 1)</f>
        <v>#ERROR!</v>
      </c>
      <c r="T882" s="6" t="str">
        <f t="shared" si="2"/>
        <v>Dec'25</v>
      </c>
    </row>
    <row r="883" ht="15.75" customHeight="1">
      <c r="A883" s="5">
        <v>46013.0</v>
      </c>
      <c r="B883" s="6">
        <v>5290.0</v>
      </c>
      <c r="C883" s="6">
        <v>1.859167717E9</v>
      </c>
      <c r="D883" s="6">
        <v>4538248.0</v>
      </c>
      <c r="E883" s="6" t="s">
        <v>1409</v>
      </c>
      <c r="F883" s="6" t="s">
        <v>1410</v>
      </c>
      <c r="G883" s="6">
        <v>7.022214573E9</v>
      </c>
      <c r="H883" s="6">
        <v>4.0149834E7</v>
      </c>
      <c r="I883" s="6" t="s">
        <v>40</v>
      </c>
      <c r="J883" s="6" t="s">
        <v>21</v>
      </c>
      <c r="K883" s="6" t="s">
        <v>22</v>
      </c>
      <c r="L883" s="6">
        <v>52.0</v>
      </c>
      <c r="M883" s="5">
        <v>46013.0</v>
      </c>
      <c r="N883" s="6" t="s">
        <v>23</v>
      </c>
      <c r="O883" s="6" t="str">
        <f>SUMIFS([1]order_sku_sales_bb2_report!P:P,[1]order_sku_sales_bb2_report!H:H,C28677,[1]order_sku_sales_bb2_report!J:J,H28677)</f>
        <v>#ERROR!</v>
      </c>
      <c r="P883" s="6" t="str">
        <f>SUMIFS([1]order_sku_sales_bb2_report!O:O,[1]order_sku_sales_bb2_report!H:H,C28677,[1]order_sku_sales_bb2_report!J:J,H28677)</f>
        <v>#ERROR!</v>
      </c>
      <c r="Q883" s="6" t="str">
        <f t="shared" si="1"/>
        <v>22-12-2025</v>
      </c>
      <c r="R883" s="6" t="str">
        <f>IFERROR( VLOOKUP(C28677,[1]expressOrderReport!$S:$AZ,34,0),0)</f>
        <v>#ERROR!</v>
      </c>
      <c r="S883" s="6" t="str">
        <f>ARRAY_CONSTRAIN(ARRAYFORMULA(_xludf.XLOOKUP(D28677,[1]order_Report_SA_ID_BB2.0!V:V,[1]order_Report_SA_ID_BB2.0!AM:AM,"")), 1, 1)</f>
        <v>#ERROR!</v>
      </c>
      <c r="T883" s="6" t="str">
        <f t="shared" si="2"/>
        <v>Dec'25</v>
      </c>
    </row>
    <row r="884" ht="15.75" customHeight="1">
      <c r="A884" s="5">
        <v>46013.0</v>
      </c>
      <c r="B884" s="6">
        <v>1397.0</v>
      </c>
      <c r="C884" s="6">
        <v>1.85916772E9</v>
      </c>
      <c r="D884" s="6">
        <v>676742.0</v>
      </c>
      <c r="E884" s="6" t="s">
        <v>1411</v>
      </c>
      <c r="F884" s="6" t="s">
        <v>1412</v>
      </c>
      <c r="G884" s="6">
        <v>9.880603344E9</v>
      </c>
      <c r="H884" s="6">
        <v>4.0147597E7</v>
      </c>
      <c r="I884" s="6" t="s">
        <v>59</v>
      </c>
      <c r="J884" s="6" t="s">
        <v>21</v>
      </c>
      <c r="K884" s="6" t="s">
        <v>22</v>
      </c>
      <c r="L884" s="6">
        <v>52.0</v>
      </c>
      <c r="M884" s="5">
        <v>46013.0</v>
      </c>
      <c r="N884" s="6" t="s">
        <v>23</v>
      </c>
      <c r="O884" s="6" t="str">
        <f>SUMIFS([1]order_sku_sales_bb2_report!P:P,[1]order_sku_sales_bb2_report!H:H,C28678,[1]order_sku_sales_bb2_report!J:J,H28678)</f>
        <v>#ERROR!</v>
      </c>
      <c r="P884" s="6" t="str">
        <f>SUMIFS([1]order_sku_sales_bb2_report!O:O,[1]order_sku_sales_bb2_report!H:H,C28678,[1]order_sku_sales_bb2_report!J:J,H28678)</f>
        <v>#ERROR!</v>
      </c>
      <c r="Q884" s="6" t="str">
        <f t="shared" si="1"/>
        <v>22-12-2025</v>
      </c>
      <c r="R884" s="6" t="str">
        <f>IFERROR( VLOOKUP(C28678,[1]expressOrderReport!$S:$AZ,34,0),0)</f>
        <v>#ERROR!</v>
      </c>
      <c r="S884" s="6" t="str">
        <f>ARRAY_CONSTRAIN(ARRAYFORMULA(_xludf.XLOOKUP(D28678,[1]order_Report_SA_ID_BB2.0!V:V,[1]order_Report_SA_ID_BB2.0!AM:AM,"")), 1, 1)</f>
        <v>#ERROR!</v>
      </c>
      <c r="T884" s="6" t="str">
        <f t="shared" si="2"/>
        <v>Dec'25</v>
      </c>
    </row>
    <row r="885" ht="15.75" customHeight="1">
      <c r="A885" s="5">
        <v>46013.0</v>
      </c>
      <c r="B885" s="6">
        <v>2315.0</v>
      </c>
      <c r="C885" s="6">
        <v>1.859167727E9</v>
      </c>
      <c r="D885" s="6">
        <v>2061415.0</v>
      </c>
      <c r="E885" s="6" t="s">
        <v>1413</v>
      </c>
      <c r="F885" s="6" t="s">
        <v>1414</v>
      </c>
      <c r="G885" s="6">
        <v>9.980018247E9</v>
      </c>
      <c r="H885" s="6">
        <v>4.0149832E7</v>
      </c>
      <c r="I885" s="6" t="s">
        <v>26</v>
      </c>
      <c r="J885" s="6" t="s">
        <v>21</v>
      </c>
      <c r="K885" s="6" t="s">
        <v>22</v>
      </c>
      <c r="L885" s="6">
        <v>71.06</v>
      </c>
      <c r="M885" s="5">
        <v>46013.0</v>
      </c>
      <c r="N885" s="6" t="s">
        <v>23</v>
      </c>
      <c r="O885" s="6" t="str">
        <f>SUMIFS([1]order_sku_sales_bb2_report!P:P,[1]order_sku_sales_bb2_report!H:H,C28679,[1]order_sku_sales_bb2_report!J:J,H28679)</f>
        <v>#ERROR!</v>
      </c>
      <c r="P885" s="6" t="str">
        <f>SUMIFS([1]order_sku_sales_bb2_report!O:O,[1]order_sku_sales_bb2_report!H:H,C28679,[1]order_sku_sales_bb2_report!J:J,H28679)</f>
        <v>#ERROR!</v>
      </c>
      <c r="Q885" s="6" t="str">
        <f t="shared" si="1"/>
        <v>22-12-2025</v>
      </c>
      <c r="R885" s="6" t="str">
        <f>IFERROR( VLOOKUP(C28679,[1]expressOrderReport!$S:$AZ,34,0),0)</f>
        <v>#ERROR!</v>
      </c>
      <c r="S885" s="6" t="str">
        <f>ARRAY_CONSTRAIN(ARRAYFORMULA(_xludf.XLOOKUP(D28679,[1]order_Report_SA_ID_BB2.0!V:V,[1]order_Report_SA_ID_BB2.0!AM:AM,"")), 1, 1)</f>
        <v>#ERROR!</v>
      </c>
      <c r="T885" s="6" t="str">
        <f t="shared" si="2"/>
        <v>Dec'25</v>
      </c>
    </row>
    <row r="886" ht="15.75" customHeight="1">
      <c r="A886" s="5">
        <v>46013.0</v>
      </c>
      <c r="B886" s="6">
        <v>2317.0</v>
      </c>
      <c r="C886" s="6">
        <v>1.859167727E9</v>
      </c>
      <c r="D886" s="6">
        <v>2061415.0</v>
      </c>
      <c r="E886" s="6" t="s">
        <v>1413</v>
      </c>
      <c r="F886" s="6" t="s">
        <v>1414</v>
      </c>
      <c r="G886" s="6">
        <v>9.980018247E9</v>
      </c>
      <c r="H886" s="6">
        <v>4.0149829E7</v>
      </c>
      <c r="I886" s="6" t="s">
        <v>355</v>
      </c>
      <c r="J886" s="6" t="s">
        <v>21</v>
      </c>
      <c r="K886" s="6" t="s">
        <v>22</v>
      </c>
      <c r="L886" s="6">
        <v>71.06</v>
      </c>
      <c r="M886" s="5">
        <v>46013.0</v>
      </c>
      <c r="N886" s="6" t="s">
        <v>23</v>
      </c>
      <c r="O886" s="6" t="str">
        <f>SUMIFS([1]order_sku_sales_bb2_report!P:P,[1]order_sku_sales_bb2_report!H:H,C28680,[1]order_sku_sales_bb2_report!J:J,H28680)</f>
        <v>#ERROR!</v>
      </c>
      <c r="P886" s="6" t="str">
        <f>SUMIFS([1]order_sku_sales_bb2_report!O:O,[1]order_sku_sales_bb2_report!H:H,C28680,[1]order_sku_sales_bb2_report!J:J,H28680)</f>
        <v>#ERROR!</v>
      </c>
      <c r="Q886" s="6" t="str">
        <f t="shared" si="1"/>
        <v>22-12-2025</v>
      </c>
      <c r="R886" s="6" t="str">
        <f>IFERROR( VLOOKUP(C28680,[1]expressOrderReport!$S:$AZ,34,0),0)</f>
        <v>#ERROR!</v>
      </c>
      <c r="S886" s="6" t="str">
        <f>ARRAY_CONSTRAIN(ARRAYFORMULA(_xludf.XLOOKUP(D28680,[1]order_Report_SA_ID_BB2.0!V:V,[1]order_Report_SA_ID_BB2.0!AM:AM,"")), 1, 1)</f>
        <v>#ERROR!</v>
      </c>
      <c r="T886" s="6" t="str">
        <f t="shared" si="2"/>
        <v>Dec'25</v>
      </c>
    </row>
    <row r="887" ht="15.75" customHeight="1">
      <c r="A887" s="5">
        <v>46013.0</v>
      </c>
      <c r="B887" s="6">
        <v>10725.0</v>
      </c>
      <c r="C887" s="6">
        <v>1.859167727E9</v>
      </c>
      <c r="D887" s="6">
        <v>2061415.0</v>
      </c>
      <c r="E887" s="6" t="s">
        <v>1413</v>
      </c>
      <c r="F887" s="6" t="s">
        <v>1414</v>
      </c>
      <c r="G887" s="6">
        <v>9.980018247E9</v>
      </c>
      <c r="H887" s="6">
        <v>2.0000974E7</v>
      </c>
      <c r="I887" s="6" t="s">
        <v>286</v>
      </c>
      <c r="J887" s="6" t="s">
        <v>21</v>
      </c>
      <c r="K887" s="6" t="s">
        <v>22</v>
      </c>
      <c r="L887" s="6">
        <v>71.06</v>
      </c>
      <c r="M887" s="5">
        <v>46013.0</v>
      </c>
      <c r="N887" s="6" t="s">
        <v>23</v>
      </c>
      <c r="O887" s="6" t="str">
        <f>SUMIFS([1]order_sku_sales_bb2_report!P:P,[1]order_sku_sales_bb2_report!H:H,C28681,[1]order_sku_sales_bb2_report!J:J,H28681)</f>
        <v>#ERROR!</v>
      </c>
      <c r="P887" s="6" t="str">
        <f>SUMIFS([1]order_sku_sales_bb2_report!O:O,[1]order_sku_sales_bb2_report!H:H,C28681,[1]order_sku_sales_bb2_report!J:J,H28681)</f>
        <v>#ERROR!</v>
      </c>
      <c r="Q887" s="6" t="str">
        <f t="shared" si="1"/>
        <v>22-12-2025</v>
      </c>
      <c r="R887" s="6" t="str">
        <f>IFERROR( VLOOKUP(C28681,[1]expressOrderReport!$S:$AZ,34,0),0)</f>
        <v>#ERROR!</v>
      </c>
      <c r="S887" s="6" t="str">
        <f>ARRAY_CONSTRAIN(ARRAYFORMULA(_xludf.XLOOKUP(D28681,[1]order_Report_SA_ID_BB2.0!V:V,[1]order_Report_SA_ID_BB2.0!AM:AM,"")), 1, 1)</f>
        <v>#ERROR!</v>
      </c>
      <c r="T887" s="6" t="str">
        <f t="shared" si="2"/>
        <v>Dec'25</v>
      </c>
    </row>
    <row r="888" ht="15.75" customHeight="1">
      <c r="A888" s="5">
        <v>46013.0</v>
      </c>
      <c r="B888" s="6">
        <v>8178.0</v>
      </c>
      <c r="C888" s="6">
        <v>1.859167735E9</v>
      </c>
      <c r="D888" s="6">
        <v>4639013.0</v>
      </c>
      <c r="E888" s="6" t="s">
        <v>1415</v>
      </c>
      <c r="F888" s="6" t="s">
        <v>1416</v>
      </c>
      <c r="G888" s="6">
        <v>9.742755655E9</v>
      </c>
      <c r="H888" s="6">
        <v>4.0149831E7</v>
      </c>
      <c r="I888" s="6" t="s">
        <v>65</v>
      </c>
      <c r="J888" s="6" t="s">
        <v>21</v>
      </c>
      <c r="K888" s="6" t="s">
        <v>22</v>
      </c>
      <c r="L888" s="6">
        <v>26.0</v>
      </c>
      <c r="M888" s="5">
        <v>46013.0</v>
      </c>
      <c r="N888" s="6" t="s">
        <v>23</v>
      </c>
      <c r="O888" s="6" t="str">
        <f>SUMIFS([1]order_sku_sales_bb2_report!P:P,[1]order_sku_sales_bb2_report!H:H,C28682,[1]order_sku_sales_bb2_report!J:J,H28682)</f>
        <v>#ERROR!</v>
      </c>
      <c r="P888" s="6" t="str">
        <f>SUMIFS([1]order_sku_sales_bb2_report!O:O,[1]order_sku_sales_bb2_report!H:H,C28682,[1]order_sku_sales_bb2_report!J:J,H28682)</f>
        <v>#ERROR!</v>
      </c>
      <c r="Q888" s="6" t="str">
        <f t="shared" si="1"/>
        <v>22-12-2025</v>
      </c>
      <c r="R888" s="6" t="str">
        <f>IFERROR( VLOOKUP(C28682,[1]expressOrderReport!$S:$AZ,34,0),0)</f>
        <v>#ERROR!</v>
      </c>
      <c r="S888" s="6" t="str">
        <f>ARRAY_CONSTRAIN(ARRAYFORMULA(_xludf.XLOOKUP(D28682,[1]order_Report_SA_ID_BB2.0!V:V,[1]order_Report_SA_ID_BB2.0!AM:AM,"")), 1, 1)</f>
        <v>#ERROR!</v>
      </c>
      <c r="T888" s="6" t="str">
        <f t="shared" si="2"/>
        <v>Dec'25</v>
      </c>
    </row>
    <row r="889" ht="15.75" customHeight="1">
      <c r="A889" s="5">
        <v>46013.0</v>
      </c>
      <c r="B889" s="6">
        <v>4003.0</v>
      </c>
      <c r="C889" s="6">
        <v>1.859167741E9</v>
      </c>
      <c r="D889" s="6">
        <v>2727.0</v>
      </c>
      <c r="E889" s="6" t="s">
        <v>1417</v>
      </c>
      <c r="F889" s="6" t="s">
        <v>1418</v>
      </c>
      <c r="G889" s="6">
        <v>9.880288755E9</v>
      </c>
      <c r="H889" s="6">
        <v>265875.0</v>
      </c>
      <c r="I889" s="6" t="s">
        <v>1419</v>
      </c>
      <c r="J889" s="6" t="s">
        <v>21</v>
      </c>
      <c r="K889" s="6" t="s">
        <v>22</v>
      </c>
      <c r="L889" s="6">
        <v>382.0</v>
      </c>
      <c r="M889" s="5">
        <v>46013.0</v>
      </c>
      <c r="N889" s="6" t="s">
        <v>23</v>
      </c>
      <c r="O889" s="6" t="str">
        <f>SUMIFS([1]order_sku_sales_bb2_report!P:P,[1]order_sku_sales_bb2_report!H:H,C28683,[1]order_sku_sales_bb2_report!J:J,H28683)</f>
        <v>#ERROR!</v>
      </c>
      <c r="P889" s="6" t="str">
        <f>SUMIFS([1]order_sku_sales_bb2_report!O:O,[1]order_sku_sales_bb2_report!H:H,C28683,[1]order_sku_sales_bb2_report!J:J,H28683)</f>
        <v>#ERROR!</v>
      </c>
      <c r="Q889" s="6" t="str">
        <f t="shared" si="1"/>
        <v>22-12-2025</v>
      </c>
      <c r="R889" s="6" t="str">
        <f>IFERROR( VLOOKUP(C28683,[1]expressOrderReport!$S:$AZ,34,0),0)</f>
        <v>#ERROR!</v>
      </c>
      <c r="S889" s="6" t="str">
        <f>ARRAY_CONSTRAIN(ARRAYFORMULA(_xludf.XLOOKUP(D28683,[1]order_Report_SA_ID_BB2.0!V:V,[1]order_Report_SA_ID_BB2.0!AM:AM,"")), 1, 1)</f>
        <v>#ERROR!</v>
      </c>
      <c r="T889" s="6" t="str">
        <f t="shared" si="2"/>
        <v>Dec'25</v>
      </c>
    </row>
    <row r="890" ht="15.75" customHeight="1">
      <c r="A890" s="5">
        <v>46013.0</v>
      </c>
      <c r="B890" s="6">
        <v>4030.0</v>
      </c>
      <c r="C890" s="6">
        <v>1.859167741E9</v>
      </c>
      <c r="D890" s="6">
        <v>2727.0</v>
      </c>
      <c r="E890" s="6" t="s">
        <v>1417</v>
      </c>
      <c r="F890" s="6" t="s">
        <v>1418</v>
      </c>
      <c r="G890" s="6">
        <v>9.880288755E9</v>
      </c>
      <c r="H890" s="6">
        <v>1.00184006E8</v>
      </c>
      <c r="I890" s="6" t="s">
        <v>1420</v>
      </c>
      <c r="J890" s="6" t="s">
        <v>21</v>
      </c>
      <c r="K890" s="6" t="s">
        <v>22</v>
      </c>
      <c r="L890" s="6">
        <v>382.0</v>
      </c>
      <c r="M890" s="5">
        <v>46013.0</v>
      </c>
      <c r="N890" s="6" t="s">
        <v>23</v>
      </c>
      <c r="O890" s="6" t="str">
        <f>SUMIFS([1]order_sku_sales_bb2_report!P:P,[1]order_sku_sales_bb2_report!H:H,C28684,[1]order_sku_sales_bb2_report!J:J,H28684)</f>
        <v>#ERROR!</v>
      </c>
      <c r="P890" s="6" t="str">
        <f>SUMIFS([1]order_sku_sales_bb2_report!O:O,[1]order_sku_sales_bb2_report!H:H,C28684,[1]order_sku_sales_bb2_report!J:J,H28684)</f>
        <v>#ERROR!</v>
      </c>
      <c r="Q890" s="6" t="str">
        <f t="shared" si="1"/>
        <v>22-12-2025</v>
      </c>
      <c r="R890" s="6" t="str">
        <f>IFERROR( VLOOKUP(C28684,[1]expressOrderReport!$S:$AZ,34,0),0)</f>
        <v>#ERROR!</v>
      </c>
      <c r="S890" s="6" t="str">
        <f>ARRAY_CONSTRAIN(ARRAYFORMULA(_xludf.XLOOKUP(D28684,[1]order_Report_SA_ID_BB2.0!V:V,[1]order_Report_SA_ID_BB2.0!AM:AM,"")), 1, 1)</f>
        <v>#ERROR!</v>
      </c>
      <c r="T890" s="6" t="str">
        <f t="shared" si="2"/>
        <v>Dec'25</v>
      </c>
    </row>
    <row r="891" ht="15.75" customHeight="1">
      <c r="A891" s="5">
        <v>46013.0</v>
      </c>
      <c r="B891" s="6">
        <v>4330.0</v>
      </c>
      <c r="C891" s="6">
        <v>1.859167741E9</v>
      </c>
      <c r="D891" s="6">
        <v>2727.0</v>
      </c>
      <c r="E891" s="6" t="s">
        <v>1417</v>
      </c>
      <c r="F891" s="6" t="s">
        <v>1418</v>
      </c>
      <c r="G891" s="6">
        <v>9.880288755E9</v>
      </c>
      <c r="H891" s="6">
        <v>4.0000519E7</v>
      </c>
      <c r="I891" s="6" t="s">
        <v>815</v>
      </c>
      <c r="J891" s="6" t="s">
        <v>21</v>
      </c>
      <c r="K891" s="6" t="s">
        <v>22</v>
      </c>
      <c r="L891" s="6">
        <v>382.0</v>
      </c>
      <c r="M891" s="5">
        <v>46013.0</v>
      </c>
      <c r="N891" s="6" t="s">
        <v>23</v>
      </c>
      <c r="O891" s="6" t="str">
        <f>SUMIFS([1]order_sku_sales_bb2_report!P:P,[1]order_sku_sales_bb2_report!H:H,C28685,[1]order_sku_sales_bb2_report!J:J,H28685)</f>
        <v>#ERROR!</v>
      </c>
      <c r="P891" s="6" t="str">
        <f>SUMIFS([1]order_sku_sales_bb2_report!O:O,[1]order_sku_sales_bb2_report!H:H,C28685,[1]order_sku_sales_bb2_report!J:J,H28685)</f>
        <v>#ERROR!</v>
      </c>
      <c r="Q891" s="6" t="str">
        <f t="shared" si="1"/>
        <v>22-12-2025</v>
      </c>
      <c r="R891" s="6" t="str">
        <f>IFERROR( VLOOKUP(C28685,[1]expressOrderReport!$S:$AZ,34,0),0)</f>
        <v>#ERROR!</v>
      </c>
      <c r="S891" s="6" t="str">
        <f>ARRAY_CONSTRAIN(ARRAYFORMULA(_xludf.XLOOKUP(D28685,[1]order_Report_SA_ID_BB2.0!V:V,[1]order_Report_SA_ID_BB2.0!AM:AM,"")), 1, 1)</f>
        <v>#ERROR!</v>
      </c>
      <c r="T891" s="6" t="str">
        <f t="shared" si="2"/>
        <v>Dec'25</v>
      </c>
    </row>
    <row r="892" ht="15.75" customHeight="1">
      <c r="A892" s="5">
        <v>46013.0</v>
      </c>
      <c r="B892" s="6">
        <v>3392.0</v>
      </c>
      <c r="C892" s="6">
        <v>1.859167752E9</v>
      </c>
      <c r="D892" s="6">
        <v>236626.0</v>
      </c>
      <c r="E892" s="6" t="s">
        <v>1421</v>
      </c>
      <c r="F892" s="6" t="s">
        <v>1422</v>
      </c>
      <c r="G892" s="6">
        <v>9.900084439E9</v>
      </c>
      <c r="H892" s="6">
        <v>2.0001186E7</v>
      </c>
      <c r="I892" s="6" t="s">
        <v>430</v>
      </c>
      <c r="J892" s="6" t="s">
        <v>21</v>
      </c>
      <c r="K892" s="6" t="s">
        <v>22</v>
      </c>
      <c r="L892" s="6">
        <v>7.7</v>
      </c>
      <c r="M892" s="5">
        <v>46013.0</v>
      </c>
      <c r="N892" s="6" t="s">
        <v>23</v>
      </c>
      <c r="O892" s="6" t="str">
        <f>SUMIFS([1]order_sku_sales_bb2_report!P:P,[1]order_sku_sales_bb2_report!H:H,C28686,[1]order_sku_sales_bb2_report!J:J,H28686)</f>
        <v>#ERROR!</v>
      </c>
      <c r="P892" s="6" t="str">
        <f>SUMIFS([1]order_sku_sales_bb2_report!O:O,[1]order_sku_sales_bb2_report!H:H,C28686,[1]order_sku_sales_bb2_report!J:J,H28686)</f>
        <v>#ERROR!</v>
      </c>
      <c r="Q892" s="6" t="str">
        <f t="shared" si="1"/>
        <v>22-12-2025</v>
      </c>
      <c r="R892" s="6" t="str">
        <f>IFERROR( VLOOKUP(C28686,[1]expressOrderReport!$S:$AZ,34,0),0)</f>
        <v>#ERROR!</v>
      </c>
      <c r="S892" s="6" t="str">
        <f>ARRAY_CONSTRAIN(ARRAYFORMULA(_xludf.XLOOKUP(D28686,[1]order_Report_SA_ID_BB2.0!V:V,[1]order_Report_SA_ID_BB2.0!AM:AM,"")), 1, 1)</f>
        <v>#ERROR!</v>
      </c>
      <c r="T892" s="6" t="str">
        <f t="shared" si="2"/>
        <v>Dec'25</v>
      </c>
    </row>
    <row r="893" ht="15.75" customHeight="1">
      <c r="A893" s="5">
        <v>46013.0</v>
      </c>
      <c r="B893" s="6">
        <v>5886.0</v>
      </c>
      <c r="C893" s="6">
        <v>1.859167757E9</v>
      </c>
      <c r="D893" s="6">
        <v>4818459.0</v>
      </c>
      <c r="E893" s="6" t="s">
        <v>1423</v>
      </c>
      <c r="F893" s="6" t="s">
        <v>1424</v>
      </c>
      <c r="G893" s="6">
        <v>9.663381141E9</v>
      </c>
      <c r="H893" s="6">
        <v>4.0090893E7</v>
      </c>
      <c r="I893" s="6" t="s">
        <v>35</v>
      </c>
      <c r="J893" s="6" t="s">
        <v>21</v>
      </c>
      <c r="K893" s="6" t="s">
        <v>22</v>
      </c>
      <c r="L893" s="6">
        <v>66.0</v>
      </c>
      <c r="M893" s="5">
        <v>46013.0</v>
      </c>
      <c r="N893" s="6" t="s">
        <v>23</v>
      </c>
      <c r="O893" s="6" t="str">
        <f>SUMIFS([1]order_sku_sales_bb2_report!P:P,[1]order_sku_sales_bb2_report!H:H,C28687,[1]order_sku_sales_bb2_report!J:J,H28687)</f>
        <v>#ERROR!</v>
      </c>
      <c r="P893" s="6" t="str">
        <f>SUMIFS([1]order_sku_sales_bb2_report!O:O,[1]order_sku_sales_bb2_report!H:H,C28687,[1]order_sku_sales_bb2_report!J:J,H28687)</f>
        <v>#ERROR!</v>
      </c>
      <c r="Q893" s="6" t="str">
        <f t="shared" si="1"/>
        <v>22-12-2025</v>
      </c>
      <c r="R893" s="6" t="str">
        <f>IFERROR( VLOOKUP(C28687,[1]expressOrderReport!$S:$AZ,34,0),0)</f>
        <v>#ERROR!</v>
      </c>
      <c r="S893" s="6" t="str">
        <f>ARRAY_CONSTRAIN(ARRAYFORMULA(_xludf.XLOOKUP(D28687,[1]order_Report_SA_ID_BB2.0!V:V,[1]order_Report_SA_ID_BB2.0!AM:AM,"")), 1, 1)</f>
        <v>#ERROR!</v>
      </c>
      <c r="T893" s="6" t="str">
        <f t="shared" si="2"/>
        <v>Dec'25</v>
      </c>
    </row>
    <row r="894" ht="15.75" customHeight="1">
      <c r="A894" s="5">
        <v>46013.0</v>
      </c>
      <c r="B894" s="6">
        <v>7491.0</v>
      </c>
      <c r="C894" s="6">
        <v>1.859167761E9</v>
      </c>
      <c r="D894" s="6">
        <v>4834020.0</v>
      </c>
      <c r="E894" s="6" t="s">
        <v>1425</v>
      </c>
      <c r="F894" s="6" t="s">
        <v>1426</v>
      </c>
      <c r="G894" s="6">
        <v>9.886209112E9</v>
      </c>
      <c r="H894" s="6">
        <v>4.0149832E7</v>
      </c>
      <c r="I894" s="6" t="s">
        <v>26</v>
      </c>
      <c r="J894" s="6" t="s">
        <v>21</v>
      </c>
      <c r="K894" s="6" t="s">
        <v>22</v>
      </c>
      <c r="L894" s="6">
        <v>24.0</v>
      </c>
      <c r="M894" s="5">
        <v>46013.0</v>
      </c>
      <c r="N894" s="6" t="s">
        <v>23</v>
      </c>
      <c r="O894" s="6" t="str">
        <f>SUMIFS([1]order_sku_sales_bb2_report!P:P,[1]order_sku_sales_bb2_report!H:H,C28688,[1]order_sku_sales_bb2_report!J:J,H28688)</f>
        <v>#ERROR!</v>
      </c>
      <c r="P894" s="6" t="str">
        <f>SUMIFS([1]order_sku_sales_bb2_report!O:O,[1]order_sku_sales_bb2_report!H:H,C28688,[1]order_sku_sales_bb2_report!J:J,H28688)</f>
        <v>#ERROR!</v>
      </c>
      <c r="Q894" s="6" t="str">
        <f t="shared" si="1"/>
        <v>22-12-2025</v>
      </c>
      <c r="R894" s="6" t="str">
        <f>IFERROR( VLOOKUP(C28688,[1]expressOrderReport!$S:$AZ,34,0),0)</f>
        <v>#ERROR!</v>
      </c>
      <c r="S894" s="6" t="str">
        <f>ARRAY_CONSTRAIN(ARRAYFORMULA(_xludf.XLOOKUP(D28688,[1]order_Report_SA_ID_BB2.0!V:V,[1]order_Report_SA_ID_BB2.0!AM:AM,"")), 1, 1)</f>
        <v>#ERROR!</v>
      </c>
      <c r="T894" s="6" t="str">
        <f t="shared" si="2"/>
        <v>Dec'25</v>
      </c>
    </row>
    <row r="895" ht="15.75" customHeight="1">
      <c r="A895" s="5">
        <v>46013.0</v>
      </c>
      <c r="B895" s="6">
        <v>2214.0</v>
      </c>
      <c r="C895" s="6">
        <v>1.859167764E9</v>
      </c>
      <c r="D895" s="6">
        <v>329839.0</v>
      </c>
      <c r="E895" s="6" t="s">
        <v>1427</v>
      </c>
      <c r="F895" s="6" t="s">
        <v>1428</v>
      </c>
      <c r="G895" s="6">
        <v>9.663320743E9</v>
      </c>
      <c r="H895" s="6">
        <v>4.0149833E7</v>
      </c>
      <c r="I895" s="6" t="s">
        <v>40</v>
      </c>
      <c r="J895" s="6" t="s">
        <v>21</v>
      </c>
      <c r="K895" s="6" t="s">
        <v>22</v>
      </c>
      <c r="L895" s="6">
        <v>114.0</v>
      </c>
      <c r="M895" s="5">
        <v>46013.0</v>
      </c>
      <c r="N895" s="6" t="s">
        <v>23</v>
      </c>
      <c r="O895" s="6" t="str">
        <f>SUMIFS([1]order_sku_sales_bb2_report!P:P,[1]order_sku_sales_bb2_report!H:H,C28689,[1]order_sku_sales_bb2_report!J:J,H28689)</f>
        <v>#ERROR!</v>
      </c>
      <c r="P895" s="6" t="str">
        <f>SUMIFS([1]order_sku_sales_bb2_report!O:O,[1]order_sku_sales_bb2_report!H:H,C28689,[1]order_sku_sales_bb2_report!J:J,H28689)</f>
        <v>#ERROR!</v>
      </c>
      <c r="Q895" s="6" t="str">
        <f t="shared" si="1"/>
        <v>22-12-2025</v>
      </c>
      <c r="R895" s="6" t="str">
        <f>IFERROR( VLOOKUP(C28689,[1]expressOrderReport!$S:$AZ,34,0),0)</f>
        <v>#ERROR!</v>
      </c>
      <c r="S895" s="6" t="str">
        <f>ARRAY_CONSTRAIN(ARRAYFORMULA(_xludf.XLOOKUP(D28689,[1]order_Report_SA_ID_BB2.0!V:V,[1]order_Report_SA_ID_BB2.0!AM:AM,"")), 1, 1)</f>
        <v>#ERROR!</v>
      </c>
      <c r="T895" s="6" t="str">
        <f t="shared" si="2"/>
        <v>Dec'25</v>
      </c>
    </row>
    <row r="896" ht="15.75" customHeight="1">
      <c r="A896" s="5">
        <v>46013.0</v>
      </c>
      <c r="B896" s="6">
        <v>2217.0</v>
      </c>
      <c r="C896" s="6">
        <v>1.859167764E9</v>
      </c>
      <c r="D896" s="6">
        <v>329839.0</v>
      </c>
      <c r="E896" s="6" t="s">
        <v>1427</v>
      </c>
      <c r="F896" s="6" t="s">
        <v>1428</v>
      </c>
      <c r="G896" s="6">
        <v>9.663320743E9</v>
      </c>
      <c r="H896" s="6">
        <v>4.0017394E7</v>
      </c>
      <c r="I896" s="6" t="s">
        <v>30</v>
      </c>
      <c r="J896" s="6" t="s">
        <v>21</v>
      </c>
      <c r="K896" s="6" t="s">
        <v>22</v>
      </c>
      <c r="L896" s="6">
        <v>114.0</v>
      </c>
      <c r="M896" s="5">
        <v>46013.0</v>
      </c>
      <c r="N896" s="6" t="s">
        <v>23</v>
      </c>
      <c r="O896" s="6" t="str">
        <f>SUMIFS([1]order_sku_sales_bb2_report!P:P,[1]order_sku_sales_bb2_report!H:H,C28690,[1]order_sku_sales_bb2_report!J:J,H28690)</f>
        <v>#ERROR!</v>
      </c>
      <c r="P896" s="6" t="str">
        <f>SUMIFS([1]order_sku_sales_bb2_report!O:O,[1]order_sku_sales_bb2_report!H:H,C28690,[1]order_sku_sales_bb2_report!J:J,H28690)</f>
        <v>#ERROR!</v>
      </c>
      <c r="Q896" s="6" t="str">
        <f t="shared" si="1"/>
        <v>22-12-2025</v>
      </c>
      <c r="R896" s="6" t="str">
        <f>IFERROR( VLOOKUP(C28690,[1]expressOrderReport!$S:$AZ,34,0),0)</f>
        <v>#ERROR!</v>
      </c>
      <c r="S896" s="6" t="str">
        <f>ARRAY_CONSTRAIN(ARRAYFORMULA(_xludf.XLOOKUP(D28690,[1]order_Report_SA_ID_BB2.0!V:V,[1]order_Report_SA_ID_BB2.0!AM:AM,"")), 1, 1)</f>
        <v>#ERROR!</v>
      </c>
      <c r="T896" s="6" t="str">
        <f t="shared" si="2"/>
        <v>Dec'25</v>
      </c>
    </row>
    <row r="897" ht="15.75" customHeight="1">
      <c r="A897" s="5">
        <v>46013.0</v>
      </c>
      <c r="B897" s="6">
        <v>11572.0</v>
      </c>
      <c r="C897" s="6">
        <v>1.859167777E9</v>
      </c>
      <c r="D897" s="6">
        <v>125144.0</v>
      </c>
      <c r="E897" s="6" t="s">
        <v>1429</v>
      </c>
      <c r="F897" s="6" t="s">
        <v>1430</v>
      </c>
      <c r="G897" s="6">
        <v>9.900471741E9</v>
      </c>
      <c r="H897" s="6">
        <v>4.0222179E7</v>
      </c>
      <c r="I897" s="6" t="s">
        <v>1256</v>
      </c>
      <c r="J897" s="6" t="s">
        <v>21</v>
      </c>
      <c r="K897" s="6" t="s">
        <v>22</v>
      </c>
      <c r="L897" s="6">
        <v>90.0</v>
      </c>
      <c r="M897" s="5">
        <v>46013.0</v>
      </c>
      <c r="N897" s="6" t="s">
        <v>23</v>
      </c>
      <c r="O897" s="6" t="str">
        <f>SUMIFS([1]order_sku_sales_bb2_report!P:P,[1]order_sku_sales_bb2_report!H:H,C28693,[1]order_sku_sales_bb2_report!J:J,H28693)</f>
        <v>#ERROR!</v>
      </c>
      <c r="P897" s="6" t="str">
        <f>SUMIFS([1]order_sku_sales_bb2_report!O:O,[1]order_sku_sales_bb2_report!H:H,C28693,[1]order_sku_sales_bb2_report!J:J,H28693)</f>
        <v>#ERROR!</v>
      </c>
      <c r="Q897" s="6" t="str">
        <f t="shared" si="1"/>
        <v>22-12-2025</v>
      </c>
      <c r="R897" s="6" t="str">
        <f>IFERROR( VLOOKUP(C28693,[1]expressOrderReport!$S:$AZ,34,0),0)</f>
        <v>#ERROR!</v>
      </c>
      <c r="S897" s="6" t="str">
        <f>ARRAY_CONSTRAIN(ARRAYFORMULA(_xludf.XLOOKUP(D28693,[1]order_Report_SA_ID_BB2.0!V:V,[1]order_Report_SA_ID_BB2.0!AM:AM,"")), 1, 1)</f>
        <v>#ERROR!</v>
      </c>
      <c r="T897" s="6" t="str">
        <f t="shared" si="2"/>
        <v>Dec'25</v>
      </c>
    </row>
    <row r="898" ht="15.75" customHeight="1">
      <c r="A898" s="5">
        <v>46013.0</v>
      </c>
      <c r="B898" s="6">
        <v>11573.0</v>
      </c>
      <c r="C898" s="6">
        <v>1.859167777E9</v>
      </c>
      <c r="D898" s="6">
        <v>125144.0</v>
      </c>
      <c r="E898" s="6" t="s">
        <v>1429</v>
      </c>
      <c r="F898" s="6" t="s">
        <v>1430</v>
      </c>
      <c r="G898" s="6">
        <v>9.900471741E9</v>
      </c>
      <c r="H898" s="6">
        <v>4.0149833E7</v>
      </c>
      <c r="I898" s="6" t="s">
        <v>40</v>
      </c>
      <c r="J898" s="6" t="s">
        <v>21</v>
      </c>
      <c r="K898" s="6" t="s">
        <v>22</v>
      </c>
      <c r="L898" s="6">
        <v>90.0</v>
      </c>
      <c r="M898" s="5">
        <v>46013.0</v>
      </c>
      <c r="N898" s="6" t="s">
        <v>23</v>
      </c>
      <c r="O898" s="6" t="str">
        <f>SUMIFS([1]order_sku_sales_bb2_report!P:P,[1]order_sku_sales_bb2_report!H:H,C28694,[1]order_sku_sales_bb2_report!J:J,H28694)</f>
        <v>#ERROR!</v>
      </c>
      <c r="P898" s="6" t="str">
        <f>SUMIFS([1]order_sku_sales_bb2_report!O:O,[1]order_sku_sales_bb2_report!H:H,C28694,[1]order_sku_sales_bb2_report!J:J,H28694)</f>
        <v>#ERROR!</v>
      </c>
      <c r="Q898" s="6" t="str">
        <f t="shared" si="1"/>
        <v>22-12-2025</v>
      </c>
      <c r="R898" s="6" t="str">
        <f>IFERROR( VLOOKUP(C28694,[1]expressOrderReport!$S:$AZ,34,0),0)</f>
        <v>#ERROR!</v>
      </c>
      <c r="S898" s="6" t="str">
        <f>ARRAY_CONSTRAIN(ARRAYFORMULA(_xludf.XLOOKUP(D28694,[1]order_Report_SA_ID_BB2.0!V:V,[1]order_Report_SA_ID_BB2.0!AM:AM,"")), 1, 1)</f>
        <v>#ERROR!</v>
      </c>
      <c r="T898" s="6" t="str">
        <f t="shared" si="2"/>
        <v>Dec'25</v>
      </c>
    </row>
    <row r="899" ht="15.75" customHeight="1">
      <c r="A899" s="5">
        <v>46013.0</v>
      </c>
      <c r="B899" s="6">
        <v>2031.0</v>
      </c>
      <c r="C899" s="6">
        <v>1.85916778E9</v>
      </c>
      <c r="D899" s="6">
        <v>5198431.0</v>
      </c>
      <c r="E899" s="6" t="s">
        <v>1431</v>
      </c>
      <c r="F899" s="6" t="s">
        <v>1432</v>
      </c>
      <c r="G899" s="6">
        <v>7.070198081E9</v>
      </c>
      <c r="H899" s="6">
        <v>4.0149832E7</v>
      </c>
      <c r="I899" s="6" t="s">
        <v>26</v>
      </c>
      <c r="J899" s="6" t="s">
        <v>21</v>
      </c>
      <c r="K899" s="6" t="s">
        <v>22</v>
      </c>
      <c r="L899" s="6">
        <v>24.0</v>
      </c>
      <c r="M899" s="5">
        <v>46013.0</v>
      </c>
      <c r="N899" s="6" t="s">
        <v>23</v>
      </c>
      <c r="O899" s="6" t="str">
        <f>SUMIFS([1]order_sku_sales_bb2_report!P:P,[1]order_sku_sales_bb2_report!H:H,C28695,[1]order_sku_sales_bb2_report!J:J,H28695)</f>
        <v>#ERROR!</v>
      </c>
      <c r="P899" s="6" t="str">
        <f>SUMIFS([1]order_sku_sales_bb2_report!O:O,[1]order_sku_sales_bb2_report!H:H,C28695,[1]order_sku_sales_bb2_report!J:J,H28695)</f>
        <v>#ERROR!</v>
      </c>
      <c r="Q899" s="6" t="str">
        <f t="shared" si="1"/>
        <v>22-12-2025</v>
      </c>
      <c r="R899" s="6" t="str">
        <f>IFERROR( VLOOKUP(C28695,[1]expressOrderReport!$S:$AZ,34,0),0)</f>
        <v>#ERROR!</v>
      </c>
      <c r="S899" s="6" t="str">
        <f>ARRAY_CONSTRAIN(ARRAYFORMULA(_xludf.XLOOKUP(D28695,[1]order_Report_SA_ID_BB2.0!V:V,[1]order_Report_SA_ID_BB2.0!AM:AM,"")), 1, 1)</f>
        <v>#ERROR!</v>
      </c>
      <c r="T899" s="6" t="str">
        <f t="shared" si="2"/>
        <v>Dec'25</v>
      </c>
    </row>
    <row r="900" ht="15.75" customHeight="1">
      <c r="A900" s="5">
        <v>46013.0</v>
      </c>
      <c r="B900" s="6">
        <v>10162.0</v>
      </c>
      <c r="C900" s="6">
        <v>1.859167785E9</v>
      </c>
      <c r="D900" s="6">
        <v>2250589.0</v>
      </c>
      <c r="E900" s="6" t="s">
        <v>1433</v>
      </c>
      <c r="F900" s="6" t="s">
        <v>1434</v>
      </c>
      <c r="G900" s="6">
        <v>9.710103252E9</v>
      </c>
      <c r="H900" s="6">
        <v>4.0161616E7</v>
      </c>
      <c r="I900" s="6" t="s">
        <v>20</v>
      </c>
      <c r="J900" s="6" t="s">
        <v>21</v>
      </c>
      <c r="K900" s="6" t="s">
        <v>22</v>
      </c>
      <c r="L900" s="6">
        <v>56.0</v>
      </c>
      <c r="M900" s="5">
        <v>46013.0</v>
      </c>
      <c r="N900" s="6" t="s">
        <v>23</v>
      </c>
      <c r="O900" s="6" t="str">
        <f>SUMIFS([1]order_sku_sales_bb2_report!P:P,[1]order_sku_sales_bb2_report!H:H,C28696,[1]order_sku_sales_bb2_report!J:J,H28696)</f>
        <v>#ERROR!</v>
      </c>
      <c r="P900" s="6" t="str">
        <f>SUMIFS([1]order_sku_sales_bb2_report!O:O,[1]order_sku_sales_bb2_report!H:H,C28696,[1]order_sku_sales_bb2_report!J:J,H28696)</f>
        <v>#ERROR!</v>
      </c>
      <c r="Q900" s="6" t="str">
        <f t="shared" si="1"/>
        <v>22-12-2025</v>
      </c>
      <c r="R900" s="6" t="str">
        <f>IFERROR( VLOOKUP(C28696,[1]expressOrderReport!$S:$AZ,34,0),0)</f>
        <v>#ERROR!</v>
      </c>
      <c r="S900" s="6" t="str">
        <f>ARRAY_CONSTRAIN(ARRAYFORMULA(_xludf.XLOOKUP(D28696,[1]order_Report_SA_ID_BB2.0!V:V,[1]order_Report_SA_ID_BB2.0!AM:AM,"")), 1, 1)</f>
        <v>#ERROR!</v>
      </c>
      <c r="T900" s="6" t="str">
        <f t="shared" si="2"/>
        <v>Dec'25</v>
      </c>
    </row>
    <row r="901" ht="15.75" customHeight="1">
      <c r="A901" s="5">
        <v>46013.0</v>
      </c>
      <c r="B901" s="6">
        <v>7454.0</v>
      </c>
      <c r="C901" s="6">
        <v>1.859167789E9</v>
      </c>
      <c r="D901" s="6">
        <v>5315537.0</v>
      </c>
      <c r="E901" s="6" t="s">
        <v>1435</v>
      </c>
      <c r="F901" s="6" t="s">
        <v>1436</v>
      </c>
      <c r="G901" s="6">
        <v>9.600014523E9</v>
      </c>
      <c r="H901" s="6">
        <v>4.0149832E7</v>
      </c>
      <c r="I901" s="6" t="s">
        <v>26</v>
      </c>
      <c r="J901" s="6" t="s">
        <v>21</v>
      </c>
      <c r="K901" s="6" t="s">
        <v>27</v>
      </c>
      <c r="L901" s="6">
        <v>72.0</v>
      </c>
      <c r="M901" s="5">
        <v>46013.0</v>
      </c>
      <c r="N901" s="6" t="s">
        <v>23</v>
      </c>
      <c r="O901" s="6" t="str">
        <f>SUMIFS([1]order_sku_sales_bb2_report!P:P,[1]order_sku_sales_bb2_report!H:H,C28697,[1]order_sku_sales_bb2_report!J:J,H28697)</f>
        <v>#ERROR!</v>
      </c>
      <c r="P901" s="6" t="str">
        <f>SUMIFS([1]order_sku_sales_bb2_report!O:O,[1]order_sku_sales_bb2_report!H:H,C28697,[1]order_sku_sales_bb2_report!J:J,H28697)</f>
        <v>#ERROR!</v>
      </c>
      <c r="Q901" s="6" t="str">
        <f t="shared" si="1"/>
        <v>22-12-2025</v>
      </c>
      <c r="R901" s="6" t="str">
        <f>IFERROR( VLOOKUP(C28697,[1]expressOrderReport!$S:$AZ,34,0),0)</f>
        <v>#ERROR!</v>
      </c>
      <c r="S901" s="6" t="str">
        <f>ARRAY_CONSTRAIN(ARRAYFORMULA(_xludf.XLOOKUP(D28697,[1]order_Report_SA_ID_BB2.0!V:V,[1]order_Report_SA_ID_BB2.0!AM:AM,"")), 1, 1)</f>
        <v>#ERROR!</v>
      </c>
      <c r="T901" s="6" t="str">
        <f t="shared" si="2"/>
        <v>Dec'25</v>
      </c>
    </row>
    <row r="902" ht="15.75" customHeight="1">
      <c r="A902" s="5">
        <v>46013.0</v>
      </c>
      <c r="B902" s="6">
        <v>6650.0</v>
      </c>
      <c r="C902" s="6">
        <v>1.859167792E9</v>
      </c>
      <c r="D902" s="6">
        <v>691665.0</v>
      </c>
      <c r="E902" s="6" t="s">
        <v>1437</v>
      </c>
      <c r="F902" s="6" t="s">
        <v>1438</v>
      </c>
      <c r="G902" s="6">
        <v>9.953175246E9</v>
      </c>
      <c r="H902" s="6">
        <v>4.0149833E7</v>
      </c>
      <c r="I902" s="6" t="s">
        <v>40</v>
      </c>
      <c r="J902" s="6" t="s">
        <v>21</v>
      </c>
      <c r="K902" s="6" t="s">
        <v>22</v>
      </c>
      <c r="L902" s="6">
        <v>27.0</v>
      </c>
      <c r="M902" s="5">
        <v>46013.0</v>
      </c>
      <c r="N902" s="6" t="s">
        <v>23</v>
      </c>
      <c r="O902" s="6" t="str">
        <f>SUMIFS([1]order_sku_sales_bb2_report!P:P,[1]order_sku_sales_bb2_report!H:H,C28698,[1]order_sku_sales_bb2_report!J:J,H28698)</f>
        <v>#ERROR!</v>
      </c>
      <c r="P902" s="6" t="str">
        <f>SUMIFS([1]order_sku_sales_bb2_report!O:O,[1]order_sku_sales_bb2_report!H:H,C28698,[1]order_sku_sales_bb2_report!J:J,H28698)</f>
        <v>#ERROR!</v>
      </c>
      <c r="Q902" s="6" t="str">
        <f t="shared" si="1"/>
        <v>22-12-2025</v>
      </c>
      <c r="R902" s="6" t="str">
        <f>IFERROR( VLOOKUP(C28698,[1]expressOrderReport!$S:$AZ,34,0),0)</f>
        <v>#ERROR!</v>
      </c>
      <c r="S902" s="6" t="str">
        <f>ARRAY_CONSTRAIN(ARRAYFORMULA(_xludf.XLOOKUP(D28698,[1]order_Report_SA_ID_BB2.0!V:V,[1]order_Report_SA_ID_BB2.0!AM:AM,"")), 1, 1)</f>
        <v>#ERROR!</v>
      </c>
      <c r="T902" s="6" t="str">
        <f t="shared" si="2"/>
        <v>Dec'25</v>
      </c>
    </row>
    <row r="903" ht="15.75" customHeight="1">
      <c r="A903" s="5">
        <v>46013.0</v>
      </c>
      <c r="B903" s="6">
        <v>7859.0</v>
      </c>
      <c r="C903" s="6">
        <v>1.859167796E9</v>
      </c>
      <c r="D903" s="6">
        <v>4221865.0</v>
      </c>
      <c r="E903" s="6" t="s">
        <v>1439</v>
      </c>
      <c r="F903" s="6" t="s">
        <v>1440</v>
      </c>
      <c r="G903" s="6">
        <v>7.044098663E9</v>
      </c>
      <c r="H903" s="6">
        <v>4.0148723E7</v>
      </c>
      <c r="I903" s="6" t="s">
        <v>69</v>
      </c>
      <c r="J903" s="6" t="s">
        <v>21</v>
      </c>
      <c r="K903" s="6" t="s">
        <v>22</v>
      </c>
      <c r="L903" s="6">
        <v>84.0</v>
      </c>
      <c r="M903" s="5">
        <v>46013.0</v>
      </c>
      <c r="N903" s="6" t="s">
        <v>23</v>
      </c>
      <c r="O903" s="6" t="str">
        <f>SUMIFS([1]order_sku_sales_bb2_report!P:P,[1]order_sku_sales_bb2_report!H:H,C28699,[1]order_sku_sales_bb2_report!J:J,H28699)</f>
        <v>#ERROR!</v>
      </c>
      <c r="P903" s="6" t="str">
        <f>SUMIFS([1]order_sku_sales_bb2_report!O:O,[1]order_sku_sales_bb2_report!H:H,C28699,[1]order_sku_sales_bb2_report!J:J,H28699)</f>
        <v>#ERROR!</v>
      </c>
      <c r="Q903" s="6" t="str">
        <f t="shared" si="1"/>
        <v>22-12-2025</v>
      </c>
      <c r="R903" s="6" t="str">
        <f>IFERROR( VLOOKUP(C28699,[1]expressOrderReport!$S:$AZ,34,0),0)</f>
        <v>#ERROR!</v>
      </c>
      <c r="S903" s="6" t="str">
        <f>ARRAY_CONSTRAIN(ARRAYFORMULA(_xludf.XLOOKUP(D28699,[1]order_Report_SA_ID_BB2.0!V:V,[1]order_Report_SA_ID_BB2.0!AM:AM,"")), 1, 1)</f>
        <v>#ERROR!</v>
      </c>
      <c r="T903" s="6" t="str">
        <f t="shared" si="2"/>
        <v>Dec'25</v>
      </c>
    </row>
    <row r="904" ht="15.75" customHeight="1">
      <c r="A904" s="5">
        <v>46013.0</v>
      </c>
      <c r="B904" s="6">
        <v>3503.0</v>
      </c>
      <c r="C904" s="6">
        <v>1.859167801E9</v>
      </c>
      <c r="D904" s="6">
        <v>197948.0</v>
      </c>
      <c r="E904" s="6" t="s">
        <v>1441</v>
      </c>
      <c r="F904" s="6" t="s">
        <v>1442</v>
      </c>
      <c r="G904" s="6">
        <v>9.972014625E9</v>
      </c>
      <c r="H904" s="6">
        <v>4.0149833E7</v>
      </c>
      <c r="I904" s="6" t="s">
        <v>40</v>
      </c>
      <c r="J904" s="6" t="s">
        <v>21</v>
      </c>
      <c r="K904" s="6" t="s">
        <v>22</v>
      </c>
      <c r="L904" s="6">
        <v>164.0</v>
      </c>
      <c r="M904" s="5">
        <v>46013.0</v>
      </c>
      <c r="N904" s="6" t="s">
        <v>23</v>
      </c>
      <c r="O904" s="6" t="str">
        <f>SUMIFS([1]order_sku_sales_bb2_report!P:P,[1]order_sku_sales_bb2_report!H:H,C28700,[1]order_sku_sales_bb2_report!J:J,H28700)</f>
        <v>#ERROR!</v>
      </c>
      <c r="P904" s="6" t="str">
        <f>SUMIFS([1]order_sku_sales_bb2_report!O:O,[1]order_sku_sales_bb2_report!H:H,C28700,[1]order_sku_sales_bb2_report!J:J,H28700)</f>
        <v>#ERROR!</v>
      </c>
      <c r="Q904" s="6" t="str">
        <f t="shared" si="1"/>
        <v>22-12-2025</v>
      </c>
      <c r="R904" s="6" t="str">
        <f>IFERROR( VLOOKUP(C28700,[1]expressOrderReport!$S:$AZ,34,0),0)</f>
        <v>#ERROR!</v>
      </c>
      <c r="S904" s="6" t="str">
        <f>ARRAY_CONSTRAIN(ARRAYFORMULA(_xludf.XLOOKUP(D28700,[1]order_Report_SA_ID_BB2.0!V:V,[1]order_Report_SA_ID_BB2.0!AM:AM,"")), 1, 1)</f>
        <v>#ERROR!</v>
      </c>
      <c r="T904" s="6" t="str">
        <f t="shared" si="2"/>
        <v>Dec'25</v>
      </c>
    </row>
    <row r="905" ht="15.75" customHeight="1">
      <c r="A905" s="5">
        <v>46013.0</v>
      </c>
      <c r="B905" s="6">
        <v>3505.0</v>
      </c>
      <c r="C905" s="6">
        <v>1.859167801E9</v>
      </c>
      <c r="D905" s="6">
        <v>197948.0</v>
      </c>
      <c r="E905" s="6" t="s">
        <v>1441</v>
      </c>
      <c r="F905" s="6" t="s">
        <v>1442</v>
      </c>
      <c r="G905" s="6">
        <v>9.972014625E9</v>
      </c>
      <c r="H905" s="6">
        <v>4.014983E7</v>
      </c>
      <c r="I905" s="6" t="s">
        <v>30</v>
      </c>
      <c r="J905" s="6" t="s">
        <v>21</v>
      </c>
      <c r="K905" s="6" t="s">
        <v>22</v>
      </c>
      <c r="L905" s="6">
        <v>164.0</v>
      </c>
      <c r="M905" s="5">
        <v>46013.0</v>
      </c>
      <c r="N905" s="6" t="s">
        <v>23</v>
      </c>
      <c r="O905" s="6" t="str">
        <f>SUMIFS([1]order_sku_sales_bb2_report!P:P,[1]order_sku_sales_bb2_report!H:H,C28701,[1]order_sku_sales_bb2_report!J:J,H28701)</f>
        <v>#ERROR!</v>
      </c>
      <c r="P905" s="6" t="str">
        <f>SUMIFS([1]order_sku_sales_bb2_report!O:O,[1]order_sku_sales_bb2_report!H:H,C28701,[1]order_sku_sales_bb2_report!J:J,H28701)</f>
        <v>#ERROR!</v>
      </c>
      <c r="Q905" s="6" t="str">
        <f t="shared" si="1"/>
        <v>22-12-2025</v>
      </c>
      <c r="R905" s="6" t="str">
        <f>IFERROR( VLOOKUP(C28701,[1]expressOrderReport!$S:$AZ,34,0),0)</f>
        <v>#ERROR!</v>
      </c>
      <c r="S905" s="6" t="str">
        <f>ARRAY_CONSTRAIN(ARRAYFORMULA(_xludf.XLOOKUP(D28701,[1]order_Report_SA_ID_BB2.0!V:V,[1]order_Report_SA_ID_BB2.0!AM:AM,"")), 1, 1)</f>
        <v>#ERROR!</v>
      </c>
      <c r="T905" s="6" t="str">
        <f t="shared" si="2"/>
        <v>Dec'25</v>
      </c>
    </row>
    <row r="906" ht="15.75" customHeight="1">
      <c r="A906" s="5">
        <v>46013.0</v>
      </c>
      <c r="B906" s="6">
        <v>747.0</v>
      </c>
      <c r="C906" s="6">
        <v>1.859167807E9</v>
      </c>
      <c r="D906" s="6">
        <v>5421249.0</v>
      </c>
      <c r="E906" s="6" t="s">
        <v>1443</v>
      </c>
      <c r="F906" s="6" t="s">
        <v>1444</v>
      </c>
      <c r="G906" s="6">
        <v>8.217822522E9</v>
      </c>
      <c r="H906" s="6">
        <v>4.0149834E7</v>
      </c>
      <c r="I906" s="6" t="s">
        <v>40</v>
      </c>
      <c r="J906" s="6" t="s">
        <v>21</v>
      </c>
      <c r="K906" s="6" t="s">
        <v>22</v>
      </c>
      <c r="L906" s="6">
        <v>52.0</v>
      </c>
      <c r="M906" s="5">
        <v>46013.0</v>
      </c>
      <c r="N906" s="6" t="s">
        <v>23</v>
      </c>
      <c r="O906" s="6" t="str">
        <f>SUMIFS([1]order_sku_sales_bb2_report!P:P,[1]order_sku_sales_bb2_report!H:H,C28702,[1]order_sku_sales_bb2_report!J:J,H28702)</f>
        <v>#ERROR!</v>
      </c>
      <c r="P906" s="6" t="str">
        <f>SUMIFS([1]order_sku_sales_bb2_report!O:O,[1]order_sku_sales_bb2_report!H:H,C28702,[1]order_sku_sales_bb2_report!J:J,H28702)</f>
        <v>#ERROR!</v>
      </c>
      <c r="Q906" s="6" t="str">
        <f t="shared" si="1"/>
        <v>22-12-2025</v>
      </c>
      <c r="R906" s="6" t="str">
        <f>IFERROR( VLOOKUP(C28702,[1]expressOrderReport!$S:$AZ,34,0),0)</f>
        <v>#ERROR!</v>
      </c>
      <c r="S906" s="6" t="str">
        <f>ARRAY_CONSTRAIN(ARRAYFORMULA(_xludf.XLOOKUP(D28702,[1]order_Report_SA_ID_BB2.0!V:V,[1]order_Report_SA_ID_BB2.0!AM:AM,"")), 1, 1)</f>
        <v>#ERROR!</v>
      </c>
      <c r="T906" s="6" t="str">
        <f t="shared" si="2"/>
        <v>Dec'25</v>
      </c>
    </row>
    <row r="907" ht="15.75" customHeight="1">
      <c r="A907" s="5">
        <v>46013.0</v>
      </c>
      <c r="B907" s="6">
        <v>9711.0</v>
      </c>
      <c r="C907" s="6">
        <v>1.859167813E9</v>
      </c>
      <c r="D907" s="6">
        <v>3928362.0</v>
      </c>
      <c r="E907" s="6" t="s">
        <v>1445</v>
      </c>
      <c r="F907" s="6" t="s">
        <v>1446</v>
      </c>
      <c r="G907" s="6">
        <v>9.900832808E9</v>
      </c>
      <c r="H907" s="6">
        <v>4.0149832E7</v>
      </c>
      <c r="I907" s="6" t="s">
        <v>26</v>
      </c>
      <c r="J907" s="6" t="s">
        <v>21</v>
      </c>
      <c r="K907" s="6" t="s">
        <v>22</v>
      </c>
      <c r="L907" s="6">
        <v>24.0</v>
      </c>
      <c r="M907" s="5">
        <v>46013.0</v>
      </c>
      <c r="N907" s="6" t="s">
        <v>23</v>
      </c>
      <c r="O907" s="6" t="str">
        <f>SUMIFS([1]order_sku_sales_bb2_report!P:P,[1]order_sku_sales_bb2_report!H:H,C28703,[1]order_sku_sales_bb2_report!J:J,H28703)</f>
        <v>#ERROR!</v>
      </c>
      <c r="P907" s="6" t="str">
        <f>SUMIFS([1]order_sku_sales_bb2_report!O:O,[1]order_sku_sales_bb2_report!H:H,C28703,[1]order_sku_sales_bb2_report!J:J,H28703)</f>
        <v>#ERROR!</v>
      </c>
      <c r="Q907" s="6" t="str">
        <f t="shared" si="1"/>
        <v>22-12-2025</v>
      </c>
      <c r="R907" s="6" t="str">
        <f>IFERROR( VLOOKUP(C28703,[1]expressOrderReport!$S:$AZ,34,0),0)</f>
        <v>#ERROR!</v>
      </c>
      <c r="S907" s="6" t="str">
        <f>ARRAY_CONSTRAIN(ARRAYFORMULA(_xludf.XLOOKUP(D28703,[1]order_Report_SA_ID_BB2.0!V:V,[1]order_Report_SA_ID_BB2.0!AM:AM,"")), 1, 1)</f>
        <v>#ERROR!</v>
      </c>
      <c r="T907" s="6" t="str">
        <f t="shared" si="2"/>
        <v>Dec'25</v>
      </c>
    </row>
    <row r="908" ht="15.75" customHeight="1">
      <c r="A908" s="5">
        <v>46013.0</v>
      </c>
      <c r="B908" s="6">
        <v>8582.0</v>
      </c>
      <c r="C908" s="6">
        <v>1.859167818E9</v>
      </c>
      <c r="D908" s="6">
        <v>5468138.0</v>
      </c>
      <c r="E908" s="6" t="s">
        <v>1447</v>
      </c>
      <c r="F908" s="6" t="s">
        <v>1448</v>
      </c>
      <c r="G908" s="6">
        <v>8.861932277E9</v>
      </c>
      <c r="H908" s="6">
        <v>4.0161616E7</v>
      </c>
      <c r="I908" s="6" t="s">
        <v>20</v>
      </c>
      <c r="J908" s="6" t="s">
        <v>21</v>
      </c>
      <c r="K908" s="6" t="s">
        <v>22</v>
      </c>
      <c r="L908" s="6">
        <v>56.0</v>
      </c>
      <c r="M908" s="5">
        <v>46013.0</v>
      </c>
      <c r="N908" s="6" t="s">
        <v>23</v>
      </c>
      <c r="O908" s="6" t="str">
        <f>SUMIFS([1]order_sku_sales_bb2_report!P:P,[1]order_sku_sales_bb2_report!H:H,C28704,[1]order_sku_sales_bb2_report!J:J,H28704)</f>
        <v>#ERROR!</v>
      </c>
      <c r="P908" s="6" t="str">
        <f>SUMIFS([1]order_sku_sales_bb2_report!O:O,[1]order_sku_sales_bb2_report!H:H,C28704,[1]order_sku_sales_bb2_report!J:J,H28704)</f>
        <v>#ERROR!</v>
      </c>
      <c r="Q908" s="6" t="str">
        <f t="shared" si="1"/>
        <v>22-12-2025</v>
      </c>
      <c r="R908" s="6" t="str">
        <f>IFERROR( VLOOKUP(C28704,[1]expressOrderReport!$S:$AZ,34,0),0)</f>
        <v>#ERROR!</v>
      </c>
      <c r="S908" s="6" t="str">
        <f>ARRAY_CONSTRAIN(ARRAYFORMULA(_xludf.XLOOKUP(D28704,[1]order_Report_SA_ID_BB2.0!V:V,[1]order_Report_SA_ID_BB2.0!AM:AM,"")), 1, 1)</f>
        <v>#ERROR!</v>
      </c>
      <c r="T908" s="6" t="str">
        <f t="shared" si="2"/>
        <v>Dec'25</v>
      </c>
    </row>
    <row r="909" ht="15.75" customHeight="1">
      <c r="A909" s="5">
        <v>46013.0</v>
      </c>
      <c r="B909" s="6">
        <v>5848.0</v>
      </c>
      <c r="C909" s="6">
        <v>1.859167823E9</v>
      </c>
      <c r="D909" s="6">
        <v>2847868.0</v>
      </c>
      <c r="E909" s="6" t="s">
        <v>1449</v>
      </c>
      <c r="F909" s="6" t="s">
        <v>1450</v>
      </c>
      <c r="G909" s="6">
        <v>9.742565298E9</v>
      </c>
      <c r="H909" s="6">
        <v>4.0149833E7</v>
      </c>
      <c r="I909" s="6" t="s">
        <v>40</v>
      </c>
      <c r="J909" s="6" t="s">
        <v>21</v>
      </c>
      <c r="K909" s="6" t="s">
        <v>22</v>
      </c>
      <c r="L909" s="6">
        <v>27.0</v>
      </c>
      <c r="M909" s="5">
        <v>46013.0</v>
      </c>
      <c r="N909" s="6" t="s">
        <v>23</v>
      </c>
      <c r="O909" s="6" t="str">
        <f>SUMIFS([1]order_sku_sales_bb2_report!P:P,[1]order_sku_sales_bb2_report!H:H,C28705,[1]order_sku_sales_bb2_report!J:J,H28705)</f>
        <v>#ERROR!</v>
      </c>
      <c r="P909" s="6" t="str">
        <f>SUMIFS([1]order_sku_sales_bb2_report!O:O,[1]order_sku_sales_bb2_report!H:H,C28705,[1]order_sku_sales_bb2_report!J:J,H28705)</f>
        <v>#ERROR!</v>
      </c>
      <c r="Q909" s="6" t="str">
        <f t="shared" si="1"/>
        <v>22-12-2025</v>
      </c>
      <c r="R909" s="6" t="str">
        <f>IFERROR( VLOOKUP(C28705,[1]expressOrderReport!$S:$AZ,34,0),0)</f>
        <v>#ERROR!</v>
      </c>
      <c r="S909" s="6" t="str">
        <f>ARRAY_CONSTRAIN(ARRAYFORMULA(_xludf.XLOOKUP(D28705,[1]order_Report_SA_ID_BB2.0!V:V,[1]order_Report_SA_ID_BB2.0!AM:AM,"")), 1, 1)</f>
        <v>#ERROR!</v>
      </c>
      <c r="T909" s="6" t="str">
        <f t="shared" si="2"/>
        <v>Dec'25</v>
      </c>
    </row>
    <row r="910" ht="15.75" customHeight="1">
      <c r="A910" s="5">
        <v>46013.0</v>
      </c>
      <c r="B910" s="6">
        <v>9882.0</v>
      </c>
      <c r="C910" s="6">
        <v>1.859167827E9</v>
      </c>
      <c r="D910" s="6">
        <v>5534638.0</v>
      </c>
      <c r="E910" s="6" t="s">
        <v>1451</v>
      </c>
      <c r="F910" s="6" t="s">
        <v>1452</v>
      </c>
      <c r="G910" s="6">
        <v>7.975199813E9</v>
      </c>
      <c r="H910" s="6">
        <v>4.0149832E7</v>
      </c>
      <c r="I910" s="6" t="s">
        <v>26</v>
      </c>
      <c r="J910" s="6" t="s">
        <v>21</v>
      </c>
      <c r="K910" s="6" t="s">
        <v>22</v>
      </c>
      <c r="L910" s="6">
        <v>48.0</v>
      </c>
      <c r="M910" s="5">
        <v>46013.0</v>
      </c>
      <c r="N910" s="6" t="s">
        <v>23</v>
      </c>
      <c r="O910" s="6" t="str">
        <f>SUMIFS([1]order_sku_sales_bb2_report!P:P,[1]order_sku_sales_bb2_report!H:H,C28706,[1]order_sku_sales_bb2_report!J:J,H28706)</f>
        <v>#ERROR!</v>
      </c>
      <c r="P910" s="6" t="str">
        <f>SUMIFS([1]order_sku_sales_bb2_report!O:O,[1]order_sku_sales_bb2_report!H:H,C28706,[1]order_sku_sales_bb2_report!J:J,H28706)</f>
        <v>#ERROR!</v>
      </c>
      <c r="Q910" s="6" t="str">
        <f t="shared" si="1"/>
        <v>22-12-2025</v>
      </c>
      <c r="R910" s="6" t="str">
        <f>IFERROR( VLOOKUP(C28706,[1]expressOrderReport!$S:$AZ,34,0),0)</f>
        <v>#ERROR!</v>
      </c>
      <c r="S910" s="6" t="str">
        <f>ARRAY_CONSTRAIN(ARRAYFORMULA(_xludf.XLOOKUP(D28706,[1]order_Report_SA_ID_BB2.0!V:V,[1]order_Report_SA_ID_BB2.0!AM:AM,"")), 1, 1)</f>
        <v>#ERROR!</v>
      </c>
      <c r="T910" s="6" t="str">
        <f t="shared" si="2"/>
        <v>Dec'25</v>
      </c>
    </row>
    <row r="911" ht="15.75" customHeight="1">
      <c r="A911" s="5">
        <v>46013.0</v>
      </c>
      <c r="B911" s="6">
        <v>9164.0</v>
      </c>
      <c r="C911" s="6">
        <v>1.859167832E9</v>
      </c>
      <c r="D911" s="6">
        <v>17951.0</v>
      </c>
      <c r="E911" s="6" t="s">
        <v>1453</v>
      </c>
      <c r="F911" s="6" t="s">
        <v>1454</v>
      </c>
      <c r="G911" s="6">
        <v>8.971608374E9</v>
      </c>
      <c r="H911" s="6">
        <v>4.016372E7</v>
      </c>
      <c r="I911" s="6" t="s">
        <v>72</v>
      </c>
      <c r="J911" s="6" t="s">
        <v>21</v>
      </c>
      <c r="K911" s="6" t="s">
        <v>22</v>
      </c>
      <c r="L911" s="6">
        <v>94.9</v>
      </c>
      <c r="M911" s="5">
        <v>46013.0</v>
      </c>
      <c r="N911" s="6" t="s">
        <v>23</v>
      </c>
      <c r="O911" s="6" t="str">
        <f>SUMIFS([1]order_sku_sales_bb2_report!P:P,[1]order_sku_sales_bb2_report!H:H,C28707,[1]order_sku_sales_bb2_report!J:J,H28707)</f>
        <v>#ERROR!</v>
      </c>
      <c r="P911" s="6" t="str">
        <f>SUMIFS([1]order_sku_sales_bb2_report!O:O,[1]order_sku_sales_bb2_report!H:H,C28707,[1]order_sku_sales_bb2_report!J:J,H28707)</f>
        <v>#ERROR!</v>
      </c>
      <c r="Q911" s="6" t="str">
        <f t="shared" si="1"/>
        <v>22-12-2025</v>
      </c>
      <c r="R911" s="6" t="str">
        <f>IFERROR( VLOOKUP(C28707,[1]expressOrderReport!$S:$AZ,34,0),0)</f>
        <v>#ERROR!</v>
      </c>
      <c r="S911" s="6" t="str">
        <f>ARRAY_CONSTRAIN(ARRAYFORMULA(_xludf.XLOOKUP(D28707,[1]order_Report_SA_ID_BB2.0!V:V,[1]order_Report_SA_ID_BB2.0!AM:AM,"")), 1, 1)</f>
        <v>#ERROR!</v>
      </c>
      <c r="T911" s="6" t="str">
        <f t="shared" si="2"/>
        <v>Dec'25</v>
      </c>
    </row>
    <row r="912" ht="15.75" customHeight="1">
      <c r="A912" s="5">
        <v>46013.0</v>
      </c>
      <c r="B912" s="6">
        <v>9165.0</v>
      </c>
      <c r="C912" s="6">
        <v>1.859167832E9</v>
      </c>
      <c r="D912" s="6">
        <v>17951.0</v>
      </c>
      <c r="E912" s="6" t="s">
        <v>1453</v>
      </c>
      <c r="F912" s="6" t="s">
        <v>1454</v>
      </c>
      <c r="G912" s="6">
        <v>8.971608374E9</v>
      </c>
      <c r="H912" s="6">
        <v>4.0240134E7</v>
      </c>
      <c r="I912" s="6" t="s">
        <v>816</v>
      </c>
      <c r="J912" s="6" t="s">
        <v>21</v>
      </c>
      <c r="K912" s="6" t="s">
        <v>22</v>
      </c>
      <c r="L912" s="6">
        <v>94.9</v>
      </c>
      <c r="M912" s="5">
        <v>46013.0</v>
      </c>
      <c r="N912" s="6" t="s">
        <v>23</v>
      </c>
      <c r="O912" s="6" t="str">
        <f>SUMIFS([1]order_sku_sales_bb2_report!P:P,[1]order_sku_sales_bb2_report!H:H,C28708,[1]order_sku_sales_bb2_report!J:J,H28708)</f>
        <v>#ERROR!</v>
      </c>
      <c r="P912" s="6" t="str">
        <f>SUMIFS([1]order_sku_sales_bb2_report!O:O,[1]order_sku_sales_bb2_report!H:H,C28708,[1]order_sku_sales_bb2_report!J:J,H28708)</f>
        <v>#ERROR!</v>
      </c>
      <c r="Q912" s="6" t="str">
        <f t="shared" si="1"/>
        <v>22-12-2025</v>
      </c>
      <c r="R912" s="6" t="str">
        <f>IFERROR( VLOOKUP(C28708,[1]expressOrderReport!$S:$AZ,34,0),0)</f>
        <v>#ERROR!</v>
      </c>
      <c r="S912" s="6" t="str">
        <f>ARRAY_CONSTRAIN(ARRAYFORMULA(_xludf.XLOOKUP(D28708,[1]order_Report_SA_ID_BB2.0!V:V,[1]order_Report_SA_ID_BB2.0!AM:AM,"")), 1, 1)</f>
        <v>#ERROR!</v>
      </c>
      <c r="T912" s="6" t="str">
        <f t="shared" si="2"/>
        <v>Dec'25</v>
      </c>
    </row>
    <row r="913" ht="15.75" customHeight="1">
      <c r="A913" s="5">
        <v>46013.0</v>
      </c>
      <c r="B913" s="6">
        <v>4817.0</v>
      </c>
      <c r="C913" s="6">
        <v>1.859167837E9</v>
      </c>
      <c r="D913" s="6">
        <v>5658212.0</v>
      </c>
      <c r="E913" s="6" t="s">
        <v>504</v>
      </c>
      <c r="F913" s="6" t="s">
        <v>505</v>
      </c>
      <c r="G913" s="6">
        <v>9.886093707E9</v>
      </c>
      <c r="H913" s="6">
        <v>4.0148716E7</v>
      </c>
      <c r="I913" s="6" t="s">
        <v>148</v>
      </c>
      <c r="J913" s="6" t="s">
        <v>21</v>
      </c>
      <c r="K913" s="6" t="s">
        <v>22</v>
      </c>
      <c r="L913" s="6">
        <v>90.0</v>
      </c>
      <c r="M913" s="5">
        <v>46013.0</v>
      </c>
      <c r="N913" s="6" t="s">
        <v>23</v>
      </c>
      <c r="O913" s="6" t="str">
        <f>SUMIFS([1]order_sku_sales_bb2_report!P:P,[1]order_sku_sales_bb2_report!H:H,C28709,[1]order_sku_sales_bb2_report!J:J,H28709)</f>
        <v>#ERROR!</v>
      </c>
      <c r="P913" s="6" t="str">
        <f>SUMIFS([1]order_sku_sales_bb2_report!O:O,[1]order_sku_sales_bb2_report!H:H,C28709,[1]order_sku_sales_bb2_report!J:J,H28709)</f>
        <v>#ERROR!</v>
      </c>
      <c r="Q913" s="6" t="str">
        <f t="shared" si="1"/>
        <v>22-12-2025</v>
      </c>
      <c r="R913" s="6" t="str">
        <f>IFERROR( VLOOKUP(C28709,[1]expressOrderReport!$S:$AZ,34,0),0)</f>
        <v>#ERROR!</v>
      </c>
      <c r="S913" s="6" t="str">
        <f>ARRAY_CONSTRAIN(ARRAYFORMULA(_xludf.XLOOKUP(D28709,[1]order_Report_SA_ID_BB2.0!V:V,[1]order_Report_SA_ID_BB2.0!AM:AM,"")), 1, 1)</f>
        <v>#ERROR!</v>
      </c>
      <c r="T913" s="6" t="str">
        <f t="shared" si="2"/>
        <v>Dec'25</v>
      </c>
    </row>
    <row r="914" ht="15.75" customHeight="1">
      <c r="A914" s="5">
        <v>46013.0</v>
      </c>
      <c r="B914" s="6">
        <v>8013.0</v>
      </c>
      <c r="C914" s="6">
        <v>1.859167845E9</v>
      </c>
      <c r="D914" s="6">
        <v>5673878.0</v>
      </c>
      <c r="E914" s="6" t="s">
        <v>1455</v>
      </c>
      <c r="F914" s="6" t="s">
        <v>1456</v>
      </c>
      <c r="G914" s="6">
        <v>9.448552148E9</v>
      </c>
      <c r="H914" s="6">
        <v>4.0158264E7</v>
      </c>
      <c r="I914" s="6" t="s">
        <v>26</v>
      </c>
      <c r="J914" s="6" t="s">
        <v>21</v>
      </c>
      <c r="K914" s="6" t="s">
        <v>22</v>
      </c>
      <c r="L914" s="6">
        <v>92.0</v>
      </c>
      <c r="M914" s="5">
        <v>46013.0</v>
      </c>
      <c r="N914" s="6" t="s">
        <v>23</v>
      </c>
      <c r="O914" s="6" t="str">
        <f>SUMIFS([1]order_sku_sales_bb2_report!P:P,[1]order_sku_sales_bb2_report!H:H,C28710,[1]order_sku_sales_bb2_report!J:J,H28710)</f>
        <v>#ERROR!</v>
      </c>
      <c r="P914" s="6" t="str">
        <f>SUMIFS([1]order_sku_sales_bb2_report!O:O,[1]order_sku_sales_bb2_report!H:H,C28710,[1]order_sku_sales_bb2_report!J:J,H28710)</f>
        <v>#ERROR!</v>
      </c>
      <c r="Q914" s="6" t="str">
        <f t="shared" si="1"/>
        <v>22-12-2025</v>
      </c>
      <c r="R914" s="6" t="str">
        <f>IFERROR( VLOOKUP(C28710,[1]expressOrderReport!$S:$AZ,34,0),0)</f>
        <v>#ERROR!</v>
      </c>
      <c r="S914" s="6" t="str">
        <f>ARRAY_CONSTRAIN(ARRAYFORMULA(_xludf.XLOOKUP(D28710,[1]order_Report_SA_ID_BB2.0!V:V,[1]order_Report_SA_ID_BB2.0!AM:AM,"")), 1, 1)</f>
        <v>#ERROR!</v>
      </c>
      <c r="T914" s="6" t="str">
        <f t="shared" si="2"/>
        <v>Dec'25</v>
      </c>
    </row>
    <row r="915" ht="15.75" customHeight="1">
      <c r="A915" s="5">
        <v>46013.0</v>
      </c>
      <c r="B915" s="6">
        <v>2488.0</v>
      </c>
      <c r="C915" s="6">
        <v>1.859167849E9</v>
      </c>
      <c r="D915" s="6">
        <v>4730887.0</v>
      </c>
      <c r="E915" s="6" t="s">
        <v>1457</v>
      </c>
      <c r="F915" s="6" t="s">
        <v>1458</v>
      </c>
      <c r="G915" s="6">
        <v>9.901432628E9</v>
      </c>
      <c r="H915" s="6">
        <v>4.0149832E7</v>
      </c>
      <c r="I915" s="6" t="s">
        <v>26</v>
      </c>
      <c r="J915" s="6" t="s">
        <v>21</v>
      </c>
      <c r="K915" s="6" t="s">
        <v>22</v>
      </c>
      <c r="L915" s="6">
        <v>101.0</v>
      </c>
      <c r="M915" s="5">
        <v>46013.0</v>
      </c>
      <c r="N915" s="6" t="s">
        <v>23</v>
      </c>
      <c r="O915" s="6" t="str">
        <f>SUMIFS([1]order_sku_sales_bb2_report!P:P,[1]order_sku_sales_bb2_report!H:H,C28711,[1]order_sku_sales_bb2_report!J:J,H28711)</f>
        <v>#ERROR!</v>
      </c>
      <c r="P915" s="6" t="str">
        <f>SUMIFS([1]order_sku_sales_bb2_report!O:O,[1]order_sku_sales_bb2_report!H:H,C28711,[1]order_sku_sales_bb2_report!J:J,H28711)</f>
        <v>#ERROR!</v>
      </c>
      <c r="Q915" s="6" t="str">
        <f t="shared" si="1"/>
        <v>22-12-2025</v>
      </c>
      <c r="R915" s="6" t="str">
        <f>IFERROR( VLOOKUP(C28711,[1]expressOrderReport!$S:$AZ,34,0),0)</f>
        <v>#ERROR!</v>
      </c>
      <c r="S915" s="6" t="str">
        <f>ARRAY_CONSTRAIN(ARRAYFORMULA(_xludf.XLOOKUP(D28711,[1]order_Report_SA_ID_BB2.0!V:V,[1]order_Report_SA_ID_BB2.0!AM:AM,"")), 1, 1)</f>
        <v>#ERROR!</v>
      </c>
      <c r="T915" s="6" t="str">
        <f t="shared" si="2"/>
        <v>Dec'25</v>
      </c>
    </row>
    <row r="916" ht="15.75" customHeight="1">
      <c r="A916" s="5">
        <v>46013.0</v>
      </c>
      <c r="B916" s="6">
        <v>2489.0</v>
      </c>
      <c r="C916" s="6">
        <v>1.859167849E9</v>
      </c>
      <c r="D916" s="6">
        <v>4730887.0</v>
      </c>
      <c r="E916" s="6" t="s">
        <v>1457</v>
      </c>
      <c r="F916" s="6" t="s">
        <v>1458</v>
      </c>
      <c r="G916" s="6">
        <v>9.901432628E9</v>
      </c>
      <c r="H916" s="6">
        <v>4.0148717E7</v>
      </c>
      <c r="I916" s="6" t="s">
        <v>226</v>
      </c>
      <c r="J916" s="6" t="s">
        <v>21</v>
      </c>
      <c r="K916" s="6" t="s">
        <v>22</v>
      </c>
      <c r="L916" s="6">
        <v>101.0</v>
      </c>
      <c r="M916" s="5">
        <v>46013.0</v>
      </c>
      <c r="N916" s="6" t="s">
        <v>23</v>
      </c>
      <c r="O916" s="6" t="str">
        <f>SUMIFS([1]order_sku_sales_bb2_report!P:P,[1]order_sku_sales_bb2_report!H:H,C28712,[1]order_sku_sales_bb2_report!J:J,H28712)</f>
        <v>#ERROR!</v>
      </c>
      <c r="P916" s="6" t="str">
        <f>SUMIFS([1]order_sku_sales_bb2_report!O:O,[1]order_sku_sales_bb2_report!H:H,C28712,[1]order_sku_sales_bb2_report!J:J,H28712)</f>
        <v>#ERROR!</v>
      </c>
      <c r="Q916" s="6" t="str">
        <f t="shared" si="1"/>
        <v>22-12-2025</v>
      </c>
      <c r="R916" s="6" t="str">
        <f>IFERROR( VLOOKUP(C28712,[1]expressOrderReport!$S:$AZ,34,0),0)</f>
        <v>#ERROR!</v>
      </c>
      <c r="S916" s="6" t="str">
        <f>ARRAY_CONSTRAIN(ARRAYFORMULA(_xludf.XLOOKUP(D28712,[1]order_Report_SA_ID_BB2.0!V:V,[1]order_Report_SA_ID_BB2.0!AM:AM,"")), 1, 1)</f>
        <v>#ERROR!</v>
      </c>
      <c r="T916" s="6" t="str">
        <f t="shared" si="2"/>
        <v>Dec'25</v>
      </c>
    </row>
    <row r="917" ht="15.75" customHeight="1">
      <c r="A917" s="5">
        <v>46013.0</v>
      </c>
      <c r="B917" s="6">
        <v>2139.0</v>
      </c>
      <c r="C917" s="6">
        <v>1.859167858E9</v>
      </c>
      <c r="D917" s="6">
        <v>5709941.0</v>
      </c>
      <c r="E917" s="6" t="s">
        <v>1459</v>
      </c>
      <c r="F917" s="6" t="s">
        <v>1460</v>
      </c>
      <c r="G917" s="6">
        <v>9.902172266E9</v>
      </c>
      <c r="H917" s="6">
        <v>4.0158264E7</v>
      </c>
      <c r="I917" s="6" t="s">
        <v>26</v>
      </c>
      <c r="J917" s="6" t="s">
        <v>21</v>
      </c>
      <c r="K917" s="6" t="s">
        <v>22</v>
      </c>
      <c r="L917" s="6">
        <v>70.0</v>
      </c>
      <c r="M917" s="5">
        <v>46013.0</v>
      </c>
      <c r="N917" s="6" t="s">
        <v>23</v>
      </c>
      <c r="O917" s="6" t="str">
        <f>SUMIFS([1]order_sku_sales_bb2_report!P:P,[1]order_sku_sales_bb2_report!H:H,C28713,[1]order_sku_sales_bb2_report!J:J,H28713)</f>
        <v>#ERROR!</v>
      </c>
      <c r="P917" s="6" t="str">
        <f>SUMIFS([1]order_sku_sales_bb2_report!O:O,[1]order_sku_sales_bb2_report!H:H,C28713,[1]order_sku_sales_bb2_report!J:J,H28713)</f>
        <v>#ERROR!</v>
      </c>
      <c r="Q917" s="6" t="str">
        <f t="shared" si="1"/>
        <v>22-12-2025</v>
      </c>
      <c r="R917" s="6" t="str">
        <f>IFERROR( VLOOKUP(C28713,[1]expressOrderReport!$S:$AZ,34,0),0)</f>
        <v>#ERROR!</v>
      </c>
      <c r="S917" s="6" t="str">
        <f>ARRAY_CONSTRAIN(ARRAYFORMULA(_xludf.XLOOKUP(D28713,[1]order_Report_SA_ID_BB2.0!V:V,[1]order_Report_SA_ID_BB2.0!AM:AM,"")), 1, 1)</f>
        <v>#ERROR!</v>
      </c>
      <c r="T917" s="6" t="str">
        <f t="shared" si="2"/>
        <v>Dec'25</v>
      </c>
    </row>
    <row r="918" ht="15.75" customHeight="1">
      <c r="A918" s="5">
        <v>46013.0</v>
      </c>
      <c r="B918" s="6">
        <v>2142.0</v>
      </c>
      <c r="C918" s="6">
        <v>1.859167858E9</v>
      </c>
      <c r="D918" s="6">
        <v>5709941.0</v>
      </c>
      <c r="E918" s="6" t="s">
        <v>1459</v>
      </c>
      <c r="F918" s="6" t="s">
        <v>1460</v>
      </c>
      <c r="G918" s="6">
        <v>9.902172266E9</v>
      </c>
      <c r="H918" s="6">
        <v>4.0149832E7</v>
      </c>
      <c r="I918" s="6" t="s">
        <v>26</v>
      </c>
      <c r="J918" s="6" t="s">
        <v>21</v>
      </c>
      <c r="K918" s="6" t="s">
        <v>22</v>
      </c>
      <c r="L918" s="6">
        <v>70.0</v>
      </c>
      <c r="M918" s="5">
        <v>46013.0</v>
      </c>
      <c r="N918" s="6" t="s">
        <v>23</v>
      </c>
      <c r="O918" s="6" t="str">
        <f>SUMIFS([1]order_sku_sales_bb2_report!P:P,[1]order_sku_sales_bb2_report!H:H,C28714,[1]order_sku_sales_bb2_report!J:J,H28714)</f>
        <v>#ERROR!</v>
      </c>
      <c r="P918" s="6" t="str">
        <f>SUMIFS([1]order_sku_sales_bb2_report!O:O,[1]order_sku_sales_bb2_report!H:H,C28714,[1]order_sku_sales_bb2_report!J:J,H28714)</f>
        <v>#ERROR!</v>
      </c>
      <c r="Q918" s="6" t="str">
        <f t="shared" si="1"/>
        <v>22-12-2025</v>
      </c>
      <c r="R918" s="6" t="str">
        <f>IFERROR( VLOOKUP(C28714,[1]expressOrderReport!$S:$AZ,34,0),0)</f>
        <v>#ERROR!</v>
      </c>
      <c r="S918" s="6" t="str">
        <f>ARRAY_CONSTRAIN(ARRAYFORMULA(_xludf.XLOOKUP(D28714,[1]order_Report_SA_ID_BB2.0!V:V,[1]order_Report_SA_ID_BB2.0!AM:AM,"")), 1, 1)</f>
        <v>#ERROR!</v>
      </c>
      <c r="T918" s="6" t="str">
        <f t="shared" si="2"/>
        <v>Dec'25</v>
      </c>
    </row>
    <row r="919" ht="15.75" customHeight="1">
      <c r="A919" s="5">
        <v>46013.0</v>
      </c>
      <c r="B919" s="6">
        <v>10648.0</v>
      </c>
      <c r="C919" s="6">
        <v>1.859167866E9</v>
      </c>
      <c r="D919" s="6">
        <v>651301.0</v>
      </c>
      <c r="E919" s="6" t="s">
        <v>1461</v>
      </c>
      <c r="F919" s="6" t="s">
        <v>1462</v>
      </c>
      <c r="G919" s="6">
        <v>9.654498896E9</v>
      </c>
      <c r="H919" s="6">
        <v>4.0149834E7</v>
      </c>
      <c r="I919" s="6" t="s">
        <v>40</v>
      </c>
      <c r="J919" s="6" t="s">
        <v>21</v>
      </c>
      <c r="K919" s="6" t="s">
        <v>22</v>
      </c>
      <c r="L919" s="6">
        <v>98.0</v>
      </c>
      <c r="M919" s="5">
        <v>46013.0</v>
      </c>
      <c r="N919" s="6" t="s">
        <v>23</v>
      </c>
      <c r="O919" s="6" t="str">
        <f>SUMIFS([1]order_sku_sales_bb2_report!P:P,[1]order_sku_sales_bb2_report!H:H,C28715,[1]order_sku_sales_bb2_report!J:J,H28715)</f>
        <v>#ERROR!</v>
      </c>
      <c r="P919" s="6" t="str">
        <f>SUMIFS([1]order_sku_sales_bb2_report!O:O,[1]order_sku_sales_bb2_report!H:H,C28715,[1]order_sku_sales_bb2_report!J:J,H28715)</f>
        <v>#ERROR!</v>
      </c>
      <c r="Q919" s="6" t="str">
        <f t="shared" si="1"/>
        <v>22-12-2025</v>
      </c>
      <c r="R919" s="6" t="str">
        <f>IFERROR( VLOOKUP(C28715,[1]expressOrderReport!$S:$AZ,34,0),0)</f>
        <v>#ERROR!</v>
      </c>
      <c r="S919" s="6" t="str">
        <f>ARRAY_CONSTRAIN(ARRAYFORMULA(_xludf.XLOOKUP(D28715,[1]order_Report_SA_ID_BB2.0!V:V,[1]order_Report_SA_ID_BB2.0!AM:AM,"")), 1, 1)</f>
        <v>#ERROR!</v>
      </c>
      <c r="T919" s="6" t="str">
        <f t="shared" si="2"/>
        <v>Dec'25</v>
      </c>
    </row>
    <row r="920" ht="15.75" customHeight="1">
      <c r="A920" s="5">
        <v>46013.0</v>
      </c>
      <c r="B920" s="6">
        <v>10651.0</v>
      </c>
      <c r="C920" s="6">
        <v>1.859167866E9</v>
      </c>
      <c r="D920" s="6">
        <v>651301.0</v>
      </c>
      <c r="E920" s="6" t="s">
        <v>1461</v>
      </c>
      <c r="F920" s="6" t="s">
        <v>1462</v>
      </c>
      <c r="G920" s="6">
        <v>9.654498896E9</v>
      </c>
      <c r="H920" s="6">
        <v>4.0158264E7</v>
      </c>
      <c r="I920" s="6" t="s">
        <v>26</v>
      </c>
      <c r="J920" s="6" t="s">
        <v>21</v>
      </c>
      <c r="K920" s="6" t="s">
        <v>22</v>
      </c>
      <c r="L920" s="6">
        <v>98.0</v>
      </c>
      <c r="M920" s="5">
        <v>46013.0</v>
      </c>
      <c r="N920" s="6" t="s">
        <v>23</v>
      </c>
      <c r="O920" s="6" t="str">
        <f>SUMIFS([1]order_sku_sales_bb2_report!P:P,[1]order_sku_sales_bb2_report!H:H,C28716,[1]order_sku_sales_bb2_report!J:J,H28716)</f>
        <v>#ERROR!</v>
      </c>
      <c r="P920" s="6" t="str">
        <f>SUMIFS([1]order_sku_sales_bb2_report!O:O,[1]order_sku_sales_bb2_report!H:H,C28716,[1]order_sku_sales_bb2_report!J:J,H28716)</f>
        <v>#ERROR!</v>
      </c>
      <c r="Q920" s="6" t="str">
        <f t="shared" si="1"/>
        <v>22-12-2025</v>
      </c>
      <c r="R920" s="6" t="str">
        <f>IFERROR( VLOOKUP(C28716,[1]expressOrderReport!$S:$AZ,34,0),0)</f>
        <v>#ERROR!</v>
      </c>
      <c r="S920" s="6" t="str">
        <f>ARRAY_CONSTRAIN(ARRAYFORMULA(_xludf.XLOOKUP(D28716,[1]order_Report_SA_ID_BB2.0!V:V,[1]order_Report_SA_ID_BB2.0!AM:AM,"")), 1, 1)</f>
        <v>#ERROR!</v>
      </c>
      <c r="T920" s="6" t="str">
        <f t="shared" si="2"/>
        <v>Dec'25</v>
      </c>
    </row>
    <row r="921" ht="15.75" customHeight="1">
      <c r="A921" s="5">
        <v>46013.0</v>
      </c>
      <c r="B921" s="6">
        <v>877.0</v>
      </c>
      <c r="C921" s="6">
        <v>1.859167867E9</v>
      </c>
      <c r="D921" s="6">
        <v>6128576.0</v>
      </c>
      <c r="E921" s="6" t="s">
        <v>1463</v>
      </c>
      <c r="F921" s="6" t="s">
        <v>1464</v>
      </c>
      <c r="G921" s="6">
        <v>9.449409452E9</v>
      </c>
      <c r="H921" s="6">
        <v>4.0149832E7</v>
      </c>
      <c r="I921" s="6" t="s">
        <v>26</v>
      </c>
      <c r="J921" s="6" t="s">
        <v>21</v>
      </c>
      <c r="K921" s="6" t="s">
        <v>22</v>
      </c>
      <c r="L921" s="6">
        <v>24.0</v>
      </c>
      <c r="M921" s="5">
        <v>46013.0</v>
      </c>
      <c r="N921" s="6" t="s">
        <v>23</v>
      </c>
      <c r="O921" s="6" t="str">
        <f>SUMIFS([1]order_sku_sales_bb2_report!P:P,[1]order_sku_sales_bb2_report!H:H,C28717,[1]order_sku_sales_bb2_report!J:J,H28717)</f>
        <v>#ERROR!</v>
      </c>
      <c r="P921" s="6" t="str">
        <f>SUMIFS([1]order_sku_sales_bb2_report!O:O,[1]order_sku_sales_bb2_report!H:H,C28717,[1]order_sku_sales_bb2_report!J:J,H28717)</f>
        <v>#ERROR!</v>
      </c>
      <c r="Q921" s="6" t="str">
        <f t="shared" si="1"/>
        <v>22-12-2025</v>
      </c>
      <c r="R921" s="6" t="str">
        <f>IFERROR( VLOOKUP(C28717,[1]expressOrderReport!$S:$AZ,34,0),0)</f>
        <v>#ERROR!</v>
      </c>
      <c r="S921" s="6" t="str">
        <f>ARRAY_CONSTRAIN(ARRAYFORMULA(_xludf.XLOOKUP(D28717,[1]order_Report_SA_ID_BB2.0!V:V,[1]order_Report_SA_ID_BB2.0!AM:AM,"")), 1, 1)</f>
        <v>#ERROR!</v>
      </c>
      <c r="T921" s="6" t="str">
        <f t="shared" si="2"/>
        <v>Dec'25</v>
      </c>
    </row>
    <row r="922" ht="15.75" customHeight="1">
      <c r="A922" s="5">
        <v>46013.0</v>
      </c>
      <c r="B922" s="6">
        <v>4560.0</v>
      </c>
      <c r="C922" s="6">
        <v>1.859167871E9</v>
      </c>
      <c r="D922" s="6">
        <v>620662.0</v>
      </c>
      <c r="E922" s="6" t="s">
        <v>1465</v>
      </c>
      <c r="F922" s="6" t="s">
        <v>1466</v>
      </c>
      <c r="G922" s="6">
        <v>9.833420508E9</v>
      </c>
      <c r="H922" s="6">
        <v>4.0147597E7</v>
      </c>
      <c r="I922" s="6" t="s">
        <v>59</v>
      </c>
      <c r="J922" s="6" t="s">
        <v>21</v>
      </c>
      <c r="K922" s="6" t="s">
        <v>22</v>
      </c>
      <c r="L922" s="6">
        <v>26.0</v>
      </c>
      <c r="M922" s="5">
        <v>46013.0</v>
      </c>
      <c r="N922" s="6" t="s">
        <v>23</v>
      </c>
      <c r="O922" s="6" t="str">
        <f>SUMIFS([1]order_sku_sales_bb2_report!P:P,[1]order_sku_sales_bb2_report!H:H,C28718,[1]order_sku_sales_bb2_report!J:J,H28718)</f>
        <v>#ERROR!</v>
      </c>
      <c r="P922" s="6" t="str">
        <f>SUMIFS([1]order_sku_sales_bb2_report!O:O,[1]order_sku_sales_bb2_report!H:H,C28718,[1]order_sku_sales_bb2_report!J:J,H28718)</f>
        <v>#ERROR!</v>
      </c>
      <c r="Q922" s="6" t="str">
        <f t="shared" si="1"/>
        <v>22-12-2025</v>
      </c>
      <c r="R922" s="6" t="str">
        <f>IFERROR( VLOOKUP(C28718,[1]expressOrderReport!$S:$AZ,34,0),0)</f>
        <v>#ERROR!</v>
      </c>
      <c r="S922" s="6" t="str">
        <f>ARRAY_CONSTRAIN(ARRAYFORMULA(_xludf.XLOOKUP(D28718,[1]order_Report_SA_ID_BB2.0!V:V,[1]order_Report_SA_ID_BB2.0!AM:AM,"")), 1, 1)</f>
        <v>#ERROR!</v>
      </c>
      <c r="T922" s="6" t="str">
        <f t="shared" si="2"/>
        <v>Dec'25</v>
      </c>
    </row>
    <row r="923" ht="15.75" customHeight="1">
      <c r="A923" s="5">
        <v>46013.0</v>
      </c>
      <c r="B923" s="6">
        <v>7432.0</v>
      </c>
      <c r="C923" s="6">
        <v>1.859167878E9</v>
      </c>
      <c r="D923" s="6">
        <v>6276881.0</v>
      </c>
      <c r="E923" s="6" t="s">
        <v>1467</v>
      </c>
      <c r="F923" s="6" t="s">
        <v>1468</v>
      </c>
      <c r="G923" s="6">
        <v>9.108395308E9</v>
      </c>
      <c r="H923" s="6">
        <v>281204.0</v>
      </c>
      <c r="I923" s="6" t="s">
        <v>1469</v>
      </c>
      <c r="J923" s="6" t="s">
        <v>21</v>
      </c>
      <c r="K923" s="6" t="s">
        <v>22</v>
      </c>
      <c r="L923" s="6">
        <v>82.0</v>
      </c>
      <c r="M923" s="5">
        <v>46013.0</v>
      </c>
      <c r="N923" s="6" t="s">
        <v>23</v>
      </c>
      <c r="O923" s="6" t="str">
        <f>SUMIFS([1]order_sku_sales_bb2_report!P:P,[1]order_sku_sales_bb2_report!H:H,C28719,[1]order_sku_sales_bb2_report!J:J,H28719)</f>
        <v>#ERROR!</v>
      </c>
      <c r="P923" s="6" t="str">
        <f>SUMIFS([1]order_sku_sales_bb2_report!O:O,[1]order_sku_sales_bb2_report!H:H,C28719,[1]order_sku_sales_bb2_report!J:J,H28719)</f>
        <v>#ERROR!</v>
      </c>
      <c r="Q923" s="6" t="str">
        <f t="shared" si="1"/>
        <v>22-12-2025</v>
      </c>
      <c r="R923" s="6" t="str">
        <f>IFERROR( VLOOKUP(C28719,[1]expressOrderReport!$S:$AZ,34,0),0)</f>
        <v>#ERROR!</v>
      </c>
      <c r="S923" s="6" t="str">
        <f>ARRAY_CONSTRAIN(ARRAYFORMULA(_xludf.XLOOKUP(D28719,[1]order_Report_SA_ID_BB2.0!V:V,[1]order_Report_SA_ID_BB2.0!AM:AM,"")), 1, 1)</f>
        <v>#ERROR!</v>
      </c>
      <c r="T923" s="6" t="str">
        <f t="shared" si="2"/>
        <v>Dec'25</v>
      </c>
    </row>
    <row r="924" ht="15.75" customHeight="1">
      <c r="A924" s="5">
        <v>46013.0</v>
      </c>
      <c r="B924" s="6">
        <v>7434.0</v>
      </c>
      <c r="C924" s="6">
        <v>1.859167878E9</v>
      </c>
      <c r="D924" s="6">
        <v>6276881.0</v>
      </c>
      <c r="E924" s="6" t="s">
        <v>1467</v>
      </c>
      <c r="F924" s="6" t="s">
        <v>1468</v>
      </c>
      <c r="G924" s="6">
        <v>9.108395308E9</v>
      </c>
      <c r="H924" s="6">
        <v>4.0149833E7</v>
      </c>
      <c r="I924" s="6" t="s">
        <v>40</v>
      </c>
      <c r="J924" s="6" t="s">
        <v>21</v>
      </c>
      <c r="K924" s="6" t="s">
        <v>22</v>
      </c>
      <c r="L924" s="6">
        <v>82.0</v>
      </c>
      <c r="M924" s="5">
        <v>46013.0</v>
      </c>
      <c r="N924" s="6" t="s">
        <v>23</v>
      </c>
      <c r="O924" s="6" t="str">
        <f>SUMIFS([1]order_sku_sales_bb2_report!P:P,[1]order_sku_sales_bb2_report!H:H,C28720,[1]order_sku_sales_bb2_report!J:J,H28720)</f>
        <v>#ERROR!</v>
      </c>
      <c r="P924" s="6" t="str">
        <f>SUMIFS([1]order_sku_sales_bb2_report!O:O,[1]order_sku_sales_bb2_report!H:H,C28720,[1]order_sku_sales_bb2_report!J:J,H28720)</f>
        <v>#ERROR!</v>
      </c>
      <c r="Q924" s="6" t="str">
        <f t="shared" si="1"/>
        <v>22-12-2025</v>
      </c>
      <c r="R924" s="6" t="str">
        <f>IFERROR( VLOOKUP(C28720,[1]expressOrderReport!$S:$AZ,34,0),0)</f>
        <v>#ERROR!</v>
      </c>
      <c r="S924" s="6" t="str">
        <f>ARRAY_CONSTRAIN(ARRAYFORMULA(_xludf.XLOOKUP(D28720,[1]order_Report_SA_ID_BB2.0!V:V,[1]order_Report_SA_ID_BB2.0!AM:AM,"")), 1, 1)</f>
        <v>#ERROR!</v>
      </c>
      <c r="T924" s="6" t="str">
        <f t="shared" si="2"/>
        <v>Dec'25</v>
      </c>
    </row>
    <row r="925" ht="15.75" customHeight="1">
      <c r="A925" s="5">
        <v>46013.0</v>
      </c>
      <c r="B925" s="6">
        <v>9365.0</v>
      </c>
      <c r="C925" s="6">
        <v>1.859167886E9</v>
      </c>
      <c r="D925" s="6">
        <v>483195.0</v>
      </c>
      <c r="E925" s="6" t="s">
        <v>1470</v>
      </c>
      <c r="F925" s="6" t="s">
        <v>1471</v>
      </c>
      <c r="G925" s="6">
        <v>9.900069073E9</v>
      </c>
      <c r="H925" s="6">
        <v>4.0149832E7</v>
      </c>
      <c r="I925" s="6" t="s">
        <v>26</v>
      </c>
      <c r="J925" s="6" t="s">
        <v>21</v>
      </c>
      <c r="K925" s="6" t="s">
        <v>22</v>
      </c>
      <c r="L925" s="6">
        <v>24.0</v>
      </c>
      <c r="M925" s="5">
        <v>46013.0</v>
      </c>
      <c r="N925" s="6" t="s">
        <v>23</v>
      </c>
      <c r="O925" s="6" t="str">
        <f>SUMIFS([1]order_sku_sales_bb2_report!P:P,[1]order_sku_sales_bb2_report!H:H,C28721,[1]order_sku_sales_bb2_report!J:J,H28721)</f>
        <v>#ERROR!</v>
      </c>
      <c r="P925" s="6" t="str">
        <f>SUMIFS([1]order_sku_sales_bb2_report!O:O,[1]order_sku_sales_bb2_report!H:H,C28721,[1]order_sku_sales_bb2_report!J:J,H28721)</f>
        <v>#ERROR!</v>
      </c>
      <c r="Q925" s="6" t="str">
        <f t="shared" si="1"/>
        <v>22-12-2025</v>
      </c>
      <c r="R925" s="6" t="str">
        <f>IFERROR( VLOOKUP(C28721,[1]expressOrderReport!$S:$AZ,34,0),0)</f>
        <v>#ERROR!</v>
      </c>
      <c r="S925" s="6" t="str">
        <f>ARRAY_CONSTRAIN(ARRAYFORMULA(_xludf.XLOOKUP(D28721,[1]order_Report_SA_ID_BB2.0!V:V,[1]order_Report_SA_ID_BB2.0!AM:AM,"")), 1, 1)</f>
        <v>#ERROR!</v>
      </c>
      <c r="T925" s="6" t="str">
        <f t="shared" si="2"/>
        <v>Dec'25</v>
      </c>
    </row>
    <row r="926" ht="15.75" customHeight="1">
      <c r="A926" s="5">
        <v>46013.0</v>
      </c>
      <c r="B926" s="6">
        <v>8866.0</v>
      </c>
      <c r="C926" s="6">
        <v>1.859167889E9</v>
      </c>
      <c r="D926" s="6">
        <v>6514499.0</v>
      </c>
      <c r="E926" s="6" t="s">
        <v>1472</v>
      </c>
      <c r="F926" s="6" t="s">
        <v>1473</v>
      </c>
      <c r="G926" s="6">
        <v>9.535601888E9</v>
      </c>
      <c r="H926" s="6">
        <v>4.0149833E7</v>
      </c>
      <c r="I926" s="6" t="s">
        <v>40</v>
      </c>
      <c r="J926" s="6" t="s">
        <v>21</v>
      </c>
      <c r="K926" s="6" t="s">
        <v>27</v>
      </c>
      <c r="L926" s="6">
        <v>27.0</v>
      </c>
      <c r="M926" s="5">
        <v>46013.0</v>
      </c>
      <c r="N926" s="6" t="s">
        <v>23</v>
      </c>
      <c r="O926" s="6" t="str">
        <f>SUMIFS([1]order_sku_sales_bb2_report!P:P,[1]order_sku_sales_bb2_report!H:H,C28722,[1]order_sku_sales_bb2_report!J:J,H28722)</f>
        <v>#ERROR!</v>
      </c>
      <c r="P926" s="6" t="str">
        <f>SUMIFS([1]order_sku_sales_bb2_report!O:O,[1]order_sku_sales_bb2_report!H:H,C28722,[1]order_sku_sales_bb2_report!J:J,H28722)</f>
        <v>#ERROR!</v>
      </c>
      <c r="Q926" s="6" t="str">
        <f t="shared" si="1"/>
        <v>22-12-2025</v>
      </c>
      <c r="R926" s="6" t="str">
        <f>IFERROR( VLOOKUP(C28722,[1]expressOrderReport!$S:$AZ,34,0),0)</f>
        <v>#ERROR!</v>
      </c>
      <c r="S926" s="6" t="str">
        <f>ARRAY_CONSTRAIN(ARRAYFORMULA(_xludf.XLOOKUP(D28722,[1]order_Report_SA_ID_BB2.0!V:V,[1]order_Report_SA_ID_BB2.0!AM:AM,"")), 1, 1)</f>
        <v>#ERROR!</v>
      </c>
      <c r="T926" s="6" t="str">
        <f t="shared" si="2"/>
        <v>Dec'25</v>
      </c>
    </row>
    <row r="927" ht="15.75" customHeight="1">
      <c r="A927" s="5">
        <v>46013.0</v>
      </c>
      <c r="B927" s="6">
        <v>10300.0</v>
      </c>
      <c r="C927" s="6">
        <v>1.859167891E9</v>
      </c>
      <c r="D927" s="6">
        <v>6620885.0</v>
      </c>
      <c r="E927" s="6" t="s">
        <v>1474</v>
      </c>
      <c r="F927" s="6" t="s">
        <v>1475</v>
      </c>
      <c r="G927" s="6">
        <v>7.022055695E9</v>
      </c>
      <c r="H927" s="6">
        <v>4.0149832E7</v>
      </c>
      <c r="I927" s="6" t="s">
        <v>26</v>
      </c>
      <c r="J927" s="6" t="s">
        <v>21</v>
      </c>
      <c r="K927" s="6" t="s">
        <v>22</v>
      </c>
      <c r="L927" s="6">
        <v>99.0</v>
      </c>
      <c r="M927" s="5">
        <v>46013.0</v>
      </c>
      <c r="N927" s="6" t="s">
        <v>23</v>
      </c>
      <c r="O927" s="6" t="str">
        <f>SUMIFS([1]order_sku_sales_bb2_report!P:P,[1]order_sku_sales_bb2_report!H:H,C28723,[1]order_sku_sales_bb2_report!J:J,H28723)</f>
        <v>#ERROR!</v>
      </c>
      <c r="P927" s="6" t="str">
        <f>SUMIFS([1]order_sku_sales_bb2_report!O:O,[1]order_sku_sales_bb2_report!H:H,C28723,[1]order_sku_sales_bb2_report!J:J,H28723)</f>
        <v>#ERROR!</v>
      </c>
      <c r="Q927" s="6" t="str">
        <f t="shared" si="1"/>
        <v>22-12-2025</v>
      </c>
      <c r="R927" s="6" t="str">
        <f>IFERROR( VLOOKUP(C28723,[1]expressOrderReport!$S:$AZ,34,0),0)</f>
        <v>#ERROR!</v>
      </c>
      <c r="S927" s="6" t="str">
        <f>ARRAY_CONSTRAIN(ARRAYFORMULA(_xludf.XLOOKUP(D28723,[1]order_Report_SA_ID_BB2.0!V:V,[1]order_Report_SA_ID_BB2.0!AM:AM,"")), 1, 1)</f>
        <v>#ERROR!</v>
      </c>
      <c r="T927" s="6" t="str">
        <f t="shared" si="2"/>
        <v>Dec'25</v>
      </c>
    </row>
    <row r="928" ht="15.75" customHeight="1">
      <c r="A928" s="5">
        <v>46013.0</v>
      </c>
      <c r="B928" s="6">
        <v>10302.0</v>
      </c>
      <c r="C928" s="6">
        <v>1.859167891E9</v>
      </c>
      <c r="D928" s="6">
        <v>6620885.0</v>
      </c>
      <c r="E928" s="6" t="s">
        <v>1474</v>
      </c>
      <c r="F928" s="6" t="s">
        <v>1475</v>
      </c>
      <c r="G928" s="6">
        <v>7.022055695E9</v>
      </c>
      <c r="H928" s="6">
        <v>4.0149833E7</v>
      </c>
      <c r="I928" s="6" t="s">
        <v>40</v>
      </c>
      <c r="J928" s="6" t="s">
        <v>21</v>
      </c>
      <c r="K928" s="6" t="s">
        <v>22</v>
      </c>
      <c r="L928" s="6">
        <v>99.0</v>
      </c>
      <c r="M928" s="5">
        <v>46013.0</v>
      </c>
      <c r="N928" s="6" t="s">
        <v>23</v>
      </c>
      <c r="O928" s="6" t="str">
        <f>SUMIFS([1]order_sku_sales_bb2_report!P:P,[1]order_sku_sales_bb2_report!H:H,C28724,[1]order_sku_sales_bb2_report!J:J,H28724)</f>
        <v>#ERROR!</v>
      </c>
      <c r="P928" s="6" t="str">
        <f>SUMIFS([1]order_sku_sales_bb2_report!O:O,[1]order_sku_sales_bb2_report!H:H,C28724,[1]order_sku_sales_bb2_report!J:J,H28724)</f>
        <v>#ERROR!</v>
      </c>
      <c r="Q928" s="6" t="str">
        <f t="shared" si="1"/>
        <v>22-12-2025</v>
      </c>
      <c r="R928" s="6" t="str">
        <f>IFERROR( VLOOKUP(C28724,[1]expressOrderReport!$S:$AZ,34,0),0)</f>
        <v>#ERROR!</v>
      </c>
      <c r="S928" s="6" t="str">
        <f>ARRAY_CONSTRAIN(ARRAYFORMULA(_xludf.XLOOKUP(D28724,[1]order_Report_SA_ID_BB2.0!V:V,[1]order_Report_SA_ID_BB2.0!AM:AM,"")), 1, 1)</f>
        <v>#ERROR!</v>
      </c>
      <c r="T928" s="6" t="str">
        <f t="shared" si="2"/>
        <v>Dec'25</v>
      </c>
    </row>
    <row r="929" ht="15.75" customHeight="1">
      <c r="A929" s="5">
        <v>46013.0</v>
      </c>
      <c r="B929" s="6">
        <v>11659.0</v>
      </c>
      <c r="C929" s="6">
        <v>1.859167897E9</v>
      </c>
      <c r="D929" s="6">
        <v>6695077.0</v>
      </c>
      <c r="E929" s="6" t="s">
        <v>1476</v>
      </c>
      <c r="F929" s="6"/>
      <c r="G929" s="6">
        <v>9.920103697E9</v>
      </c>
      <c r="H929" s="6">
        <v>1.0000268E7</v>
      </c>
      <c r="I929" s="6" t="s">
        <v>1477</v>
      </c>
      <c r="J929" s="6" t="s">
        <v>21</v>
      </c>
      <c r="K929" s="6" t="s">
        <v>22</v>
      </c>
      <c r="L929" s="6">
        <v>42.0</v>
      </c>
      <c r="M929" s="5">
        <v>46013.0</v>
      </c>
      <c r="N929" s="6" t="s">
        <v>54</v>
      </c>
      <c r="O929" s="6" t="str">
        <f>SUMIFS([1]order_sku_sales_bb2_report!P:P,[1]order_sku_sales_bb2_report!H:H,C28725,[1]order_sku_sales_bb2_report!J:J,H28725)</f>
        <v>#ERROR!</v>
      </c>
      <c r="P929" s="6" t="str">
        <f>SUMIFS([1]order_sku_sales_bb2_report!O:O,[1]order_sku_sales_bb2_report!H:H,C28725,[1]order_sku_sales_bb2_report!J:J,H28725)</f>
        <v>#ERROR!</v>
      </c>
      <c r="Q929" s="6" t="str">
        <f t="shared" si="1"/>
        <v>22-12-2025</v>
      </c>
      <c r="R929" s="6" t="str">
        <f>IFERROR( VLOOKUP(C28725,[1]expressOrderReport!$S:$AZ,34,0),0)</f>
        <v>#ERROR!</v>
      </c>
      <c r="S929" s="6" t="str">
        <f>ARRAY_CONSTRAIN(ARRAYFORMULA(_xludf.XLOOKUP(D28725,[1]order_Report_SA_ID_BB2.0!V:V,[1]order_Report_SA_ID_BB2.0!AM:AM,"")), 1, 1)</f>
        <v>#ERROR!</v>
      </c>
      <c r="T929" s="6" t="str">
        <f t="shared" si="2"/>
        <v>Dec'25</v>
      </c>
    </row>
    <row r="930" ht="15.75" customHeight="1">
      <c r="A930" s="5">
        <v>46013.0</v>
      </c>
      <c r="B930" s="6">
        <v>11679.0</v>
      </c>
      <c r="C930" s="6">
        <v>1.859167897E9</v>
      </c>
      <c r="D930" s="6">
        <v>6695077.0</v>
      </c>
      <c r="E930" s="6" t="s">
        <v>1476</v>
      </c>
      <c r="F930" s="6"/>
      <c r="G930" s="6">
        <v>9.920103697E9</v>
      </c>
      <c r="H930" s="6">
        <v>4.0180961E7</v>
      </c>
      <c r="I930" s="6" t="s">
        <v>1478</v>
      </c>
      <c r="J930" s="6" t="s">
        <v>21</v>
      </c>
      <c r="K930" s="6" t="s">
        <v>22</v>
      </c>
      <c r="L930" s="6">
        <v>42.0</v>
      </c>
      <c r="M930" s="5">
        <v>46013.0</v>
      </c>
      <c r="N930" s="6" t="s">
        <v>54</v>
      </c>
      <c r="O930" s="6" t="str">
        <f>SUMIFS([1]order_sku_sales_bb2_report!P:P,[1]order_sku_sales_bb2_report!H:H,C28726,[1]order_sku_sales_bb2_report!J:J,H28726)</f>
        <v>#ERROR!</v>
      </c>
      <c r="P930" s="6" t="str">
        <f>SUMIFS([1]order_sku_sales_bb2_report!O:O,[1]order_sku_sales_bb2_report!H:H,C28726,[1]order_sku_sales_bb2_report!J:J,H28726)</f>
        <v>#ERROR!</v>
      </c>
      <c r="Q930" s="6" t="str">
        <f t="shared" si="1"/>
        <v>22-12-2025</v>
      </c>
      <c r="R930" s="6" t="str">
        <f>IFERROR( VLOOKUP(C28726,[1]expressOrderReport!$S:$AZ,34,0),0)</f>
        <v>#ERROR!</v>
      </c>
      <c r="S930" s="6" t="str">
        <f>ARRAY_CONSTRAIN(ARRAYFORMULA(_xludf.XLOOKUP(D28726,[1]order_Report_SA_ID_BB2.0!V:V,[1]order_Report_SA_ID_BB2.0!AM:AM,"")), 1, 1)</f>
        <v>#ERROR!</v>
      </c>
      <c r="T930" s="6" t="str">
        <f t="shared" si="2"/>
        <v>Dec'25</v>
      </c>
    </row>
    <row r="931" ht="15.75" customHeight="1">
      <c r="A931" s="5">
        <v>46013.0</v>
      </c>
      <c r="B931" s="6">
        <v>4326.0</v>
      </c>
      <c r="C931" s="6">
        <v>1.859167901E9</v>
      </c>
      <c r="D931" s="6">
        <v>2254249.0</v>
      </c>
      <c r="E931" s="6" t="s">
        <v>1479</v>
      </c>
      <c r="F931" s="6" t="s">
        <v>1480</v>
      </c>
      <c r="G931" s="6">
        <v>9.663093638E9</v>
      </c>
      <c r="H931" s="6">
        <v>4.0147597E7</v>
      </c>
      <c r="I931" s="6" t="s">
        <v>59</v>
      </c>
      <c r="J931" s="6" t="s">
        <v>21</v>
      </c>
      <c r="K931" s="6" t="s">
        <v>22</v>
      </c>
      <c r="L931" s="6">
        <v>26.0</v>
      </c>
      <c r="M931" s="5">
        <v>46013.0</v>
      </c>
      <c r="N931" s="6" t="s">
        <v>23</v>
      </c>
      <c r="O931" s="6" t="str">
        <f>SUMIFS([1]order_sku_sales_bb2_report!P:P,[1]order_sku_sales_bb2_report!H:H,C28727,[1]order_sku_sales_bb2_report!J:J,H28727)</f>
        <v>#ERROR!</v>
      </c>
      <c r="P931" s="6" t="str">
        <f>SUMIFS([1]order_sku_sales_bb2_report!O:O,[1]order_sku_sales_bb2_report!H:H,C28727,[1]order_sku_sales_bb2_report!J:J,H28727)</f>
        <v>#ERROR!</v>
      </c>
      <c r="Q931" s="6" t="str">
        <f t="shared" si="1"/>
        <v>22-12-2025</v>
      </c>
      <c r="R931" s="6" t="str">
        <f>IFERROR( VLOOKUP(C28727,[1]expressOrderReport!$S:$AZ,34,0),0)</f>
        <v>#ERROR!</v>
      </c>
      <c r="S931" s="6" t="str">
        <f>ARRAY_CONSTRAIN(ARRAYFORMULA(_xludf.XLOOKUP(D28727,[1]order_Report_SA_ID_BB2.0!V:V,[1]order_Report_SA_ID_BB2.0!AM:AM,"")), 1, 1)</f>
        <v>#ERROR!</v>
      </c>
      <c r="T931" s="6" t="str">
        <f t="shared" si="2"/>
        <v>Dec'25</v>
      </c>
    </row>
    <row r="932" ht="15.75" customHeight="1">
      <c r="A932" s="5">
        <v>46013.0</v>
      </c>
      <c r="B932" s="6">
        <v>1376.0</v>
      </c>
      <c r="C932" s="6">
        <v>1.859167903E9</v>
      </c>
      <c r="D932" s="6">
        <v>6769418.0</v>
      </c>
      <c r="E932" s="6" t="s">
        <v>1481</v>
      </c>
      <c r="F932" s="6" t="s">
        <v>1482</v>
      </c>
      <c r="G932" s="6">
        <v>9.742069383E9</v>
      </c>
      <c r="H932" s="6">
        <v>4.0149833E7</v>
      </c>
      <c r="I932" s="6" t="s">
        <v>40</v>
      </c>
      <c r="J932" s="6" t="s">
        <v>21</v>
      </c>
      <c r="K932" s="6" t="s">
        <v>22</v>
      </c>
      <c r="L932" s="6">
        <v>27.0</v>
      </c>
      <c r="M932" s="5">
        <v>46013.0</v>
      </c>
      <c r="N932" s="6" t="s">
        <v>23</v>
      </c>
      <c r="O932" s="6" t="str">
        <f>SUMIFS([1]order_sku_sales_bb2_report!P:P,[1]order_sku_sales_bb2_report!H:H,C28728,[1]order_sku_sales_bb2_report!J:J,H28728)</f>
        <v>#ERROR!</v>
      </c>
      <c r="P932" s="6" t="str">
        <f>SUMIFS([1]order_sku_sales_bb2_report!O:O,[1]order_sku_sales_bb2_report!H:H,C28728,[1]order_sku_sales_bb2_report!J:J,H28728)</f>
        <v>#ERROR!</v>
      </c>
      <c r="Q932" s="6" t="str">
        <f t="shared" si="1"/>
        <v>22-12-2025</v>
      </c>
      <c r="R932" s="6" t="str">
        <f>IFERROR( VLOOKUP(C28728,[1]expressOrderReport!$S:$AZ,34,0),0)</f>
        <v>#ERROR!</v>
      </c>
      <c r="S932" s="6" t="str">
        <f>ARRAY_CONSTRAIN(ARRAYFORMULA(_xludf.XLOOKUP(D28728,[1]order_Report_SA_ID_BB2.0!V:V,[1]order_Report_SA_ID_BB2.0!AM:AM,"")), 1, 1)</f>
        <v>#ERROR!</v>
      </c>
      <c r="T932" s="6" t="str">
        <f t="shared" si="2"/>
        <v>Dec'25</v>
      </c>
    </row>
    <row r="933" ht="15.75" customHeight="1">
      <c r="A933" s="5">
        <v>46013.0</v>
      </c>
      <c r="B933" s="6">
        <v>4189.0</v>
      </c>
      <c r="C933" s="6">
        <v>1.859166368E9</v>
      </c>
      <c r="D933" s="6">
        <v>6997226.0</v>
      </c>
      <c r="E933" s="6" t="s">
        <v>1483</v>
      </c>
      <c r="F933" s="6" t="s">
        <v>1484</v>
      </c>
      <c r="G933" s="6">
        <v>9.611077099E9</v>
      </c>
      <c r="H933" s="6">
        <v>7.0001172E7</v>
      </c>
      <c r="I933" s="6" t="s">
        <v>1485</v>
      </c>
      <c r="J933" s="6" t="s">
        <v>21</v>
      </c>
      <c r="K933" s="6" t="s">
        <v>22</v>
      </c>
      <c r="L933" s="6">
        <v>103.0</v>
      </c>
      <c r="M933" s="5">
        <v>46013.0</v>
      </c>
      <c r="N933" s="6" t="s">
        <v>23</v>
      </c>
      <c r="O933" s="6" t="str">
        <f>SUMIFS([1]order_sku_sales_bb2_report!P:P,[1]order_sku_sales_bb2_report!H:H,C28731,[1]order_sku_sales_bb2_report!J:J,H28731)</f>
        <v>#ERROR!</v>
      </c>
      <c r="P933" s="6" t="str">
        <f>SUMIFS([1]order_sku_sales_bb2_report!O:O,[1]order_sku_sales_bb2_report!H:H,C28731,[1]order_sku_sales_bb2_report!J:J,H28731)</f>
        <v>#ERROR!</v>
      </c>
      <c r="Q933" s="6" t="str">
        <f t="shared" si="1"/>
        <v>22-12-2025</v>
      </c>
      <c r="R933" s="6" t="str">
        <f>IFERROR( VLOOKUP(C28731,[1]expressOrderReport!$S:$AZ,34,0),0)</f>
        <v>#ERROR!</v>
      </c>
      <c r="S933" s="6" t="str">
        <f>ARRAY_CONSTRAIN(ARRAYFORMULA(_xludf.XLOOKUP(D28731,[1]order_Report_SA_ID_BB2.0!V:V,[1]order_Report_SA_ID_BB2.0!AM:AM,"")), 1, 1)</f>
        <v>#ERROR!</v>
      </c>
      <c r="T933" s="6" t="str">
        <f t="shared" si="2"/>
        <v>Dec'25</v>
      </c>
    </row>
    <row r="934" ht="15.75" customHeight="1">
      <c r="A934" s="5">
        <v>46013.0</v>
      </c>
      <c r="B934" s="6">
        <v>5786.0</v>
      </c>
      <c r="C934" s="6">
        <v>1.859166368E9</v>
      </c>
      <c r="D934" s="6">
        <v>6997226.0</v>
      </c>
      <c r="E934" s="6" t="s">
        <v>1483</v>
      </c>
      <c r="F934" s="6" t="s">
        <v>1484</v>
      </c>
      <c r="G934" s="6">
        <v>9.611077099E9</v>
      </c>
      <c r="H934" s="6">
        <v>4.0149832E7</v>
      </c>
      <c r="I934" s="6" t="s">
        <v>26</v>
      </c>
      <c r="J934" s="6" t="s">
        <v>21</v>
      </c>
      <c r="K934" s="6" t="s">
        <v>22</v>
      </c>
      <c r="L934" s="6">
        <v>103.0</v>
      </c>
      <c r="M934" s="5">
        <v>46013.0</v>
      </c>
      <c r="N934" s="6" t="s">
        <v>23</v>
      </c>
      <c r="O934" s="6" t="str">
        <f>SUMIFS([1]order_sku_sales_bb2_report!P:P,[1]order_sku_sales_bb2_report!H:H,C28732,[1]order_sku_sales_bb2_report!J:J,H28732)</f>
        <v>#ERROR!</v>
      </c>
      <c r="P934" s="6" t="str">
        <f>SUMIFS([1]order_sku_sales_bb2_report!O:O,[1]order_sku_sales_bb2_report!H:H,C28732,[1]order_sku_sales_bb2_report!J:J,H28732)</f>
        <v>#ERROR!</v>
      </c>
      <c r="Q934" s="6" t="str">
        <f t="shared" si="1"/>
        <v>22-12-2025</v>
      </c>
      <c r="R934" s="6" t="str">
        <f>IFERROR( VLOOKUP(C28732,[1]expressOrderReport!$S:$AZ,34,0),0)</f>
        <v>#ERROR!</v>
      </c>
      <c r="S934" s="6" t="str">
        <f>ARRAY_CONSTRAIN(ARRAYFORMULA(_xludf.XLOOKUP(D28732,[1]order_Report_SA_ID_BB2.0!V:V,[1]order_Report_SA_ID_BB2.0!AM:AM,"")), 1, 1)</f>
        <v>#ERROR!</v>
      </c>
      <c r="T934" s="6" t="str">
        <f t="shared" si="2"/>
        <v>Dec'25</v>
      </c>
    </row>
    <row r="935" ht="15.75" customHeight="1">
      <c r="A935" s="5">
        <v>46013.0</v>
      </c>
      <c r="B935" s="6">
        <v>9517.0</v>
      </c>
      <c r="C935" s="6">
        <v>1.859166375E9</v>
      </c>
      <c r="D935" s="6">
        <v>688366.0</v>
      </c>
      <c r="E935" s="6" t="s">
        <v>1486</v>
      </c>
      <c r="F935" s="6" t="s">
        <v>1487</v>
      </c>
      <c r="G935" s="6">
        <v>9.986016838E9</v>
      </c>
      <c r="H935" s="6">
        <v>4.0180962E7</v>
      </c>
      <c r="I935" s="6" t="s">
        <v>1488</v>
      </c>
      <c r="J935" s="6" t="s">
        <v>21</v>
      </c>
      <c r="K935" s="6" t="s">
        <v>22</v>
      </c>
      <c r="L935" s="6">
        <v>54.0</v>
      </c>
      <c r="M935" s="5">
        <v>46013.0</v>
      </c>
      <c r="N935" s="6" t="s">
        <v>23</v>
      </c>
      <c r="O935" s="6" t="str">
        <f>SUMIFS([1]order_sku_sales_bb2_report!P:P,[1]order_sku_sales_bb2_report!H:H,C28733,[1]order_sku_sales_bb2_report!J:J,H28733)</f>
        <v>#ERROR!</v>
      </c>
      <c r="P935" s="6" t="str">
        <f>SUMIFS([1]order_sku_sales_bb2_report!O:O,[1]order_sku_sales_bb2_report!H:H,C28733,[1]order_sku_sales_bb2_report!J:J,H28733)</f>
        <v>#ERROR!</v>
      </c>
      <c r="Q935" s="6" t="str">
        <f t="shared" si="1"/>
        <v>22-12-2025</v>
      </c>
      <c r="R935" s="6" t="str">
        <f>IFERROR( VLOOKUP(C28733,[1]expressOrderReport!$S:$AZ,34,0),0)</f>
        <v>#ERROR!</v>
      </c>
      <c r="S935" s="6" t="str">
        <f>ARRAY_CONSTRAIN(ARRAYFORMULA(_xludf.XLOOKUP(D28733,[1]order_Report_SA_ID_BB2.0!V:V,[1]order_Report_SA_ID_BB2.0!AM:AM,"")), 1, 1)</f>
        <v>#ERROR!</v>
      </c>
      <c r="T935" s="6" t="str">
        <f t="shared" si="2"/>
        <v>Dec'25</v>
      </c>
    </row>
    <row r="936" ht="15.75" customHeight="1">
      <c r="A936" s="5">
        <v>46013.0</v>
      </c>
      <c r="B936" s="6">
        <v>9519.0</v>
      </c>
      <c r="C936" s="6">
        <v>1.859166375E9</v>
      </c>
      <c r="D936" s="6">
        <v>688366.0</v>
      </c>
      <c r="E936" s="6" t="s">
        <v>1486</v>
      </c>
      <c r="F936" s="6" t="s">
        <v>1487</v>
      </c>
      <c r="G936" s="6">
        <v>9.986016838E9</v>
      </c>
      <c r="H936" s="6">
        <v>4.0161616E7</v>
      </c>
      <c r="I936" s="6" t="s">
        <v>20</v>
      </c>
      <c r="J936" s="6" t="s">
        <v>21</v>
      </c>
      <c r="K936" s="6" t="s">
        <v>22</v>
      </c>
      <c r="L936" s="6">
        <v>54.0</v>
      </c>
      <c r="M936" s="5">
        <v>46013.0</v>
      </c>
      <c r="N936" s="6" t="s">
        <v>23</v>
      </c>
      <c r="O936" s="6" t="str">
        <f>SUMIFS([1]order_sku_sales_bb2_report!P:P,[1]order_sku_sales_bb2_report!H:H,C28734,[1]order_sku_sales_bb2_report!J:J,H28734)</f>
        <v>#ERROR!</v>
      </c>
      <c r="P936" s="6" t="str">
        <f>SUMIFS([1]order_sku_sales_bb2_report!O:O,[1]order_sku_sales_bb2_report!H:H,C28734,[1]order_sku_sales_bb2_report!J:J,H28734)</f>
        <v>#ERROR!</v>
      </c>
      <c r="Q936" s="6" t="str">
        <f t="shared" si="1"/>
        <v>22-12-2025</v>
      </c>
      <c r="R936" s="6" t="str">
        <f>IFERROR( VLOOKUP(C28734,[1]expressOrderReport!$S:$AZ,34,0),0)</f>
        <v>#ERROR!</v>
      </c>
      <c r="S936" s="6" t="str">
        <f>ARRAY_CONSTRAIN(ARRAYFORMULA(_xludf.XLOOKUP(D28734,[1]order_Report_SA_ID_BB2.0!V:V,[1]order_Report_SA_ID_BB2.0!AM:AM,"")), 1, 1)</f>
        <v>#ERROR!</v>
      </c>
      <c r="T936" s="6" t="str">
        <f t="shared" si="2"/>
        <v>Dec'25</v>
      </c>
    </row>
    <row r="937" ht="15.75" customHeight="1">
      <c r="A937" s="5">
        <v>46013.0</v>
      </c>
      <c r="B937" s="6">
        <v>11358.0</v>
      </c>
      <c r="C937" s="6">
        <v>1.859166375E9</v>
      </c>
      <c r="D937" s="6">
        <v>688366.0</v>
      </c>
      <c r="E937" s="6" t="s">
        <v>1486</v>
      </c>
      <c r="F937" s="6" t="s">
        <v>1487</v>
      </c>
      <c r="G937" s="6">
        <v>9.986016838E9</v>
      </c>
      <c r="H937" s="6">
        <v>4.0149831E7</v>
      </c>
      <c r="I937" s="6" t="s">
        <v>65</v>
      </c>
      <c r="J937" s="6" t="s">
        <v>21</v>
      </c>
      <c r="K937" s="6" t="s">
        <v>22</v>
      </c>
      <c r="L937" s="6">
        <v>54.0</v>
      </c>
      <c r="M937" s="5">
        <v>46013.0</v>
      </c>
      <c r="N937" s="6" t="s">
        <v>23</v>
      </c>
      <c r="O937" s="6" t="str">
        <f>SUMIFS([1]order_sku_sales_bb2_report!P:P,[1]order_sku_sales_bb2_report!H:H,C28735,[1]order_sku_sales_bb2_report!J:J,H28735)</f>
        <v>#ERROR!</v>
      </c>
      <c r="P937" s="6" t="str">
        <f>SUMIFS([1]order_sku_sales_bb2_report!O:O,[1]order_sku_sales_bb2_report!H:H,C28735,[1]order_sku_sales_bb2_report!J:J,H28735)</f>
        <v>#ERROR!</v>
      </c>
      <c r="Q937" s="6" t="str">
        <f t="shared" si="1"/>
        <v>22-12-2025</v>
      </c>
      <c r="R937" s="6" t="str">
        <f>IFERROR( VLOOKUP(C28735,[1]expressOrderReport!$S:$AZ,34,0),0)</f>
        <v>#ERROR!</v>
      </c>
      <c r="S937" s="6" t="str">
        <f>ARRAY_CONSTRAIN(ARRAYFORMULA(_xludf.XLOOKUP(D28735,[1]order_Report_SA_ID_BB2.0!V:V,[1]order_Report_SA_ID_BB2.0!AM:AM,"")), 1, 1)</f>
        <v>#ERROR!</v>
      </c>
      <c r="T937" s="6" t="str">
        <f t="shared" si="2"/>
        <v>Dec'25</v>
      </c>
    </row>
    <row r="938" ht="15.75" customHeight="1">
      <c r="A938" s="5">
        <v>46013.0</v>
      </c>
      <c r="B938" s="6">
        <v>5045.0</v>
      </c>
      <c r="C938" s="6">
        <v>1.859166383E9</v>
      </c>
      <c r="D938" s="6">
        <v>741645.0</v>
      </c>
      <c r="E938" s="6" t="s">
        <v>1489</v>
      </c>
      <c r="F938" s="6" t="s">
        <v>1490</v>
      </c>
      <c r="G938" s="6">
        <v>8.105744174E9</v>
      </c>
      <c r="H938" s="6">
        <v>4.0149833E7</v>
      </c>
      <c r="I938" s="6" t="s">
        <v>40</v>
      </c>
      <c r="J938" s="6" t="s">
        <v>21</v>
      </c>
      <c r="K938" s="6" t="s">
        <v>22</v>
      </c>
      <c r="L938" s="6">
        <v>27.0</v>
      </c>
      <c r="M938" s="5">
        <v>46013.0</v>
      </c>
      <c r="N938" s="6" t="s">
        <v>23</v>
      </c>
      <c r="O938" s="6" t="str">
        <f>SUMIFS([1]order_sku_sales_bb2_report!P:P,[1]order_sku_sales_bb2_report!H:H,C28736,[1]order_sku_sales_bb2_report!J:J,H28736)</f>
        <v>#ERROR!</v>
      </c>
      <c r="P938" s="6" t="str">
        <f>SUMIFS([1]order_sku_sales_bb2_report!O:O,[1]order_sku_sales_bb2_report!H:H,C28736,[1]order_sku_sales_bb2_report!J:J,H28736)</f>
        <v>#ERROR!</v>
      </c>
      <c r="Q938" s="6" t="str">
        <f t="shared" si="1"/>
        <v>22-12-2025</v>
      </c>
      <c r="R938" s="6" t="str">
        <f>IFERROR( VLOOKUP(C28736,[1]expressOrderReport!$S:$AZ,34,0),0)</f>
        <v>#ERROR!</v>
      </c>
      <c r="S938" s="6" t="str">
        <f>ARRAY_CONSTRAIN(ARRAYFORMULA(_xludf.XLOOKUP(D28736,[1]order_Report_SA_ID_BB2.0!V:V,[1]order_Report_SA_ID_BB2.0!AM:AM,"")), 1, 1)</f>
        <v>#ERROR!</v>
      </c>
      <c r="T938" s="6" t="str">
        <f t="shared" si="2"/>
        <v>Dec'25</v>
      </c>
    </row>
    <row r="939" ht="15.75" customHeight="1">
      <c r="A939" s="5">
        <v>46013.0</v>
      </c>
      <c r="B939" s="6">
        <v>10198.0</v>
      </c>
      <c r="C939" s="6">
        <v>1.859166387E9</v>
      </c>
      <c r="D939" s="6">
        <v>4080205.0</v>
      </c>
      <c r="E939" s="6" t="s">
        <v>1491</v>
      </c>
      <c r="F939" s="6" t="s">
        <v>1492</v>
      </c>
      <c r="G939" s="6">
        <v>7.899021177E9</v>
      </c>
      <c r="H939" s="6">
        <v>4.0090893E7</v>
      </c>
      <c r="I939" s="6" t="s">
        <v>35</v>
      </c>
      <c r="J939" s="6" t="s">
        <v>21</v>
      </c>
      <c r="K939" s="6" t="s">
        <v>22</v>
      </c>
      <c r="L939" s="6">
        <v>66.0</v>
      </c>
      <c r="M939" s="5">
        <v>46013.0</v>
      </c>
      <c r="N939" s="6" t="s">
        <v>23</v>
      </c>
      <c r="O939" s="6" t="str">
        <f>SUMIFS([1]order_sku_sales_bb2_report!P:P,[1]order_sku_sales_bb2_report!H:H,C28737,[1]order_sku_sales_bb2_report!J:J,H28737)</f>
        <v>#ERROR!</v>
      </c>
      <c r="P939" s="6" t="str">
        <f>SUMIFS([1]order_sku_sales_bb2_report!O:O,[1]order_sku_sales_bb2_report!H:H,C28737,[1]order_sku_sales_bb2_report!J:J,H28737)</f>
        <v>#ERROR!</v>
      </c>
      <c r="Q939" s="6" t="str">
        <f t="shared" si="1"/>
        <v>22-12-2025</v>
      </c>
      <c r="R939" s="6" t="str">
        <f>IFERROR( VLOOKUP(C28737,[1]expressOrderReport!$S:$AZ,34,0),0)</f>
        <v>#ERROR!</v>
      </c>
      <c r="S939" s="6" t="str">
        <f>ARRAY_CONSTRAIN(ARRAYFORMULA(_xludf.XLOOKUP(D28737,[1]order_Report_SA_ID_BB2.0!V:V,[1]order_Report_SA_ID_BB2.0!AM:AM,"")), 1, 1)</f>
        <v>#ERROR!</v>
      </c>
      <c r="T939" s="6" t="str">
        <f t="shared" si="2"/>
        <v>Dec'25</v>
      </c>
    </row>
    <row r="940" ht="15.75" customHeight="1">
      <c r="A940" s="5">
        <v>46013.0</v>
      </c>
      <c r="B940" s="6">
        <v>7099.0</v>
      </c>
      <c r="C940" s="6">
        <v>1.859166398E9</v>
      </c>
      <c r="D940" s="6">
        <v>7500353.0</v>
      </c>
      <c r="E940" s="6" t="s">
        <v>1493</v>
      </c>
      <c r="F940" s="6" t="s">
        <v>1494</v>
      </c>
      <c r="G940" s="6">
        <v>8.867033013E9</v>
      </c>
      <c r="H940" s="6">
        <v>4.0158264E7</v>
      </c>
      <c r="I940" s="6" t="s">
        <v>26</v>
      </c>
      <c r="J940" s="6" t="s">
        <v>21</v>
      </c>
      <c r="K940" s="6" t="s">
        <v>22</v>
      </c>
      <c r="L940" s="6">
        <v>46.0</v>
      </c>
      <c r="M940" s="5">
        <v>46013.0</v>
      </c>
      <c r="N940" s="6" t="s">
        <v>23</v>
      </c>
      <c r="O940" s="6" t="str">
        <f>SUMIFS([1]order_sku_sales_bb2_report!P:P,[1]order_sku_sales_bb2_report!H:H,C28738,[1]order_sku_sales_bb2_report!J:J,H28738)</f>
        <v>#ERROR!</v>
      </c>
      <c r="P940" s="6" t="str">
        <f>SUMIFS([1]order_sku_sales_bb2_report!O:O,[1]order_sku_sales_bb2_report!H:H,C28738,[1]order_sku_sales_bb2_report!J:J,H28738)</f>
        <v>#ERROR!</v>
      </c>
      <c r="Q940" s="6" t="str">
        <f t="shared" si="1"/>
        <v>22-12-2025</v>
      </c>
      <c r="R940" s="6" t="str">
        <f>IFERROR( VLOOKUP(C28738,[1]expressOrderReport!$S:$AZ,34,0),0)</f>
        <v>#ERROR!</v>
      </c>
      <c r="S940" s="6" t="str">
        <f>ARRAY_CONSTRAIN(ARRAYFORMULA(_xludf.XLOOKUP(D28738,[1]order_Report_SA_ID_BB2.0!V:V,[1]order_Report_SA_ID_BB2.0!AM:AM,"")), 1, 1)</f>
        <v>#ERROR!</v>
      </c>
      <c r="T940" s="6" t="str">
        <f t="shared" si="2"/>
        <v>Dec'25</v>
      </c>
    </row>
    <row r="941" ht="15.75" customHeight="1">
      <c r="A941" s="5">
        <v>46013.0</v>
      </c>
      <c r="B941" s="6">
        <v>6424.0</v>
      </c>
      <c r="C941" s="6">
        <v>1.859166404E9</v>
      </c>
      <c r="D941" s="6">
        <v>488298.0</v>
      </c>
      <c r="E941" s="6" t="s">
        <v>1495</v>
      </c>
      <c r="F941" s="6" t="s">
        <v>1496</v>
      </c>
      <c r="G941" s="6">
        <v>7.259035662E9</v>
      </c>
      <c r="H941" s="6">
        <v>4.0149834E7</v>
      </c>
      <c r="I941" s="6" t="s">
        <v>40</v>
      </c>
      <c r="J941" s="6" t="s">
        <v>21</v>
      </c>
      <c r="K941" s="6" t="s">
        <v>22</v>
      </c>
      <c r="L941" s="6">
        <v>79.0</v>
      </c>
      <c r="M941" s="5">
        <v>46013.0</v>
      </c>
      <c r="N941" s="6" t="s">
        <v>23</v>
      </c>
      <c r="O941" s="6" t="str">
        <f>SUMIFS([1]order_sku_sales_bb2_report!P:P,[1]order_sku_sales_bb2_report!H:H,C28739,[1]order_sku_sales_bb2_report!J:J,H28739)</f>
        <v>#ERROR!</v>
      </c>
      <c r="P941" s="6" t="str">
        <f>SUMIFS([1]order_sku_sales_bb2_report!O:O,[1]order_sku_sales_bb2_report!H:H,C28739,[1]order_sku_sales_bb2_report!J:J,H28739)</f>
        <v>#ERROR!</v>
      </c>
      <c r="Q941" s="6" t="str">
        <f t="shared" si="1"/>
        <v>22-12-2025</v>
      </c>
      <c r="R941" s="6" t="str">
        <f>IFERROR( VLOOKUP(C28739,[1]expressOrderReport!$S:$AZ,34,0),0)</f>
        <v>#ERROR!</v>
      </c>
      <c r="S941" s="6" t="str">
        <f>ARRAY_CONSTRAIN(ARRAYFORMULA(_xludf.XLOOKUP(D28739,[1]order_Report_SA_ID_BB2.0!V:V,[1]order_Report_SA_ID_BB2.0!AM:AM,"")), 1, 1)</f>
        <v>#ERROR!</v>
      </c>
      <c r="T941" s="6" t="str">
        <f t="shared" si="2"/>
        <v>Dec'25</v>
      </c>
    </row>
    <row r="942" ht="15.75" customHeight="1">
      <c r="A942" s="5">
        <v>46013.0</v>
      </c>
      <c r="B942" s="6">
        <v>12002.0</v>
      </c>
      <c r="C942" s="6">
        <v>1.859166404E9</v>
      </c>
      <c r="D942" s="6">
        <v>488298.0</v>
      </c>
      <c r="E942" s="6" t="s">
        <v>1495</v>
      </c>
      <c r="F942" s="6" t="s">
        <v>1496</v>
      </c>
      <c r="G942" s="6">
        <v>7.259035662E9</v>
      </c>
      <c r="H942" s="6">
        <v>4.0149833E7</v>
      </c>
      <c r="I942" s="6" t="s">
        <v>40</v>
      </c>
      <c r="J942" s="6" t="s">
        <v>21</v>
      </c>
      <c r="K942" s="6" t="s">
        <v>22</v>
      </c>
      <c r="L942" s="6">
        <v>79.0</v>
      </c>
      <c r="M942" s="5">
        <v>46013.0</v>
      </c>
      <c r="N942" s="6" t="s">
        <v>23</v>
      </c>
      <c r="O942" s="6" t="str">
        <f>SUMIFS([1]order_sku_sales_bb2_report!P:P,[1]order_sku_sales_bb2_report!H:H,C28740,[1]order_sku_sales_bb2_report!J:J,H28740)</f>
        <v>#ERROR!</v>
      </c>
      <c r="P942" s="6" t="str">
        <f>SUMIFS([1]order_sku_sales_bb2_report!O:O,[1]order_sku_sales_bb2_report!H:H,C28740,[1]order_sku_sales_bb2_report!J:J,H28740)</f>
        <v>#ERROR!</v>
      </c>
      <c r="Q942" s="6" t="str">
        <f t="shared" si="1"/>
        <v>22-12-2025</v>
      </c>
      <c r="R942" s="6" t="str">
        <f>IFERROR( VLOOKUP(C28740,[1]expressOrderReport!$S:$AZ,34,0),0)</f>
        <v>#ERROR!</v>
      </c>
      <c r="S942" s="6" t="str">
        <f>ARRAY_CONSTRAIN(ARRAYFORMULA(_xludf.XLOOKUP(D28740,[1]order_Report_SA_ID_BB2.0!V:V,[1]order_Report_SA_ID_BB2.0!AM:AM,"")), 1, 1)</f>
        <v>#ERROR!</v>
      </c>
      <c r="T942" s="6" t="str">
        <f t="shared" si="2"/>
        <v>Dec'25</v>
      </c>
    </row>
    <row r="943" ht="15.75" customHeight="1">
      <c r="A943" s="5">
        <v>46013.0</v>
      </c>
      <c r="B943" s="6">
        <v>9114.0</v>
      </c>
      <c r="C943" s="6">
        <v>1.859166409E9</v>
      </c>
      <c r="D943" s="6">
        <v>1051880.0</v>
      </c>
      <c r="E943" s="6" t="s">
        <v>1497</v>
      </c>
      <c r="F943" s="6" t="s">
        <v>1498</v>
      </c>
      <c r="G943" s="6">
        <v>9.004514677E9</v>
      </c>
      <c r="H943" s="6">
        <v>4.0198739E7</v>
      </c>
      <c r="I943" s="6" t="s">
        <v>103</v>
      </c>
      <c r="J943" s="6" t="s">
        <v>21</v>
      </c>
      <c r="K943" s="6" t="s">
        <v>22</v>
      </c>
      <c r="L943" s="6">
        <v>40.0</v>
      </c>
      <c r="M943" s="5">
        <v>46013.0</v>
      </c>
      <c r="N943" s="6" t="s">
        <v>54</v>
      </c>
      <c r="O943" s="6" t="str">
        <f>SUMIFS([1]order_sku_sales_bb2_report!P:P,[1]order_sku_sales_bb2_report!H:H,C28741,[1]order_sku_sales_bb2_report!J:J,H28741)</f>
        <v>#ERROR!</v>
      </c>
      <c r="P943" s="6" t="str">
        <f>SUMIFS([1]order_sku_sales_bb2_report!O:O,[1]order_sku_sales_bb2_report!H:H,C28741,[1]order_sku_sales_bb2_report!J:J,H28741)</f>
        <v>#ERROR!</v>
      </c>
      <c r="Q943" s="6" t="str">
        <f t="shared" si="1"/>
        <v>22-12-2025</v>
      </c>
      <c r="R943" s="6" t="str">
        <f>IFERROR( VLOOKUP(C28741,[1]expressOrderReport!$S:$AZ,34,0),0)</f>
        <v>#ERROR!</v>
      </c>
      <c r="S943" s="6" t="str">
        <f>ARRAY_CONSTRAIN(ARRAYFORMULA(_xludf.XLOOKUP(D28741,[1]order_Report_SA_ID_BB2.0!V:V,[1]order_Report_SA_ID_BB2.0!AM:AM,"")), 1, 1)</f>
        <v>#ERROR!</v>
      </c>
      <c r="T943" s="6" t="str">
        <f t="shared" si="2"/>
        <v>Dec'25</v>
      </c>
    </row>
    <row r="944" ht="15.75" customHeight="1">
      <c r="A944" s="5">
        <v>46013.0</v>
      </c>
      <c r="B944" s="6">
        <v>10566.0</v>
      </c>
      <c r="C944" s="6">
        <v>1.859166417E9</v>
      </c>
      <c r="D944" s="6">
        <v>7082824.0</v>
      </c>
      <c r="E944" s="6" t="s">
        <v>1499</v>
      </c>
      <c r="F944" s="6" t="s">
        <v>1500</v>
      </c>
      <c r="G944" s="6">
        <v>9.44827338E9</v>
      </c>
      <c r="H944" s="6">
        <v>4.0149833E7</v>
      </c>
      <c r="I944" s="6" t="s">
        <v>40</v>
      </c>
      <c r="J944" s="6" t="s">
        <v>21</v>
      </c>
      <c r="K944" s="6" t="s">
        <v>22</v>
      </c>
      <c r="L944" s="6">
        <v>27.0</v>
      </c>
      <c r="M944" s="5">
        <v>46013.0</v>
      </c>
      <c r="N944" s="6" t="s">
        <v>23</v>
      </c>
      <c r="O944" s="6" t="str">
        <f>SUMIFS([1]order_sku_sales_bb2_report!P:P,[1]order_sku_sales_bb2_report!H:H,C28742,[1]order_sku_sales_bb2_report!J:J,H28742)</f>
        <v>#ERROR!</v>
      </c>
      <c r="P944" s="6" t="str">
        <f>SUMIFS([1]order_sku_sales_bb2_report!O:O,[1]order_sku_sales_bb2_report!H:H,C28742,[1]order_sku_sales_bb2_report!J:J,H28742)</f>
        <v>#ERROR!</v>
      </c>
      <c r="Q944" s="6" t="str">
        <f t="shared" si="1"/>
        <v>22-12-2025</v>
      </c>
      <c r="R944" s="6" t="str">
        <f>IFERROR( VLOOKUP(C28742,[1]expressOrderReport!$S:$AZ,34,0),0)</f>
        <v>#ERROR!</v>
      </c>
      <c r="S944" s="6" t="str">
        <f>ARRAY_CONSTRAIN(ARRAYFORMULA(_xludf.XLOOKUP(D28742,[1]order_Report_SA_ID_BB2.0!V:V,[1]order_Report_SA_ID_BB2.0!AM:AM,"")), 1, 1)</f>
        <v>#ERROR!</v>
      </c>
      <c r="T944" s="6" t="str">
        <f t="shared" si="2"/>
        <v>Dec'25</v>
      </c>
    </row>
    <row r="945" ht="15.75" customHeight="1">
      <c r="A945" s="5">
        <v>46013.0</v>
      </c>
      <c r="B945" s="6">
        <v>5507.0</v>
      </c>
      <c r="C945" s="6">
        <v>1.859166429E9</v>
      </c>
      <c r="D945" s="6">
        <v>7807876.0</v>
      </c>
      <c r="E945" s="6" t="s">
        <v>1501</v>
      </c>
      <c r="F945" s="6" t="s">
        <v>1502</v>
      </c>
      <c r="G945" s="6">
        <v>8.89280544E9</v>
      </c>
      <c r="H945" s="6">
        <v>4.0149833E7</v>
      </c>
      <c r="I945" s="6" t="s">
        <v>40</v>
      </c>
      <c r="J945" s="6" t="s">
        <v>21</v>
      </c>
      <c r="K945" s="6" t="s">
        <v>22</v>
      </c>
      <c r="L945" s="6">
        <v>54.0</v>
      </c>
      <c r="M945" s="5">
        <v>46013.0</v>
      </c>
      <c r="N945" s="6" t="s">
        <v>23</v>
      </c>
      <c r="O945" s="6" t="str">
        <f>SUMIFS([1]order_sku_sales_bb2_report!P:P,[1]order_sku_sales_bb2_report!H:H,C28743,[1]order_sku_sales_bb2_report!J:J,H28743)</f>
        <v>#ERROR!</v>
      </c>
      <c r="P945" s="6" t="str">
        <f>SUMIFS([1]order_sku_sales_bb2_report!O:O,[1]order_sku_sales_bb2_report!H:H,C28743,[1]order_sku_sales_bb2_report!J:J,H28743)</f>
        <v>#ERROR!</v>
      </c>
      <c r="Q945" s="6" t="str">
        <f t="shared" si="1"/>
        <v>22-12-2025</v>
      </c>
      <c r="R945" s="6" t="str">
        <f>IFERROR( VLOOKUP(C28743,[1]expressOrderReport!$S:$AZ,34,0),0)</f>
        <v>#ERROR!</v>
      </c>
      <c r="S945" s="6" t="str">
        <f>ARRAY_CONSTRAIN(ARRAYFORMULA(_xludf.XLOOKUP(D28743,[1]order_Report_SA_ID_BB2.0!V:V,[1]order_Report_SA_ID_BB2.0!AM:AM,"")), 1, 1)</f>
        <v>#ERROR!</v>
      </c>
      <c r="T945" s="6" t="str">
        <f t="shared" si="2"/>
        <v>Dec'25</v>
      </c>
    </row>
    <row r="946" ht="15.75" customHeight="1">
      <c r="A946" s="5">
        <v>46013.0</v>
      </c>
      <c r="B946" s="6">
        <v>6037.0</v>
      </c>
      <c r="C946" s="6">
        <v>1.859166437E9</v>
      </c>
      <c r="D946" s="6">
        <v>147830.0</v>
      </c>
      <c r="E946" s="6" t="s">
        <v>1503</v>
      </c>
      <c r="F946" s="6" t="s">
        <v>1504</v>
      </c>
      <c r="G946" s="6">
        <v>9.986639991E9</v>
      </c>
      <c r="H946" s="6">
        <v>4.0149833E7</v>
      </c>
      <c r="I946" s="6" t="s">
        <v>40</v>
      </c>
      <c r="J946" s="6" t="s">
        <v>21</v>
      </c>
      <c r="K946" s="6" t="s">
        <v>22</v>
      </c>
      <c r="L946" s="6">
        <v>27.0</v>
      </c>
      <c r="M946" s="5">
        <v>46013.0</v>
      </c>
      <c r="N946" s="6" t="s">
        <v>23</v>
      </c>
      <c r="O946" s="6" t="str">
        <f>SUMIFS([1]order_sku_sales_bb2_report!P:P,[1]order_sku_sales_bb2_report!H:H,C28744,[1]order_sku_sales_bb2_report!J:J,H28744)</f>
        <v>#ERROR!</v>
      </c>
      <c r="P946" s="6" t="str">
        <f>SUMIFS([1]order_sku_sales_bb2_report!O:O,[1]order_sku_sales_bb2_report!H:H,C28744,[1]order_sku_sales_bb2_report!J:J,H28744)</f>
        <v>#ERROR!</v>
      </c>
      <c r="Q946" s="6" t="str">
        <f t="shared" si="1"/>
        <v>22-12-2025</v>
      </c>
      <c r="R946" s="6" t="str">
        <f>IFERROR( VLOOKUP(C28744,[1]expressOrderReport!$S:$AZ,34,0),0)</f>
        <v>#ERROR!</v>
      </c>
      <c r="S946" s="6" t="str">
        <f>ARRAY_CONSTRAIN(ARRAYFORMULA(_xludf.XLOOKUP(D28744,[1]order_Report_SA_ID_BB2.0!V:V,[1]order_Report_SA_ID_BB2.0!AM:AM,"")), 1, 1)</f>
        <v>#ERROR!</v>
      </c>
      <c r="T946" s="6" t="str">
        <f t="shared" si="2"/>
        <v>Dec'25</v>
      </c>
    </row>
    <row r="947" ht="15.75" customHeight="1">
      <c r="A947" s="5">
        <v>46013.0</v>
      </c>
      <c r="B947" s="6">
        <v>11687.0</v>
      </c>
      <c r="C947" s="6">
        <v>1.85916645E9</v>
      </c>
      <c r="D947" s="6">
        <v>676925.0</v>
      </c>
      <c r="E947" s="6" t="s">
        <v>1505</v>
      </c>
      <c r="F947" s="6" t="s">
        <v>1506</v>
      </c>
      <c r="G947" s="6">
        <v>8.80032239E9</v>
      </c>
      <c r="H947" s="6">
        <v>4.0149833E7</v>
      </c>
      <c r="I947" s="6" t="s">
        <v>40</v>
      </c>
      <c r="J947" s="6" t="s">
        <v>21</v>
      </c>
      <c r="K947" s="6" t="s">
        <v>22</v>
      </c>
      <c r="L947" s="6">
        <v>27.0</v>
      </c>
      <c r="M947" s="5">
        <v>46013.0</v>
      </c>
      <c r="N947" s="6" t="s">
        <v>23</v>
      </c>
      <c r="O947" s="6" t="str">
        <f>SUMIFS([1]order_sku_sales_bb2_report!P:P,[1]order_sku_sales_bb2_report!H:H,C28746,[1]order_sku_sales_bb2_report!J:J,H28746)</f>
        <v>#ERROR!</v>
      </c>
      <c r="P947" s="6" t="str">
        <f>SUMIFS([1]order_sku_sales_bb2_report!O:O,[1]order_sku_sales_bb2_report!H:H,C28746,[1]order_sku_sales_bb2_report!J:J,H28746)</f>
        <v>#ERROR!</v>
      </c>
      <c r="Q947" s="6" t="str">
        <f t="shared" si="1"/>
        <v>22-12-2025</v>
      </c>
      <c r="R947" s="6" t="str">
        <f>IFERROR( VLOOKUP(C28746,[1]expressOrderReport!$S:$AZ,34,0),0)</f>
        <v>#ERROR!</v>
      </c>
      <c r="S947" s="6" t="str">
        <f>ARRAY_CONSTRAIN(ARRAYFORMULA(_xludf.XLOOKUP(D28746,[1]order_Report_SA_ID_BB2.0!V:V,[1]order_Report_SA_ID_BB2.0!AM:AM,"")), 1, 1)</f>
        <v>#ERROR!</v>
      </c>
      <c r="T947" s="6" t="str">
        <f t="shared" si="2"/>
        <v>Dec'25</v>
      </c>
    </row>
    <row r="948" ht="15.75" customHeight="1">
      <c r="A948" s="5">
        <v>46013.0</v>
      </c>
      <c r="B948" s="6">
        <v>8834.0</v>
      </c>
      <c r="C948" s="6">
        <v>1.85916646E9</v>
      </c>
      <c r="D948" s="6">
        <v>273951.0</v>
      </c>
      <c r="E948" s="6" t="s">
        <v>1507</v>
      </c>
      <c r="F948" s="6" t="s">
        <v>1508</v>
      </c>
      <c r="G948" s="6">
        <v>8.553625909E9</v>
      </c>
      <c r="H948" s="6">
        <v>4.0148714E7</v>
      </c>
      <c r="I948" s="6" t="s">
        <v>183</v>
      </c>
      <c r="J948" s="6" t="s">
        <v>21</v>
      </c>
      <c r="K948" s="6" t="s">
        <v>22</v>
      </c>
      <c r="L948" s="6">
        <v>47.0</v>
      </c>
      <c r="M948" s="5">
        <v>46013.0</v>
      </c>
      <c r="N948" s="6" t="s">
        <v>23</v>
      </c>
      <c r="O948" s="6" t="str">
        <f>SUMIFS([1]order_sku_sales_bb2_report!P:P,[1]order_sku_sales_bb2_report!H:H,C28747,[1]order_sku_sales_bb2_report!J:J,H28747)</f>
        <v>#ERROR!</v>
      </c>
      <c r="P948" s="6" t="str">
        <f>SUMIFS([1]order_sku_sales_bb2_report!O:O,[1]order_sku_sales_bb2_report!H:H,C28747,[1]order_sku_sales_bb2_report!J:J,H28747)</f>
        <v>#ERROR!</v>
      </c>
      <c r="Q948" s="6" t="str">
        <f t="shared" si="1"/>
        <v>22-12-2025</v>
      </c>
      <c r="R948" s="6" t="str">
        <f>IFERROR( VLOOKUP(C28747,[1]expressOrderReport!$S:$AZ,34,0),0)</f>
        <v>#ERROR!</v>
      </c>
      <c r="S948" s="6" t="str">
        <f>ARRAY_CONSTRAIN(ARRAYFORMULA(_xludf.XLOOKUP(D28747,[1]order_Report_SA_ID_BB2.0!V:V,[1]order_Report_SA_ID_BB2.0!AM:AM,"")), 1, 1)</f>
        <v>#ERROR!</v>
      </c>
      <c r="T948" s="6" t="str">
        <f t="shared" si="2"/>
        <v>Dec'25</v>
      </c>
    </row>
    <row r="949" ht="15.75" customHeight="1">
      <c r="A949" s="5">
        <v>46013.0</v>
      </c>
      <c r="B949" s="6">
        <v>5602.0</v>
      </c>
      <c r="C949" s="6">
        <v>1.859166463E9</v>
      </c>
      <c r="D949" s="6">
        <v>7901100.0</v>
      </c>
      <c r="E949" s="6" t="s">
        <v>1509</v>
      </c>
      <c r="F949" s="6" t="s">
        <v>1510</v>
      </c>
      <c r="G949" s="6">
        <v>8.884794293E9</v>
      </c>
      <c r="H949" s="6">
        <v>4.0158264E7</v>
      </c>
      <c r="I949" s="6" t="s">
        <v>26</v>
      </c>
      <c r="J949" s="6" t="s">
        <v>21</v>
      </c>
      <c r="K949" s="6" t="s">
        <v>22</v>
      </c>
      <c r="L949" s="6">
        <v>46.0</v>
      </c>
      <c r="M949" s="5">
        <v>46013.0</v>
      </c>
      <c r="N949" s="6" t="s">
        <v>23</v>
      </c>
      <c r="O949" s="6" t="str">
        <f>SUMIFS([1]order_sku_sales_bb2_report!P:P,[1]order_sku_sales_bb2_report!H:H,C28748,[1]order_sku_sales_bb2_report!J:J,H28748)</f>
        <v>#ERROR!</v>
      </c>
      <c r="P949" s="6" t="str">
        <f>SUMIFS([1]order_sku_sales_bb2_report!O:O,[1]order_sku_sales_bb2_report!H:H,C28748,[1]order_sku_sales_bb2_report!J:J,H28748)</f>
        <v>#ERROR!</v>
      </c>
      <c r="Q949" s="6" t="str">
        <f t="shared" si="1"/>
        <v>22-12-2025</v>
      </c>
      <c r="R949" s="6" t="str">
        <f>IFERROR( VLOOKUP(C28748,[1]expressOrderReport!$S:$AZ,34,0),0)</f>
        <v>#ERROR!</v>
      </c>
      <c r="S949" s="6" t="str">
        <f>ARRAY_CONSTRAIN(ARRAYFORMULA(_xludf.XLOOKUP(D28748,[1]order_Report_SA_ID_BB2.0!V:V,[1]order_Report_SA_ID_BB2.0!AM:AM,"")), 1, 1)</f>
        <v>#ERROR!</v>
      </c>
      <c r="T949" s="6" t="str">
        <f t="shared" si="2"/>
        <v>Dec'25</v>
      </c>
    </row>
    <row r="950" ht="15.75" customHeight="1">
      <c r="A950" s="5">
        <v>46013.0</v>
      </c>
      <c r="B950" s="6">
        <v>5299.0</v>
      </c>
      <c r="C950" s="6">
        <v>1.859166472E9</v>
      </c>
      <c r="D950" s="6">
        <v>2081326.0</v>
      </c>
      <c r="E950" s="6" t="s">
        <v>1511</v>
      </c>
      <c r="F950" s="6" t="s">
        <v>1512</v>
      </c>
      <c r="G950" s="6">
        <v>9.740681983E9</v>
      </c>
      <c r="H950" s="6">
        <v>4.007376E7</v>
      </c>
      <c r="I950" s="6" t="s">
        <v>687</v>
      </c>
      <c r="J950" s="6" t="s">
        <v>21</v>
      </c>
      <c r="K950" s="6" t="s">
        <v>22</v>
      </c>
      <c r="L950" s="6">
        <v>91.2</v>
      </c>
      <c r="M950" s="5">
        <v>46013.0</v>
      </c>
      <c r="N950" s="6" t="s">
        <v>23</v>
      </c>
      <c r="O950" s="6" t="str">
        <f>SUMIFS([1]order_sku_sales_bb2_report!P:P,[1]order_sku_sales_bb2_report!H:H,C28749,[1]order_sku_sales_bb2_report!J:J,H28749)</f>
        <v>#ERROR!</v>
      </c>
      <c r="P950" s="6" t="str">
        <f>SUMIFS([1]order_sku_sales_bb2_report!O:O,[1]order_sku_sales_bb2_report!H:H,C28749,[1]order_sku_sales_bb2_report!J:J,H28749)</f>
        <v>#ERROR!</v>
      </c>
      <c r="Q950" s="6" t="str">
        <f t="shared" si="1"/>
        <v>22-12-2025</v>
      </c>
      <c r="R950" s="6" t="str">
        <f>IFERROR( VLOOKUP(C28749,[1]expressOrderReport!$S:$AZ,34,0),0)</f>
        <v>#ERROR!</v>
      </c>
      <c r="S950" s="6" t="str">
        <f>ARRAY_CONSTRAIN(ARRAYFORMULA(_xludf.XLOOKUP(D28749,[1]order_Report_SA_ID_BB2.0!V:V,[1]order_Report_SA_ID_BB2.0!AM:AM,"")), 1, 1)</f>
        <v>#ERROR!</v>
      </c>
      <c r="T950" s="6" t="str">
        <f t="shared" si="2"/>
        <v>Dec'25</v>
      </c>
    </row>
    <row r="951" ht="15.75" customHeight="1">
      <c r="A951" s="5">
        <v>46013.0</v>
      </c>
      <c r="B951" s="6">
        <v>8250.0</v>
      </c>
      <c r="C951" s="6">
        <v>1.859166477E9</v>
      </c>
      <c r="D951" s="6">
        <v>8032234.0</v>
      </c>
      <c r="E951" s="6" t="s">
        <v>1513</v>
      </c>
      <c r="F951" s="6"/>
      <c r="G951" s="6">
        <v>9.448997313E9</v>
      </c>
      <c r="H951" s="6">
        <v>4.0149832E7</v>
      </c>
      <c r="I951" s="6" t="s">
        <v>26</v>
      </c>
      <c r="J951" s="6" t="s">
        <v>21</v>
      </c>
      <c r="K951" s="6" t="s">
        <v>22</v>
      </c>
      <c r="L951" s="6">
        <v>96.0</v>
      </c>
      <c r="M951" s="5">
        <v>46013.0</v>
      </c>
      <c r="N951" s="6" t="s">
        <v>23</v>
      </c>
      <c r="O951" s="6" t="str">
        <f>SUMIFS([1]order_sku_sales_bb2_report!P:P,[1]order_sku_sales_bb2_report!H:H,C28750,[1]order_sku_sales_bb2_report!J:J,H28750)</f>
        <v>#ERROR!</v>
      </c>
      <c r="P951" s="6" t="str">
        <f>SUMIFS([1]order_sku_sales_bb2_report!O:O,[1]order_sku_sales_bb2_report!H:H,C28750,[1]order_sku_sales_bb2_report!J:J,H28750)</f>
        <v>#ERROR!</v>
      </c>
      <c r="Q951" s="6" t="str">
        <f t="shared" si="1"/>
        <v>22-12-2025</v>
      </c>
      <c r="R951" s="6" t="str">
        <f>IFERROR( VLOOKUP(C28750,[1]expressOrderReport!$S:$AZ,34,0),0)</f>
        <v>#ERROR!</v>
      </c>
      <c r="S951" s="6" t="str">
        <f>ARRAY_CONSTRAIN(ARRAYFORMULA(_xludf.XLOOKUP(D28750,[1]order_Report_SA_ID_BB2.0!V:V,[1]order_Report_SA_ID_BB2.0!AM:AM,"")), 1, 1)</f>
        <v>#ERROR!</v>
      </c>
      <c r="T951" s="6" t="str">
        <f t="shared" si="2"/>
        <v>Dec'25</v>
      </c>
    </row>
    <row r="952" ht="15.75" customHeight="1">
      <c r="A952" s="5">
        <v>46013.0</v>
      </c>
      <c r="B952" s="6">
        <v>3427.0</v>
      </c>
      <c r="C952" s="6">
        <v>1.859166485E9</v>
      </c>
      <c r="D952" s="6">
        <v>693222.0</v>
      </c>
      <c r="E952" s="6" t="s">
        <v>1514</v>
      </c>
      <c r="F952" s="6" t="s">
        <v>1515</v>
      </c>
      <c r="G952" s="6">
        <v>9.886776431E9</v>
      </c>
      <c r="H952" s="6">
        <v>4.0149834E7</v>
      </c>
      <c r="I952" s="6" t="s">
        <v>40</v>
      </c>
      <c r="J952" s="6" t="s">
        <v>21</v>
      </c>
      <c r="K952" s="6" t="s">
        <v>22</v>
      </c>
      <c r="L952" s="6">
        <v>79.0</v>
      </c>
      <c r="M952" s="5">
        <v>46013.0</v>
      </c>
      <c r="N952" s="6" t="s">
        <v>23</v>
      </c>
      <c r="O952" s="6" t="str">
        <f>SUMIFS([1]order_sku_sales_bb2_report!P:P,[1]order_sku_sales_bb2_report!H:H,C28751,[1]order_sku_sales_bb2_report!J:J,H28751)</f>
        <v>#ERROR!</v>
      </c>
      <c r="P952" s="6" t="str">
        <f>SUMIFS([1]order_sku_sales_bb2_report!O:O,[1]order_sku_sales_bb2_report!H:H,C28751,[1]order_sku_sales_bb2_report!J:J,H28751)</f>
        <v>#ERROR!</v>
      </c>
      <c r="Q952" s="6" t="str">
        <f t="shared" si="1"/>
        <v>22-12-2025</v>
      </c>
      <c r="R952" s="6" t="str">
        <f>IFERROR( VLOOKUP(C28751,[1]expressOrderReport!$S:$AZ,34,0),0)</f>
        <v>#ERROR!</v>
      </c>
      <c r="S952" s="6" t="str">
        <f>ARRAY_CONSTRAIN(ARRAYFORMULA(_xludf.XLOOKUP(D28751,[1]order_Report_SA_ID_BB2.0!V:V,[1]order_Report_SA_ID_BB2.0!AM:AM,"")), 1, 1)</f>
        <v>#ERROR!</v>
      </c>
      <c r="T952" s="6" t="str">
        <f t="shared" si="2"/>
        <v>Dec'25</v>
      </c>
    </row>
    <row r="953" ht="15.75" customHeight="1">
      <c r="A953" s="5">
        <v>46013.0</v>
      </c>
      <c r="B953" s="6">
        <v>3429.0</v>
      </c>
      <c r="C953" s="6">
        <v>1.859166485E9</v>
      </c>
      <c r="D953" s="6">
        <v>693222.0</v>
      </c>
      <c r="E953" s="6" t="s">
        <v>1514</v>
      </c>
      <c r="F953" s="6" t="s">
        <v>1515</v>
      </c>
      <c r="G953" s="6">
        <v>9.886776431E9</v>
      </c>
      <c r="H953" s="6">
        <v>4.0149833E7</v>
      </c>
      <c r="I953" s="6" t="s">
        <v>40</v>
      </c>
      <c r="J953" s="6" t="s">
        <v>21</v>
      </c>
      <c r="K953" s="6" t="s">
        <v>22</v>
      </c>
      <c r="L953" s="6">
        <v>79.0</v>
      </c>
      <c r="M953" s="5">
        <v>46013.0</v>
      </c>
      <c r="N953" s="6" t="s">
        <v>23</v>
      </c>
      <c r="O953" s="6" t="str">
        <f>SUMIFS([1]order_sku_sales_bb2_report!P:P,[1]order_sku_sales_bb2_report!H:H,C28752,[1]order_sku_sales_bb2_report!J:J,H28752)</f>
        <v>#ERROR!</v>
      </c>
      <c r="P953" s="6" t="str">
        <f>SUMIFS([1]order_sku_sales_bb2_report!O:O,[1]order_sku_sales_bb2_report!H:H,C28752,[1]order_sku_sales_bb2_report!J:J,H28752)</f>
        <v>#ERROR!</v>
      </c>
      <c r="Q953" s="6" t="str">
        <f t="shared" si="1"/>
        <v>22-12-2025</v>
      </c>
      <c r="R953" s="6" t="str">
        <f>IFERROR( VLOOKUP(C28752,[1]expressOrderReport!$S:$AZ,34,0),0)</f>
        <v>#ERROR!</v>
      </c>
      <c r="S953" s="6" t="str">
        <f>ARRAY_CONSTRAIN(ARRAYFORMULA(_xludf.XLOOKUP(D28752,[1]order_Report_SA_ID_BB2.0!V:V,[1]order_Report_SA_ID_BB2.0!AM:AM,"")), 1, 1)</f>
        <v>#ERROR!</v>
      </c>
      <c r="T953" s="6" t="str">
        <f t="shared" si="2"/>
        <v>Dec'25</v>
      </c>
    </row>
    <row r="954" ht="15.75" customHeight="1">
      <c r="A954" s="5">
        <v>46013.0</v>
      </c>
      <c r="B954" s="6">
        <v>7435.0</v>
      </c>
      <c r="C954" s="6">
        <v>1.859166489E9</v>
      </c>
      <c r="D954" s="6">
        <v>8080952.0</v>
      </c>
      <c r="E954" s="6" t="s">
        <v>1516</v>
      </c>
      <c r="F954" s="6" t="s">
        <v>1517</v>
      </c>
      <c r="G954" s="6">
        <v>9.008430414E9</v>
      </c>
      <c r="H954" s="6">
        <v>4.0149832E7</v>
      </c>
      <c r="I954" s="6" t="s">
        <v>26</v>
      </c>
      <c r="J954" s="6" t="s">
        <v>21</v>
      </c>
      <c r="K954" s="6" t="s">
        <v>22</v>
      </c>
      <c r="L954" s="6">
        <v>72.0</v>
      </c>
      <c r="M954" s="5">
        <v>46013.0</v>
      </c>
      <c r="N954" s="6" t="s">
        <v>23</v>
      </c>
      <c r="O954" s="6" t="str">
        <f>SUMIFS([1]order_sku_sales_bb2_report!P:P,[1]order_sku_sales_bb2_report!H:H,C28753,[1]order_sku_sales_bb2_report!J:J,H28753)</f>
        <v>#ERROR!</v>
      </c>
      <c r="P954" s="6" t="str">
        <f>SUMIFS([1]order_sku_sales_bb2_report!O:O,[1]order_sku_sales_bb2_report!H:H,C28753,[1]order_sku_sales_bb2_report!J:J,H28753)</f>
        <v>#ERROR!</v>
      </c>
      <c r="Q954" s="6" t="str">
        <f t="shared" si="1"/>
        <v>22-12-2025</v>
      </c>
      <c r="R954" s="6" t="str">
        <f>IFERROR( VLOOKUP(C28753,[1]expressOrderReport!$S:$AZ,34,0),0)</f>
        <v>#ERROR!</v>
      </c>
      <c r="S954" s="6" t="str">
        <f>ARRAY_CONSTRAIN(ARRAYFORMULA(_xludf.XLOOKUP(D28753,[1]order_Report_SA_ID_BB2.0!V:V,[1]order_Report_SA_ID_BB2.0!AM:AM,"")), 1, 1)</f>
        <v>#ERROR!</v>
      </c>
      <c r="T954" s="6" t="str">
        <f t="shared" si="2"/>
        <v>Dec'25</v>
      </c>
    </row>
    <row r="955" ht="15.75" customHeight="1">
      <c r="A955" s="5">
        <v>46013.0</v>
      </c>
      <c r="B955" s="6">
        <v>3399.0</v>
      </c>
      <c r="C955" s="6">
        <v>1.859166493E9</v>
      </c>
      <c r="D955" s="6">
        <v>1385763.0</v>
      </c>
      <c r="E955" s="6" t="s">
        <v>1518</v>
      </c>
      <c r="F955" s="6" t="s">
        <v>1519</v>
      </c>
      <c r="G955" s="6">
        <v>8.130859303E9</v>
      </c>
      <c r="H955" s="6">
        <v>4.0149832E7</v>
      </c>
      <c r="I955" s="6" t="s">
        <v>26</v>
      </c>
      <c r="J955" s="6" t="s">
        <v>21</v>
      </c>
      <c r="K955" s="6" t="s">
        <v>22</v>
      </c>
      <c r="L955" s="6">
        <v>90.0</v>
      </c>
      <c r="M955" s="5">
        <v>46013.0</v>
      </c>
      <c r="N955" s="6" t="s">
        <v>23</v>
      </c>
      <c r="O955" s="6" t="str">
        <f>SUMIFS([1]order_sku_sales_bb2_report!P:P,[1]order_sku_sales_bb2_report!H:H,C28754,[1]order_sku_sales_bb2_report!J:J,H28754)</f>
        <v>#ERROR!</v>
      </c>
      <c r="P955" s="6" t="str">
        <f>SUMIFS([1]order_sku_sales_bb2_report!O:O,[1]order_sku_sales_bb2_report!H:H,C28754,[1]order_sku_sales_bb2_report!J:J,H28754)</f>
        <v>#ERROR!</v>
      </c>
      <c r="Q955" s="6" t="str">
        <f t="shared" si="1"/>
        <v>22-12-2025</v>
      </c>
      <c r="R955" s="6" t="str">
        <f>IFERROR( VLOOKUP(C28754,[1]expressOrderReport!$S:$AZ,34,0),0)</f>
        <v>#ERROR!</v>
      </c>
      <c r="S955" s="6" t="str">
        <f>ARRAY_CONSTRAIN(ARRAYFORMULA(_xludf.XLOOKUP(D28754,[1]order_Report_SA_ID_BB2.0!V:V,[1]order_Report_SA_ID_BB2.0!AM:AM,"")), 1, 1)</f>
        <v>#ERROR!</v>
      </c>
      <c r="T955" s="6" t="str">
        <f t="shared" si="2"/>
        <v>Dec'25</v>
      </c>
    </row>
    <row r="956" ht="15.75" customHeight="1">
      <c r="A956" s="5">
        <v>46013.0</v>
      </c>
      <c r="B956" s="6">
        <v>10843.0</v>
      </c>
      <c r="C956" s="6">
        <v>1.859166493E9</v>
      </c>
      <c r="D956" s="6">
        <v>1385763.0</v>
      </c>
      <c r="E956" s="6" t="s">
        <v>1518</v>
      </c>
      <c r="F956" s="6" t="s">
        <v>1519</v>
      </c>
      <c r="G956" s="6">
        <v>8.130859303E9</v>
      </c>
      <c r="H956" s="6">
        <v>4.0148723E7</v>
      </c>
      <c r="I956" s="6" t="s">
        <v>69</v>
      </c>
      <c r="J956" s="6" t="s">
        <v>21</v>
      </c>
      <c r="K956" s="6" t="s">
        <v>22</v>
      </c>
      <c r="L956" s="6">
        <v>90.0</v>
      </c>
      <c r="M956" s="5">
        <v>46013.0</v>
      </c>
      <c r="N956" s="6" t="s">
        <v>23</v>
      </c>
      <c r="O956" s="6" t="str">
        <f>SUMIFS([1]order_sku_sales_bb2_report!P:P,[1]order_sku_sales_bb2_report!H:H,C28755,[1]order_sku_sales_bb2_report!J:J,H28755)</f>
        <v>#ERROR!</v>
      </c>
      <c r="P956" s="6" t="str">
        <f>SUMIFS([1]order_sku_sales_bb2_report!O:O,[1]order_sku_sales_bb2_report!H:H,C28755,[1]order_sku_sales_bb2_report!J:J,H28755)</f>
        <v>#ERROR!</v>
      </c>
      <c r="Q956" s="6" t="str">
        <f t="shared" si="1"/>
        <v>22-12-2025</v>
      </c>
      <c r="R956" s="6" t="str">
        <f>IFERROR( VLOOKUP(C28755,[1]expressOrderReport!$S:$AZ,34,0),0)</f>
        <v>#ERROR!</v>
      </c>
      <c r="S956" s="6" t="str">
        <f>ARRAY_CONSTRAIN(ARRAYFORMULA(_xludf.XLOOKUP(D28755,[1]order_Report_SA_ID_BB2.0!V:V,[1]order_Report_SA_ID_BB2.0!AM:AM,"")), 1, 1)</f>
        <v>#ERROR!</v>
      </c>
      <c r="T956" s="6" t="str">
        <f t="shared" si="2"/>
        <v>Dec'25</v>
      </c>
    </row>
    <row r="957" ht="15.75" customHeight="1">
      <c r="A957" s="5">
        <v>46013.0</v>
      </c>
      <c r="B957" s="6">
        <v>3647.0</v>
      </c>
      <c r="C957" s="6">
        <v>1.8591665E9</v>
      </c>
      <c r="D957" s="6">
        <v>488476.0</v>
      </c>
      <c r="E957" s="6" t="s">
        <v>1520</v>
      </c>
      <c r="F957" s="6" t="s">
        <v>1521</v>
      </c>
      <c r="G957" s="6">
        <v>9.620023E9</v>
      </c>
      <c r="H957" s="6">
        <v>4.0149832E7</v>
      </c>
      <c r="I957" s="6" t="s">
        <v>26</v>
      </c>
      <c r="J957" s="6" t="s">
        <v>21</v>
      </c>
      <c r="K957" s="6" t="s">
        <v>22</v>
      </c>
      <c r="L957" s="6">
        <v>498.05</v>
      </c>
      <c r="M957" s="5">
        <v>46013.0</v>
      </c>
      <c r="N957" s="6" t="s">
        <v>23</v>
      </c>
      <c r="O957" s="6" t="str">
        <f>SUMIFS([1]order_sku_sales_bb2_report!P:P,[1]order_sku_sales_bb2_report!H:H,C28756,[1]order_sku_sales_bb2_report!J:J,H28756)</f>
        <v>#ERROR!</v>
      </c>
      <c r="P957" s="6" t="str">
        <f>SUMIFS([1]order_sku_sales_bb2_report!O:O,[1]order_sku_sales_bb2_report!H:H,C28756,[1]order_sku_sales_bb2_report!J:J,H28756)</f>
        <v>#ERROR!</v>
      </c>
      <c r="Q957" s="6" t="str">
        <f t="shared" si="1"/>
        <v>22-12-2025</v>
      </c>
      <c r="R957" s="6" t="str">
        <f>IFERROR( VLOOKUP(C28756,[1]expressOrderReport!$S:$AZ,34,0),0)</f>
        <v>#ERROR!</v>
      </c>
      <c r="S957" s="6" t="str">
        <f>ARRAY_CONSTRAIN(ARRAYFORMULA(_xludf.XLOOKUP(D28756,[1]order_Report_SA_ID_BB2.0!V:V,[1]order_Report_SA_ID_BB2.0!AM:AM,"")), 1, 1)</f>
        <v>#ERROR!</v>
      </c>
      <c r="T957" s="6" t="str">
        <f t="shared" si="2"/>
        <v>Dec'25</v>
      </c>
    </row>
    <row r="958" ht="15.75" customHeight="1">
      <c r="A958" s="5">
        <v>46013.0</v>
      </c>
      <c r="B958" s="6">
        <v>3649.0</v>
      </c>
      <c r="C958" s="6">
        <v>1.8591665E9</v>
      </c>
      <c r="D958" s="6">
        <v>488476.0</v>
      </c>
      <c r="E958" s="6" t="s">
        <v>1520</v>
      </c>
      <c r="F958" s="6" t="s">
        <v>1521</v>
      </c>
      <c r="G958" s="6">
        <v>9.620023E9</v>
      </c>
      <c r="H958" s="6">
        <v>4.0158264E7</v>
      </c>
      <c r="I958" s="6" t="s">
        <v>26</v>
      </c>
      <c r="J958" s="6" t="s">
        <v>21</v>
      </c>
      <c r="K958" s="6" t="s">
        <v>22</v>
      </c>
      <c r="L958" s="6">
        <v>498.05</v>
      </c>
      <c r="M958" s="5">
        <v>46013.0</v>
      </c>
      <c r="N958" s="6" t="s">
        <v>23</v>
      </c>
      <c r="O958" s="6" t="str">
        <f>SUMIFS([1]order_sku_sales_bb2_report!P:P,[1]order_sku_sales_bb2_report!H:H,C28757,[1]order_sku_sales_bb2_report!J:J,H28757)</f>
        <v>#ERROR!</v>
      </c>
      <c r="P958" s="6" t="str">
        <f>SUMIFS([1]order_sku_sales_bb2_report!O:O,[1]order_sku_sales_bb2_report!H:H,C28757,[1]order_sku_sales_bb2_report!J:J,H28757)</f>
        <v>#ERROR!</v>
      </c>
      <c r="Q958" s="6" t="str">
        <f t="shared" si="1"/>
        <v>22-12-2025</v>
      </c>
      <c r="R958" s="6" t="str">
        <f>IFERROR( VLOOKUP(C28757,[1]expressOrderReport!$S:$AZ,34,0),0)</f>
        <v>#ERROR!</v>
      </c>
      <c r="S958" s="6" t="str">
        <f>ARRAY_CONSTRAIN(ARRAYFORMULA(_xludf.XLOOKUP(D28757,[1]order_Report_SA_ID_BB2.0!V:V,[1]order_Report_SA_ID_BB2.0!AM:AM,"")), 1, 1)</f>
        <v>#ERROR!</v>
      </c>
      <c r="T958" s="6" t="str">
        <f t="shared" si="2"/>
        <v>Dec'25</v>
      </c>
    </row>
    <row r="959" ht="15.75" customHeight="1">
      <c r="A959" s="5">
        <v>46013.0</v>
      </c>
      <c r="B959" s="6">
        <v>3654.0</v>
      </c>
      <c r="C959" s="6">
        <v>1.8591665E9</v>
      </c>
      <c r="D959" s="6">
        <v>488476.0</v>
      </c>
      <c r="E959" s="6" t="s">
        <v>1520</v>
      </c>
      <c r="F959" s="6" t="s">
        <v>1521</v>
      </c>
      <c r="G959" s="6">
        <v>9.620023E9</v>
      </c>
      <c r="H959" s="6">
        <v>271205.0</v>
      </c>
      <c r="I959" s="6" t="s">
        <v>941</v>
      </c>
      <c r="J959" s="6" t="s">
        <v>21</v>
      </c>
      <c r="K959" s="6" t="s">
        <v>22</v>
      </c>
      <c r="L959" s="6">
        <v>498.05</v>
      </c>
      <c r="M959" s="5">
        <v>46013.0</v>
      </c>
      <c r="N959" s="6" t="s">
        <v>23</v>
      </c>
      <c r="O959" s="6" t="str">
        <f>SUMIFS([1]order_sku_sales_bb2_report!P:P,[1]order_sku_sales_bb2_report!H:H,C28758,[1]order_sku_sales_bb2_report!J:J,H28758)</f>
        <v>#ERROR!</v>
      </c>
      <c r="P959" s="6" t="str">
        <f>SUMIFS([1]order_sku_sales_bb2_report!O:O,[1]order_sku_sales_bb2_report!H:H,C28758,[1]order_sku_sales_bb2_report!J:J,H28758)</f>
        <v>#ERROR!</v>
      </c>
      <c r="Q959" s="6" t="str">
        <f t="shared" si="1"/>
        <v>22-12-2025</v>
      </c>
      <c r="R959" s="6" t="str">
        <f>IFERROR( VLOOKUP(C28758,[1]expressOrderReport!$S:$AZ,34,0),0)</f>
        <v>#ERROR!</v>
      </c>
      <c r="S959" s="6" t="str">
        <f>ARRAY_CONSTRAIN(ARRAYFORMULA(_xludf.XLOOKUP(D28758,[1]order_Report_SA_ID_BB2.0!V:V,[1]order_Report_SA_ID_BB2.0!AM:AM,"")), 1, 1)</f>
        <v>#ERROR!</v>
      </c>
      <c r="T959" s="6" t="str">
        <f t="shared" si="2"/>
        <v>Dec'25</v>
      </c>
    </row>
    <row r="960" ht="15.75" customHeight="1">
      <c r="A960" s="5">
        <v>46013.0</v>
      </c>
      <c r="B960" s="6">
        <v>4207.0</v>
      </c>
      <c r="C960" s="6">
        <v>1.8591665E9</v>
      </c>
      <c r="D960" s="6">
        <v>488476.0</v>
      </c>
      <c r="E960" s="6" t="s">
        <v>1520</v>
      </c>
      <c r="F960" s="6" t="s">
        <v>1521</v>
      </c>
      <c r="G960" s="6">
        <v>9.620023E9</v>
      </c>
      <c r="H960" s="6">
        <v>4.0148714E7</v>
      </c>
      <c r="I960" s="6" t="s">
        <v>183</v>
      </c>
      <c r="J960" s="6" t="s">
        <v>21</v>
      </c>
      <c r="K960" s="6" t="s">
        <v>22</v>
      </c>
      <c r="L960" s="6">
        <v>498.05</v>
      </c>
      <c r="M960" s="5">
        <v>46013.0</v>
      </c>
      <c r="N960" s="6" t="s">
        <v>23</v>
      </c>
      <c r="O960" s="6" t="str">
        <f>SUMIFS([1]order_sku_sales_bb2_report!P:P,[1]order_sku_sales_bb2_report!H:H,C28759,[1]order_sku_sales_bb2_report!J:J,H28759)</f>
        <v>#ERROR!</v>
      </c>
      <c r="P960" s="6" t="str">
        <f>SUMIFS([1]order_sku_sales_bb2_report!O:O,[1]order_sku_sales_bb2_report!H:H,C28759,[1]order_sku_sales_bb2_report!J:J,H28759)</f>
        <v>#ERROR!</v>
      </c>
      <c r="Q960" s="6" t="str">
        <f t="shared" si="1"/>
        <v>22-12-2025</v>
      </c>
      <c r="R960" s="6" t="str">
        <f>IFERROR( VLOOKUP(C28759,[1]expressOrderReport!$S:$AZ,34,0),0)</f>
        <v>#ERROR!</v>
      </c>
      <c r="S960" s="6" t="str">
        <f>ARRAY_CONSTRAIN(ARRAYFORMULA(_xludf.XLOOKUP(D28759,[1]order_Report_SA_ID_BB2.0!V:V,[1]order_Report_SA_ID_BB2.0!AM:AM,"")), 1, 1)</f>
        <v>#ERROR!</v>
      </c>
      <c r="T960" s="6" t="str">
        <f t="shared" si="2"/>
        <v>Dec'25</v>
      </c>
    </row>
    <row r="961" ht="15.75" customHeight="1">
      <c r="A961" s="5">
        <v>46013.0</v>
      </c>
      <c r="B961" s="6">
        <v>4303.0</v>
      </c>
      <c r="C961" s="6">
        <v>1.8591665E9</v>
      </c>
      <c r="D961" s="6">
        <v>488476.0</v>
      </c>
      <c r="E961" s="6" t="s">
        <v>1520</v>
      </c>
      <c r="F961" s="6" t="s">
        <v>1521</v>
      </c>
      <c r="G961" s="6">
        <v>9.620023E9</v>
      </c>
      <c r="H961" s="6">
        <v>2.0000005E7</v>
      </c>
      <c r="I961" s="6" t="s">
        <v>1374</v>
      </c>
      <c r="J961" s="6" t="s">
        <v>21</v>
      </c>
      <c r="K961" s="6" t="s">
        <v>22</v>
      </c>
      <c r="L961" s="6">
        <v>498.05</v>
      </c>
      <c r="M961" s="5">
        <v>46013.0</v>
      </c>
      <c r="N961" s="6" t="s">
        <v>23</v>
      </c>
      <c r="O961" s="6" t="str">
        <f>SUMIFS([1]order_sku_sales_bb2_report!P:P,[1]order_sku_sales_bb2_report!H:H,C28760,[1]order_sku_sales_bb2_report!J:J,H28760)</f>
        <v>#ERROR!</v>
      </c>
      <c r="P961" s="6" t="str">
        <f>SUMIFS([1]order_sku_sales_bb2_report!O:O,[1]order_sku_sales_bb2_report!H:H,C28760,[1]order_sku_sales_bb2_report!J:J,H28760)</f>
        <v>#ERROR!</v>
      </c>
      <c r="Q961" s="6" t="str">
        <f t="shared" si="1"/>
        <v>22-12-2025</v>
      </c>
      <c r="R961" s="6" t="str">
        <f>IFERROR( VLOOKUP(C28760,[1]expressOrderReport!$S:$AZ,34,0),0)</f>
        <v>#ERROR!</v>
      </c>
      <c r="S961" s="6" t="str">
        <f>ARRAY_CONSTRAIN(ARRAYFORMULA(_xludf.XLOOKUP(D28760,[1]order_Report_SA_ID_BB2.0!V:V,[1]order_Report_SA_ID_BB2.0!AM:AM,"")), 1, 1)</f>
        <v>#ERROR!</v>
      </c>
      <c r="T961" s="6" t="str">
        <f t="shared" si="2"/>
        <v>Dec'25</v>
      </c>
    </row>
    <row r="962" ht="15.75" customHeight="1">
      <c r="A962" s="5">
        <v>46013.0</v>
      </c>
      <c r="B962" s="6">
        <v>6563.0</v>
      </c>
      <c r="C962" s="6">
        <v>1.8591665E9</v>
      </c>
      <c r="D962" s="6">
        <v>488476.0</v>
      </c>
      <c r="E962" s="6" t="s">
        <v>1520</v>
      </c>
      <c r="F962" s="6" t="s">
        <v>1521</v>
      </c>
      <c r="G962" s="6">
        <v>9.620023E9</v>
      </c>
      <c r="H962" s="6">
        <v>4.0324709E7</v>
      </c>
      <c r="I962" s="6" t="s">
        <v>1522</v>
      </c>
      <c r="J962" s="6" t="s">
        <v>21</v>
      </c>
      <c r="K962" s="6" t="s">
        <v>22</v>
      </c>
      <c r="L962" s="6">
        <v>498.05</v>
      </c>
      <c r="M962" s="5">
        <v>46013.0</v>
      </c>
      <c r="N962" s="6" t="s">
        <v>23</v>
      </c>
      <c r="O962" s="6" t="str">
        <f>SUMIFS([1]order_sku_sales_bb2_report!P:P,[1]order_sku_sales_bb2_report!H:H,C28761,[1]order_sku_sales_bb2_report!J:J,H28761)</f>
        <v>#ERROR!</v>
      </c>
      <c r="P962" s="6" t="str">
        <f>SUMIFS([1]order_sku_sales_bb2_report!O:O,[1]order_sku_sales_bb2_report!H:H,C28761,[1]order_sku_sales_bb2_report!J:J,H28761)</f>
        <v>#ERROR!</v>
      </c>
      <c r="Q962" s="6" t="str">
        <f t="shared" si="1"/>
        <v>22-12-2025</v>
      </c>
      <c r="R962" s="6" t="str">
        <f>IFERROR( VLOOKUP(C28761,[1]expressOrderReport!$S:$AZ,34,0),0)</f>
        <v>#ERROR!</v>
      </c>
      <c r="S962" s="6" t="str">
        <f>ARRAY_CONSTRAIN(ARRAYFORMULA(_xludf.XLOOKUP(D28761,[1]order_Report_SA_ID_BB2.0!V:V,[1]order_Report_SA_ID_BB2.0!AM:AM,"")), 1, 1)</f>
        <v>#ERROR!</v>
      </c>
      <c r="T962" s="6" t="str">
        <f t="shared" si="2"/>
        <v>Dec'25</v>
      </c>
    </row>
    <row r="963" ht="15.75" customHeight="1">
      <c r="A963" s="5">
        <v>46013.0</v>
      </c>
      <c r="B963" s="6">
        <v>6643.0</v>
      </c>
      <c r="C963" s="6">
        <v>1.8591665E9</v>
      </c>
      <c r="D963" s="6">
        <v>488476.0</v>
      </c>
      <c r="E963" s="6" t="s">
        <v>1520</v>
      </c>
      <c r="F963" s="6" t="s">
        <v>1521</v>
      </c>
      <c r="G963" s="6">
        <v>9.620023E9</v>
      </c>
      <c r="H963" s="6">
        <v>4.026257E7</v>
      </c>
      <c r="I963" s="6" t="s">
        <v>1523</v>
      </c>
      <c r="J963" s="6" t="s">
        <v>21</v>
      </c>
      <c r="K963" s="6" t="s">
        <v>22</v>
      </c>
      <c r="L963" s="6">
        <v>498.05</v>
      </c>
      <c r="M963" s="5">
        <v>46013.0</v>
      </c>
      <c r="N963" s="6" t="s">
        <v>23</v>
      </c>
      <c r="O963" s="6" t="str">
        <f>SUMIFS([1]order_sku_sales_bb2_report!P:P,[1]order_sku_sales_bb2_report!H:H,C28762,[1]order_sku_sales_bb2_report!J:J,H28762)</f>
        <v>#ERROR!</v>
      </c>
      <c r="P963" s="6" t="str">
        <f>SUMIFS([1]order_sku_sales_bb2_report!O:O,[1]order_sku_sales_bb2_report!H:H,C28762,[1]order_sku_sales_bb2_report!J:J,H28762)</f>
        <v>#ERROR!</v>
      </c>
      <c r="Q963" s="6" t="str">
        <f t="shared" si="1"/>
        <v>22-12-2025</v>
      </c>
      <c r="R963" s="6" t="str">
        <f>IFERROR( VLOOKUP(C28762,[1]expressOrderReport!$S:$AZ,34,0),0)</f>
        <v>#ERROR!</v>
      </c>
      <c r="S963" s="6" t="str">
        <f>ARRAY_CONSTRAIN(ARRAYFORMULA(_xludf.XLOOKUP(D28762,[1]order_Report_SA_ID_BB2.0!V:V,[1]order_Report_SA_ID_BB2.0!AM:AM,"")), 1, 1)</f>
        <v>#ERROR!</v>
      </c>
      <c r="T963" s="6" t="str">
        <f t="shared" si="2"/>
        <v>Dec'25</v>
      </c>
    </row>
    <row r="964" ht="15.75" customHeight="1">
      <c r="A964" s="5">
        <v>46013.0</v>
      </c>
      <c r="B964" s="6">
        <v>11261.0</v>
      </c>
      <c r="C964" s="6">
        <v>1.8591665E9</v>
      </c>
      <c r="D964" s="6">
        <v>488476.0</v>
      </c>
      <c r="E964" s="6" t="s">
        <v>1520</v>
      </c>
      <c r="F964" s="6" t="s">
        <v>1521</v>
      </c>
      <c r="G964" s="6">
        <v>9.620023E9</v>
      </c>
      <c r="H964" s="6">
        <v>4.0119402E7</v>
      </c>
      <c r="I964" s="6" t="s">
        <v>1524</v>
      </c>
      <c r="J964" s="6" t="s">
        <v>21</v>
      </c>
      <c r="K964" s="6" t="s">
        <v>22</v>
      </c>
      <c r="L964" s="6">
        <v>498.05</v>
      </c>
      <c r="M964" s="5">
        <v>46013.0</v>
      </c>
      <c r="N964" s="6" t="s">
        <v>23</v>
      </c>
      <c r="O964" s="6" t="str">
        <f>SUMIFS([1]order_sku_sales_bb2_report!P:P,[1]order_sku_sales_bb2_report!H:H,C28763,[1]order_sku_sales_bb2_report!J:J,H28763)</f>
        <v>#ERROR!</v>
      </c>
      <c r="P964" s="6" t="str">
        <f>SUMIFS([1]order_sku_sales_bb2_report!O:O,[1]order_sku_sales_bb2_report!H:H,C28763,[1]order_sku_sales_bb2_report!J:J,H28763)</f>
        <v>#ERROR!</v>
      </c>
      <c r="Q964" s="6" t="str">
        <f t="shared" si="1"/>
        <v>22-12-2025</v>
      </c>
      <c r="R964" s="6" t="str">
        <f>IFERROR( VLOOKUP(C28763,[1]expressOrderReport!$S:$AZ,34,0),0)</f>
        <v>#ERROR!</v>
      </c>
      <c r="S964" s="6" t="str">
        <f>ARRAY_CONSTRAIN(ARRAYFORMULA(_xludf.XLOOKUP(D28763,[1]order_Report_SA_ID_BB2.0!V:V,[1]order_Report_SA_ID_BB2.0!AM:AM,"")), 1, 1)</f>
        <v>#ERROR!</v>
      </c>
      <c r="T964" s="6" t="str">
        <f t="shared" si="2"/>
        <v>Dec'25</v>
      </c>
    </row>
    <row r="965" ht="15.75" customHeight="1">
      <c r="A965" s="5">
        <v>46013.0</v>
      </c>
      <c r="B965" s="6">
        <v>12049.0</v>
      </c>
      <c r="C965" s="6">
        <v>1.8591665E9</v>
      </c>
      <c r="D965" s="6">
        <v>488476.0</v>
      </c>
      <c r="E965" s="6" t="s">
        <v>1520</v>
      </c>
      <c r="F965" s="6" t="s">
        <v>1521</v>
      </c>
      <c r="G965" s="6">
        <v>9.620023E9</v>
      </c>
      <c r="H965" s="6">
        <v>4.0327873E7</v>
      </c>
      <c r="I965" s="6" t="s">
        <v>1525</v>
      </c>
      <c r="J965" s="6" t="s">
        <v>21</v>
      </c>
      <c r="K965" s="6" t="s">
        <v>22</v>
      </c>
      <c r="L965" s="6">
        <v>498.05</v>
      </c>
      <c r="M965" s="5">
        <v>46013.0</v>
      </c>
      <c r="N965" s="6" t="s">
        <v>23</v>
      </c>
      <c r="O965" s="6" t="str">
        <f>SUMIFS([1]order_sku_sales_bb2_report!P:P,[1]order_sku_sales_bb2_report!H:H,C28764,[1]order_sku_sales_bb2_report!J:J,H28764)</f>
        <v>#ERROR!</v>
      </c>
      <c r="P965" s="6" t="str">
        <f>SUMIFS([1]order_sku_sales_bb2_report!O:O,[1]order_sku_sales_bb2_report!H:H,C28764,[1]order_sku_sales_bb2_report!J:J,H28764)</f>
        <v>#ERROR!</v>
      </c>
      <c r="Q965" s="6" t="str">
        <f t="shared" si="1"/>
        <v>22-12-2025</v>
      </c>
      <c r="R965" s="6" t="str">
        <f>IFERROR( VLOOKUP(C28764,[1]expressOrderReport!$S:$AZ,34,0),0)</f>
        <v>#ERROR!</v>
      </c>
      <c r="S965" s="6" t="str">
        <f>ARRAY_CONSTRAIN(ARRAYFORMULA(_xludf.XLOOKUP(D28764,[1]order_Report_SA_ID_BB2.0!V:V,[1]order_Report_SA_ID_BB2.0!AM:AM,"")), 1, 1)</f>
        <v>#ERROR!</v>
      </c>
      <c r="T965" s="6" t="str">
        <f t="shared" si="2"/>
        <v>Dec'25</v>
      </c>
    </row>
    <row r="966" ht="15.75" customHeight="1">
      <c r="A966" s="5">
        <v>46013.0</v>
      </c>
      <c r="B966" s="6">
        <v>1315.0</v>
      </c>
      <c r="C966" s="6">
        <v>1.859166507E9</v>
      </c>
      <c r="D966" s="6">
        <v>1006252.0</v>
      </c>
      <c r="E966" s="6" t="s">
        <v>1526</v>
      </c>
      <c r="F966" s="6" t="s">
        <v>1527</v>
      </c>
      <c r="G966" s="6">
        <v>8.884768007E9</v>
      </c>
      <c r="H966" s="6">
        <v>4.0158264E7</v>
      </c>
      <c r="I966" s="6" t="s">
        <v>26</v>
      </c>
      <c r="J966" s="6" t="s">
        <v>21</v>
      </c>
      <c r="K966" s="6" t="s">
        <v>22</v>
      </c>
      <c r="L966" s="6">
        <v>46.0</v>
      </c>
      <c r="M966" s="5">
        <v>46013.0</v>
      </c>
      <c r="N966" s="6" t="s">
        <v>23</v>
      </c>
      <c r="O966" s="6" t="str">
        <f>SUMIFS([1]order_sku_sales_bb2_report!P:P,[1]order_sku_sales_bb2_report!H:H,C28765,[1]order_sku_sales_bb2_report!J:J,H28765)</f>
        <v>#ERROR!</v>
      </c>
      <c r="P966" s="6" t="str">
        <f>SUMIFS([1]order_sku_sales_bb2_report!O:O,[1]order_sku_sales_bb2_report!H:H,C28765,[1]order_sku_sales_bb2_report!J:J,H28765)</f>
        <v>#ERROR!</v>
      </c>
      <c r="Q966" s="6" t="str">
        <f t="shared" si="1"/>
        <v>22-12-2025</v>
      </c>
      <c r="R966" s="6" t="str">
        <f>IFERROR( VLOOKUP(C28765,[1]expressOrderReport!$S:$AZ,34,0),0)</f>
        <v>#ERROR!</v>
      </c>
      <c r="S966" s="6" t="str">
        <f>ARRAY_CONSTRAIN(ARRAYFORMULA(_xludf.XLOOKUP(D28765,[1]order_Report_SA_ID_BB2.0!V:V,[1]order_Report_SA_ID_BB2.0!AM:AM,"")), 1, 1)</f>
        <v>#ERROR!</v>
      </c>
      <c r="T966" s="6" t="str">
        <f t="shared" si="2"/>
        <v>Dec'25</v>
      </c>
    </row>
    <row r="967" ht="15.75" customHeight="1">
      <c r="A967" s="5">
        <v>46013.0</v>
      </c>
      <c r="B967" s="6">
        <v>6899.0</v>
      </c>
      <c r="C967" s="6">
        <v>1.859166511E9</v>
      </c>
      <c r="D967" s="6">
        <v>8194565.0</v>
      </c>
      <c r="E967" s="6" t="s">
        <v>1528</v>
      </c>
      <c r="F967" s="6" t="s">
        <v>1529</v>
      </c>
      <c r="G967" s="6">
        <v>8.65726166E9</v>
      </c>
      <c r="H967" s="6">
        <v>4.016372E7</v>
      </c>
      <c r="I967" s="6" t="s">
        <v>72</v>
      </c>
      <c r="J967" s="6" t="s">
        <v>21</v>
      </c>
      <c r="K967" s="6" t="s">
        <v>27</v>
      </c>
      <c r="L967" s="6">
        <v>111.9</v>
      </c>
      <c r="M967" s="5">
        <v>46013.0</v>
      </c>
      <c r="N967" s="6" t="s">
        <v>23</v>
      </c>
      <c r="O967" s="6" t="str">
        <f>SUMIFS([1]order_sku_sales_bb2_report!P:P,[1]order_sku_sales_bb2_report!H:H,C28766,[1]order_sku_sales_bb2_report!J:J,H28766)</f>
        <v>#ERROR!</v>
      </c>
      <c r="P967" s="6" t="str">
        <f>SUMIFS([1]order_sku_sales_bb2_report!O:O,[1]order_sku_sales_bb2_report!H:H,C28766,[1]order_sku_sales_bb2_report!J:J,H28766)</f>
        <v>#ERROR!</v>
      </c>
      <c r="Q967" s="6" t="str">
        <f t="shared" si="1"/>
        <v>22-12-2025</v>
      </c>
      <c r="R967" s="6" t="str">
        <f>IFERROR( VLOOKUP(C28766,[1]expressOrderReport!$S:$AZ,34,0),0)</f>
        <v>#ERROR!</v>
      </c>
      <c r="S967" s="6" t="str">
        <f>ARRAY_CONSTRAIN(ARRAYFORMULA(_xludf.XLOOKUP(D28766,[1]order_Report_SA_ID_BB2.0!V:V,[1]order_Report_SA_ID_BB2.0!AM:AM,"")), 1, 1)</f>
        <v>#ERROR!</v>
      </c>
      <c r="T967" s="6" t="str">
        <f t="shared" si="2"/>
        <v>Dec'25</v>
      </c>
    </row>
    <row r="968" ht="15.75" customHeight="1">
      <c r="A968" s="5">
        <v>46013.0</v>
      </c>
      <c r="B968" s="6">
        <v>6900.0</v>
      </c>
      <c r="C968" s="6">
        <v>1.859166511E9</v>
      </c>
      <c r="D968" s="6">
        <v>8194565.0</v>
      </c>
      <c r="E968" s="6" t="s">
        <v>1528</v>
      </c>
      <c r="F968" s="6" t="s">
        <v>1529</v>
      </c>
      <c r="G968" s="6">
        <v>8.65726166E9</v>
      </c>
      <c r="H968" s="6">
        <v>4.0158264E7</v>
      </c>
      <c r="I968" s="6" t="s">
        <v>26</v>
      </c>
      <c r="J968" s="6" t="s">
        <v>21</v>
      </c>
      <c r="K968" s="6" t="s">
        <v>27</v>
      </c>
      <c r="L968" s="6">
        <v>111.9</v>
      </c>
      <c r="M968" s="5">
        <v>46013.0</v>
      </c>
      <c r="N968" s="6" t="s">
        <v>23</v>
      </c>
      <c r="O968" s="6" t="str">
        <f>SUMIFS([1]order_sku_sales_bb2_report!P:P,[1]order_sku_sales_bb2_report!H:H,C28767,[1]order_sku_sales_bb2_report!J:J,H28767)</f>
        <v>#ERROR!</v>
      </c>
      <c r="P968" s="6" t="str">
        <f>SUMIFS([1]order_sku_sales_bb2_report!O:O,[1]order_sku_sales_bb2_report!H:H,C28767,[1]order_sku_sales_bb2_report!J:J,H28767)</f>
        <v>#ERROR!</v>
      </c>
      <c r="Q968" s="6" t="str">
        <f t="shared" si="1"/>
        <v>22-12-2025</v>
      </c>
      <c r="R968" s="6" t="str">
        <f>IFERROR( VLOOKUP(C28767,[1]expressOrderReport!$S:$AZ,34,0),0)</f>
        <v>#ERROR!</v>
      </c>
      <c r="S968" s="6" t="str">
        <f>ARRAY_CONSTRAIN(ARRAYFORMULA(_xludf.XLOOKUP(D28767,[1]order_Report_SA_ID_BB2.0!V:V,[1]order_Report_SA_ID_BB2.0!AM:AM,"")), 1, 1)</f>
        <v>#ERROR!</v>
      </c>
      <c r="T968" s="6" t="str">
        <f t="shared" si="2"/>
        <v>Dec'25</v>
      </c>
    </row>
    <row r="969" ht="15.75" customHeight="1">
      <c r="A969" s="5">
        <v>46013.0</v>
      </c>
      <c r="B969" s="6">
        <v>6901.0</v>
      </c>
      <c r="C969" s="6">
        <v>1.859166511E9</v>
      </c>
      <c r="D969" s="6">
        <v>8194565.0</v>
      </c>
      <c r="E969" s="6" t="s">
        <v>1528</v>
      </c>
      <c r="F969" s="6" t="s">
        <v>1529</v>
      </c>
      <c r="G969" s="6">
        <v>8.65726166E9</v>
      </c>
      <c r="H969" s="6">
        <v>4.0149831E7</v>
      </c>
      <c r="I969" s="6" t="s">
        <v>65</v>
      </c>
      <c r="J969" s="6" t="s">
        <v>21</v>
      </c>
      <c r="K969" s="6" t="s">
        <v>27</v>
      </c>
      <c r="L969" s="6">
        <v>111.9</v>
      </c>
      <c r="M969" s="5">
        <v>46013.0</v>
      </c>
      <c r="N969" s="6" t="s">
        <v>23</v>
      </c>
      <c r="O969" s="6" t="str">
        <f>SUMIFS([1]order_sku_sales_bb2_report!P:P,[1]order_sku_sales_bb2_report!H:H,C28768,[1]order_sku_sales_bb2_report!J:J,H28768)</f>
        <v>#ERROR!</v>
      </c>
      <c r="P969" s="6" t="str">
        <f>SUMIFS([1]order_sku_sales_bb2_report!O:O,[1]order_sku_sales_bb2_report!H:H,C28768,[1]order_sku_sales_bb2_report!J:J,H28768)</f>
        <v>#ERROR!</v>
      </c>
      <c r="Q969" s="6" t="str">
        <f t="shared" si="1"/>
        <v>22-12-2025</v>
      </c>
      <c r="R969" s="6" t="str">
        <f>IFERROR( VLOOKUP(C28768,[1]expressOrderReport!$S:$AZ,34,0),0)</f>
        <v>#ERROR!</v>
      </c>
      <c r="S969" s="6" t="str">
        <f>ARRAY_CONSTRAIN(ARRAYFORMULA(_xludf.XLOOKUP(D28768,[1]order_Report_SA_ID_BB2.0!V:V,[1]order_Report_SA_ID_BB2.0!AM:AM,"")), 1, 1)</f>
        <v>#ERROR!</v>
      </c>
      <c r="T969" s="6" t="str">
        <f t="shared" si="2"/>
        <v>Dec'25</v>
      </c>
    </row>
    <row r="970" ht="15.75" customHeight="1">
      <c r="A970" s="5">
        <v>46013.0</v>
      </c>
      <c r="B970" s="6">
        <v>10139.0</v>
      </c>
      <c r="C970" s="6">
        <v>1.859166517E9</v>
      </c>
      <c r="D970" s="6">
        <v>5722920.0</v>
      </c>
      <c r="E970" s="6" t="s">
        <v>1530</v>
      </c>
      <c r="F970" s="6" t="s">
        <v>1531</v>
      </c>
      <c r="G970" s="6">
        <v>9.632007755E9</v>
      </c>
      <c r="H970" s="6">
        <v>4.0148714E7</v>
      </c>
      <c r="I970" s="6" t="s">
        <v>183</v>
      </c>
      <c r="J970" s="6" t="s">
        <v>21</v>
      </c>
      <c r="K970" s="6" t="s">
        <v>22</v>
      </c>
      <c r="L970" s="6">
        <v>47.0</v>
      </c>
      <c r="M970" s="5">
        <v>46013.0</v>
      </c>
      <c r="N970" s="6" t="s">
        <v>23</v>
      </c>
      <c r="O970" s="6" t="str">
        <f>SUMIFS([1]order_sku_sales_bb2_report!P:P,[1]order_sku_sales_bb2_report!H:H,C28769,[1]order_sku_sales_bb2_report!J:J,H28769)</f>
        <v>#ERROR!</v>
      </c>
      <c r="P970" s="6" t="str">
        <f>SUMIFS([1]order_sku_sales_bb2_report!O:O,[1]order_sku_sales_bb2_report!H:H,C28769,[1]order_sku_sales_bb2_report!J:J,H28769)</f>
        <v>#ERROR!</v>
      </c>
      <c r="Q970" s="6" t="str">
        <f t="shared" si="1"/>
        <v>22-12-2025</v>
      </c>
      <c r="R970" s="6" t="str">
        <f>IFERROR( VLOOKUP(C28769,[1]expressOrderReport!$S:$AZ,34,0),0)</f>
        <v>#ERROR!</v>
      </c>
      <c r="S970" s="6" t="str">
        <f>ARRAY_CONSTRAIN(ARRAYFORMULA(_xludf.XLOOKUP(D28769,[1]order_Report_SA_ID_BB2.0!V:V,[1]order_Report_SA_ID_BB2.0!AM:AM,"")), 1, 1)</f>
        <v>#ERROR!</v>
      </c>
      <c r="T970" s="6" t="str">
        <f t="shared" si="2"/>
        <v>Dec'25</v>
      </c>
    </row>
    <row r="971" ht="15.75" customHeight="1">
      <c r="A971" s="5">
        <v>46013.0</v>
      </c>
      <c r="B971" s="6">
        <v>11487.0</v>
      </c>
      <c r="C971" s="6">
        <v>1.859166521E9</v>
      </c>
      <c r="D971" s="6">
        <v>8306942.0</v>
      </c>
      <c r="E971" s="6" t="s">
        <v>1532</v>
      </c>
      <c r="F971" s="6" t="s">
        <v>1533</v>
      </c>
      <c r="G971" s="6">
        <v>9.98056069E9</v>
      </c>
      <c r="H971" s="6">
        <v>4.0148716E7</v>
      </c>
      <c r="I971" s="6" t="s">
        <v>148</v>
      </c>
      <c r="J971" s="6" t="s">
        <v>21</v>
      </c>
      <c r="K971" s="6" t="s">
        <v>22</v>
      </c>
      <c r="L971" s="6">
        <v>90.0</v>
      </c>
      <c r="M971" s="5">
        <v>46013.0</v>
      </c>
      <c r="N971" s="6" t="s">
        <v>23</v>
      </c>
      <c r="O971" s="6" t="str">
        <f>SUMIFS([1]order_sku_sales_bb2_report!P:P,[1]order_sku_sales_bb2_report!H:H,C28770,[1]order_sku_sales_bb2_report!J:J,H28770)</f>
        <v>#ERROR!</v>
      </c>
      <c r="P971" s="6" t="str">
        <f>SUMIFS([1]order_sku_sales_bb2_report!O:O,[1]order_sku_sales_bb2_report!H:H,C28770,[1]order_sku_sales_bb2_report!J:J,H28770)</f>
        <v>#ERROR!</v>
      </c>
      <c r="Q971" s="6" t="str">
        <f t="shared" si="1"/>
        <v>22-12-2025</v>
      </c>
      <c r="R971" s="6" t="str">
        <f>IFERROR( VLOOKUP(C28770,[1]expressOrderReport!$S:$AZ,34,0),0)</f>
        <v>#ERROR!</v>
      </c>
      <c r="S971" s="6" t="str">
        <f>ARRAY_CONSTRAIN(ARRAYFORMULA(_xludf.XLOOKUP(D28770,[1]order_Report_SA_ID_BB2.0!V:V,[1]order_Report_SA_ID_BB2.0!AM:AM,"")), 1, 1)</f>
        <v>#ERROR!</v>
      </c>
      <c r="T971" s="6" t="str">
        <f t="shared" si="2"/>
        <v>Dec'25</v>
      </c>
    </row>
    <row r="972" ht="15.75" customHeight="1">
      <c r="A972" s="5">
        <v>46013.0</v>
      </c>
      <c r="B972" s="6">
        <v>2247.0</v>
      </c>
      <c r="C972" s="6">
        <v>1.859166527E9</v>
      </c>
      <c r="D972" s="6">
        <v>8411687.0</v>
      </c>
      <c r="E972" s="6" t="s">
        <v>1534</v>
      </c>
      <c r="F972" s="6" t="s">
        <v>1535</v>
      </c>
      <c r="G972" s="6">
        <v>9.731853263E9</v>
      </c>
      <c r="H972" s="6">
        <v>4.0149833E7</v>
      </c>
      <c r="I972" s="6" t="s">
        <v>40</v>
      </c>
      <c r="J972" s="6" t="s">
        <v>21</v>
      </c>
      <c r="K972" s="6" t="s">
        <v>22</v>
      </c>
      <c r="L972" s="6">
        <v>54.0</v>
      </c>
      <c r="M972" s="5">
        <v>46013.0</v>
      </c>
      <c r="N972" s="6" t="s">
        <v>23</v>
      </c>
      <c r="O972" s="6" t="str">
        <f>SUMIFS([1]order_sku_sales_bb2_report!P:P,[1]order_sku_sales_bb2_report!H:H,C28771,[1]order_sku_sales_bb2_report!J:J,H28771)</f>
        <v>#ERROR!</v>
      </c>
      <c r="P972" s="6" t="str">
        <f>SUMIFS([1]order_sku_sales_bb2_report!O:O,[1]order_sku_sales_bb2_report!H:H,C28771,[1]order_sku_sales_bb2_report!J:J,H28771)</f>
        <v>#ERROR!</v>
      </c>
      <c r="Q972" s="6" t="str">
        <f t="shared" si="1"/>
        <v>22-12-2025</v>
      </c>
      <c r="R972" s="6" t="str">
        <f>IFERROR( VLOOKUP(C28771,[1]expressOrderReport!$S:$AZ,34,0),0)</f>
        <v>#ERROR!</v>
      </c>
      <c r="S972" s="6" t="str">
        <f>ARRAY_CONSTRAIN(ARRAYFORMULA(_xludf.XLOOKUP(D28771,[1]order_Report_SA_ID_BB2.0!V:V,[1]order_Report_SA_ID_BB2.0!AM:AM,"")), 1, 1)</f>
        <v>#ERROR!</v>
      </c>
      <c r="T972" s="6" t="str">
        <f t="shared" si="2"/>
        <v>Dec'25</v>
      </c>
    </row>
    <row r="973" ht="15.75" customHeight="1">
      <c r="A973" s="5">
        <v>46013.0</v>
      </c>
      <c r="B973" s="6">
        <v>5270.0</v>
      </c>
      <c r="C973" s="6">
        <v>1.85916653E9</v>
      </c>
      <c r="D973" s="6">
        <v>4136571.0</v>
      </c>
      <c r="E973" s="6" t="s">
        <v>1536</v>
      </c>
      <c r="F973" s="6" t="s">
        <v>1537</v>
      </c>
      <c r="G973" s="6">
        <v>7.760002244E9</v>
      </c>
      <c r="H973" s="6">
        <v>1.0000081E7</v>
      </c>
      <c r="I973" s="6" t="s">
        <v>1164</v>
      </c>
      <c r="J973" s="6" t="s">
        <v>21</v>
      </c>
      <c r="K973" s="6" t="s">
        <v>22</v>
      </c>
      <c r="L973" s="6">
        <v>58.98</v>
      </c>
      <c r="M973" s="5">
        <v>46013.0</v>
      </c>
      <c r="N973" s="6" t="s">
        <v>23</v>
      </c>
      <c r="O973" s="6" t="str">
        <f>SUMIFS([1]order_sku_sales_bb2_report!P:P,[1]order_sku_sales_bb2_report!H:H,C28772,[1]order_sku_sales_bb2_report!J:J,H28772)</f>
        <v>#ERROR!</v>
      </c>
      <c r="P973" s="6" t="str">
        <f>SUMIFS([1]order_sku_sales_bb2_report!O:O,[1]order_sku_sales_bb2_report!H:H,C28772,[1]order_sku_sales_bb2_report!J:J,H28772)</f>
        <v>#ERROR!</v>
      </c>
      <c r="Q973" s="6" t="str">
        <f t="shared" si="1"/>
        <v>22-12-2025</v>
      </c>
      <c r="R973" s="6" t="str">
        <f>IFERROR( VLOOKUP(C28772,[1]expressOrderReport!$S:$AZ,34,0),0)</f>
        <v>#ERROR!</v>
      </c>
      <c r="S973" s="6" t="str">
        <f>ARRAY_CONSTRAIN(ARRAYFORMULA(_xludf.XLOOKUP(D28772,[1]order_Report_SA_ID_BB2.0!V:V,[1]order_Report_SA_ID_BB2.0!AM:AM,"")), 1, 1)</f>
        <v>#ERROR!</v>
      </c>
      <c r="T973" s="6" t="str">
        <f t="shared" si="2"/>
        <v>Dec'25</v>
      </c>
    </row>
    <row r="974" ht="15.75" customHeight="1">
      <c r="A974" s="5">
        <v>46013.0</v>
      </c>
      <c r="B974" s="6">
        <v>5271.0</v>
      </c>
      <c r="C974" s="6">
        <v>1.85916653E9</v>
      </c>
      <c r="D974" s="6">
        <v>4136571.0</v>
      </c>
      <c r="E974" s="6" t="s">
        <v>1536</v>
      </c>
      <c r="F974" s="6" t="s">
        <v>1537</v>
      </c>
      <c r="G974" s="6">
        <v>7.760002244E9</v>
      </c>
      <c r="H974" s="6">
        <v>4.0148714E7</v>
      </c>
      <c r="I974" s="6" t="s">
        <v>183</v>
      </c>
      <c r="J974" s="6" t="s">
        <v>21</v>
      </c>
      <c r="K974" s="6" t="s">
        <v>22</v>
      </c>
      <c r="L974" s="6">
        <v>58.98</v>
      </c>
      <c r="M974" s="5">
        <v>46013.0</v>
      </c>
      <c r="N974" s="6" t="s">
        <v>23</v>
      </c>
      <c r="O974" s="6" t="str">
        <f>SUMIFS([1]order_sku_sales_bb2_report!P:P,[1]order_sku_sales_bb2_report!H:H,C28773,[1]order_sku_sales_bb2_report!J:J,H28773)</f>
        <v>#ERROR!</v>
      </c>
      <c r="P974" s="6" t="str">
        <f>SUMIFS([1]order_sku_sales_bb2_report!O:O,[1]order_sku_sales_bb2_report!H:H,C28773,[1]order_sku_sales_bb2_report!J:J,H28773)</f>
        <v>#ERROR!</v>
      </c>
      <c r="Q974" s="6" t="str">
        <f t="shared" si="1"/>
        <v>22-12-2025</v>
      </c>
      <c r="R974" s="6" t="str">
        <f>IFERROR( VLOOKUP(C28773,[1]expressOrderReport!$S:$AZ,34,0),0)</f>
        <v>#ERROR!</v>
      </c>
      <c r="S974" s="6" t="str">
        <f>ARRAY_CONSTRAIN(ARRAYFORMULA(_xludf.XLOOKUP(D28773,[1]order_Report_SA_ID_BB2.0!V:V,[1]order_Report_SA_ID_BB2.0!AM:AM,"")), 1, 1)</f>
        <v>#ERROR!</v>
      </c>
      <c r="T974" s="6" t="str">
        <f t="shared" si="2"/>
        <v>Dec'25</v>
      </c>
    </row>
    <row r="975" ht="15.75" customHeight="1">
      <c r="A975" s="5">
        <v>46013.0</v>
      </c>
      <c r="B975" s="6">
        <v>1968.0</v>
      </c>
      <c r="C975" s="6">
        <v>1.859166532E9</v>
      </c>
      <c r="D975" s="6">
        <v>231174.0</v>
      </c>
      <c r="E975" s="6" t="s">
        <v>1538</v>
      </c>
      <c r="F975" s="6" t="s">
        <v>1539</v>
      </c>
      <c r="G975" s="6">
        <v>8.050278728E9</v>
      </c>
      <c r="H975" s="6">
        <v>4.0148716E7</v>
      </c>
      <c r="I975" s="6" t="s">
        <v>148</v>
      </c>
      <c r="J975" s="6" t="s">
        <v>21</v>
      </c>
      <c r="K975" s="6" t="s">
        <v>22</v>
      </c>
      <c r="L975" s="6">
        <v>45.0</v>
      </c>
      <c r="M975" s="5">
        <v>46013.0</v>
      </c>
      <c r="N975" s="6" t="s">
        <v>23</v>
      </c>
      <c r="O975" s="6" t="str">
        <f>SUMIFS([1]order_sku_sales_bb2_report!P:P,[1]order_sku_sales_bb2_report!H:H,C28774,[1]order_sku_sales_bb2_report!J:J,H28774)</f>
        <v>#ERROR!</v>
      </c>
      <c r="P975" s="6" t="str">
        <f>SUMIFS([1]order_sku_sales_bb2_report!O:O,[1]order_sku_sales_bb2_report!H:H,C28774,[1]order_sku_sales_bb2_report!J:J,H28774)</f>
        <v>#ERROR!</v>
      </c>
      <c r="Q975" s="6" t="str">
        <f t="shared" si="1"/>
        <v>22-12-2025</v>
      </c>
      <c r="R975" s="6" t="str">
        <f>IFERROR( VLOOKUP(C28774,[1]expressOrderReport!$S:$AZ,34,0),0)</f>
        <v>#ERROR!</v>
      </c>
      <c r="S975" s="6" t="str">
        <f>ARRAY_CONSTRAIN(ARRAYFORMULA(_xludf.XLOOKUP(D28774,[1]order_Report_SA_ID_BB2.0!V:V,[1]order_Report_SA_ID_BB2.0!AM:AM,"")), 1, 1)</f>
        <v>#ERROR!</v>
      </c>
      <c r="T975" s="6" t="str">
        <f t="shared" si="2"/>
        <v>Dec'25</v>
      </c>
    </row>
    <row r="976" ht="15.75" customHeight="1">
      <c r="A976" s="5">
        <v>46013.0</v>
      </c>
      <c r="B976" s="6">
        <v>9649.0</v>
      </c>
      <c r="C976" s="6">
        <v>1.859166536E9</v>
      </c>
      <c r="D976" s="6">
        <v>8638771.0</v>
      </c>
      <c r="E976" s="6" t="s">
        <v>1540</v>
      </c>
      <c r="F976" s="6" t="s">
        <v>1541</v>
      </c>
      <c r="G976" s="6">
        <v>9.790449694E9</v>
      </c>
      <c r="H976" s="6">
        <v>4.0149833E7</v>
      </c>
      <c r="I976" s="6" t="s">
        <v>40</v>
      </c>
      <c r="J976" s="6" t="s">
        <v>21</v>
      </c>
      <c r="K976" s="6" t="s">
        <v>22</v>
      </c>
      <c r="L976" s="6">
        <v>108.0</v>
      </c>
      <c r="M976" s="5">
        <v>46013.0</v>
      </c>
      <c r="N976" s="6" t="s">
        <v>23</v>
      </c>
      <c r="O976" s="6" t="str">
        <f>SUMIFS([1]order_sku_sales_bb2_report!P:P,[1]order_sku_sales_bb2_report!H:H,C28775,[1]order_sku_sales_bb2_report!J:J,H28775)</f>
        <v>#ERROR!</v>
      </c>
      <c r="P976" s="6" t="str">
        <f>SUMIFS([1]order_sku_sales_bb2_report!O:O,[1]order_sku_sales_bb2_report!H:H,C28775,[1]order_sku_sales_bb2_report!J:J,H28775)</f>
        <v>#ERROR!</v>
      </c>
      <c r="Q976" s="6" t="str">
        <f t="shared" si="1"/>
        <v>22-12-2025</v>
      </c>
      <c r="R976" s="6" t="str">
        <f>IFERROR( VLOOKUP(C28775,[1]expressOrderReport!$S:$AZ,34,0),0)</f>
        <v>#ERROR!</v>
      </c>
      <c r="S976" s="6" t="str">
        <f>ARRAY_CONSTRAIN(ARRAYFORMULA(_xludf.XLOOKUP(D28775,[1]order_Report_SA_ID_BB2.0!V:V,[1]order_Report_SA_ID_BB2.0!AM:AM,"")), 1, 1)</f>
        <v>#ERROR!</v>
      </c>
      <c r="T976" s="6" t="str">
        <f t="shared" si="2"/>
        <v>Dec'25</v>
      </c>
    </row>
    <row r="977" ht="15.75" customHeight="1">
      <c r="A977" s="5">
        <v>46013.0</v>
      </c>
      <c r="B977" s="6">
        <v>6564.0</v>
      </c>
      <c r="C977" s="6">
        <v>1.859166545E9</v>
      </c>
      <c r="D977" s="6">
        <v>848406.0</v>
      </c>
      <c r="E977" s="6" t="s">
        <v>1542</v>
      </c>
      <c r="F977" s="6" t="s">
        <v>1543</v>
      </c>
      <c r="G977" s="6">
        <v>9.98664061E9</v>
      </c>
      <c r="H977" s="6">
        <v>4.0149832E7</v>
      </c>
      <c r="I977" s="6" t="s">
        <v>26</v>
      </c>
      <c r="J977" s="6" t="s">
        <v>21</v>
      </c>
      <c r="K977" s="6" t="s">
        <v>22</v>
      </c>
      <c r="L977" s="6">
        <v>70.0</v>
      </c>
      <c r="M977" s="5">
        <v>46013.0</v>
      </c>
      <c r="N977" s="6" t="s">
        <v>23</v>
      </c>
      <c r="O977" s="6" t="str">
        <f>SUMIFS([1]order_sku_sales_bb2_report!P:P,[1]order_sku_sales_bb2_report!H:H,C28776,[1]order_sku_sales_bb2_report!J:J,H28776)</f>
        <v>#ERROR!</v>
      </c>
      <c r="P977" s="6" t="str">
        <f>SUMIFS([1]order_sku_sales_bb2_report!O:O,[1]order_sku_sales_bb2_report!H:H,C28776,[1]order_sku_sales_bb2_report!J:J,H28776)</f>
        <v>#ERROR!</v>
      </c>
      <c r="Q977" s="6" t="str">
        <f t="shared" si="1"/>
        <v>22-12-2025</v>
      </c>
      <c r="R977" s="6" t="str">
        <f>IFERROR( VLOOKUP(C28776,[1]expressOrderReport!$S:$AZ,34,0),0)</f>
        <v>#ERROR!</v>
      </c>
      <c r="S977" s="6" t="str">
        <f>ARRAY_CONSTRAIN(ARRAYFORMULA(_xludf.XLOOKUP(D28776,[1]order_Report_SA_ID_BB2.0!V:V,[1]order_Report_SA_ID_BB2.0!AM:AM,"")), 1, 1)</f>
        <v>#ERROR!</v>
      </c>
      <c r="T977" s="6" t="str">
        <f t="shared" si="2"/>
        <v>Dec'25</v>
      </c>
    </row>
    <row r="978" ht="15.75" customHeight="1">
      <c r="A978" s="5">
        <v>46013.0</v>
      </c>
      <c r="B978" s="6">
        <v>6565.0</v>
      </c>
      <c r="C978" s="6">
        <v>1.859166545E9</v>
      </c>
      <c r="D978" s="6">
        <v>848406.0</v>
      </c>
      <c r="E978" s="6" t="s">
        <v>1542</v>
      </c>
      <c r="F978" s="6" t="s">
        <v>1543</v>
      </c>
      <c r="G978" s="6">
        <v>9.98664061E9</v>
      </c>
      <c r="H978" s="6">
        <v>4.0158264E7</v>
      </c>
      <c r="I978" s="6" t="s">
        <v>26</v>
      </c>
      <c r="J978" s="6" t="s">
        <v>21</v>
      </c>
      <c r="K978" s="6" t="s">
        <v>22</v>
      </c>
      <c r="L978" s="6">
        <v>70.0</v>
      </c>
      <c r="M978" s="5">
        <v>46013.0</v>
      </c>
      <c r="N978" s="6" t="s">
        <v>23</v>
      </c>
      <c r="O978" s="6" t="str">
        <f>SUMIFS([1]order_sku_sales_bb2_report!P:P,[1]order_sku_sales_bb2_report!H:H,C28777,[1]order_sku_sales_bb2_report!J:J,H28777)</f>
        <v>#ERROR!</v>
      </c>
      <c r="P978" s="6" t="str">
        <f>SUMIFS([1]order_sku_sales_bb2_report!O:O,[1]order_sku_sales_bb2_report!H:H,C28777,[1]order_sku_sales_bb2_report!J:J,H28777)</f>
        <v>#ERROR!</v>
      </c>
      <c r="Q978" s="6" t="str">
        <f t="shared" si="1"/>
        <v>22-12-2025</v>
      </c>
      <c r="R978" s="6" t="str">
        <f>IFERROR( VLOOKUP(C28777,[1]expressOrderReport!$S:$AZ,34,0),0)</f>
        <v>#ERROR!</v>
      </c>
      <c r="S978" s="6" t="str">
        <f>ARRAY_CONSTRAIN(ARRAYFORMULA(_xludf.XLOOKUP(D28777,[1]order_Report_SA_ID_BB2.0!V:V,[1]order_Report_SA_ID_BB2.0!AM:AM,"")), 1, 1)</f>
        <v>#ERROR!</v>
      </c>
      <c r="T978" s="6" t="str">
        <f t="shared" si="2"/>
        <v>Dec'25</v>
      </c>
    </row>
    <row r="979" ht="15.75" customHeight="1">
      <c r="A979" s="5">
        <v>46013.0</v>
      </c>
      <c r="B979" s="6">
        <v>2526.0</v>
      </c>
      <c r="C979" s="6">
        <v>1.859166549E9</v>
      </c>
      <c r="D979" s="6">
        <v>274970.0</v>
      </c>
      <c r="E979" s="6" t="s">
        <v>1544</v>
      </c>
      <c r="F979" s="6" t="s">
        <v>1545</v>
      </c>
      <c r="G979" s="6">
        <v>9.53568167E9</v>
      </c>
      <c r="H979" s="6">
        <v>281204.0</v>
      </c>
      <c r="I979" s="6" t="s">
        <v>1469</v>
      </c>
      <c r="J979" s="6" t="s">
        <v>21</v>
      </c>
      <c r="K979" s="6" t="s">
        <v>22</v>
      </c>
      <c r="L979" s="6">
        <v>55.0</v>
      </c>
      <c r="M979" s="5">
        <v>46013.0</v>
      </c>
      <c r="N979" s="6" t="s">
        <v>23</v>
      </c>
      <c r="O979" s="6" t="str">
        <f>SUMIFS([1]order_sku_sales_bb2_report!P:P,[1]order_sku_sales_bb2_report!H:H,C28779,[1]order_sku_sales_bb2_report!J:J,H28779)</f>
        <v>#ERROR!</v>
      </c>
      <c r="P979" s="6" t="str">
        <f>SUMIFS([1]order_sku_sales_bb2_report!O:O,[1]order_sku_sales_bb2_report!H:H,C28779,[1]order_sku_sales_bb2_report!J:J,H28779)</f>
        <v>#ERROR!</v>
      </c>
      <c r="Q979" s="6" t="str">
        <f t="shared" si="1"/>
        <v>22-12-2025</v>
      </c>
      <c r="R979" s="6" t="str">
        <f>IFERROR( VLOOKUP(C28779,[1]expressOrderReport!$S:$AZ,34,0),0)</f>
        <v>#ERROR!</v>
      </c>
      <c r="S979" s="6" t="str">
        <f>ARRAY_CONSTRAIN(ARRAYFORMULA(_xludf.XLOOKUP(D28779,[1]order_Report_SA_ID_BB2.0!V:V,[1]order_Report_SA_ID_BB2.0!AM:AM,"")), 1, 1)</f>
        <v>#ERROR!</v>
      </c>
      <c r="T979" s="6" t="str">
        <f t="shared" si="2"/>
        <v>Dec'25</v>
      </c>
    </row>
    <row r="980" ht="15.75" customHeight="1">
      <c r="A980" s="5">
        <v>46013.0</v>
      </c>
      <c r="B980" s="6">
        <v>9687.0</v>
      </c>
      <c r="C980" s="6">
        <v>1.859166552E9</v>
      </c>
      <c r="D980" s="6">
        <v>8627230.0</v>
      </c>
      <c r="E980" s="6" t="s">
        <v>1546</v>
      </c>
      <c r="F980" s="6" t="s">
        <v>1547</v>
      </c>
      <c r="G980" s="6">
        <v>9.538801368E9</v>
      </c>
      <c r="H980" s="6">
        <v>4.0147616E7</v>
      </c>
      <c r="I980" s="6" t="s">
        <v>276</v>
      </c>
      <c r="J980" s="6" t="s">
        <v>21</v>
      </c>
      <c r="K980" s="6" t="s">
        <v>22</v>
      </c>
      <c r="L980" s="6">
        <v>72.0</v>
      </c>
      <c r="M980" s="5">
        <v>46013.0</v>
      </c>
      <c r="N980" s="6" t="s">
        <v>23</v>
      </c>
      <c r="O980" s="6" t="str">
        <f>SUMIFS([1]order_sku_sales_bb2_report!P:P,[1]order_sku_sales_bb2_report!H:H,C28780,[1]order_sku_sales_bb2_report!J:J,H28780)</f>
        <v>#ERROR!</v>
      </c>
      <c r="P980" s="6" t="str">
        <f>SUMIFS([1]order_sku_sales_bb2_report!O:O,[1]order_sku_sales_bb2_report!H:H,C28780,[1]order_sku_sales_bb2_report!J:J,H28780)</f>
        <v>#ERROR!</v>
      </c>
      <c r="Q980" s="6" t="str">
        <f t="shared" si="1"/>
        <v>22-12-2025</v>
      </c>
      <c r="R980" s="6" t="str">
        <f>IFERROR( VLOOKUP(C28780,[1]expressOrderReport!$S:$AZ,34,0),0)</f>
        <v>#ERROR!</v>
      </c>
      <c r="S980" s="6" t="str">
        <f>ARRAY_CONSTRAIN(ARRAYFORMULA(_xludf.XLOOKUP(D28780,[1]order_Report_SA_ID_BB2.0!V:V,[1]order_Report_SA_ID_BB2.0!AM:AM,"")), 1, 1)</f>
        <v>#ERROR!</v>
      </c>
      <c r="T980" s="6" t="str">
        <f t="shared" si="2"/>
        <v>Dec'25</v>
      </c>
    </row>
    <row r="981" ht="15.75" customHeight="1">
      <c r="A981" s="5">
        <v>46013.0</v>
      </c>
      <c r="B981" s="6">
        <v>1465.0</v>
      </c>
      <c r="C981" s="6">
        <v>1.859166556E9</v>
      </c>
      <c r="D981" s="6">
        <v>202361.0</v>
      </c>
      <c r="E981" s="6" t="s">
        <v>1548</v>
      </c>
      <c r="F981" s="6" t="s">
        <v>1549</v>
      </c>
      <c r="G981" s="6">
        <v>9.987149107E9</v>
      </c>
      <c r="H981" s="6">
        <v>4.0149832E7</v>
      </c>
      <c r="I981" s="6" t="s">
        <v>26</v>
      </c>
      <c r="J981" s="6" t="s">
        <v>21</v>
      </c>
      <c r="K981" s="6" t="s">
        <v>22</v>
      </c>
      <c r="L981" s="6">
        <v>96.0</v>
      </c>
      <c r="M981" s="5">
        <v>46013.0</v>
      </c>
      <c r="N981" s="6" t="s">
        <v>23</v>
      </c>
      <c r="O981" s="6" t="str">
        <f>SUMIFS([1]order_sku_sales_bb2_report!P:P,[1]order_sku_sales_bb2_report!H:H,C28781,[1]order_sku_sales_bb2_report!J:J,H28781)</f>
        <v>#ERROR!</v>
      </c>
      <c r="P981" s="6" t="str">
        <f>SUMIFS([1]order_sku_sales_bb2_report!O:O,[1]order_sku_sales_bb2_report!H:H,C28781,[1]order_sku_sales_bb2_report!J:J,H28781)</f>
        <v>#ERROR!</v>
      </c>
      <c r="Q981" s="6" t="str">
        <f t="shared" si="1"/>
        <v>22-12-2025</v>
      </c>
      <c r="R981" s="6" t="str">
        <f>IFERROR( VLOOKUP(C28781,[1]expressOrderReport!$S:$AZ,34,0),0)</f>
        <v>#ERROR!</v>
      </c>
      <c r="S981" s="6" t="str">
        <f>ARRAY_CONSTRAIN(ARRAYFORMULA(_xludf.XLOOKUP(D28781,[1]order_Report_SA_ID_BB2.0!V:V,[1]order_Report_SA_ID_BB2.0!AM:AM,"")), 1, 1)</f>
        <v>#ERROR!</v>
      </c>
      <c r="T981" s="6" t="str">
        <f t="shared" si="2"/>
        <v>Dec'25</v>
      </c>
    </row>
    <row r="982" ht="15.75" customHeight="1">
      <c r="A982" s="5">
        <v>46013.0</v>
      </c>
      <c r="B982" s="6">
        <v>6136.0</v>
      </c>
      <c r="C982" s="6">
        <v>1.85916656E9</v>
      </c>
      <c r="D982" s="6">
        <v>9088746.0</v>
      </c>
      <c r="E982" s="6" t="s">
        <v>1550</v>
      </c>
      <c r="F982" s="6" t="s">
        <v>1551</v>
      </c>
      <c r="G982" s="6">
        <v>9.845589455E9</v>
      </c>
      <c r="H982" s="6">
        <v>4.0149833E7</v>
      </c>
      <c r="I982" s="6" t="s">
        <v>40</v>
      </c>
      <c r="J982" s="6" t="s">
        <v>21</v>
      </c>
      <c r="K982" s="6" t="s">
        <v>22</v>
      </c>
      <c r="L982" s="6">
        <v>54.0</v>
      </c>
      <c r="M982" s="5">
        <v>46013.0</v>
      </c>
      <c r="N982" s="6" t="s">
        <v>23</v>
      </c>
      <c r="O982" s="6" t="str">
        <f>SUMIFS([1]order_sku_sales_bb2_report!P:P,[1]order_sku_sales_bb2_report!H:H,C28782,[1]order_sku_sales_bb2_report!J:J,H28782)</f>
        <v>#ERROR!</v>
      </c>
      <c r="P982" s="6" t="str">
        <f>SUMIFS([1]order_sku_sales_bb2_report!O:O,[1]order_sku_sales_bb2_report!H:H,C28782,[1]order_sku_sales_bb2_report!J:J,H28782)</f>
        <v>#ERROR!</v>
      </c>
      <c r="Q982" s="6" t="str">
        <f t="shared" si="1"/>
        <v>22-12-2025</v>
      </c>
      <c r="R982" s="6" t="str">
        <f>IFERROR( VLOOKUP(C28782,[1]expressOrderReport!$S:$AZ,34,0),0)</f>
        <v>#ERROR!</v>
      </c>
      <c r="S982" s="6" t="str">
        <f>ARRAY_CONSTRAIN(ARRAYFORMULA(_xludf.XLOOKUP(D28782,[1]order_Report_SA_ID_BB2.0!V:V,[1]order_Report_SA_ID_BB2.0!AM:AM,"")), 1, 1)</f>
        <v>#ERROR!</v>
      </c>
      <c r="T982" s="6" t="str">
        <f t="shared" si="2"/>
        <v>Dec'25</v>
      </c>
    </row>
    <row r="983" ht="15.75" customHeight="1">
      <c r="A983" s="5">
        <v>46013.0</v>
      </c>
      <c r="B983" s="6">
        <v>1309.0</v>
      </c>
      <c r="C983" s="6">
        <v>1.859166567E9</v>
      </c>
      <c r="D983" s="6">
        <v>9270040.0</v>
      </c>
      <c r="E983" s="6" t="s">
        <v>1552</v>
      </c>
      <c r="F983" s="6" t="s">
        <v>1553</v>
      </c>
      <c r="G983" s="6">
        <v>9.902029776E9</v>
      </c>
      <c r="H983" s="6">
        <v>4.0158264E7</v>
      </c>
      <c r="I983" s="6" t="s">
        <v>26</v>
      </c>
      <c r="J983" s="6" t="s">
        <v>21</v>
      </c>
      <c r="K983" s="6" t="s">
        <v>22</v>
      </c>
      <c r="L983" s="6">
        <v>46.0</v>
      </c>
      <c r="M983" s="5">
        <v>46013.0</v>
      </c>
      <c r="N983" s="6" t="s">
        <v>23</v>
      </c>
      <c r="O983" s="6" t="str">
        <f>SUMIFS([1]order_sku_sales_bb2_report!P:P,[1]order_sku_sales_bb2_report!H:H,C28784,[1]order_sku_sales_bb2_report!J:J,H28784)</f>
        <v>#ERROR!</v>
      </c>
      <c r="P983" s="6" t="str">
        <f>SUMIFS([1]order_sku_sales_bb2_report!O:O,[1]order_sku_sales_bb2_report!H:H,C28784,[1]order_sku_sales_bb2_report!J:J,H28784)</f>
        <v>#ERROR!</v>
      </c>
      <c r="Q983" s="6" t="str">
        <f t="shared" si="1"/>
        <v>22-12-2025</v>
      </c>
      <c r="R983" s="6" t="str">
        <f>IFERROR( VLOOKUP(C28784,[1]expressOrderReport!$S:$AZ,34,0),0)</f>
        <v>#ERROR!</v>
      </c>
      <c r="S983" s="6" t="str">
        <f>ARRAY_CONSTRAIN(ARRAYFORMULA(_xludf.XLOOKUP(D28784,[1]order_Report_SA_ID_BB2.0!V:V,[1]order_Report_SA_ID_BB2.0!AM:AM,"")), 1, 1)</f>
        <v>#ERROR!</v>
      </c>
      <c r="T983" s="6" t="str">
        <f t="shared" si="2"/>
        <v>Dec'25</v>
      </c>
    </row>
    <row r="984" ht="15.75" customHeight="1">
      <c r="A984" s="5">
        <v>46013.0</v>
      </c>
      <c r="B984" s="6">
        <v>10992.0</v>
      </c>
      <c r="C984" s="6">
        <v>1.859166576E9</v>
      </c>
      <c r="D984" s="6">
        <v>9334941.0</v>
      </c>
      <c r="E984" s="6" t="s">
        <v>523</v>
      </c>
      <c r="F984" s="6" t="s">
        <v>524</v>
      </c>
      <c r="G984" s="6">
        <v>7.76041338E9</v>
      </c>
      <c r="H984" s="6">
        <v>4.0047739E7</v>
      </c>
      <c r="I984" s="6" t="s">
        <v>180</v>
      </c>
      <c r="J984" s="6" t="s">
        <v>21</v>
      </c>
      <c r="K984" s="6" t="s">
        <v>22</v>
      </c>
      <c r="L984" s="6">
        <v>34.0</v>
      </c>
      <c r="M984" s="5">
        <v>46013.0</v>
      </c>
      <c r="N984" s="6" t="s">
        <v>23</v>
      </c>
      <c r="O984" s="6" t="str">
        <f>SUMIFS([1]order_sku_sales_bb2_report!P:P,[1]order_sku_sales_bb2_report!H:H,C28785,[1]order_sku_sales_bb2_report!J:J,H28785)</f>
        <v>#ERROR!</v>
      </c>
      <c r="P984" s="6" t="str">
        <f>SUMIFS([1]order_sku_sales_bb2_report!O:O,[1]order_sku_sales_bb2_report!H:H,C28785,[1]order_sku_sales_bb2_report!J:J,H28785)</f>
        <v>#ERROR!</v>
      </c>
      <c r="Q984" s="6" t="str">
        <f t="shared" si="1"/>
        <v>22-12-2025</v>
      </c>
      <c r="R984" s="6" t="str">
        <f>IFERROR( VLOOKUP(C28785,[1]expressOrderReport!$S:$AZ,34,0),0)</f>
        <v>#ERROR!</v>
      </c>
      <c r="S984" s="6" t="str">
        <f>ARRAY_CONSTRAIN(ARRAYFORMULA(_xludf.XLOOKUP(D28785,[1]order_Report_SA_ID_BB2.0!V:V,[1]order_Report_SA_ID_BB2.0!AM:AM,"")), 1, 1)</f>
        <v>#ERROR!</v>
      </c>
      <c r="T984" s="6" t="str">
        <f t="shared" si="2"/>
        <v>Dec'25</v>
      </c>
    </row>
    <row r="985" ht="15.75" customHeight="1">
      <c r="A985" s="5">
        <v>46013.0</v>
      </c>
      <c r="B985" s="6">
        <v>8006.0</v>
      </c>
      <c r="C985" s="6">
        <v>1.85916658E9</v>
      </c>
      <c r="D985" s="6">
        <v>6875195.0</v>
      </c>
      <c r="E985" s="6" t="s">
        <v>1554</v>
      </c>
      <c r="F985" s="6" t="s">
        <v>1555</v>
      </c>
      <c r="G985" s="6">
        <v>7.795256742E9</v>
      </c>
      <c r="H985" s="6">
        <v>4.01476E7</v>
      </c>
      <c r="I985" s="6" t="s">
        <v>1399</v>
      </c>
      <c r="J985" s="6" t="s">
        <v>21</v>
      </c>
      <c r="K985" s="6" t="s">
        <v>22</v>
      </c>
      <c r="L985" s="6">
        <v>24.0</v>
      </c>
      <c r="M985" s="5">
        <v>46013.0</v>
      </c>
      <c r="N985" s="6" t="s">
        <v>23</v>
      </c>
      <c r="O985" s="6" t="str">
        <f>SUMIFS([1]order_sku_sales_bb2_report!P:P,[1]order_sku_sales_bb2_report!H:H,C28786,[1]order_sku_sales_bb2_report!J:J,H28786)</f>
        <v>#ERROR!</v>
      </c>
      <c r="P985" s="6" t="str">
        <f>SUMIFS([1]order_sku_sales_bb2_report!O:O,[1]order_sku_sales_bb2_report!H:H,C28786,[1]order_sku_sales_bb2_report!J:J,H28786)</f>
        <v>#ERROR!</v>
      </c>
      <c r="Q985" s="6" t="str">
        <f t="shared" si="1"/>
        <v>22-12-2025</v>
      </c>
      <c r="R985" s="6" t="str">
        <f>IFERROR( VLOOKUP(C28786,[1]expressOrderReport!$S:$AZ,34,0),0)</f>
        <v>#ERROR!</v>
      </c>
      <c r="S985" s="6" t="str">
        <f>ARRAY_CONSTRAIN(ARRAYFORMULA(_xludf.XLOOKUP(D28786,[1]order_Report_SA_ID_BB2.0!V:V,[1]order_Report_SA_ID_BB2.0!AM:AM,"")), 1, 1)</f>
        <v>#ERROR!</v>
      </c>
      <c r="T985" s="6" t="str">
        <f t="shared" si="2"/>
        <v>Dec'25</v>
      </c>
    </row>
    <row r="986" ht="15.75" customHeight="1">
      <c r="A986" s="5">
        <v>46013.0</v>
      </c>
      <c r="B986" s="6">
        <v>5997.0</v>
      </c>
      <c r="C986" s="6">
        <v>1.859166586E9</v>
      </c>
      <c r="D986" s="6">
        <v>651213.0</v>
      </c>
      <c r="E986" s="6" t="s">
        <v>1556</v>
      </c>
      <c r="F986" s="6" t="s">
        <v>1557</v>
      </c>
      <c r="G986" s="6">
        <v>7.829118E9</v>
      </c>
      <c r="H986" s="6">
        <v>4.0147633E7</v>
      </c>
      <c r="I986" s="6" t="s">
        <v>1036</v>
      </c>
      <c r="J986" s="6" t="s">
        <v>21</v>
      </c>
      <c r="K986" s="6" t="s">
        <v>22</v>
      </c>
      <c r="L986" s="6">
        <v>96.0</v>
      </c>
      <c r="M986" s="5">
        <v>46013.0</v>
      </c>
      <c r="N986" s="6" t="s">
        <v>23</v>
      </c>
      <c r="O986" s="6" t="str">
        <f>SUMIFS([1]order_sku_sales_bb2_report!P:P,[1]order_sku_sales_bb2_report!H:H,C28787,[1]order_sku_sales_bb2_report!J:J,H28787)</f>
        <v>#ERROR!</v>
      </c>
      <c r="P986" s="6" t="str">
        <f>SUMIFS([1]order_sku_sales_bb2_report!O:O,[1]order_sku_sales_bb2_report!H:H,C28787,[1]order_sku_sales_bb2_report!J:J,H28787)</f>
        <v>#ERROR!</v>
      </c>
      <c r="Q986" s="6" t="str">
        <f t="shared" si="1"/>
        <v>22-12-2025</v>
      </c>
      <c r="R986" s="6" t="str">
        <f>IFERROR( VLOOKUP(C28787,[1]expressOrderReport!$S:$AZ,34,0),0)</f>
        <v>#ERROR!</v>
      </c>
      <c r="S986" s="6" t="str">
        <f>ARRAY_CONSTRAIN(ARRAYFORMULA(_xludf.XLOOKUP(D28787,[1]order_Report_SA_ID_BB2.0!V:V,[1]order_Report_SA_ID_BB2.0!AM:AM,"")), 1, 1)</f>
        <v>#ERROR!</v>
      </c>
      <c r="T986" s="6" t="str">
        <f t="shared" si="2"/>
        <v>Dec'25</v>
      </c>
    </row>
    <row r="987" ht="15.75" customHeight="1">
      <c r="A987" s="5">
        <v>46013.0</v>
      </c>
      <c r="B987" s="6">
        <v>7103.0</v>
      </c>
      <c r="C987" s="6">
        <v>1.859165786E9</v>
      </c>
      <c r="D987" s="6">
        <v>9573274.0</v>
      </c>
      <c r="E987" s="6" t="s">
        <v>1558</v>
      </c>
      <c r="F987" s="6" t="s">
        <v>1559</v>
      </c>
      <c r="G987" s="6">
        <v>9.590719896E9</v>
      </c>
      <c r="H987" s="6">
        <v>4.0149834E7</v>
      </c>
      <c r="I987" s="6" t="s">
        <v>40</v>
      </c>
      <c r="J987" s="6" t="s">
        <v>21</v>
      </c>
      <c r="K987" s="6" t="s">
        <v>22</v>
      </c>
      <c r="L987" s="6">
        <v>79.0</v>
      </c>
      <c r="M987" s="5">
        <v>46013.0</v>
      </c>
      <c r="N987" s="6" t="s">
        <v>23</v>
      </c>
      <c r="O987" s="6" t="str">
        <f>SUMIFS([1]order_sku_sales_bb2_report!P:P,[1]order_sku_sales_bb2_report!H:H,C28788,[1]order_sku_sales_bb2_report!J:J,H28788)</f>
        <v>#ERROR!</v>
      </c>
      <c r="P987" s="6" t="str">
        <f>SUMIFS([1]order_sku_sales_bb2_report!O:O,[1]order_sku_sales_bb2_report!H:H,C28788,[1]order_sku_sales_bb2_report!J:J,H28788)</f>
        <v>#ERROR!</v>
      </c>
      <c r="Q987" s="6" t="str">
        <f t="shared" si="1"/>
        <v>22-12-2025</v>
      </c>
      <c r="R987" s="6" t="str">
        <f>IFERROR( VLOOKUP(C28788,[1]expressOrderReport!$S:$AZ,34,0),0)</f>
        <v>#ERROR!</v>
      </c>
      <c r="S987" s="6" t="str">
        <f>ARRAY_CONSTRAIN(ARRAYFORMULA(_xludf.XLOOKUP(D28788,[1]order_Report_SA_ID_BB2.0!V:V,[1]order_Report_SA_ID_BB2.0!AM:AM,"")), 1, 1)</f>
        <v>#ERROR!</v>
      </c>
      <c r="T987" s="6" t="str">
        <f t="shared" si="2"/>
        <v>Dec'25</v>
      </c>
    </row>
    <row r="988" ht="15.75" customHeight="1">
      <c r="A988" s="5">
        <v>46013.0</v>
      </c>
      <c r="B988" s="6">
        <v>11371.0</v>
      </c>
      <c r="C988" s="6">
        <v>1.859165786E9</v>
      </c>
      <c r="D988" s="6">
        <v>9573274.0</v>
      </c>
      <c r="E988" s="6" t="s">
        <v>1558</v>
      </c>
      <c r="F988" s="6" t="s">
        <v>1559</v>
      </c>
      <c r="G988" s="6">
        <v>9.590719896E9</v>
      </c>
      <c r="H988" s="6">
        <v>4.0149833E7</v>
      </c>
      <c r="I988" s="6" t="s">
        <v>40</v>
      </c>
      <c r="J988" s="6" t="s">
        <v>21</v>
      </c>
      <c r="K988" s="6" t="s">
        <v>22</v>
      </c>
      <c r="L988" s="6">
        <v>79.0</v>
      </c>
      <c r="M988" s="5">
        <v>46013.0</v>
      </c>
      <c r="N988" s="6" t="s">
        <v>23</v>
      </c>
      <c r="O988" s="6" t="str">
        <f>SUMIFS([1]order_sku_sales_bb2_report!P:P,[1]order_sku_sales_bb2_report!H:H,C28789,[1]order_sku_sales_bb2_report!J:J,H28789)</f>
        <v>#ERROR!</v>
      </c>
      <c r="P988" s="6" t="str">
        <f>SUMIFS([1]order_sku_sales_bb2_report!O:O,[1]order_sku_sales_bb2_report!H:H,C28789,[1]order_sku_sales_bb2_report!J:J,H28789)</f>
        <v>#ERROR!</v>
      </c>
      <c r="Q988" s="6" t="str">
        <f t="shared" si="1"/>
        <v>22-12-2025</v>
      </c>
      <c r="R988" s="6" t="str">
        <f>IFERROR( VLOOKUP(C28789,[1]expressOrderReport!$S:$AZ,34,0),0)</f>
        <v>#ERROR!</v>
      </c>
      <c r="S988" s="6" t="str">
        <f>ARRAY_CONSTRAIN(ARRAYFORMULA(_xludf.XLOOKUP(D28789,[1]order_Report_SA_ID_BB2.0!V:V,[1]order_Report_SA_ID_BB2.0!AM:AM,"")), 1, 1)</f>
        <v>#ERROR!</v>
      </c>
      <c r="T988" s="6" t="str">
        <f t="shared" si="2"/>
        <v>Dec'25</v>
      </c>
    </row>
    <row r="989" ht="15.75" customHeight="1">
      <c r="A989" s="5">
        <v>46013.0</v>
      </c>
      <c r="B989" s="6">
        <v>6597.0</v>
      </c>
      <c r="C989" s="6">
        <v>1.859165794E9</v>
      </c>
      <c r="D989" s="6">
        <v>9682684.0</v>
      </c>
      <c r="E989" s="6" t="s">
        <v>1560</v>
      </c>
      <c r="F989" s="6" t="s">
        <v>1561</v>
      </c>
      <c r="G989" s="6">
        <v>9.711167779E9</v>
      </c>
      <c r="H989" s="6">
        <v>4.0148716E7</v>
      </c>
      <c r="I989" s="6" t="s">
        <v>148</v>
      </c>
      <c r="J989" s="6" t="s">
        <v>21</v>
      </c>
      <c r="K989" s="6" t="s">
        <v>22</v>
      </c>
      <c r="L989" s="6">
        <v>135.0</v>
      </c>
      <c r="M989" s="5">
        <v>46013.0</v>
      </c>
      <c r="N989" s="6" t="s">
        <v>23</v>
      </c>
      <c r="O989" s="6" t="str">
        <f>SUMIFS([1]order_sku_sales_bb2_report!P:P,[1]order_sku_sales_bb2_report!H:H,C28790,[1]order_sku_sales_bb2_report!J:J,H28790)</f>
        <v>#ERROR!</v>
      </c>
      <c r="P989" s="6" t="str">
        <f>SUMIFS([1]order_sku_sales_bb2_report!O:O,[1]order_sku_sales_bb2_report!H:H,C28790,[1]order_sku_sales_bb2_report!J:J,H28790)</f>
        <v>#ERROR!</v>
      </c>
      <c r="Q989" s="6" t="str">
        <f t="shared" si="1"/>
        <v>22-12-2025</v>
      </c>
      <c r="R989" s="6" t="str">
        <f>IFERROR( VLOOKUP(C28790,[1]expressOrderReport!$S:$AZ,34,0),0)</f>
        <v>#ERROR!</v>
      </c>
      <c r="S989" s="6" t="str">
        <f>ARRAY_CONSTRAIN(ARRAYFORMULA(_xludf.XLOOKUP(D28790,[1]order_Report_SA_ID_BB2.0!V:V,[1]order_Report_SA_ID_BB2.0!AM:AM,"")), 1, 1)</f>
        <v>#ERROR!</v>
      </c>
      <c r="T989" s="6" t="str">
        <f t="shared" si="2"/>
        <v>Dec'25</v>
      </c>
    </row>
    <row r="990" ht="15.75" customHeight="1">
      <c r="A990" s="5">
        <v>46013.0</v>
      </c>
      <c r="B990" s="6">
        <v>9135.0</v>
      </c>
      <c r="C990" s="6">
        <v>1.859165811E9</v>
      </c>
      <c r="D990" s="6">
        <v>33162.0</v>
      </c>
      <c r="E990" s="6" t="s">
        <v>1562</v>
      </c>
      <c r="F990" s="6" t="s">
        <v>1563</v>
      </c>
      <c r="G990" s="6">
        <v>9.845577633E9</v>
      </c>
      <c r="H990" s="6">
        <v>4.0161616E7</v>
      </c>
      <c r="I990" s="6" t="s">
        <v>20</v>
      </c>
      <c r="J990" s="6" t="s">
        <v>21</v>
      </c>
      <c r="K990" s="6" t="s">
        <v>22</v>
      </c>
      <c r="L990" s="6">
        <v>56.0</v>
      </c>
      <c r="M990" s="5">
        <v>46013.0</v>
      </c>
      <c r="N990" s="6" t="s">
        <v>23</v>
      </c>
      <c r="O990" s="6" t="str">
        <f>SUMIFS([1]order_sku_sales_bb2_report!P:P,[1]order_sku_sales_bb2_report!H:H,C28791,[1]order_sku_sales_bb2_report!J:J,H28791)</f>
        <v>#ERROR!</v>
      </c>
      <c r="P990" s="6" t="str">
        <f>SUMIFS([1]order_sku_sales_bb2_report!O:O,[1]order_sku_sales_bb2_report!H:H,C28791,[1]order_sku_sales_bb2_report!J:J,H28791)</f>
        <v>#ERROR!</v>
      </c>
      <c r="Q990" s="6" t="str">
        <f t="shared" si="1"/>
        <v>22-12-2025</v>
      </c>
      <c r="R990" s="6" t="str">
        <f>IFERROR( VLOOKUP(C28791,[1]expressOrderReport!$S:$AZ,34,0),0)</f>
        <v>#ERROR!</v>
      </c>
      <c r="S990" s="6" t="str">
        <f>ARRAY_CONSTRAIN(ARRAYFORMULA(_xludf.XLOOKUP(D28791,[1]order_Report_SA_ID_BB2.0!V:V,[1]order_Report_SA_ID_BB2.0!AM:AM,"")), 1, 1)</f>
        <v>#ERROR!</v>
      </c>
      <c r="T990" s="6" t="str">
        <f t="shared" si="2"/>
        <v>Dec'25</v>
      </c>
    </row>
    <row r="991" ht="15.75" customHeight="1">
      <c r="A991" s="5">
        <v>46013.0</v>
      </c>
      <c r="B991" s="6">
        <v>9639.0</v>
      </c>
      <c r="C991" s="6">
        <v>1.859165825E9</v>
      </c>
      <c r="D991" s="6">
        <v>1060184.0</v>
      </c>
      <c r="E991" s="6" t="s">
        <v>1564</v>
      </c>
      <c r="F991" s="6" t="s">
        <v>1565</v>
      </c>
      <c r="G991" s="6">
        <v>9.901962355E9</v>
      </c>
      <c r="H991" s="6">
        <v>4.0148716E7</v>
      </c>
      <c r="I991" s="6" t="s">
        <v>148</v>
      </c>
      <c r="J991" s="6" t="s">
        <v>21</v>
      </c>
      <c r="K991" s="6" t="s">
        <v>22</v>
      </c>
      <c r="L991" s="6">
        <v>45.0</v>
      </c>
      <c r="M991" s="5">
        <v>46013.0</v>
      </c>
      <c r="N991" s="6" t="s">
        <v>23</v>
      </c>
      <c r="O991" s="6" t="str">
        <f>SUMIFS([1]order_sku_sales_bb2_report!P:P,[1]order_sku_sales_bb2_report!H:H,C28792,[1]order_sku_sales_bb2_report!J:J,H28792)</f>
        <v>#ERROR!</v>
      </c>
      <c r="P991" s="6" t="str">
        <f>SUMIFS([1]order_sku_sales_bb2_report!O:O,[1]order_sku_sales_bb2_report!H:H,C28792,[1]order_sku_sales_bb2_report!J:J,H28792)</f>
        <v>#ERROR!</v>
      </c>
      <c r="Q991" s="6" t="str">
        <f t="shared" si="1"/>
        <v>22-12-2025</v>
      </c>
      <c r="R991" s="6" t="str">
        <f>IFERROR( VLOOKUP(C28792,[1]expressOrderReport!$S:$AZ,34,0),0)</f>
        <v>#ERROR!</v>
      </c>
      <c r="S991" s="6" t="str">
        <f>ARRAY_CONSTRAIN(ARRAYFORMULA(_xludf.XLOOKUP(D28792,[1]order_Report_SA_ID_BB2.0!V:V,[1]order_Report_SA_ID_BB2.0!AM:AM,"")), 1, 1)</f>
        <v>#ERROR!</v>
      </c>
      <c r="T991" s="6" t="str">
        <f t="shared" si="2"/>
        <v>Dec'25</v>
      </c>
    </row>
    <row r="992" ht="15.75" customHeight="1">
      <c r="A992" s="5">
        <v>46013.0</v>
      </c>
      <c r="B992" s="6">
        <v>8757.0</v>
      </c>
      <c r="C992" s="6">
        <v>1.859165836E9</v>
      </c>
      <c r="D992" s="6">
        <v>5596428.0</v>
      </c>
      <c r="E992" s="6" t="s">
        <v>1566</v>
      </c>
      <c r="F992" s="6" t="s">
        <v>1567</v>
      </c>
      <c r="G992" s="6">
        <v>9.940461587E9</v>
      </c>
      <c r="H992" s="6">
        <v>4.0222179E7</v>
      </c>
      <c r="I992" s="6" t="s">
        <v>1256</v>
      </c>
      <c r="J992" s="6" t="s">
        <v>21</v>
      </c>
      <c r="K992" s="6" t="s">
        <v>22</v>
      </c>
      <c r="L992" s="6">
        <v>90.0</v>
      </c>
      <c r="M992" s="5">
        <v>46013.0</v>
      </c>
      <c r="N992" s="6" t="s">
        <v>23</v>
      </c>
      <c r="O992" s="6" t="str">
        <f>SUMIFS([1]order_sku_sales_bb2_report!P:P,[1]order_sku_sales_bb2_report!H:H,C28793,[1]order_sku_sales_bb2_report!J:J,H28793)</f>
        <v>#ERROR!</v>
      </c>
      <c r="P992" s="6" t="str">
        <f>SUMIFS([1]order_sku_sales_bb2_report!O:O,[1]order_sku_sales_bb2_report!H:H,C28793,[1]order_sku_sales_bb2_report!J:J,H28793)</f>
        <v>#ERROR!</v>
      </c>
      <c r="Q992" s="6" t="str">
        <f t="shared" si="1"/>
        <v>22-12-2025</v>
      </c>
      <c r="R992" s="6" t="str">
        <f>IFERROR( VLOOKUP(C28793,[1]expressOrderReport!$S:$AZ,34,0),0)</f>
        <v>#ERROR!</v>
      </c>
      <c r="S992" s="6" t="str">
        <f>ARRAY_CONSTRAIN(ARRAYFORMULA(_xludf.XLOOKUP(D28793,[1]order_Report_SA_ID_BB2.0!V:V,[1]order_Report_SA_ID_BB2.0!AM:AM,"")), 1, 1)</f>
        <v>#ERROR!</v>
      </c>
      <c r="T992" s="6" t="str">
        <f t="shared" si="2"/>
        <v>Dec'25</v>
      </c>
    </row>
    <row r="993" ht="15.75" customHeight="1">
      <c r="A993" s="5">
        <v>46013.0</v>
      </c>
      <c r="B993" s="6">
        <v>4434.0</v>
      </c>
      <c r="C993" s="6">
        <v>1.859165848E9</v>
      </c>
      <c r="D993" s="6">
        <v>41541.0</v>
      </c>
      <c r="E993" s="6" t="s">
        <v>1568</v>
      </c>
      <c r="F993" s="6" t="s">
        <v>1569</v>
      </c>
      <c r="G993" s="6">
        <v>7.204895901E9</v>
      </c>
      <c r="H993" s="6">
        <v>4.0158264E7</v>
      </c>
      <c r="I993" s="6" t="s">
        <v>26</v>
      </c>
      <c r="J993" s="6" t="s">
        <v>21</v>
      </c>
      <c r="K993" s="6" t="s">
        <v>22</v>
      </c>
      <c r="L993" s="6">
        <v>70.0</v>
      </c>
      <c r="M993" s="5">
        <v>46013.0</v>
      </c>
      <c r="N993" s="6" t="s">
        <v>23</v>
      </c>
      <c r="O993" s="6" t="str">
        <f>SUMIFS([1]order_sku_sales_bb2_report!P:P,[1]order_sku_sales_bb2_report!H:H,C28794,[1]order_sku_sales_bb2_report!J:J,H28794)</f>
        <v>#ERROR!</v>
      </c>
      <c r="P993" s="6" t="str">
        <f>SUMIFS([1]order_sku_sales_bb2_report!O:O,[1]order_sku_sales_bb2_report!H:H,C28794,[1]order_sku_sales_bb2_report!J:J,H28794)</f>
        <v>#ERROR!</v>
      </c>
      <c r="Q993" s="6" t="str">
        <f t="shared" si="1"/>
        <v>22-12-2025</v>
      </c>
      <c r="R993" s="6" t="str">
        <f>IFERROR( VLOOKUP(C28794,[1]expressOrderReport!$S:$AZ,34,0),0)</f>
        <v>#ERROR!</v>
      </c>
      <c r="S993" s="6" t="str">
        <f>ARRAY_CONSTRAIN(ARRAYFORMULA(_xludf.XLOOKUP(D28794,[1]order_Report_SA_ID_BB2.0!V:V,[1]order_Report_SA_ID_BB2.0!AM:AM,"")), 1, 1)</f>
        <v>#ERROR!</v>
      </c>
      <c r="T993" s="6" t="str">
        <f t="shared" si="2"/>
        <v>Dec'25</v>
      </c>
    </row>
    <row r="994" ht="15.75" customHeight="1">
      <c r="A994" s="5">
        <v>46013.0</v>
      </c>
      <c r="B994" s="6">
        <v>4435.0</v>
      </c>
      <c r="C994" s="6">
        <v>1.859165848E9</v>
      </c>
      <c r="D994" s="6">
        <v>41541.0</v>
      </c>
      <c r="E994" s="6" t="s">
        <v>1568</v>
      </c>
      <c r="F994" s="6" t="s">
        <v>1569</v>
      </c>
      <c r="G994" s="6">
        <v>7.204895901E9</v>
      </c>
      <c r="H994" s="6">
        <v>4.0149832E7</v>
      </c>
      <c r="I994" s="6" t="s">
        <v>26</v>
      </c>
      <c r="J994" s="6" t="s">
        <v>21</v>
      </c>
      <c r="K994" s="6" t="s">
        <v>22</v>
      </c>
      <c r="L994" s="6">
        <v>70.0</v>
      </c>
      <c r="M994" s="5">
        <v>46013.0</v>
      </c>
      <c r="N994" s="6" t="s">
        <v>23</v>
      </c>
      <c r="O994" s="6" t="str">
        <f>SUMIFS([1]order_sku_sales_bb2_report!P:P,[1]order_sku_sales_bb2_report!H:H,C28795,[1]order_sku_sales_bb2_report!J:J,H28795)</f>
        <v>#ERROR!</v>
      </c>
      <c r="P994" s="6" t="str">
        <f>SUMIFS([1]order_sku_sales_bb2_report!O:O,[1]order_sku_sales_bb2_report!H:H,C28795,[1]order_sku_sales_bb2_report!J:J,H28795)</f>
        <v>#ERROR!</v>
      </c>
      <c r="Q994" s="6" t="str">
        <f t="shared" si="1"/>
        <v>22-12-2025</v>
      </c>
      <c r="R994" s="6" t="str">
        <f>IFERROR( VLOOKUP(C28795,[1]expressOrderReport!$S:$AZ,34,0),0)</f>
        <v>#ERROR!</v>
      </c>
      <c r="S994" s="6" t="str">
        <f>ARRAY_CONSTRAIN(ARRAYFORMULA(_xludf.XLOOKUP(D28795,[1]order_Report_SA_ID_BB2.0!V:V,[1]order_Report_SA_ID_BB2.0!AM:AM,"")), 1, 1)</f>
        <v>#ERROR!</v>
      </c>
      <c r="T994" s="6" t="str">
        <f t="shared" si="2"/>
        <v>Dec'25</v>
      </c>
    </row>
    <row r="995" ht="15.75" customHeight="1">
      <c r="A995" s="5">
        <v>46013.0</v>
      </c>
      <c r="B995" s="6">
        <v>5895.0</v>
      </c>
      <c r="C995" s="6">
        <v>1.859165854E9</v>
      </c>
      <c r="D995" s="6">
        <v>9388092.0</v>
      </c>
      <c r="E995" s="6" t="s">
        <v>1570</v>
      </c>
      <c r="F995" s="6" t="s">
        <v>1571</v>
      </c>
      <c r="G995" s="6">
        <v>8.861443315E9</v>
      </c>
      <c r="H995" s="6">
        <v>4.0161616E7</v>
      </c>
      <c r="I995" s="6" t="s">
        <v>20</v>
      </c>
      <c r="J995" s="6" t="s">
        <v>21</v>
      </c>
      <c r="K995" s="6" t="s">
        <v>22</v>
      </c>
      <c r="L995" s="6">
        <v>84.0</v>
      </c>
      <c r="M995" s="5">
        <v>46013.0</v>
      </c>
      <c r="N995" s="6" t="s">
        <v>23</v>
      </c>
      <c r="O995" s="6" t="str">
        <f>SUMIFS([1]order_sku_sales_bb2_report!P:P,[1]order_sku_sales_bb2_report!H:H,C28796,[1]order_sku_sales_bb2_report!J:J,H28796)</f>
        <v>#ERROR!</v>
      </c>
      <c r="P995" s="6" t="str">
        <f>SUMIFS([1]order_sku_sales_bb2_report!O:O,[1]order_sku_sales_bb2_report!H:H,C28796,[1]order_sku_sales_bb2_report!J:J,H28796)</f>
        <v>#ERROR!</v>
      </c>
      <c r="Q995" s="6" t="str">
        <f t="shared" si="1"/>
        <v>22-12-2025</v>
      </c>
      <c r="R995" s="6" t="str">
        <f>IFERROR( VLOOKUP(C28796,[1]expressOrderReport!$S:$AZ,34,0),0)</f>
        <v>#ERROR!</v>
      </c>
      <c r="S995" s="6" t="str">
        <f>ARRAY_CONSTRAIN(ARRAYFORMULA(_xludf.XLOOKUP(D28796,[1]order_Report_SA_ID_BB2.0!V:V,[1]order_Report_SA_ID_BB2.0!AM:AM,"")), 1, 1)</f>
        <v>#ERROR!</v>
      </c>
      <c r="T995" s="6" t="str">
        <f t="shared" si="2"/>
        <v>Dec'25</v>
      </c>
    </row>
    <row r="996" ht="15.75" customHeight="1">
      <c r="A996" s="5">
        <v>46013.0</v>
      </c>
      <c r="B996" s="6">
        <v>5896.0</v>
      </c>
      <c r="C996" s="6">
        <v>1.859165854E9</v>
      </c>
      <c r="D996" s="6">
        <v>9388092.0</v>
      </c>
      <c r="E996" s="6" t="s">
        <v>1570</v>
      </c>
      <c r="F996" s="6" t="s">
        <v>1571</v>
      </c>
      <c r="G996" s="6">
        <v>8.861443315E9</v>
      </c>
      <c r="H996" s="6">
        <v>4.014983E7</v>
      </c>
      <c r="I996" s="6" t="s">
        <v>30</v>
      </c>
      <c r="J996" s="6" t="s">
        <v>21</v>
      </c>
      <c r="K996" s="6" t="s">
        <v>22</v>
      </c>
      <c r="L996" s="6">
        <v>84.0</v>
      </c>
      <c r="M996" s="5">
        <v>46013.0</v>
      </c>
      <c r="N996" s="6" t="s">
        <v>23</v>
      </c>
      <c r="O996" s="6" t="str">
        <f>SUMIFS([1]order_sku_sales_bb2_report!P:P,[1]order_sku_sales_bb2_report!H:H,C28797,[1]order_sku_sales_bb2_report!J:J,H28797)</f>
        <v>#ERROR!</v>
      </c>
      <c r="P996" s="6" t="str">
        <f>SUMIFS([1]order_sku_sales_bb2_report!O:O,[1]order_sku_sales_bb2_report!H:H,C28797,[1]order_sku_sales_bb2_report!J:J,H28797)</f>
        <v>#ERROR!</v>
      </c>
      <c r="Q996" s="6" t="str">
        <f t="shared" si="1"/>
        <v>22-12-2025</v>
      </c>
      <c r="R996" s="6" t="str">
        <f>IFERROR( VLOOKUP(C28797,[1]expressOrderReport!$S:$AZ,34,0),0)</f>
        <v>#ERROR!</v>
      </c>
      <c r="S996" s="6" t="str">
        <f>ARRAY_CONSTRAIN(ARRAYFORMULA(_xludf.XLOOKUP(D28797,[1]order_Report_SA_ID_BB2.0!V:V,[1]order_Report_SA_ID_BB2.0!AM:AM,"")), 1, 1)</f>
        <v>#ERROR!</v>
      </c>
      <c r="T996" s="6" t="str">
        <f t="shared" si="2"/>
        <v>Dec'25</v>
      </c>
    </row>
    <row r="997" ht="15.75" customHeight="1">
      <c r="A997" s="5">
        <v>46013.0</v>
      </c>
      <c r="B997" s="6">
        <v>10584.0</v>
      </c>
      <c r="C997" s="6">
        <v>1.859165863E9</v>
      </c>
      <c r="D997" s="6">
        <v>9901190.0</v>
      </c>
      <c r="E997" s="6" t="s">
        <v>1572</v>
      </c>
      <c r="F997" s="6" t="s">
        <v>1573</v>
      </c>
      <c r="G997" s="6">
        <v>8.618235382E9</v>
      </c>
      <c r="H997" s="6">
        <v>3.0010214E7</v>
      </c>
      <c r="I997" s="6" t="s">
        <v>1574</v>
      </c>
      <c r="J997" s="6" t="s">
        <v>21</v>
      </c>
      <c r="K997" s="6" t="s">
        <v>22</v>
      </c>
      <c r="L997" s="6">
        <v>14.0</v>
      </c>
      <c r="M997" s="5">
        <v>46013.0</v>
      </c>
      <c r="N997" s="6" t="s">
        <v>54</v>
      </c>
      <c r="O997" s="6" t="str">
        <f>SUMIFS([1]order_sku_sales_bb2_report!P:P,[1]order_sku_sales_bb2_report!H:H,C28798,[1]order_sku_sales_bb2_report!J:J,H28798)</f>
        <v>#ERROR!</v>
      </c>
      <c r="P997" s="6" t="str">
        <f>SUMIFS([1]order_sku_sales_bb2_report!O:O,[1]order_sku_sales_bb2_report!H:H,C28798,[1]order_sku_sales_bb2_report!J:J,H28798)</f>
        <v>#ERROR!</v>
      </c>
      <c r="Q997" s="6" t="str">
        <f t="shared" si="1"/>
        <v>22-12-2025</v>
      </c>
      <c r="R997" s="6" t="str">
        <f>IFERROR( VLOOKUP(C28798,[1]expressOrderReport!$S:$AZ,34,0),0)</f>
        <v>#ERROR!</v>
      </c>
      <c r="S997" s="6" t="str">
        <f>ARRAY_CONSTRAIN(ARRAYFORMULA(_xludf.XLOOKUP(D28798,[1]order_Report_SA_ID_BB2.0!V:V,[1]order_Report_SA_ID_BB2.0!AM:AM,"")), 1, 1)</f>
        <v>#ERROR!</v>
      </c>
      <c r="T997" s="6" t="str">
        <f t="shared" si="2"/>
        <v>Dec'25</v>
      </c>
    </row>
    <row r="998" ht="15.75" customHeight="1">
      <c r="A998" s="5">
        <v>46013.0</v>
      </c>
      <c r="B998" s="6">
        <v>11504.0</v>
      </c>
      <c r="C998" s="6">
        <v>1.859165867E9</v>
      </c>
      <c r="D998" s="6">
        <v>9922234.0</v>
      </c>
      <c r="E998" s="6" t="s">
        <v>1575</v>
      </c>
      <c r="F998" s="6" t="s">
        <v>1576</v>
      </c>
      <c r="G998" s="6">
        <v>9.916179936E9</v>
      </c>
      <c r="H998" s="6">
        <v>4.0149833E7</v>
      </c>
      <c r="I998" s="6" t="s">
        <v>40</v>
      </c>
      <c r="J998" s="6" t="s">
        <v>21</v>
      </c>
      <c r="K998" s="6" t="s">
        <v>22</v>
      </c>
      <c r="L998" s="6">
        <v>27.0</v>
      </c>
      <c r="M998" s="5">
        <v>46013.0</v>
      </c>
      <c r="N998" s="6" t="s">
        <v>23</v>
      </c>
      <c r="O998" s="6" t="str">
        <f>SUMIFS([1]order_sku_sales_bb2_report!P:P,[1]order_sku_sales_bb2_report!H:H,C28799,[1]order_sku_sales_bb2_report!J:J,H28799)</f>
        <v>#ERROR!</v>
      </c>
      <c r="P998" s="6" t="str">
        <f>SUMIFS([1]order_sku_sales_bb2_report!O:O,[1]order_sku_sales_bb2_report!H:H,C28799,[1]order_sku_sales_bb2_report!J:J,H28799)</f>
        <v>#ERROR!</v>
      </c>
      <c r="Q998" s="6" t="str">
        <f t="shared" si="1"/>
        <v>22-12-2025</v>
      </c>
      <c r="R998" s="6" t="str">
        <f>IFERROR( VLOOKUP(C28799,[1]expressOrderReport!$S:$AZ,34,0),0)</f>
        <v>#ERROR!</v>
      </c>
      <c r="S998" s="6" t="str">
        <f>ARRAY_CONSTRAIN(ARRAYFORMULA(_xludf.XLOOKUP(D28799,[1]order_Report_SA_ID_BB2.0!V:V,[1]order_Report_SA_ID_BB2.0!AM:AM,"")), 1, 1)</f>
        <v>#ERROR!</v>
      </c>
      <c r="T998" s="6" t="str">
        <f t="shared" si="2"/>
        <v>Dec'25</v>
      </c>
    </row>
    <row r="999" ht="15.75" customHeight="1">
      <c r="A999" s="5">
        <v>46013.0</v>
      </c>
      <c r="B999" s="6">
        <v>3197.0</v>
      </c>
      <c r="C999" s="6">
        <v>1.859166718E9</v>
      </c>
      <c r="D999" s="6">
        <v>2030994.0</v>
      </c>
      <c r="E999" s="6" t="s">
        <v>1577</v>
      </c>
      <c r="F999" s="6" t="s">
        <v>1578</v>
      </c>
      <c r="G999" s="6">
        <v>8.147677747E9</v>
      </c>
      <c r="H999" s="6">
        <v>4.0148717E7</v>
      </c>
      <c r="I999" s="6" t="s">
        <v>226</v>
      </c>
      <c r="J999" s="6" t="s">
        <v>21</v>
      </c>
      <c r="K999" s="6" t="s">
        <v>22</v>
      </c>
      <c r="L999" s="6">
        <v>53.0</v>
      </c>
      <c r="M999" s="5">
        <v>46013.0</v>
      </c>
      <c r="N999" s="6" t="s">
        <v>23</v>
      </c>
      <c r="O999" s="6" t="str">
        <f>SUMIFS([1]order_sku_sales_bb2_report!P:P,[1]order_sku_sales_bb2_report!H:H,C28800,[1]order_sku_sales_bb2_report!J:J,H28800)</f>
        <v>#ERROR!</v>
      </c>
      <c r="P999" s="6" t="str">
        <f>SUMIFS([1]order_sku_sales_bb2_report!O:O,[1]order_sku_sales_bb2_report!H:H,C28800,[1]order_sku_sales_bb2_report!J:J,H28800)</f>
        <v>#ERROR!</v>
      </c>
      <c r="Q999" s="6" t="str">
        <f t="shared" si="1"/>
        <v>22-12-2025</v>
      </c>
      <c r="R999" s="6" t="str">
        <f>IFERROR( VLOOKUP(C28800,[1]expressOrderReport!$S:$AZ,34,0),0)</f>
        <v>#ERROR!</v>
      </c>
      <c r="S999" s="6" t="str">
        <f>ARRAY_CONSTRAIN(ARRAYFORMULA(_xludf.XLOOKUP(D28800,[1]order_Report_SA_ID_BB2.0!V:V,[1]order_Report_SA_ID_BB2.0!AM:AM,"")), 1, 1)</f>
        <v>#ERROR!</v>
      </c>
      <c r="T999" s="6" t="str">
        <f t="shared" si="2"/>
        <v>Dec'25</v>
      </c>
    </row>
    <row r="1000" ht="15.75" customHeight="1">
      <c r="A1000" s="5">
        <v>46013.0</v>
      </c>
      <c r="B1000" s="6">
        <v>1693.0</v>
      </c>
      <c r="C1000" s="6">
        <v>1.859166723E9</v>
      </c>
      <c r="D1000" s="6">
        <v>1.0010949E7</v>
      </c>
      <c r="E1000" s="6" t="s">
        <v>1579</v>
      </c>
      <c r="F1000" s="6" t="s">
        <v>1580</v>
      </c>
      <c r="G1000" s="6">
        <v>9.731078555E9</v>
      </c>
      <c r="H1000" s="6">
        <v>4.0149834E7</v>
      </c>
      <c r="I1000" s="6" t="s">
        <v>40</v>
      </c>
      <c r="J1000" s="6" t="s">
        <v>21</v>
      </c>
      <c r="K1000" s="6" t="s">
        <v>22</v>
      </c>
      <c r="L1000" s="6">
        <v>52.0</v>
      </c>
      <c r="M1000" s="5">
        <v>46013.0</v>
      </c>
      <c r="N1000" s="6" t="s">
        <v>23</v>
      </c>
      <c r="O1000" s="6" t="str">
        <f>SUMIFS([1]order_sku_sales_bb2_report!P:P,[1]order_sku_sales_bb2_report!H:H,C28801,[1]order_sku_sales_bb2_report!J:J,H28801)</f>
        <v>#ERROR!</v>
      </c>
      <c r="P1000" s="6" t="str">
        <f>SUMIFS([1]order_sku_sales_bb2_report!O:O,[1]order_sku_sales_bb2_report!H:H,C28801,[1]order_sku_sales_bb2_report!J:J,H28801)</f>
        <v>#ERROR!</v>
      </c>
      <c r="Q1000" s="6" t="str">
        <f t="shared" si="1"/>
        <v>22-12-2025</v>
      </c>
      <c r="R1000" s="6" t="str">
        <f>IFERROR( VLOOKUP(C28801,[1]expressOrderReport!$S:$AZ,34,0),0)</f>
        <v>#ERROR!</v>
      </c>
      <c r="S1000" s="6" t="str">
        <f>ARRAY_CONSTRAIN(ARRAYFORMULA(_xludf.XLOOKUP(D28801,[1]order_Report_SA_ID_BB2.0!V:V,[1]order_Report_SA_ID_BB2.0!AM:AM,"")), 1, 1)</f>
        <v>#ERROR!</v>
      </c>
      <c r="T1000" s="6" t="str">
        <f t="shared" si="2"/>
        <v>Dec'25</v>
      </c>
    </row>
    <row r="1001" ht="15.75" customHeight="1">
      <c r="A1001" s="5">
        <v>46013.0</v>
      </c>
      <c r="B1001" s="6">
        <v>5645.0</v>
      </c>
      <c r="C1001" s="6">
        <v>1.859166726E9</v>
      </c>
      <c r="D1001" s="6">
        <v>1.0037155E7</v>
      </c>
      <c r="E1001" s="6" t="s">
        <v>1581</v>
      </c>
      <c r="F1001" s="6" t="s">
        <v>1582</v>
      </c>
      <c r="G1001" s="6">
        <v>7.259149868E9</v>
      </c>
      <c r="H1001" s="6">
        <v>4.0149832E7</v>
      </c>
      <c r="I1001" s="6" t="s">
        <v>26</v>
      </c>
      <c r="J1001" s="6" t="s">
        <v>21</v>
      </c>
      <c r="K1001" s="6" t="s">
        <v>22</v>
      </c>
      <c r="L1001" s="6">
        <v>24.0</v>
      </c>
      <c r="M1001" s="5">
        <v>46013.0</v>
      </c>
      <c r="N1001" s="6" t="s">
        <v>23</v>
      </c>
      <c r="O1001" s="6" t="str">
        <f>SUMIFS([1]order_sku_sales_bb2_report!P:P,[1]order_sku_sales_bb2_report!H:H,C28802,[1]order_sku_sales_bb2_report!J:J,H28802)</f>
        <v>#ERROR!</v>
      </c>
      <c r="P1001" s="6" t="str">
        <f>SUMIFS([1]order_sku_sales_bb2_report!O:O,[1]order_sku_sales_bb2_report!H:H,C28802,[1]order_sku_sales_bb2_report!J:J,H28802)</f>
        <v>#ERROR!</v>
      </c>
      <c r="Q1001" s="6" t="str">
        <f t="shared" si="1"/>
        <v>22-12-2025</v>
      </c>
      <c r="R1001" s="6" t="str">
        <f>IFERROR( VLOOKUP(C28802,[1]expressOrderReport!$S:$AZ,34,0),0)</f>
        <v>#ERROR!</v>
      </c>
      <c r="S1001" s="6" t="str">
        <f>ARRAY_CONSTRAIN(ARRAYFORMULA(_xludf.XLOOKUP(D28802,[1]order_Report_SA_ID_BB2.0!V:V,[1]order_Report_SA_ID_BB2.0!AM:AM,"")), 1, 1)</f>
        <v>#ERROR!</v>
      </c>
      <c r="T1001" s="6" t="str">
        <f t="shared" si="2"/>
        <v>Dec'25</v>
      </c>
    </row>
    <row r="1002" ht="15.75" customHeight="1">
      <c r="A1002" s="5">
        <v>46013.0</v>
      </c>
      <c r="B1002" s="6">
        <v>5079.0</v>
      </c>
      <c r="C1002" s="6">
        <v>1.859166732E9</v>
      </c>
      <c r="D1002" s="6">
        <v>1152638.0</v>
      </c>
      <c r="E1002" s="6" t="s">
        <v>1583</v>
      </c>
      <c r="F1002" s="6" t="s">
        <v>1584</v>
      </c>
      <c r="G1002" s="6">
        <v>9.886478934E9</v>
      </c>
      <c r="H1002" s="6">
        <v>4.014983E7</v>
      </c>
      <c r="I1002" s="6" t="s">
        <v>30</v>
      </c>
      <c r="J1002" s="6" t="s">
        <v>21</v>
      </c>
      <c r="K1002" s="6" t="s">
        <v>22</v>
      </c>
      <c r="L1002" s="6">
        <v>56.0</v>
      </c>
      <c r="M1002" s="5">
        <v>46013.0</v>
      </c>
      <c r="N1002" s="6" t="s">
        <v>23</v>
      </c>
      <c r="O1002" s="6" t="str">
        <f>SUMIFS([1]order_sku_sales_bb2_report!P:P,[1]order_sku_sales_bb2_report!H:H,C28803,[1]order_sku_sales_bb2_report!J:J,H28803)</f>
        <v>#ERROR!</v>
      </c>
      <c r="P1002" s="6" t="str">
        <f>SUMIFS([1]order_sku_sales_bb2_report!O:O,[1]order_sku_sales_bb2_report!H:H,C28803,[1]order_sku_sales_bb2_report!J:J,H28803)</f>
        <v>#ERROR!</v>
      </c>
      <c r="Q1002" s="6" t="str">
        <f t="shared" si="1"/>
        <v>22-12-2025</v>
      </c>
      <c r="R1002" s="6" t="str">
        <f>IFERROR( VLOOKUP(C28803,[1]expressOrderReport!$S:$AZ,34,0),0)</f>
        <v>#ERROR!</v>
      </c>
      <c r="S1002" s="6" t="str">
        <f>ARRAY_CONSTRAIN(ARRAYFORMULA(_xludf.XLOOKUP(D28803,[1]order_Report_SA_ID_BB2.0!V:V,[1]order_Report_SA_ID_BB2.0!AM:AM,"")), 1, 1)</f>
        <v>#ERROR!</v>
      </c>
      <c r="T1002" s="6" t="str">
        <f t="shared" si="2"/>
        <v>Dec'25</v>
      </c>
    </row>
    <row r="1003" ht="15.75" customHeight="1">
      <c r="A1003" s="5">
        <v>46013.0</v>
      </c>
      <c r="B1003" s="6">
        <v>5103.0</v>
      </c>
      <c r="C1003" s="6">
        <v>1.859166732E9</v>
      </c>
      <c r="D1003" s="6">
        <v>1152638.0</v>
      </c>
      <c r="E1003" s="6" t="s">
        <v>1583</v>
      </c>
      <c r="F1003" s="6" t="s">
        <v>1584</v>
      </c>
      <c r="G1003" s="6">
        <v>9.886478934E9</v>
      </c>
      <c r="H1003" s="6">
        <v>4.0090894E7</v>
      </c>
      <c r="I1003" s="6" t="s">
        <v>62</v>
      </c>
      <c r="J1003" s="6" t="s">
        <v>21</v>
      </c>
      <c r="K1003" s="6" t="s">
        <v>22</v>
      </c>
      <c r="L1003" s="6">
        <v>56.0</v>
      </c>
      <c r="M1003" s="5">
        <v>46013.0</v>
      </c>
      <c r="N1003" s="6" t="s">
        <v>23</v>
      </c>
      <c r="O1003" s="6" t="str">
        <f>SUMIFS([1]order_sku_sales_bb2_report!P:P,[1]order_sku_sales_bb2_report!H:H,C28804,[1]order_sku_sales_bb2_report!J:J,H28804)</f>
        <v>#ERROR!</v>
      </c>
      <c r="P1003" s="6" t="str">
        <f>SUMIFS([1]order_sku_sales_bb2_report!O:O,[1]order_sku_sales_bb2_report!H:H,C28804,[1]order_sku_sales_bb2_report!J:J,H28804)</f>
        <v>#ERROR!</v>
      </c>
      <c r="Q1003" s="6" t="str">
        <f t="shared" si="1"/>
        <v>22-12-2025</v>
      </c>
      <c r="R1003" s="6" t="str">
        <f>IFERROR( VLOOKUP(C28804,[1]expressOrderReport!$S:$AZ,34,0),0)</f>
        <v>#ERROR!</v>
      </c>
      <c r="S1003" s="6" t="str">
        <f>ARRAY_CONSTRAIN(ARRAYFORMULA(_xludf.XLOOKUP(D28804,[1]order_Report_SA_ID_BB2.0!V:V,[1]order_Report_SA_ID_BB2.0!AM:AM,"")), 1, 1)</f>
        <v>#ERROR!</v>
      </c>
      <c r="T1003" s="6" t="str">
        <f t="shared" si="2"/>
        <v>Dec'25</v>
      </c>
    </row>
    <row r="1004" ht="15.75" customHeight="1">
      <c r="A1004" s="5">
        <v>46013.0</v>
      </c>
      <c r="B1004" s="6">
        <v>7427.0</v>
      </c>
      <c r="C1004" s="6">
        <v>1.859166739E9</v>
      </c>
      <c r="D1004" s="6">
        <v>1975116.0</v>
      </c>
      <c r="E1004" s="6" t="s">
        <v>1585</v>
      </c>
      <c r="F1004" s="6" t="s">
        <v>1586</v>
      </c>
      <c r="G1004" s="6">
        <v>9.854675213E9</v>
      </c>
      <c r="H1004" s="6">
        <v>4.0033823E7</v>
      </c>
      <c r="I1004" s="6" t="s">
        <v>1587</v>
      </c>
      <c r="J1004" s="6" t="s">
        <v>21</v>
      </c>
      <c r="K1004" s="6" t="s">
        <v>22</v>
      </c>
      <c r="L1004" s="6">
        <v>214.4</v>
      </c>
      <c r="M1004" s="5">
        <v>46013.0</v>
      </c>
      <c r="N1004" s="6" t="s">
        <v>23</v>
      </c>
      <c r="O1004" s="6" t="str">
        <f>SUMIFS([1]order_sku_sales_bb2_report!P:P,[1]order_sku_sales_bb2_report!H:H,C28806,[1]order_sku_sales_bb2_report!J:J,H28806)</f>
        <v>#ERROR!</v>
      </c>
      <c r="P1004" s="6" t="str">
        <f>SUMIFS([1]order_sku_sales_bb2_report!O:O,[1]order_sku_sales_bb2_report!H:H,C28806,[1]order_sku_sales_bb2_report!J:J,H28806)</f>
        <v>#ERROR!</v>
      </c>
      <c r="Q1004" s="6" t="str">
        <f t="shared" si="1"/>
        <v>22-12-2025</v>
      </c>
      <c r="R1004" s="6" t="str">
        <f>IFERROR( VLOOKUP(C28806,[1]expressOrderReport!$S:$AZ,34,0),0)</f>
        <v>#ERROR!</v>
      </c>
      <c r="S1004" s="6" t="str">
        <f>ARRAY_CONSTRAIN(ARRAYFORMULA(_xludf.XLOOKUP(D28806,[1]order_Report_SA_ID_BB2.0!V:V,[1]order_Report_SA_ID_BB2.0!AM:AM,"")), 1, 1)</f>
        <v>#ERROR!</v>
      </c>
      <c r="T1004" s="6" t="str">
        <f t="shared" si="2"/>
        <v>Dec'25</v>
      </c>
    </row>
    <row r="1005" ht="15.75" customHeight="1">
      <c r="A1005" s="5">
        <v>46013.0</v>
      </c>
      <c r="B1005" s="6">
        <v>11457.0</v>
      </c>
      <c r="C1005" s="6">
        <v>1.859166748E9</v>
      </c>
      <c r="D1005" s="6">
        <v>6252893.0</v>
      </c>
      <c r="E1005" s="6" t="s">
        <v>1588</v>
      </c>
      <c r="F1005" s="6" t="s">
        <v>1589</v>
      </c>
      <c r="G1005" s="6">
        <v>9.008167562E9</v>
      </c>
      <c r="H1005" s="6">
        <v>4.0154337E7</v>
      </c>
      <c r="I1005" s="6" t="s">
        <v>1590</v>
      </c>
      <c r="J1005" s="6" t="s">
        <v>21</v>
      </c>
      <c r="K1005" s="6" t="s">
        <v>22</v>
      </c>
      <c r="L1005" s="6">
        <v>103.0</v>
      </c>
      <c r="M1005" s="5">
        <v>46013.0</v>
      </c>
      <c r="N1005" s="6" t="s">
        <v>23</v>
      </c>
      <c r="O1005" s="6" t="str">
        <f>SUMIFS([1]order_sku_sales_bb2_report!P:P,[1]order_sku_sales_bb2_report!H:H,C28807,[1]order_sku_sales_bb2_report!J:J,H28807)</f>
        <v>#ERROR!</v>
      </c>
      <c r="P1005" s="6" t="str">
        <f>SUMIFS([1]order_sku_sales_bb2_report!O:O,[1]order_sku_sales_bb2_report!H:H,C28807,[1]order_sku_sales_bb2_report!J:J,H28807)</f>
        <v>#ERROR!</v>
      </c>
      <c r="Q1005" s="6" t="str">
        <f t="shared" si="1"/>
        <v>22-12-2025</v>
      </c>
      <c r="R1005" s="6" t="str">
        <f>IFERROR( VLOOKUP(C28807,[1]expressOrderReport!$S:$AZ,34,0),0)</f>
        <v>#ERROR!</v>
      </c>
      <c r="S1005" s="6" t="str">
        <f>ARRAY_CONSTRAIN(ARRAYFORMULA(_xludf.XLOOKUP(D28807,[1]order_Report_SA_ID_BB2.0!V:V,[1]order_Report_SA_ID_BB2.0!AM:AM,"")), 1, 1)</f>
        <v>#ERROR!</v>
      </c>
      <c r="T1005" s="6" t="str">
        <f t="shared" si="2"/>
        <v>Dec'25</v>
      </c>
    </row>
    <row r="1006" ht="15.75" customHeight="1">
      <c r="A1006" s="5">
        <v>46013.0</v>
      </c>
      <c r="B1006" s="6">
        <v>11458.0</v>
      </c>
      <c r="C1006" s="6">
        <v>1.859166748E9</v>
      </c>
      <c r="D1006" s="6">
        <v>6252893.0</v>
      </c>
      <c r="E1006" s="6" t="s">
        <v>1588</v>
      </c>
      <c r="F1006" s="6" t="s">
        <v>1589</v>
      </c>
      <c r="G1006" s="6">
        <v>9.008167562E9</v>
      </c>
      <c r="H1006" s="6">
        <v>4.0161616E7</v>
      </c>
      <c r="I1006" s="6" t="s">
        <v>20</v>
      </c>
      <c r="J1006" s="6" t="s">
        <v>21</v>
      </c>
      <c r="K1006" s="6" t="s">
        <v>22</v>
      </c>
      <c r="L1006" s="6">
        <v>103.0</v>
      </c>
      <c r="M1006" s="5">
        <v>46013.0</v>
      </c>
      <c r="N1006" s="6" t="s">
        <v>23</v>
      </c>
      <c r="O1006" s="6" t="str">
        <f>SUMIFS([1]order_sku_sales_bb2_report!P:P,[1]order_sku_sales_bb2_report!H:H,C28808,[1]order_sku_sales_bb2_report!J:J,H28808)</f>
        <v>#ERROR!</v>
      </c>
      <c r="P1006" s="6" t="str">
        <f>SUMIFS([1]order_sku_sales_bb2_report!O:O,[1]order_sku_sales_bb2_report!H:H,C28808,[1]order_sku_sales_bb2_report!J:J,H28808)</f>
        <v>#ERROR!</v>
      </c>
      <c r="Q1006" s="6" t="str">
        <f t="shared" si="1"/>
        <v>22-12-2025</v>
      </c>
      <c r="R1006" s="6" t="str">
        <f>IFERROR( VLOOKUP(C28808,[1]expressOrderReport!$S:$AZ,34,0),0)</f>
        <v>#ERROR!</v>
      </c>
      <c r="S1006" s="6" t="str">
        <f>ARRAY_CONSTRAIN(ARRAYFORMULA(_xludf.XLOOKUP(D28808,[1]order_Report_SA_ID_BB2.0!V:V,[1]order_Report_SA_ID_BB2.0!AM:AM,"")), 1, 1)</f>
        <v>#ERROR!</v>
      </c>
      <c r="T1006" s="6" t="str">
        <f t="shared" si="2"/>
        <v>Dec'25</v>
      </c>
    </row>
    <row r="1007" ht="15.75" customHeight="1">
      <c r="A1007" s="5">
        <v>46013.0</v>
      </c>
      <c r="B1007" s="6">
        <v>11297.0</v>
      </c>
      <c r="C1007" s="6">
        <v>1.859166759E9</v>
      </c>
      <c r="D1007" s="6">
        <v>9354027.0</v>
      </c>
      <c r="E1007" s="6" t="s">
        <v>1591</v>
      </c>
      <c r="F1007" s="6" t="s">
        <v>1592</v>
      </c>
      <c r="G1007" s="6">
        <v>9.60692735E9</v>
      </c>
      <c r="H1007" s="6">
        <v>4.0149833E7</v>
      </c>
      <c r="I1007" s="6" t="s">
        <v>40</v>
      </c>
      <c r="J1007" s="6" t="s">
        <v>21</v>
      </c>
      <c r="K1007" s="6" t="s">
        <v>22</v>
      </c>
      <c r="L1007" s="6">
        <v>27.0</v>
      </c>
      <c r="M1007" s="5">
        <v>46013.0</v>
      </c>
      <c r="N1007" s="6" t="s">
        <v>23</v>
      </c>
      <c r="O1007" s="6" t="str">
        <f>SUMIFS([1]order_sku_sales_bb2_report!P:P,[1]order_sku_sales_bb2_report!H:H,C28809,[1]order_sku_sales_bb2_report!J:J,H28809)</f>
        <v>#ERROR!</v>
      </c>
      <c r="P1007" s="6" t="str">
        <f>SUMIFS([1]order_sku_sales_bb2_report!O:O,[1]order_sku_sales_bb2_report!H:H,C28809,[1]order_sku_sales_bb2_report!J:J,H28809)</f>
        <v>#ERROR!</v>
      </c>
      <c r="Q1007" s="6" t="str">
        <f t="shared" si="1"/>
        <v>22-12-2025</v>
      </c>
      <c r="R1007" s="6" t="str">
        <f>IFERROR( VLOOKUP(C28809,[1]expressOrderReport!$S:$AZ,34,0),0)</f>
        <v>#ERROR!</v>
      </c>
      <c r="S1007" s="6" t="str">
        <f>ARRAY_CONSTRAIN(ARRAYFORMULA(_xludf.XLOOKUP(D28809,[1]order_Report_SA_ID_BB2.0!V:V,[1]order_Report_SA_ID_BB2.0!AM:AM,"")), 1, 1)</f>
        <v>#ERROR!</v>
      </c>
      <c r="T1007" s="6" t="str">
        <f t="shared" si="2"/>
        <v>Dec'25</v>
      </c>
    </row>
    <row r="1008" ht="15.75" customHeight="1">
      <c r="A1008" s="5">
        <v>46013.0</v>
      </c>
      <c r="B1008" s="6">
        <v>9469.0</v>
      </c>
      <c r="C1008" s="6">
        <v>1.859166767E9</v>
      </c>
      <c r="D1008" s="6">
        <v>1.0337066E7</v>
      </c>
      <c r="E1008" s="6" t="s">
        <v>1593</v>
      </c>
      <c r="F1008" s="6" t="s">
        <v>1594</v>
      </c>
      <c r="G1008" s="6">
        <v>9.844710332E9</v>
      </c>
      <c r="H1008" s="6">
        <v>4.0158264E7</v>
      </c>
      <c r="I1008" s="6" t="s">
        <v>26</v>
      </c>
      <c r="J1008" s="6" t="s">
        <v>21</v>
      </c>
      <c r="K1008" s="6" t="s">
        <v>22</v>
      </c>
      <c r="L1008" s="6">
        <v>46.0</v>
      </c>
      <c r="M1008" s="5">
        <v>46013.0</v>
      </c>
      <c r="N1008" s="6" t="s">
        <v>23</v>
      </c>
      <c r="O1008" s="6" t="str">
        <f>SUMIFS([1]order_sku_sales_bb2_report!P:P,[1]order_sku_sales_bb2_report!H:H,C28810,[1]order_sku_sales_bb2_report!J:J,H28810)</f>
        <v>#ERROR!</v>
      </c>
      <c r="P1008" s="6" t="str">
        <f>SUMIFS([1]order_sku_sales_bb2_report!O:O,[1]order_sku_sales_bb2_report!H:H,C28810,[1]order_sku_sales_bb2_report!J:J,H28810)</f>
        <v>#ERROR!</v>
      </c>
      <c r="Q1008" s="6" t="str">
        <f t="shared" si="1"/>
        <v>22-12-2025</v>
      </c>
      <c r="R1008" s="6" t="str">
        <f>IFERROR( VLOOKUP(C28810,[1]expressOrderReport!$S:$AZ,34,0),0)</f>
        <v>#ERROR!</v>
      </c>
      <c r="S1008" s="6" t="str">
        <f>ARRAY_CONSTRAIN(ARRAYFORMULA(_xludf.XLOOKUP(D28810,[1]order_Report_SA_ID_BB2.0!V:V,[1]order_Report_SA_ID_BB2.0!AM:AM,"")), 1, 1)</f>
        <v>#ERROR!</v>
      </c>
      <c r="T1008" s="6" t="str">
        <f t="shared" si="2"/>
        <v>Dec'25</v>
      </c>
    </row>
    <row r="1009" ht="15.75" customHeight="1">
      <c r="A1009" s="5">
        <v>46013.0</v>
      </c>
      <c r="B1009" s="6">
        <v>1996.0</v>
      </c>
      <c r="C1009" s="6">
        <v>1.859166775E9</v>
      </c>
      <c r="D1009" s="6">
        <v>1.0358884E7</v>
      </c>
      <c r="E1009" s="6" t="s">
        <v>1595</v>
      </c>
      <c r="F1009" s="6" t="s">
        <v>1596</v>
      </c>
      <c r="G1009" s="6">
        <v>9.998728147E9</v>
      </c>
      <c r="H1009" s="6">
        <v>4.0161616E7</v>
      </c>
      <c r="I1009" s="6" t="s">
        <v>20</v>
      </c>
      <c r="J1009" s="6" t="s">
        <v>21</v>
      </c>
      <c r="K1009" s="6" t="s">
        <v>22</v>
      </c>
      <c r="L1009" s="6">
        <v>84.0</v>
      </c>
      <c r="M1009" s="5">
        <v>46013.0</v>
      </c>
      <c r="N1009" s="6" t="s">
        <v>23</v>
      </c>
      <c r="O1009" s="6" t="str">
        <f>SUMIFS([1]order_sku_sales_bb2_report!P:P,[1]order_sku_sales_bb2_report!H:H,C28811,[1]order_sku_sales_bb2_report!J:J,H28811)</f>
        <v>#ERROR!</v>
      </c>
      <c r="P1009" s="6" t="str">
        <f>SUMIFS([1]order_sku_sales_bb2_report!O:O,[1]order_sku_sales_bb2_report!H:H,C28811,[1]order_sku_sales_bb2_report!J:J,H28811)</f>
        <v>#ERROR!</v>
      </c>
      <c r="Q1009" s="6" t="str">
        <f t="shared" si="1"/>
        <v>22-12-2025</v>
      </c>
      <c r="R1009" s="6" t="str">
        <f>IFERROR( VLOOKUP(C28811,[1]expressOrderReport!$S:$AZ,34,0),0)</f>
        <v>#ERROR!</v>
      </c>
      <c r="S1009" s="6" t="str">
        <f>ARRAY_CONSTRAIN(ARRAYFORMULA(_xludf.XLOOKUP(D28811,[1]order_Report_SA_ID_BB2.0!V:V,[1]order_Report_SA_ID_BB2.0!AM:AM,"")), 1, 1)</f>
        <v>#ERROR!</v>
      </c>
      <c r="T1009" s="6" t="str">
        <f t="shared" si="2"/>
        <v>Dec'25</v>
      </c>
    </row>
    <row r="1010" ht="15.75" customHeight="1">
      <c r="A1010" s="5">
        <v>46013.0</v>
      </c>
      <c r="B1010" s="6">
        <v>1178.0</v>
      </c>
      <c r="C1010" s="6">
        <v>1.859166787E9</v>
      </c>
      <c r="D1010" s="6">
        <v>1.0410673E7</v>
      </c>
      <c r="E1010" s="6" t="s">
        <v>1597</v>
      </c>
      <c r="F1010" s="6" t="s">
        <v>1598</v>
      </c>
      <c r="G1010" s="6">
        <v>7.893039991E9</v>
      </c>
      <c r="H1010" s="6">
        <v>4.0147597E7</v>
      </c>
      <c r="I1010" s="6" t="s">
        <v>59</v>
      </c>
      <c r="J1010" s="6" t="s">
        <v>21</v>
      </c>
      <c r="K1010" s="6" t="s">
        <v>22</v>
      </c>
      <c r="L1010" s="6">
        <v>60.0</v>
      </c>
      <c r="M1010" s="5">
        <v>46013.0</v>
      </c>
      <c r="N1010" s="6" t="s">
        <v>23</v>
      </c>
      <c r="O1010" s="6" t="str">
        <f>SUMIFS([1]order_sku_sales_bb2_report!P:P,[1]order_sku_sales_bb2_report!H:H,C28812,[1]order_sku_sales_bb2_report!J:J,H28812)</f>
        <v>#ERROR!</v>
      </c>
      <c r="P1010" s="6" t="str">
        <f>SUMIFS([1]order_sku_sales_bb2_report!O:O,[1]order_sku_sales_bb2_report!H:H,C28812,[1]order_sku_sales_bb2_report!J:J,H28812)</f>
        <v>#ERROR!</v>
      </c>
      <c r="Q1010" s="6" t="str">
        <f t="shared" si="1"/>
        <v>22-12-2025</v>
      </c>
      <c r="R1010" s="6" t="str">
        <f>IFERROR( VLOOKUP(C28812,[1]expressOrderReport!$S:$AZ,34,0),0)</f>
        <v>#ERROR!</v>
      </c>
      <c r="S1010" s="6" t="str">
        <f>ARRAY_CONSTRAIN(ARRAYFORMULA(_xludf.XLOOKUP(D28812,[1]order_Report_SA_ID_BB2.0!V:V,[1]order_Report_SA_ID_BB2.0!AM:AM,"")), 1, 1)</f>
        <v>#ERROR!</v>
      </c>
      <c r="T1010" s="6" t="str">
        <f t="shared" si="2"/>
        <v>Dec'25</v>
      </c>
    </row>
    <row r="1011" ht="15.75" customHeight="1">
      <c r="A1011" s="5">
        <v>46013.0</v>
      </c>
      <c r="B1011" s="6">
        <v>1180.0</v>
      </c>
      <c r="C1011" s="6">
        <v>1.859166787E9</v>
      </c>
      <c r="D1011" s="6">
        <v>1.0410673E7</v>
      </c>
      <c r="E1011" s="6" t="s">
        <v>1597</v>
      </c>
      <c r="F1011" s="6" t="s">
        <v>1598</v>
      </c>
      <c r="G1011" s="6">
        <v>7.893039991E9</v>
      </c>
      <c r="H1011" s="6">
        <v>4.0149829E7</v>
      </c>
      <c r="I1011" s="6" t="s">
        <v>355</v>
      </c>
      <c r="J1011" s="6" t="s">
        <v>21</v>
      </c>
      <c r="K1011" s="6" t="s">
        <v>22</v>
      </c>
      <c r="L1011" s="6">
        <v>60.0</v>
      </c>
      <c r="M1011" s="5">
        <v>46013.0</v>
      </c>
      <c r="N1011" s="6" t="s">
        <v>23</v>
      </c>
      <c r="O1011" s="6" t="str">
        <f>SUMIFS([1]order_sku_sales_bb2_report!P:P,[1]order_sku_sales_bb2_report!H:H,C28813,[1]order_sku_sales_bb2_report!J:J,H28813)</f>
        <v>#ERROR!</v>
      </c>
      <c r="P1011" s="6" t="str">
        <f>SUMIFS([1]order_sku_sales_bb2_report!O:O,[1]order_sku_sales_bb2_report!H:H,C28813,[1]order_sku_sales_bb2_report!J:J,H28813)</f>
        <v>#ERROR!</v>
      </c>
      <c r="Q1011" s="6" t="str">
        <f t="shared" si="1"/>
        <v>22-12-2025</v>
      </c>
      <c r="R1011" s="6" t="str">
        <f>IFERROR( VLOOKUP(C28813,[1]expressOrderReport!$S:$AZ,34,0),0)</f>
        <v>#ERROR!</v>
      </c>
      <c r="S1011" s="6" t="str">
        <f>ARRAY_CONSTRAIN(ARRAYFORMULA(_xludf.XLOOKUP(D28813,[1]order_Report_SA_ID_BB2.0!V:V,[1]order_Report_SA_ID_BB2.0!AM:AM,"")), 1, 1)</f>
        <v>#ERROR!</v>
      </c>
      <c r="T1011" s="6" t="str">
        <f t="shared" si="2"/>
        <v>Dec'25</v>
      </c>
    </row>
    <row r="1012" ht="15.75" customHeight="1">
      <c r="A1012" s="5">
        <v>46013.0</v>
      </c>
      <c r="B1012" s="6">
        <v>11477.0</v>
      </c>
      <c r="C1012" s="6">
        <v>1.859166799E9</v>
      </c>
      <c r="D1012" s="6">
        <v>1.0431281E7</v>
      </c>
      <c r="E1012" s="6" t="s">
        <v>1599</v>
      </c>
      <c r="F1012" s="6" t="s">
        <v>1600</v>
      </c>
      <c r="G1012" s="6">
        <v>9.945264227E9</v>
      </c>
      <c r="H1012" s="6">
        <v>4.0147597E7</v>
      </c>
      <c r="I1012" s="6" t="s">
        <v>59</v>
      </c>
      <c r="J1012" s="6" t="s">
        <v>21</v>
      </c>
      <c r="K1012" s="6" t="s">
        <v>22</v>
      </c>
      <c r="L1012" s="6">
        <v>52.0</v>
      </c>
      <c r="M1012" s="5">
        <v>46013.0</v>
      </c>
      <c r="N1012" s="6" t="s">
        <v>23</v>
      </c>
      <c r="O1012" s="6" t="str">
        <f>SUMIFS([1]order_sku_sales_bb2_report!P:P,[1]order_sku_sales_bb2_report!H:H,C28814,[1]order_sku_sales_bb2_report!J:J,H28814)</f>
        <v>#ERROR!</v>
      </c>
      <c r="P1012" s="6" t="str">
        <f>SUMIFS([1]order_sku_sales_bb2_report!O:O,[1]order_sku_sales_bb2_report!H:H,C28814,[1]order_sku_sales_bb2_report!J:J,H28814)</f>
        <v>#ERROR!</v>
      </c>
      <c r="Q1012" s="6" t="str">
        <f t="shared" si="1"/>
        <v>22-12-2025</v>
      </c>
      <c r="R1012" s="6" t="str">
        <f>IFERROR( VLOOKUP(C28814,[1]expressOrderReport!$S:$AZ,34,0),0)</f>
        <v>#ERROR!</v>
      </c>
      <c r="S1012" s="6" t="str">
        <f>ARRAY_CONSTRAIN(ARRAYFORMULA(_xludf.XLOOKUP(D28814,[1]order_Report_SA_ID_BB2.0!V:V,[1]order_Report_SA_ID_BB2.0!AM:AM,"")), 1, 1)</f>
        <v>#ERROR!</v>
      </c>
      <c r="T1012" s="6" t="str">
        <f t="shared" si="2"/>
        <v>Dec'25</v>
      </c>
    </row>
    <row r="1013" ht="15.75" customHeight="1">
      <c r="A1013" s="5">
        <v>46013.0</v>
      </c>
      <c r="B1013" s="6">
        <v>3722.0</v>
      </c>
      <c r="C1013" s="6">
        <v>1.859166807E9</v>
      </c>
      <c r="D1013" s="6">
        <v>1.061169E7</v>
      </c>
      <c r="E1013" s="6" t="s">
        <v>1601</v>
      </c>
      <c r="F1013" s="6" t="s">
        <v>1602</v>
      </c>
      <c r="G1013" s="6">
        <v>8.97131301E9</v>
      </c>
      <c r="H1013" s="6">
        <v>1.0000097E7</v>
      </c>
      <c r="I1013" s="6" t="s">
        <v>285</v>
      </c>
      <c r="J1013" s="6" t="s">
        <v>21</v>
      </c>
      <c r="K1013" s="6" t="s">
        <v>27</v>
      </c>
      <c r="L1013" s="6">
        <v>8.16</v>
      </c>
      <c r="M1013" s="5">
        <v>46013.0</v>
      </c>
      <c r="N1013" s="6" t="s">
        <v>23</v>
      </c>
      <c r="O1013" s="6" t="str">
        <f>SUMIFS([1]order_sku_sales_bb2_report!P:P,[1]order_sku_sales_bb2_report!H:H,C28815,[1]order_sku_sales_bb2_report!J:J,H28815)</f>
        <v>#ERROR!</v>
      </c>
      <c r="P1013" s="6" t="str">
        <f>SUMIFS([1]order_sku_sales_bb2_report!O:O,[1]order_sku_sales_bb2_report!H:H,C28815,[1]order_sku_sales_bb2_report!J:J,H28815)</f>
        <v>#ERROR!</v>
      </c>
      <c r="Q1013" s="6" t="str">
        <f t="shared" si="1"/>
        <v>22-12-2025</v>
      </c>
      <c r="R1013" s="6" t="str">
        <f>IFERROR( VLOOKUP(C28815,[1]expressOrderReport!$S:$AZ,34,0),0)</f>
        <v>#ERROR!</v>
      </c>
      <c r="S1013" s="6" t="str">
        <f>ARRAY_CONSTRAIN(ARRAYFORMULA(_xludf.XLOOKUP(D28815,[1]order_Report_SA_ID_BB2.0!V:V,[1]order_Report_SA_ID_BB2.0!AM:AM,"")), 1, 1)</f>
        <v>#ERROR!</v>
      </c>
      <c r="T1013" s="6" t="str">
        <f t="shared" si="2"/>
        <v>Dec'25</v>
      </c>
    </row>
    <row r="1014" ht="15.75" customHeight="1">
      <c r="A1014" s="5">
        <v>46013.0</v>
      </c>
      <c r="B1014" s="6">
        <v>2520.0</v>
      </c>
      <c r="C1014" s="6">
        <v>1.859166814E9</v>
      </c>
      <c r="D1014" s="6">
        <v>4738274.0</v>
      </c>
      <c r="E1014" s="6" t="s">
        <v>1603</v>
      </c>
      <c r="F1014" s="6" t="s">
        <v>1604</v>
      </c>
      <c r="G1014" s="6">
        <v>8.779537019E9</v>
      </c>
      <c r="H1014" s="6">
        <v>4.0161616E7</v>
      </c>
      <c r="I1014" s="6" t="s">
        <v>20</v>
      </c>
      <c r="J1014" s="6" t="s">
        <v>21</v>
      </c>
      <c r="K1014" s="6" t="s">
        <v>22</v>
      </c>
      <c r="L1014" s="6">
        <v>63.27</v>
      </c>
      <c r="M1014" s="5">
        <v>46013.0</v>
      </c>
      <c r="N1014" s="6" t="s">
        <v>23</v>
      </c>
      <c r="O1014" s="6" t="str">
        <f>SUMIFS([1]order_sku_sales_bb2_report!P:P,[1]order_sku_sales_bb2_report!H:H,C28816,[1]order_sku_sales_bb2_report!J:J,H28816)</f>
        <v>#ERROR!</v>
      </c>
      <c r="P1014" s="6" t="str">
        <f>SUMIFS([1]order_sku_sales_bb2_report!O:O,[1]order_sku_sales_bb2_report!H:H,C28816,[1]order_sku_sales_bb2_report!J:J,H28816)</f>
        <v>#ERROR!</v>
      </c>
      <c r="Q1014" s="6" t="str">
        <f t="shared" si="1"/>
        <v>22-12-2025</v>
      </c>
      <c r="R1014" s="6" t="str">
        <f>IFERROR( VLOOKUP(C28816,[1]expressOrderReport!$S:$AZ,34,0),0)</f>
        <v>#ERROR!</v>
      </c>
      <c r="S1014" s="6" t="str">
        <f>ARRAY_CONSTRAIN(ARRAYFORMULA(_xludf.XLOOKUP(D28816,[1]order_Report_SA_ID_BB2.0!V:V,[1]order_Report_SA_ID_BB2.0!AM:AM,"")), 1, 1)</f>
        <v>#ERROR!</v>
      </c>
      <c r="T1014" s="6" t="str">
        <f t="shared" si="2"/>
        <v>Dec'25</v>
      </c>
    </row>
    <row r="1015" ht="15.75" customHeight="1">
      <c r="A1015" s="5">
        <v>46013.0</v>
      </c>
      <c r="B1015" s="6">
        <v>2523.0</v>
      </c>
      <c r="C1015" s="6">
        <v>1.859166814E9</v>
      </c>
      <c r="D1015" s="6">
        <v>4738274.0</v>
      </c>
      <c r="E1015" s="6" t="s">
        <v>1603</v>
      </c>
      <c r="F1015" s="6" t="s">
        <v>1604</v>
      </c>
      <c r="G1015" s="6">
        <v>8.779537019E9</v>
      </c>
      <c r="H1015" s="6">
        <v>2.0001186E7</v>
      </c>
      <c r="I1015" s="6" t="s">
        <v>430</v>
      </c>
      <c r="J1015" s="6" t="s">
        <v>21</v>
      </c>
      <c r="K1015" s="6" t="s">
        <v>22</v>
      </c>
      <c r="L1015" s="6">
        <v>63.27</v>
      </c>
      <c r="M1015" s="5">
        <v>46013.0</v>
      </c>
      <c r="N1015" s="6" t="s">
        <v>23</v>
      </c>
      <c r="O1015" s="6" t="str">
        <f>SUMIFS([1]order_sku_sales_bb2_report!P:P,[1]order_sku_sales_bb2_report!H:H,C28817,[1]order_sku_sales_bb2_report!J:J,H28817)</f>
        <v>#ERROR!</v>
      </c>
      <c r="P1015" s="6" t="str">
        <f>SUMIFS([1]order_sku_sales_bb2_report!O:O,[1]order_sku_sales_bb2_report!H:H,C28817,[1]order_sku_sales_bb2_report!J:J,H28817)</f>
        <v>#ERROR!</v>
      </c>
      <c r="Q1015" s="6" t="str">
        <f t="shared" si="1"/>
        <v>22-12-2025</v>
      </c>
      <c r="R1015" s="6" t="str">
        <f>IFERROR( VLOOKUP(C28817,[1]expressOrderReport!$S:$AZ,34,0),0)</f>
        <v>#ERROR!</v>
      </c>
      <c r="S1015" s="6" t="str">
        <f>ARRAY_CONSTRAIN(ARRAYFORMULA(_xludf.XLOOKUP(D28817,[1]order_Report_SA_ID_BB2.0!V:V,[1]order_Report_SA_ID_BB2.0!AM:AM,"")), 1, 1)</f>
        <v>#ERROR!</v>
      </c>
      <c r="T1015" s="6" t="str">
        <f t="shared" si="2"/>
        <v>Dec'25</v>
      </c>
    </row>
    <row r="1016" ht="15.75" customHeight="1">
      <c r="A1016" s="5">
        <v>46013.0</v>
      </c>
      <c r="B1016" s="6">
        <v>4516.0</v>
      </c>
      <c r="C1016" s="6">
        <v>1.85916682E9</v>
      </c>
      <c r="D1016" s="6">
        <v>1.0714755E7</v>
      </c>
      <c r="E1016" s="6" t="s">
        <v>1605</v>
      </c>
      <c r="F1016" s="6" t="s">
        <v>1606</v>
      </c>
      <c r="G1016" s="6">
        <v>9.845695071E9</v>
      </c>
      <c r="H1016" s="6">
        <v>4.0149832E7</v>
      </c>
      <c r="I1016" s="6" t="s">
        <v>26</v>
      </c>
      <c r="J1016" s="6" t="s">
        <v>21</v>
      </c>
      <c r="K1016" s="6" t="s">
        <v>22</v>
      </c>
      <c r="L1016" s="6">
        <v>48.0</v>
      </c>
      <c r="M1016" s="5">
        <v>46013.0</v>
      </c>
      <c r="N1016" s="6" t="s">
        <v>23</v>
      </c>
      <c r="O1016" s="6" t="str">
        <f>SUMIFS([1]order_sku_sales_bb2_report!P:P,[1]order_sku_sales_bb2_report!H:H,C28818,[1]order_sku_sales_bb2_report!J:J,H28818)</f>
        <v>#ERROR!</v>
      </c>
      <c r="P1016" s="6" t="str">
        <f>SUMIFS([1]order_sku_sales_bb2_report!O:O,[1]order_sku_sales_bb2_report!H:H,C28818,[1]order_sku_sales_bb2_report!J:J,H28818)</f>
        <v>#ERROR!</v>
      </c>
      <c r="Q1016" s="6" t="str">
        <f t="shared" si="1"/>
        <v>22-12-2025</v>
      </c>
      <c r="R1016" s="6" t="str">
        <f>IFERROR( VLOOKUP(C28818,[1]expressOrderReport!$S:$AZ,34,0),0)</f>
        <v>#ERROR!</v>
      </c>
      <c r="S1016" s="6" t="str">
        <f>ARRAY_CONSTRAIN(ARRAYFORMULA(_xludf.XLOOKUP(D28818,[1]order_Report_SA_ID_BB2.0!V:V,[1]order_Report_SA_ID_BB2.0!AM:AM,"")), 1, 1)</f>
        <v>#ERROR!</v>
      </c>
      <c r="T1016" s="6" t="str">
        <f t="shared" si="2"/>
        <v>Dec'25</v>
      </c>
    </row>
    <row r="1017" ht="15.75" customHeight="1">
      <c r="A1017" s="5">
        <v>46013.0</v>
      </c>
      <c r="B1017" s="6">
        <v>6266.0</v>
      </c>
      <c r="C1017" s="6">
        <v>1.859166831E9</v>
      </c>
      <c r="D1017" s="6">
        <v>4678411.0</v>
      </c>
      <c r="E1017" s="6" t="s">
        <v>1607</v>
      </c>
      <c r="F1017" s="6" t="s">
        <v>1608</v>
      </c>
      <c r="G1017" s="6">
        <v>7.406661646E9</v>
      </c>
      <c r="H1017" s="6">
        <v>4.0149833E7</v>
      </c>
      <c r="I1017" s="6" t="s">
        <v>40</v>
      </c>
      <c r="J1017" s="6" t="s">
        <v>21</v>
      </c>
      <c r="K1017" s="6" t="s">
        <v>22</v>
      </c>
      <c r="L1017" s="6">
        <v>27.0</v>
      </c>
      <c r="M1017" s="5">
        <v>46013.0</v>
      </c>
      <c r="N1017" s="6" t="s">
        <v>23</v>
      </c>
      <c r="O1017" s="6" t="str">
        <f>SUMIFS([1]order_sku_sales_bb2_report!P:P,[1]order_sku_sales_bb2_report!H:H,C28819,[1]order_sku_sales_bb2_report!J:J,H28819)</f>
        <v>#ERROR!</v>
      </c>
      <c r="P1017" s="6" t="str">
        <f>SUMIFS([1]order_sku_sales_bb2_report!O:O,[1]order_sku_sales_bb2_report!H:H,C28819,[1]order_sku_sales_bb2_report!J:J,H28819)</f>
        <v>#ERROR!</v>
      </c>
      <c r="Q1017" s="6" t="str">
        <f t="shared" si="1"/>
        <v>22-12-2025</v>
      </c>
      <c r="R1017" s="6" t="str">
        <f>IFERROR( VLOOKUP(C28819,[1]expressOrderReport!$S:$AZ,34,0),0)</f>
        <v>#ERROR!</v>
      </c>
      <c r="S1017" s="6" t="str">
        <f>ARRAY_CONSTRAIN(ARRAYFORMULA(_xludf.XLOOKUP(D28819,[1]order_Report_SA_ID_BB2.0!V:V,[1]order_Report_SA_ID_BB2.0!AM:AM,"")), 1, 1)</f>
        <v>#ERROR!</v>
      </c>
      <c r="T1017" s="6" t="str">
        <f t="shared" si="2"/>
        <v>Dec'25</v>
      </c>
    </row>
    <row r="1018" ht="15.75" customHeight="1">
      <c r="A1018" s="5">
        <v>46013.0</v>
      </c>
      <c r="B1018" s="6">
        <v>1403.0</v>
      </c>
      <c r="C1018" s="6">
        <v>1.859166842E9</v>
      </c>
      <c r="D1018" s="6">
        <v>1.0815501E7</v>
      </c>
      <c r="E1018" s="6" t="s">
        <v>1609</v>
      </c>
      <c r="F1018" s="6" t="s">
        <v>1610</v>
      </c>
      <c r="G1018" s="6">
        <v>8.123055505E9</v>
      </c>
      <c r="H1018" s="6">
        <v>4.0149832E7</v>
      </c>
      <c r="I1018" s="6" t="s">
        <v>26</v>
      </c>
      <c r="J1018" s="6" t="s">
        <v>21</v>
      </c>
      <c r="K1018" s="6" t="s">
        <v>22</v>
      </c>
      <c r="L1018" s="6">
        <v>24.0</v>
      </c>
      <c r="M1018" s="5">
        <v>46013.0</v>
      </c>
      <c r="N1018" s="6" t="s">
        <v>23</v>
      </c>
      <c r="O1018" s="6" t="str">
        <f>SUMIFS([1]order_sku_sales_bb2_report!P:P,[1]order_sku_sales_bb2_report!H:H,C28820,[1]order_sku_sales_bb2_report!J:J,H28820)</f>
        <v>#ERROR!</v>
      </c>
      <c r="P1018" s="6" t="str">
        <f>SUMIFS([1]order_sku_sales_bb2_report!O:O,[1]order_sku_sales_bb2_report!H:H,C28820,[1]order_sku_sales_bb2_report!J:J,H28820)</f>
        <v>#ERROR!</v>
      </c>
      <c r="Q1018" s="6" t="str">
        <f t="shared" si="1"/>
        <v>22-12-2025</v>
      </c>
      <c r="R1018" s="6" t="str">
        <f>IFERROR( VLOOKUP(C28820,[1]expressOrderReport!$S:$AZ,34,0),0)</f>
        <v>#ERROR!</v>
      </c>
      <c r="S1018" s="6" t="str">
        <f>ARRAY_CONSTRAIN(ARRAYFORMULA(_xludf.XLOOKUP(D28820,[1]order_Report_SA_ID_BB2.0!V:V,[1]order_Report_SA_ID_BB2.0!AM:AM,"")), 1, 1)</f>
        <v>#ERROR!</v>
      </c>
      <c r="T1018" s="6" t="str">
        <f t="shared" si="2"/>
        <v>Dec'25</v>
      </c>
    </row>
    <row r="1019" ht="15.75" customHeight="1">
      <c r="A1019" s="5">
        <v>46013.0</v>
      </c>
      <c r="B1019" s="6">
        <v>2228.0</v>
      </c>
      <c r="C1019" s="6">
        <v>1.85916685E9</v>
      </c>
      <c r="D1019" s="6">
        <v>1.0860356E7</v>
      </c>
      <c r="E1019" s="6" t="s">
        <v>1611</v>
      </c>
      <c r="F1019" s="6" t="s">
        <v>1612</v>
      </c>
      <c r="G1019" s="6">
        <v>9.916309053E9</v>
      </c>
      <c r="H1019" s="6">
        <v>4.0149833E7</v>
      </c>
      <c r="I1019" s="6" t="s">
        <v>40</v>
      </c>
      <c r="J1019" s="6" t="s">
        <v>21</v>
      </c>
      <c r="K1019" s="6" t="s">
        <v>22</v>
      </c>
      <c r="L1019" s="6">
        <v>135.0</v>
      </c>
      <c r="M1019" s="5">
        <v>46013.0</v>
      </c>
      <c r="N1019" s="6" t="s">
        <v>23</v>
      </c>
      <c r="O1019" s="6" t="str">
        <f>SUMIFS([1]order_sku_sales_bb2_report!P:P,[1]order_sku_sales_bb2_report!H:H,C28821,[1]order_sku_sales_bb2_report!J:J,H28821)</f>
        <v>#ERROR!</v>
      </c>
      <c r="P1019" s="6" t="str">
        <f>SUMIFS([1]order_sku_sales_bb2_report!O:O,[1]order_sku_sales_bb2_report!H:H,C28821,[1]order_sku_sales_bb2_report!J:J,H28821)</f>
        <v>#ERROR!</v>
      </c>
      <c r="Q1019" s="6" t="str">
        <f t="shared" si="1"/>
        <v>22-12-2025</v>
      </c>
      <c r="R1019" s="6" t="str">
        <f>IFERROR( VLOOKUP(C28821,[1]expressOrderReport!$S:$AZ,34,0),0)</f>
        <v>#ERROR!</v>
      </c>
      <c r="S1019" s="6" t="str">
        <f>ARRAY_CONSTRAIN(ARRAYFORMULA(_xludf.XLOOKUP(D28821,[1]order_Report_SA_ID_BB2.0!V:V,[1]order_Report_SA_ID_BB2.0!AM:AM,"")), 1, 1)</f>
        <v>#ERROR!</v>
      </c>
      <c r="T1019" s="6" t="str">
        <f t="shared" si="2"/>
        <v>Dec'25</v>
      </c>
    </row>
    <row r="1020" ht="15.75" customHeight="1">
      <c r="A1020" s="5">
        <v>46013.0</v>
      </c>
      <c r="B1020" s="6">
        <v>4333.0</v>
      </c>
      <c r="C1020" s="6">
        <v>1.859166858E9</v>
      </c>
      <c r="D1020" s="6">
        <v>1.0877238E7</v>
      </c>
      <c r="E1020" s="6" t="s">
        <v>1613</v>
      </c>
      <c r="F1020" s="6" t="s">
        <v>1614</v>
      </c>
      <c r="G1020" s="6">
        <v>8.129087412E9</v>
      </c>
      <c r="H1020" s="6">
        <v>4.0149832E7</v>
      </c>
      <c r="I1020" s="6" t="s">
        <v>26</v>
      </c>
      <c r="J1020" s="6" t="s">
        <v>21</v>
      </c>
      <c r="K1020" s="6" t="s">
        <v>22</v>
      </c>
      <c r="L1020" s="6">
        <v>24.0</v>
      </c>
      <c r="M1020" s="5">
        <v>46013.0</v>
      </c>
      <c r="N1020" s="6" t="s">
        <v>23</v>
      </c>
      <c r="O1020" s="6" t="str">
        <f>SUMIFS([1]order_sku_sales_bb2_report!P:P,[1]order_sku_sales_bb2_report!H:H,C28822,[1]order_sku_sales_bb2_report!J:J,H28822)</f>
        <v>#ERROR!</v>
      </c>
      <c r="P1020" s="6" t="str">
        <f>SUMIFS([1]order_sku_sales_bb2_report!O:O,[1]order_sku_sales_bb2_report!H:H,C28822,[1]order_sku_sales_bb2_report!J:J,H28822)</f>
        <v>#ERROR!</v>
      </c>
      <c r="Q1020" s="6" t="str">
        <f t="shared" si="1"/>
        <v>22-12-2025</v>
      </c>
      <c r="R1020" s="6" t="str">
        <f>IFERROR( VLOOKUP(C28822,[1]expressOrderReport!$S:$AZ,34,0),0)</f>
        <v>#ERROR!</v>
      </c>
      <c r="S1020" s="6" t="str">
        <f>ARRAY_CONSTRAIN(ARRAYFORMULA(_xludf.XLOOKUP(D28822,[1]order_Report_SA_ID_BB2.0!V:V,[1]order_Report_SA_ID_BB2.0!AM:AM,"")), 1, 1)</f>
        <v>#ERROR!</v>
      </c>
      <c r="T1020" s="6" t="str">
        <f t="shared" si="2"/>
        <v>Dec'25</v>
      </c>
    </row>
    <row r="1021" ht="15.75" customHeight="1">
      <c r="A1021" s="5">
        <v>46013.0</v>
      </c>
      <c r="B1021" s="6">
        <v>9287.0</v>
      </c>
      <c r="C1021" s="6">
        <v>1.859166864E9</v>
      </c>
      <c r="D1021" s="6">
        <v>1.0887845E7</v>
      </c>
      <c r="E1021" s="6" t="s">
        <v>1615</v>
      </c>
      <c r="F1021" s="6" t="s">
        <v>1616</v>
      </c>
      <c r="G1021" s="6">
        <v>9.945666509E9</v>
      </c>
      <c r="H1021" s="6">
        <v>4.0158264E7</v>
      </c>
      <c r="I1021" s="6" t="s">
        <v>26</v>
      </c>
      <c r="J1021" s="6" t="s">
        <v>21</v>
      </c>
      <c r="K1021" s="6" t="s">
        <v>22</v>
      </c>
      <c r="L1021" s="6">
        <v>46.0</v>
      </c>
      <c r="M1021" s="5">
        <v>46013.0</v>
      </c>
      <c r="N1021" s="6" t="s">
        <v>23</v>
      </c>
      <c r="O1021" s="6" t="str">
        <f>SUMIFS([1]order_sku_sales_bb2_report!P:P,[1]order_sku_sales_bb2_report!H:H,C28823,[1]order_sku_sales_bb2_report!J:J,H28823)</f>
        <v>#ERROR!</v>
      </c>
      <c r="P1021" s="6" t="str">
        <f>SUMIFS([1]order_sku_sales_bb2_report!O:O,[1]order_sku_sales_bb2_report!H:H,C28823,[1]order_sku_sales_bb2_report!J:J,H28823)</f>
        <v>#ERROR!</v>
      </c>
      <c r="Q1021" s="6" t="str">
        <f t="shared" si="1"/>
        <v>22-12-2025</v>
      </c>
      <c r="R1021" s="6" t="str">
        <f>IFERROR( VLOOKUP(C28823,[1]expressOrderReport!$S:$AZ,34,0),0)</f>
        <v>#ERROR!</v>
      </c>
      <c r="S1021" s="6" t="str">
        <f>ARRAY_CONSTRAIN(ARRAYFORMULA(_xludf.XLOOKUP(D28823,[1]order_Report_SA_ID_BB2.0!V:V,[1]order_Report_SA_ID_BB2.0!AM:AM,"")), 1, 1)</f>
        <v>#ERROR!</v>
      </c>
      <c r="T1021" s="6" t="str">
        <f t="shared" si="2"/>
        <v>Dec'25</v>
      </c>
    </row>
    <row r="1022" ht="15.75" customHeight="1">
      <c r="A1022" s="5">
        <v>46013.0</v>
      </c>
      <c r="B1022" s="6">
        <v>5475.0</v>
      </c>
      <c r="C1022" s="6">
        <v>1.859166871E9</v>
      </c>
      <c r="D1022" s="6">
        <v>1.0985265E7</v>
      </c>
      <c r="E1022" s="6" t="s">
        <v>1617</v>
      </c>
      <c r="F1022" s="6" t="s">
        <v>1618</v>
      </c>
      <c r="G1022" s="6">
        <v>8.095503349E9</v>
      </c>
      <c r="H1022" s="6">
        <v>4.0158264E7</v>
      </c>
      <c r="I1022" s="6" t="s">
        <v>26</v>
      </c>
      <c r="J1022" s="6" t="s">
        <v>21</v>
      </c>
      <c r="K1022" s="6" t="s">
        <v>22</v>
      </c>
      <c r="L1022" s="6">
        <v>46.0</v>
      </c>
      <c r="M1022" s="5">
        <v>46013.0</v>
      </c>
      <c r="N1022" s="6" t="s">
        <v>23</v>
      </c>
      <c r="O1022" s="6" t="str">
        <f>SUMIFS([1]order_sku_sales_bb2_report!P:P,[1]order_sku_sales_bb2_report!H:H,C28824,[1]order_sku_sales_bb2_report!J:J,H28824)</f>
        <v>#ERROR!</v>
      </c>
      <c r="P1022" s="6" t="str">
        <f>SUMIFS([1]order_sku_sales_bb2_report!O:O,[1]order_sku_sales_bb2_report!H:H,C28824,[1]order_sku_sales_bb2_report!J:J,H28824)</f>
        <v>#ERROR!</v>
      </c>
      <c r="Q1022" s="6" t="str">
        <f t="shared" si="1"/>
        <v>22-12-2025</v>
      </c>
      <c r="R1022" s="6" t="str">
        <f>IFERROR( VLOOKUP(C28824,[1]expressOrderReport!$S:$AZ,34,0),0)</f>
        <v>#ERROR!</v>
      </c>
      <c r="S1022" s="6" t="str">
        <f>ARRAY_CONSTRAIN(ARRAYFORMULA(_xludf.XLOOKUP(D28824,[1]order_Report_SA_ID_BB2.0!V:V,[1]order_Report_SA_ID_BB2.0!AM:AM,"")), 1, 1)</f>
        <v>#ERROR!</v>
      </c>
      <c r="T1022" s="6" t="str">
        <f t="shared" si="2"/>
        <v>Dec'25</v>
      </c>
    </row>
    <row r="1023" ht="15.75" customHeight="1">
      <c r="A1023" s="5">
        <v>46013.0</v>
      </c>
      <c r="B1023" s="6">
        <v>11910.0</v>
      </c>
      <c r="C1023" s="6">
        <v>1.859166876E9</v>
      </c>
      <c r="D1023" s="6">
        <v>31775.0</v>
      </c>
      <c r="E1023" s="6" t="s">
        <v>1619</v>
      </c>
      <c r="F1023" s="6" t="s">
        <v>1620</v>
      </c>
      <c r="G1023" s="6">
        <v>9.632453947E9</v>
      </c>
      <c r="H1023" s="6">
        <v>4.0149832E7</v>
      </c>
      <c r="I1023" s="6" t="s">
        <v>26</v>
      </c>
      <c r="J1023" s="6" t="s">
        <v>21</v>
      </c>
      <c r="K1023" s="6" t="s">
        <v>22</v>
      </c>
      <c r="L1023" s="6">
        <v>24.0</v>
      </c>
      <c r="M1023" s="5">
        <v>46013.0</v>
      </c>
      <c r="N1023" s="6" t="s">
        <v>23</v>
      </c>
      <c r="O1023" s="6" t="str">
        <f>SUMIFS([1]order_sku_sales_bb2_report!P:P,[1]order_sku_sales_bb2_report!H:H,C28826,[1]order_sku_sales_bb2_report!J:J,H28826)</f>
        <v>#ERROR!</v>
      </c>
      <c r="P1023" s="6" t="str">
        <f>SUMIFS([1]order_sku_sales_bb2_report!O:O,[1]order_sku_sales_bb2_report!H:H,C28826,[1]order_sku_sales_bb2_report!J:J,H28826)</f>
        <v>#ERROR!</v>
      </c>
      <c r="Q1023" s="6" t="str">
        <f t="shared" si="1"/>
        <v>22-12-2025</v>
      </c>
      <c r="R1023" s="6" t="str">
        <f>IFERROR( VLOOKUP(C28826,[1]expressOrderReport!$S:$AZ,34,0),0)</f>
        <v>#ERROR!</v>
      </c>
      <c r="S1023" s="6" t="str">
        <f>ARRAY_CONSTRAIN(ARRAYFORMULA(_xludf.XLOOKUP(D28826,[1]order_Report_SA_ID_BB2.0!V:V,[1]order_Report_SA_ID_BB2.0!AM:AM,"")), 1, 1)</f>
        <v>#ERROR!</v>
      </c>
      <c r="T1023" s="6" t="str">
        <f t="shared" si="2"/>
        <v>Dec'25</v>
      </c>
    </row>
    <row r="1024" ht="15.75" customHeight="1">
      <c r="A1024" s="5">
        <v>46013.0</v>
      </c>
      <c r="B1024" s="6">
        <v>7985.0</v>
      </c>
      <c r="C1024" s="6">
        <v>1.859166883E9</v>
      </c>
      <c r="D1024" s="6">
        <v>1.1171484E7</v>
      </c>
      <c r="E1024" s="6" t="s">
        <v>1621</v>
      </c>
      <c r="F1024" s="6" t="s">
        <v>1622</v>
      </c>
      <c r="G1024" s="6">
        <v>9.7407401E9</v>
      </c>
      <c r="H1024" s="6">
        <v>4.014983E7</v>
      </c>
      <c r="I1024" s="6" t="s">
        <v>30</v>
      </c>
      <c r="J1024" s="6" t="s">
        <v>21</v>
      </c>
      <c r="K1024" s="6" t="s">
        <v>22</v>
      </c>
      <c r="L1024" s="6">
        <v>82.0</v>
      </c>
      <c r="M1024" s="5">
        <v>46013.0</v>
      </c>
      <c r="N1024" s="6" t="s">
        <v>23</v>
      </c>
      <c r="O1024" s="6" t="str">
        <f>SUMIFS([1]order_sku_sales_bb2_report!P:P,[1]order_sku_sales_bb2_report!H:H,C28827,[1]order_sku_sales_bb2_report!J:J,H28827)</f>
        <v>#ERROR!</v>
      </c>
      <c r="P1024" s="6" t="str">
        <f>SUMIFS([1]order_sku_sales_bb2_report!O:O,[1]order_sku_sales_bb2_report!H:H,C28827,[1]order_sku_sales_bb2_report!J:J,H28827)</f>
        <v>#ERROR!</v>
      </c>
      <c r="Q1024" s="6" t="str">
        <f t="shared" si="1"/>
        <v>22-12-2025</v>
      </c>
      <c r="R1024" s="6" t="str">
        <f>IFERROR( VLOOKUP(C28827,[1]expressOrderReport!$S:$AZ,34,0),0)</f>
        <v>#ERROR!</v>
      </c>
      <c r="S1024" s="6" t="str">
        <f>ARRAY_CONSTRAIN(ARRAYFORMULA(_xludf.XLOOKUP(D28827,[1]order_Report_SA_ID_BB2.0!V:V,[1]order_Report_SA_ID_BB2.0!AM:AM,"")), 1, 1)</f>
        <v>#ERROR!</v>
      </c>
      <c r="T1024" s="6" t="str">
        <f t="shared" si="2"/>
        <v>Dec'25</v>
      </c>
    </row>
    <row r="1025" ht="15.75" customHeight="1">
      <c r="A1025" s="5">
        <v>46013.0</v>
      </c>
      <c r="B1025" s="6">
        <v>7986.0</v>
      </c>
      <c r="C1025" s="6">
        <v>1.859166883E9</v>
      </c>
      <c r="D1025" s="6">
        <v>1.1171484E7</v>
      </c>
      <c r="E1025" s="6" t="s">
        <v>1621</v>
      </c>
      <c r="F1025" s="6" t="s">
        <v>1622</v>
      </c>
      <c r="G1025" s="6">
        <v>9.7407401E9</v>
      </c>
      <c r="H1025" s="6">
        <v>4.0149833E7</v>
      </c>
      <c r="I1025" s="6" t="s">
        <v>40</v>
      </c>
      <c r="J1025" s="6" t="s">
        <v>21</v>
      </c>
      <c r="K1025" s="6" t="s">
        <v>22</v>
      </c>
      <c r="L1025" s="6">
        <v>82.0</v>
      </c>
      <c r="M1025" s="5">
        <v>46013.0</v>
      </c>
      <c r="N1025" s="6" t="s">
        <v>23</v>
      </c>
      <c r="O1025" s="6" t="str">
        <f>SUMIFS([1]order_sku_sales_bb2_report!P:P,[1]order_sku_sales_bb2_report!H:H,C28828,[1]order_sku_sales_bb2_report!J:J,H28828)</f>
        <v>#ERROR!</v>
      </c>
      <c r="P1025" s="6" t="str">
        <f>SUMIFS([1]order_sku_sales_bb2_report!O:O,[1]order_sku_sales_bb2_report!H:H,C28828,[1]order_sku_sales_bb2_report!J:J,H28828)</f>
        <v>#ERROR!</v>
      </c>
      <c r="Q1025" s="6" t="str">
        <f t="shared" si="1"/>
        <v>22-12-2025</v>
      </c>
      <c r="R1025" s="6" t="str">
        <f>IFERROR( VLOOKUP(C28828,[1]expressOrderReport!$S:$AZ,34,0),0)</f>
        <v>#ERROR!</v>
      </c>
      <c r="S1025" s="6" t="str">
        <f>ARRAY_CONSTRAIN(ARRAYFORMULA(_xludf.XLOOKUP(D28828,[1]order_Report_SA_ID_BB2.0!V:V,[1]order_Report_SA_ID_BB2.0!AM:AM,"")), 1, 1)</f>
        <v>#ERROR!</v>
      </c>
      <c r="T1025" s="6" t="str">
        <f t="shared" si="2"/>
        <v>Dec'25</v>
      </c>
    </row>
    <row r="1026" ht="15.75" customHeight="1">
      <c r="A1026" s="5">
        <v>46013.0</v>
      </c>
      <c r="B1026" s="6">
        <v>11108.0</v>
      </c>
      <c r="C1026" s="6">
        <v>1.859166886E9</v>
      </c>
      <c r="D1026" s="6">
        <v>1.129041E7</v>
      </c>
      <c r="E1026" s="6" t="s">
        <v>1623</v>
      </c>
      <c r="F1026" s="6" t="s">
        <v>1624</v>
      </c>
      <c r="G1026" s="6">
        <v>7.76019577E9</v>
      </c>
      <c r="H1026" s="6">
        <v>4.0149834E7</v>
      </c>
      <c r="I1026" s="6" t="s">
        <v>40</v>
      </c>
      <c r="J1026" s="6" t="s">
        <v>21</v>
      </c>
      <c r="K1026" s="6" t="s">
        <v>22</v>
      </c>
      <c r="L1026" s="6">
        <v>52.0</v>
      </c>
      <c r="M1026" s="5">
        <v>46013.0</v>
      </c>
      <c r="N1026" s="6" t="s">
        <v>23</v>
      </c>
      <c r="O1026" s="6" t="str">
        <f>SUMIFS([1]order_sku_sales_bb2_report!P:P,[1]order_sku_sales_bb2_report!H:H,C28829,[1]order_sku_sales_bb2_report!J:J,H28829)</f>
        <v>#ERROR!</v>
      </c>
      <c r="P1026" s="6" t="str">
        <f>SUMIFS([1]order_sku_sales_bb2_report!O:O,[1]order_sku_sales_bb2_report!H:H,C28829,[1]order_sku_sales_bb2_report!J:J,H28829)</f>
        <v>#ERROR!</v>
      </c>
      <c r="Q1026" s="6" t="str">
        <f t="shared" si="1"/>
        <v>22-12-2025</v>
      </c>
      <c r="R1026" s="6" t="str">
        <f>IFERROR( VLOOKUP(C28829,[1]expressOrderReport!$S:$AZ,34,0),0)</f>
        <v>#ERROR!</v>
      </c>
      <c r="S1026" s="6" t="str">
        <f>ARRAY_CONSTRAIN(ARRAYFORMULA(_xludf.XLOOKUP(D28829,[1]order_Report_SA_ID_BB2.0!V:V,[1]order_Report_SA_ID_BB2.0!AM:AM,"")), 1, 1)</f>
        <v>#ERROR!</v>
      </c>
      <c r="T1026" s="6" t="str">
        <f t="shared" si="2"/>
        <v>Dec'25</v>
      </c>
    </row>
    <row r="1027" ht="15.75" customHeight="1">
      <c r="A1027" s="5">
        <v>46013.0</v>
      </c>
      <c r="B1027" s="6">
        <v>1216.0</v>
      </c>
      <c r="C1027" s="6">
        <v>1.859166892E9</v>
      </c>
      <c r="D1027" s="6">
        <v>235436.0</v>
      </c>
      <c r="E1027" s="6" t="s">
        <v>1625</v>
      </c>
      <c r="F1027" s="6" t="s">
        <v>1626</v>
      </c>
      <c r="G1027" s="6">
        <v>9.449455921E9</v>
      </c>
      <c r="H1027" s="6">
        <v>4.0149831E7</v>
      </c>
      <c r="I1027" s="6" t="s">
        <v>65</v>
      </c>
      <c r="J1027" s="6" t="s">
        <v>21</v>
      </c>
      <c r="K1027" s="6" t="s">
        <v>22</v>
      </c>
      <c r="L1027" s="6">
        <v>90.91</v>
      </c>
      <c r="M1027" s="5">
        <v>46013.0</v>
      </c>
      <c r="N1027" s="6" t="s">
        <v>23</v>
      </c>
      <c r="O1027" s="6" t="str">
        <f>SUMIFS([1]order_sku_sales_bb2_report!P:P,[1]order_sku_sales_bb2_report!H:H,C28830,[1]order_sku_sales_bb2_report!J:J,H28830)</f>
        <v>#ERROR!</v>
      </c>
      <c r="P1027" s="6" t="str">
        <f>SUMIFS([1]order_sku_sales_bb2_report!O:O,[1]order_sku_sales_bb2_report!H:H,C28830,[1]order_sku_sales_bb2_report!J:J,H28830)</f>
        <v>#ERROR!</v>
      </c>
      <c r="Q1027" s="6" t="str">
        <f t="shared" si="1"/>
        <v>22-12-2025</v>
      </c>
      <c r="R1027" s="6" t="str">
        <f>IFERROR( VLOOKUP(C28830,[1]expressOrderReport!$S:$AZ,34,0),0)</f>
        <v>#ERROR!</v>
      </c>
      <c r="S1027" s="6" t="str">
        <f>ARRAY_CONSTRAIN(ARRAYFORMULA(_xludf.XLOOKUP(D28830,[1]order_Report_SA_ID_BB2.0!V:V,[1]order_Report_SA_ID_BB2.0!AM:AM,"")), 1, 1)</f>
        <v>#ERROR!</v>
      </c>
      <c r="T1027" s="6" t="str">
        <f t="shared" si="2"/>
        <v>Dec'25</v>
      </c>
    </row>
    <row r="1028" ht="15.75" customHeight="1">
      <c r="A1028" s="5">
        <v>46013.0</v>
      </c>
      <c r="B1028" s="6">
        <v>1219.0</v>
      </c>
      <c r="C1028" s="6">
        <v>1.859166892E9</v>
      </c>
      <c r="D1028" s="6">
        <v>235436.0</v>
      </c>
      <c r="E1028" s="6" t="s">
        <v>1625</v>
      </c>
      <c r="F1028" s="6" t="s">
        <v>1626</v>
      </c>
      <c r="G1028" s="6">
        <v>9.449455921E9</v>
      </c>
      <c r="H1028" s="6">
        <v>4.0127409E7</v>
      </c>
      <c r="I1028" s="6" t="s">
        <v>1627</v>
      </c>
      <c r="J1028" s="6" t="s">
        <v>21</v>
      </c>
      <c r="K1028" s="6" t="s">
        <v>22</v>
      </c>
      <c r="L1028" s="6">
        <v>90.91</v>
      </c>
      <c r="M1028" s="5">
        <v>46013.0</v>
      </c>
      <c r="N1028" s="6" t="s">
        <v>23</v>
      </c>
      <c r="O1028" s="6" t="str">
        <f>SUMIFS([1]order_sku_sales_bb2_report!P:P,[1]order_sku_sales_bb2_report!H:H,C28831,[1]order_sku_sales_bb2_report!J:J,H28831)</f>
        <v>#ERROR!</v>
      </c>
      <c r="P1028" s="6" t="str">
        <f>SUMIFS([1]order_sku_sales_bb2_report!O:O,[1]order_sku_sales_bb2_report!H:H,C28831,[1]order_sku_sales_bb2_report!J:J,H28831)</f>
        <v>#ERROR!</v>
      </c>
      <c r="Q1028" s="6" t="str">
        <f t="shared" si="1"/>
        <v>22-12-2025</v>
      </c>
      <c r="R1028" s="6" t="str">
        <f>IFERROR( VLOOKUP(C28831,[1]expressOrderReport!$S:$AZ,34,0),0)</f>
        <v>#ERROR!</v>
      </c>
      <c r="S1028" s="6" t="str">
        <f>ARRAY_CONSTRAIN(ARRAYFORMULA(_xludf.XLOOKUP(D28831,[1]order_Report_SA_ID_BB2.0!V:V,[1]order_Report_SA_ID_BB2.0!AM:AM,"")), 1, 1)</f>
        <v>#ERROR!</v>
      </c>
      <c r="T1028" s="6" t="str">
        <f t="shared" si="2"/>
        <v>Dec'25</v>
      </c>
    </row>
    <row r="1029" ht="15.75" customHeight="1">
      <c r="A1029" s="5">
        <v>46013.0</v>
      </c>
      <c r="B1029" s="6">
        <v>1142.0</v>
      </c>
      <c r="C1029" s="6">
        <v>1.8591669E9</v>
      </c>
      <c r="D1029" s="6">
        <v>1494955.0</v>
      </c>
      <c r="E1029" s="6" t="s">
        <v>1628</v>
      </c>
      <c r="F1029" s="6" t="s">
        <v>1629</v>
      </c>
      <c r="G1029" s="6">
        <v>9.789005511E9</v>
      </c>
      <c r="H1029" s="6">
        <v>4.0147597E7</v>
      </c>
      <c r="I1029" s="6" t="s">
        <v>59</v>
      </c>
      <c r="J1029" s="6" t="s">
        <v>21</v>
      </c>
      <c r="K1029" s="6" t="s">
        <v>22</v>
      </c>
      <c r="L1029" s="6">
        <v>26.0</v>
      </c>
      <c r="M1029" s="5">
        <v>46013.0</v>
      </c>
      <c r="N1029" s="6" t="s">
        <v>23</v>
      </c>
      <c r="O1029" s="6" t="str">
        <f>SUMIFS([1]order_sku_sales_bb2_report!P:P,[1]order_sku_sales_bb2_report!H:H,C28832,[1]order_sku_sales_bb2_report!J:J,H28832)</f>
        <v>#ERROR!</v>
      </c>
      <c r="P1029" s="6" t="str">
        <f>SUMIFS([1]order_sku_sales_bb2_report!O:O,[1]order_sku_sales_bb2_report!H:H,C28832,[1]order_sku_sales_bb2_report!J:J,H28832)</f>
        <v>#ERROR!</v>
      </c>
      <c r="Q1029" s="6" t="str">
        <f t="shared" si="1"/>
        <v>22-12-2025</v>
      </c>
      <c r="R1029" s="6" t="str">
        <f>IFERROR( VLOOKUP(C28832,[1]expressOrderReport!$S:$AZ,34,0),0)</f>
        <v>#ERROR!</v>
      </c>
      <c r="S1029" s="6" t="str">
        <f>ARRAY_CONSTRAIN(ARRAYFORMULA(_xludf.XLOOKUP(D28832,[1]order_Report_SA_ID_BB2.0!V:V,[1]order_Report_SA_ID_BB2.0!AM:AM,"")), 1, 1)</f>
        <v>#ERROR!</v>
      </c>
      <c r="T1029" s="6" t="str">
        <f t="shared" si="2"/>
        <v>Dec'25</v>
      </c>
    </row>
    <row r="1030" ht="15.75" customHeight="1">
      <c r="A1030" s="5">
        <v>46013.0</v>
      </c>
      <c r="B1030" s="6">
        <v>4854.0</v>
      </c>
      <c r="C1030" s="6">
        <v>1.859166903E9</v>
      </c>
      <c r="D1030" s="6">
        <v>1.1436843E7</v>
      </c>
      <c r="E1030" s="6" t="s">
        <v>1630</v>
      </c>
      <c r="F1030" s="6" t="s">
        <v>1631</v>
      </c>
      <c r="G1030" s="6">
        <v>8.800955501E9</v>
      </c>
      <c r="H1030" s="6">
        <v>4.0161616E7</v>
      </c>
      <c r="I1030" s="6" t="s">
        <v>20</v>
      </c>
      <c r="J1030" s="6" t="s">
        <v>21</v>
      </c>
      <c r="K1030" s="6" t="s">
        <v>22</v>
      </c>
      <c r="L1030" s="6">
        <v>84.0</v>
      </c>
      <c r="M1030" s="5">
        <v>46013.0</v>
      </c>
      <c r="N1030" s="6" t="s">
        <v>23</v>
      </c>
      <c r="O1030" s="6" t="str">
        <f>SUMIFS([1]order_sku_sales_bb2_report!P:P,[1]order_sku_sales_bb2_report!H:H,C28833,[1]order_sku_sales_bb2_report!J:J,H28833)</f>
        <v>#ERROR!</v>
      </c>
      <c r="P1030" s="6" t="str">
        <f>SUMIFS([1]order_sku_sales_bb2_report!O:O,[1]order_sku_sales_bb2_report!H:H,C28833,[1]order_sku_sales_bb2_report!J:J,H28833)</f>
        <v>#ERROR!</v>
      </c>
      <c r="Q1030" s="6" t="str">
        <f t="shared" si="1"/>
        <v>22-12-2025</v>
      </c>
      <c r="R1030" s="6" t="str">
        <f>IFERROR( VLOOKUP(C28833,[1]expressOrderReport!$S:$AZ,34,0),0)</f>
        <v>#ERROR!</v>
      </c>
      <c r="S1030" s="6" t="str">
        <f>ARRAY_CONSTRAIN(ARRAYFORMULA(_xludf.XLOOKUP(D28833,[1]order_Report_SA_ID_BB2.0!V:V,[1]order_Report_SA_ID_BB2.0!AM:AM,"")), 1, 1)</f>
        <v>#ERROR!</v>
      </c>
      <c r="T1030" s="6" t="str">
        <f t="shared" si="2"/>
        <v>Dec'25</v>
      </c>
    </row>
    <row r="1031" ht="15.75" customHeight="1">
      <c r="A1031" s="5">
        <v>46013.0</v>
      </c>
      <c r="B1031" s="6">
        <v>4979.0</v>
      </c>
      <c r="C1031" s="6">
        <v>1.859166903E9</v>
      </c>
      <c r="D1031" s="6">
        <v>1.1436843E7</v>
      </c>
      <c r="E1031" s="6" t="s">
        <v>1630</v>
      </c>
      <c r="F1031" s="6" t="s">
        <v>1631</v>
      </c>
      <c r="G1031" s="6">
        <v>8.800955501E9</v>
      </c>
      <c r="H1031" s="6">
        <v>4.014983E7</v>
      </c>
      <c r="I1031" s="6" t="s">
        <v>30</v>
      </c>
      <c r="J1031" s="6" t="s">
        <v>21</v>
      </c>
      <c r="K1031" s="6" t="s">
        <v>22</v>
      </c>
      <c r="L1031" s="6">
        <v>84.0</v>
      </c>
      <c r="M1031" s="5">
        <v>46013.0</v>
      </c>
      <c r="N1031" s="6" t="s">
        <v>23</v>
      </c>
      <c r="O1031" s="6" t="str">
        <f>SUMIFS([1]order_sku_sales_bb2_report!P:P,[1]order_sku_sales_bb2_report!H:H,C28834,[1]order_sku_sales_bb2_report!J:J,H28834)</f>
        <v>#ERROR!</v>
      </c>
      <c r="P1031" s="6" t="str">
        <f>SUMIFS([1]order_sku_sales_bb2_report!O:O,[1]order_sku_sales_bb2_report!H:H,C28834,[1]order_sku_sales_bb2_report!J:J,H28834)</f>
        <v>#ERROR!</v>
      </c>
      <c r="Q1031" s="6" t="str">
        <f t="shared" si="1"/>
        <v>22-12-2025</v>
      </c>
      <c r="R1031" s="6" t="str">
        <f>IFERROR( VLOOKUP(C28834,[1]expressOrderReport!$S:$AZ,34,0),0)</f>
        <v>#ERROR!</v>
      </c>
      <c r="S1031" s="6" t="str">
        <f>ARRAY_CONSTRAIN(ARRAYFORMULA(_xludf.XLOOKUP(D28834,[1]order_Report_SA_ID_BB2.0!V:V,[1]order_Report_SA_ID_BB2.0!AM:AM,"")), 1, 1)</f>
        <v>#ERROR!</v>
      </c>
      <c r="T1031" s="6" t="str">
        <f t="shared" si="2"/>
        <v>Dec'25</v>
      </c>
    </row>
    <row r="1032" ht="15.75" customHeight="1">
      <c r="A1032" s="5">
        <v>46013.0</v>
      </c>
      <c r="B1032" s="6">
        <v>4339.0</v>
      </c>
      <c r="C1032" s="6">
        <v>1.859166906E9</v>
      </c>
      <c r="D1032" s="6">
        <v>1.160732E7</v>
      </c>
      <c r="E1032" s="6" t="s">
        <v>1632</v>
      </c>
      <c r="F1032" s="6" t="s">
        <v>1633</v>
      </c>
      <c r="G1032" s="6">
        <v>9.632566977E9</v>
      </c>
      <c r="H1032" s="6">
        <v>4.0149833E7</v>
      </c>
      <c r="I1032" s="6" t="s">
        <v>40</v>
      </c>
      <c r="J1032" s="6" t="s">
        <v>21</v>
      </c>
      <c r="K1032" s="6" t="s">
        <v>22</v>
      </c>
      <c r="L1032" s="6">
        <v>27.0</v>
      </c>
      <c r="M1032" s="5">
        <v>46013.0</v>
      </c>
      <c r="N1032" s="6" t="s">
        <v>23</v>
      </c>
      <c r="O1032" s="6" t="str">
        <f>SUMIFS([1]order_sku_sales_bb2_report!P:P,[1]order_sku_sales_bb2_report!H:H,C28835,[1]order_sku_sales_bb2_report!J:J,H28835)</f>
        <v>#ERROR!</v>
      </c>
      <c r="P1032" s="6" t="str">
        <f>SUMIFS([1]order_sku_sales_bb2_report!O:O,[1]order_sku_sales_bb2_report!H:H,C28835,[1]order_sku_sales_bb2_report!J:J,H28835)</f>
        <v>#ERROR!</v>
      </c>
      <c r="Q1032" s="6" t="str">
        <f t="shared" si="1"/>
        <v>22-12-2025</v>
      </c>
      <c r="R1032" s="6" t="str">
        <f>IFERROR( VLOOKUP(C28835,[1]expressOrderReport!$S:$AZ,34,0),0)</f>
        <v>#ERROR!</v>
      </c>
      <c r="S1032" s="6" t="str">
        <f>ARRAY_CONSTRAIN(ARRAYFORMULA(_xludf.XLOOKUP(D28835,[1]order_Report_SA_ID_BB2.0!V:V,[1]order_Report_SA_ID_BB2.0!AM:AM,"")), 1, 1)</f>
        <v>#ERROR!</v>
      </c>
      <c r="T1032" s="6" t="str">
        <f t="shared" si="2"/>
        <v>Dec'25</v>
      </c>
    </row>
    <row r="1033" ht="15.75" customHeight="1">
      <c r="A1033" s="5">
        <v>46013.0</v>
      </c>
      <c r="B1033" s="6">
        <v>4533.0</v>
      </c>
      <c r="C1033" s="6">
        <v>1.859166915E9</v>
      </c>
      <c r="D1033" s="6">
        <v>784492.0</v>
      </c>
      <c r="E1033" s="6" t="s">
        <v>1634</v>
      </c>
      <c r="F1033" s="6" t="s">
        <v>1635</v>
      </c>
      <c r="G1033" s="6">
        <v>9.742269366E9</v>
      </c>
      <c r="H1033" s="6">
        <v>4.014983E7</v>
      </c>
      <c r="I1033" s="6" t="s">
        <v>30</v>
      </c>
      <c r="J1033" s="6" t="s">
        <v>21</v>
      </c>
      <c r="K1033" s="6" t="s">
        <v>22</v>
      </c>
      <c r="L1033" s="6">
        <v>56.0</v>
      </c>
      <c r="M1033" s="5">
        <v>46013.0</v>
      </c>
      <c r="N1033" s="6" t="s">
        <v>54</v>
      </c>
      <c r="O1033" s="6" t="str">
        <f>SUMIFS([1]order_sku_sales_bb2_report!P:P,[1]order_sku_sales_bb2_report!H:H,C28837,[1]order_sku_sales_bb2_report!J:J,H28837)</f>
        <v>#ERROR!</v>
      </c>
      <c r="P1033" s="6" t="str">
        <f>SUMIFS([1]order_sku_sales_bb2_report!O:O,[1]order_sku_sales_bb2_report!H:H,C28837,[1]order_sku_sales_bb2_report!J:J,H28837)</f>
        <v>#ERROR!</v>
      </c>
      <c r="Q1033" s="6" t="str">
        <f t="shared" si="1"/>
        <v>22-12-2025</v>
      </c>
      <c r="R1033" s="6" t="str">
        <f>IFERROR( VLOOKUP(C28837,[1]expressOrderReport!$S:$AZ,34,0),0)</f>
        <v>#ERROR!</v>
      </c>
      <c r="S1033" s="6" t="str">
        <f>ARRAY_CONSTRAIN(ARRAYFORMULA(_xludf.XLOOKUP(D28837,[1]order_Report_SA_ID_BB2.0!V:V,[1]order_Report_SA_ID_BB2.0!AM:AM,"")), 1, 1)</f>
        <v>#ERROR!</v>
      </c>
      <c r="T1033" s="6" t="str">
        <f t="shared" si="2"/>
        <v>Dec'25</v>
      </c>
    </row>
    <row r="1034" ht="15.75" customHeight="1">
      <c r="A1034" s="5">
        <v>46013.0</v>
      </c>
      <c r="B1034" s="6">
        <v>1714.0</v>
      </c>
      <c r="C1034" s="6">
        <v>1.859166922E9</v>
      </c>
      <c r="D1034" s="6">
        <v>318418.0</v>
      </c>
      <c r="E1034" s="6" t="s">
        <v>1636</v>
      </c>
      <c r="F1034" s="6" t="s">
        <v>1637</v>
      </c>
      <c r="G1034" s="6">
        <v>9.739180722E9</v>
      </c>
      <c r="H1034" s="6">
        <v>4.0149832E7</v>
      </c>
      <c r="I1034" s="6" t="s">
        <v>26</v>
      </c>
      <c r="J1034" s="6" t="s">
        <v>21</v>
      </c>
      <c r="K1034" s="6" t="s">
        <v>22</v>
      </c>
      <c r="L1034" s="6">
        <v>160.5</v>
      </c>
      <c r="M1034" s="5">
        <v>46013.0</v>
      </c>
      <c r="N1034" s="6" t="s">
        <v>23</v>
      </c>
      <c r="O1034" s="6" t="str">
        <f>SUMIFS([1]order_sku_sales_bb2_report!P:P,[1]order_sku_sales_bb2_report!H:H,C28838,[1]order_sku_sales_bb2_report!J:J,H28838)</f>
        <v>#ERROR!</v>
      </c>
      <c r="P1034" s="6" t="str">
        <f>SUMIFS([1]order_sku_sales_bb2_report!O:O,[1]order_sku_sales_bb2_report!H:H,C28838,[1]order_sku_sales_bb2_report!J:J,H28838)</f>
        <v>#ERROR!</v>
      </c>
      <c r="Q1034" s="6" t="str">
        <f t="shared" si="1"/>
        <v>22-12-2025</v>
      </c>
      <c r="R1034" s="6" t="str">
        <f>IFERROR( VLOOKUP(C28838,[1]expressOrderReport!$S:$AZ,34,0),0)</f>
        <v>#ERROR!</v>
      </c>
      <c r="S1034" s="6" t="str">
        <f>ARRAY_CONSTRAIN(ARRAYFORMULA(_xludf.XLOOKUP(D28838,[1]order_Report_SA_ID_BB2.0!V:V,[1]order_Report_SA_ID_BB2.0!AM:AM,"")), 1, 1)</f>
        <v>#ERROR!</v>
      </c>
      <c r="T1034" s="6" t="str">
        <f t="shared" si="2"/>
        <v>Dec'25</v>
      </c>
    </row>
    <row r="1035" ht="15.75" customHeight="1">
      <c r="A1035" s="5">
        <v>46013.0</v>
      </c>
      <c r="B1035" s="6">
        <v>2755.0</v>
      </c>
      <c r="C1035" s="6">
        <v>1.859166922E9</v>
      </c>
      <c r="D1035" s="6">
        <v>318418.0</v>
      </c>
      <c r="E1035" s="6" t="s">
        <v>1636</v>
      </c>
      <c r="F1035" s="6" t="s">
        <v>1637</v>
      </c>
      <c r="G1035" s="6">
        <v>9.739180722E9</v>
      </c>
      <c r="H1035" s="6">
        <v>4.0059141E7</v>
      </c>
      <c r="I1035" s="6" t="s">
        <v>1638</v>
      </c>
      <c r="J1035" s="6" t="s">
        <v>21</v>
      </c>
      <c r="K1035" s="6" t="s">
        <v>22</v>
      </c>
      <c r="L1035" s="6">
        <v>160.5</v>
      </c>
      <c r="M1035" s="5">
        <v>46013.0</v>
      </c>
      <c r="N1035" s="6" t="s">
        <v>23</v>
      </c>
      <c r="O1035" s="6" t="str">
        <f>SUMIFS([1]order_sku_sales_bb2_report!P:P,[1]order_sku_sales_bb2_report!H:H,C28839,[1]order_sku_sales_bb2_report!J:J,H28839)</f>
        <v>#ERROR!</v>
      </c>
      <c r="P1035" s="6" t="str">
        <f>SUMIFS([1]order_sku_sales_bb2_report!O:O,[1]order_sku_sales_bb2_report!H:H,C28839,[1]order_sku_sales_bb2_report!J:J,H28839)</f>
        <v>#ERROR!</v>
      </c>
      <c r="Q1035" s="6" t="str">
        <f t="shared" si="1"/>
        <v>22-12-2025</v>
      </c>
      <c r="R1035" s="6" t="str">
        <f>IFERROR( VLOOKUP(C28839,[1]expressOrderReport!$S:$AZ,34,0),0)</f>
        <v>#ERROR!</v>
      </c>
      <c r="S1035" s="6" t="str">
        <f>ARRAY_CONSTRAIN(ARRAYFORMULA(_xludf.XLOOKUP(D28839,[1]order_Report_SA_ID_BB2.0!V:V,[1]order_Report_SA_ID_BB2.0!AM:AM,"")), 1, 1)</f>
        <v>#ERROR!</v>
      </c>
      <c r="T1035" s="6" t="str">
        <f t="shared" si="2"/>
        <v>Dec'25</v>
      </c>
    </row>
    <row r="1036" ht="15.75" customHeight="1">
      <c r="A1036" s="5">
        <v>46013.0</v>
      </c>
      <c r="B1036" s="6">
        <v>3407.0</v>
      </c>
      <c r="C1036" s="6">
        <v>1.85916693E9</v>
      </c>
      <c r="D1036" s="6">
        <v>7484518.0</v>
      </c>
      <c r="E1036" s="6" t="s">
        <v>1639</v>
      </c>
      <c r="F1036" s="6" t="s">
        <v>1640</v>
      </c>
      <c r="G1036" s="6">
        <v>8.299511014E9</v>
      </c>
      <c r="H1036" s="6">
        <v>4.0149833E7</v>
      </c>
      <c r="I1036" s="6" t="s">
        <v>40</v>
      </c>
      <c r="J1036" s="6" t="s">
        <v>21</v>
      </c>
      <c r="K1036" s="6" t="s">
        <v>22</v>
      </c>
      <c r="L1036" s="6">
        <v>81.0</v>
      </c>
      <c r="M1036" s="5">
        <v>46013.0</v>
      </c>
      <c r="N1036" s="6" t="s">
        <v>23</v>
      </c>
      <c r="O1036" s="6" t="str">
        <f>SUMIFS([1]order_sku_sales_bb2_report!P:P,[1]order_sku_sales_bb2_report!H:H,C28840,[1]order_sku_sales_bb2_report!J:J,H28840)</f>
        <v>#ERROR!</v>
      </c>
      <c r="P1036" s="6" t="str">
        <f>SUMIFS([1]order_sku_sales_bb2_report!O:O,[1]order_sku_sales_bb2_report!H:H,C28840,[1]order_sku_sales_bb2_report!J:J,H28840)</f>
        <v>#ERROR!</v>
      </c>
      <c r="Q1036" s="6" t="str">
        <f t="shared" si="1"/>
        <v>22-12-2025</v>
      </c>
      <c r="R1036" s="6" t="str">
        <f>IFERROR( VLOOKUP(C28840,[1]expressOrderReport!$S:$AZ,34,0),0)</f>
        <v>#ERROR!</v>
      </c>
      <c r="S1036" s="6" t="str">
        <f>ARRAY_CONSTRAIN(ARRAYFORMULA(_xludf.XLOOKUP(D28840,[1]order_Report_SA_ID_BB2.0!V:V,[1]order_Report_SA_ID_BB2.0!AM:AM,"")), 1, 1)</f>
        <v>#ERROR!</v>
      </c>
      <c r="T1036" s="6" t="str">
        <f t="shared" si="2"/>
        <v>Dec'25</v>
      </c>
    </row>
    <row r="1037" ht="15.75" customHeight="1">
      <c r="A1037" s="5">
        <v>46013.0</v>
      </c>
      <c r="B1037" s="6">
        <v>10297.0</v>
      </c>
      <c r="C1037" s="6">
        <v>1.859166936E9</v>
      </c>
      <c r="D1037" s="6">
        <v>7979887.0</v>
      </c>
      <c r="E1037" s="6" t="s">
        <v>1641</v>
      </c>
      <c r="F1037" s="6" t="s">
        <v>1642</v>
      </c>
      <c r="G1037" s="6">
        <v>8.008264562E9</v>
      </c>
      <c r="H1037" s="6">
        <v>4.035088E7</v>
      </c>
      <c r="I1037" s="6" t="s">
        <v>1643</v>
      </c>
      <c r="J1037" s="6" t="s">
        <v>21</v>
      </c>
      <c r="K1037" s="6" t="s">
        <v>22</v>
      </c>
      <c r="L1037" s="6">
        <v>247.5</v>
      </c>
      <c r="M1037" s="5">
        <v>46013.0</v>
      </c>
      <c r="N1037" s="6" t="s">
        <v>54</v>
      </c>
      <c r="O1037" s="6" t="str">
        <f>SUMIFS([1]order_sku_sales_bb2_report!P:P,[1]order_sku_sales_bb2_report!H:H,C28841,[1]order_sku_sales_bb2_report!J:J,H28841)</f>
        <v>#ERROR!</v>
      </c>
      <c r="P1037" s="6" t="str">
        <f>SUMIFS([1]order_sku_sales_bb2_report!O:O,[1]order_sku_sales_bb2_report!H:H,C28841,[1]order_sku_sales_bb2_report!J:J,H28841)</f>
        <v>#ERROR!</v>
      </c>
      <c r="Q1037" s="6" t="str">
        <f t="shared" si="1"/>
        <v>22-12-2025</v>
      </c>
      <c r="R1037" s="6" t="str">
        <f>IFERROR( VLOOKUP(C28841,[1]expressOrderReport!$S:$AZ,34,0),0)</f>
        <v>#ERROR!</v>
      </c>
      <c r="S1037" s="6" t="str">
        <f>ARRAY_CONSTRAIN(ARRAYFORMULA(_xludf.XLOOKUP(D28841,[1]order_Report_SA_ID_BB2.0!V:V,[1]order_Report_SA_ID_BB2.0!AM:AM,"")), 1, 1)</f>
        <v>#ERROR!</v>
      </c>
      <c r="T1037" s="6" t="str">
        <f t="shared" si="2"/>
        <v>Dec'25</v>
      </c>
    </row>
    <row r="1038" ht="15.75" customHeight="1">
      <c r="A1038" s="5">
        <v>46013.0</v>
      </c>
      <c r="B1038" s="6">
        <v>2494.0</v>
      </c>
      <c r="C1038" s="6">
        <v>1.859166944E9</v>
      </c>
      <c r="D1038" s="6">
        <v>543382.0</v>
      </c>
      <c r="E1038" s="6" t="s">
        <v>1644</v>
      </c>
      <c r="F1038" s="6" t="s">
        <v>1645</v>
      </c>
      <c r="G1038" s="6">
        <v>9.731048606E9</v>
      </c>
      <c r="H1038" s="6">
        <v>4.0149832E7</v>
      </c>
      <c r="I1038" s="6" t="s">
        <v>26</v>
      </c>
      <c r="J1038" s="6" t="s">
        <v>21</v>
      </c>
      <c r="K1038" s="6" t="s">
        <v>22</v>
      </c>
      <c r="L1038" s="6">
        <v>50.0</v>
      </c>
      <c r="M1038" s="5">
        <v>46013.0</v>
      </c>
      <c r="N1038" s="6" t="s">
        <v>23</v>
      </c>
      <c r="O1038" s="6" t="str">
        <f>SUMIFS([1]order_sku_sales_bb2_report!P:P,[1]order_sku_sales_bb2_report!H:H,C28842,[1]order_sku_sales_bb2_report!J:J,H28842)</f>
        <v>#ERROR!</v>
      </c>
      <c r="P1038" s="6" t="str">
        <f>SUMIFS([1]order_sku_sales_bb2_report!O:O,[1]order_sku_sales_bb2_report!H:H,C28842,[1]order_sku_sales_bb2_report!J:J,H28842)</f>
        <v>#ERROR!</v>
      </c>
      <c r="Q1038" s="6" t="str">
        <f t="shared" si="1"/>
        <v>22-12-2025</v>
      </c>
      <c r="R1038" s="6" t="str">
        <f>IFERROR( VLOOKUP(C28842,[1]expressOrderReport!$S:$AZ,34,0),0)</f>
        <v>#ERROR!</v>
      </c>
      <c r="S1038" s="6" t="str">
        <f>ARRAY_CONSTRAIN(ARRAYFORMULA(_xludf.XLOOKUP(D28842,[1]order_Report_SA_ID_BB2.0!V:V,[1]order_Report_SA_ID_BB2.0!AM:AM,"")), 1, 1)</f>
        <v>#ERROR!</v>
      </c>
      <c r="T1038" s="6" t="str">
        <f t="shared" si="2"/>
        <v>Dec'25</v>
      </c>
    </row>
    <row r="1039" ht="15.75" customHeight="1">
      <c r="A1039" s="5">
        <v>46013.0</v>
      </c>
      <c r="B1039" s="6">
        <v>4295.0</v>
      </c>
      <c r="C1039" s="6">
        <v>1.859166944E9</v>
      </c>
      <c r="D1039" s="6">
        <v>543382.0</v>
      </c>
      <c r="E1039" s="6" t="s">
        <v>1644</v>
      </c>
      <c r="F1039" s="6" t="s">
        <v>1645</v>
      </c>
      <c r="G1039" s="6">
        <v>9.731048606E9</v>
      </c>
      <c r="H1039" s="6">
        <v>4.0147597E7</v>
      </c>
      <c r="I1039" s="6" t="s">
        <v>59</v>
      </c>
      <c r="J1039" s="6" t="s">
        <v>21</v>
      </c>
      <c r="K1039" s="6" t="s">
        <v>22</v>
      </c>
      <c r="L1039" s="6">
        <v>50.0</v>
      </c>
      <c r="M1039" s="5">
        <v>46013.0</v>
      </c>
      <c r="N1039" s="6" t="s">
        <v>23</v>
      </c>
      <c r="O1039" s="6" t="str">
        <f>SUMIFS([1]order_sku_sales_bb2_report!P:P,[1]order_sku_sales_bb2_report!H:H,C28843,[1]order_sku_sales_bb2_report!J:J,H28843)</f>
        <v>#ERROR!</v>
      </c>
      <c r="P1039" s="6" t="str">
        <f>SUMIFS([1]order_sku_sales_bb2_report!O:O,[1]order_sku_sales_bb2_report!H:H,C28843,[1]order_sku_sales_bb2_report!J:J,H28843)</f>
        <v>#ERROR!</v>
      </c>
      <c r="Q1039" s="6" t="str">
        <f t="shared" si="1"/>
        <v>22-12-2025</v>
      </c>
      <c r="R1039" s="6" t="str">
        <f>IFERROR( VLOOKUP(C28843,[1]expressOrderReport!$S:$AZ,34,0),0)</f>
        <v>#ERROR!</v>
      </c>
      <c r="S1039" s="6" t="str">
        <f>ARRAY_CONSTRAIN(ARRAYFORMULA(_xludf.XLOOKUP(D28843,[1]order_Report_SA_ID_BB2.0!V:V,[1]order_Report_SA_ID_BB2.0!AM:AM,"")), 1, 1)</f>
        <v>#ERROR!</v>
      </c>
      <c r="T1039" s="6" t="str">
        <f t="shared" si="2"/>
        <v>Dec'25</v>
      </c>
    </row>
    <row r="1040" ht="15.75" customHeight="1">
      <c r="A1040" s="5">
        <v>46013.0</v>
      </c>
      <c r="B1040" s="6">
        <v>8969.0</v>
      </c>
      <c r="C1040" s="6">
        <v>1.859166951E9</v>
      </c>
      <c r="D1040" s="6">
        <v>1.2029047E7</v>
      </c>
      <c r="E1040" s="6" t="s">
        <v>1646</v>
      </c>
      <c r="F1040" s="6" t="s">
        <v>1647</v>
      </c>
      <c r="G1040" s="6">
        <v>9.611426582E9</v>
      </c>
      <c r="H1040" s="6">
        <v>4.0158264E7</v>
      </c>
      <c r="I1040" s="6" t="s">
        <v>26</v>
      </c>
      <c r="J1040" s="6" t="s">
        <v>21</v>
      </c>
      <c r="K1040" s="6" t="s">
        <v>22</v>
      </c>
      <c r="L1040" s="6">
        <v>66.4</v>
      </c>
      <c r="M1040" s="5">
        <v>46013.0</v>
      </c>
      <c r="N1040" s="6" t="s">
        <v>23</v>
      </c>
      <c r="O1040" s="6" t="str">
        <f>SUMIFS([1]order_sku_sales_bb2_report!P:P,[1]order_sku_sales_bb2_report!H:H,C28844,[1]order_sku_sales_bb2_report!J:J,H28844)</f>
        <v>#ERROR!</v>
      </c>
      <c r="P1040" s="6" t="str">
        <f>SUMIFS([1]order_sku_sales_bb2_report!O:O,[1]order_sku_sales_bb2_report!H:H,C28844,[1]order_sku_sales_bb2_report!J:J,H28844)</f>
        <v>#ERROR!</v>
      </c>
      <c r="Q1040" s="6" t="str">
        <f t="shared" si="1"/>
        <v>22-12-2025</v>
      </c>
      <c r="R1040" s="6" t="str">
        <f>IFERROR( VLOOKUP(C28844,[1]expressOrderReport!$S:$AZ,34,0),0)</f>
        <v>#ERROR!</v>
      </c>
      <c r="S1040" s="6" t="str">
        <f>ARRAY_CONSTRAIN(ARRAYFORMULA(_xludf.XLOOKUP(D28844,[1]order_Report_SA_ID_BB2.0!V:V,[1]order_Report_SA_ID_BB2.0!AM:AM,"")), 1, 1)</f>
        <v>#ERROR!</v>
      </c>
      <c r="T1040" s="6" t="str">
        <f t="shared" si="2"/>
        <v>Dec'25</v>
      </c>
    </row>
    <row r="1041" ht="15.75" customHeight="1">
      <c r="A1041" s="5">
        <v>46013.0</v>
      </c>
      <c r="B1041" s="6">
        <v>12075.0</v>
      </c>
      <c r="C1041" s="6">
        <v>1.859166951E9</v>
      </c>
      <c r="D1041" s="6">
        <v>1.2029047E7</v>
      </c>
      <c r="E1041" s="6" t="s">
        <v>1646</v>
      </c>
      <c r="F1041" s="6" t="s">
        <v>1647</v>
      </c>
      <c r="G1041" s="6">
        <v>9.611426582E9</v>
      </c>
      <c r="H1041" s="6">
        <v>1.0000194E7</v>
      </c>
      <c r="I1041" s="6" t="s">
        <v>1160</v>
      </c>
      <c r="J1041" s="6" t="s">
        <v>21</v>
      </c>
      <c r="K1041" s="6" t="s">
        <v>22</v>
      </c>
      <c r="L1041" s="6">
        <v>66.4</v>
      </c>
      <c r="M1041" s="5">
        <v>46013.0</v>
      </c>
      <c r="N1041" s="6" t="s">
        <v>23</v>
      </c>
      <c r="O1041" s="6" t="str">
        <f>SUMIFS([1]order_sku_sales_bb2_report!P:P,[1]order_sku_sales_bb2_report!H:H,C28845,[1]order_sku_sales_bb2_report!J:J,H28845)</f>
        <v>#ERROR!</v>
      </c>
      <c r="P1041" s="6" t="str">
        <f>SUMIFS([1]order_sku_sales_bb2_report!O:O,[1]order_sku_sales_bb2_report!H:H,C28845,[1]order_sku_sales_bb2_report!J:J,H28845)</f>
        <v>#ERROR!</v>
      </c>
      <c r="Q1041" s="6" t="str">
        <f t="shared" si="1"/>
        <v>22-12-2025</v>
      </c>
      <c r="R1041" s="6" t="str">
        <f>IFERROR( VLOOKUP(C28845,[1]expressOrderReport!$S:$AZ,34,0),0)</f>
        <v>#ERROR!</v>
      </c>
      <c r="S1041" s="6" t="str">
        <f>ARRAY_CONSTRAIN(ARRAYFORMULA(_xludf.XLOOKUP(D28845,[1]order_Report_SA_ID_BB2.0!V:V,[1]order_Report_SA_ID_BB2.0!AM:AM,"")), 1, 1)</f>
        <v>#ERROR!</v>
      </c>
      <c r="T1041" s="6" t="str">
        <f t="shared" si="2"/>
        <v>Dec'25</v>
      </c>
    </row>
    <row r="1042" ht="15.75" customHeight="1">
      <c r="A1042" s="5">
        <v>46013.0</v>
      </c>
      <c r="B1042" s="6">
        <v>12076.0</v>
      </c>
      <c r="C1042" s="6">
        <v>1.859166951E9</v>
      </c>
      <c r="D1042" s="6">
        <v>1.2029047E7</v>
      </c>
      <c r="E1042" s="6" t="s">
        <v>1646</v>
      </c>
      <c r="F1042" s="6" t="s">
        <v>1647</v>
      </c>
      <c r="G1042" s="6">
        <v>9.611426582E9</v>
      </c>
      <c r="H1042" s="6">
        <v>2.0000979E7</v>
      </c>
      <c r="I1042" s="6" t="s">
        <v>1648</v>
      </c>
      <c r="J1042" s="6" t="s">
        <v>21</v>
      </c>
      <c r="K1042" s="6" t="s">
        <v>22</v>
      </c>
      <c r="L1042" s="6">
        <v>66.4</v>
      </c>
      <c r="M1042" s="5">
        <v>46013.0</v>
      </c>
      <c r="N1042" s="6" t="s">
        <v>23</v>
      </c>
      <c r="O1042" s="6" t="str">
        <f>SUMIFS([1]order_sku_sales_bb2_report!P:P,[1]order_sku_sales_bb2_report!H:H,C28846,[1]order_sku_sales_bb2_report!J:J,H28846)</f>
        <v>#ERROR!</v>
      </c>
      <c r="P1042" s="6" t="str">
        <f>SUMIFS([1]order_sku_sales_bb2_report!O:O,[1]order_sku_sales_bb2_report!H:H,C28846,[1]order_sku_sales_bb2_report!J:J,H28846)</f>
        <v>#ERROR!</v>
      </c>
      <c r="Q1042" s="6" t="str">
        <f t="shared" si="1"/>
        <v>22-12-2025</v>
      </c>
      <c r="R1042" s="6" t="str">
        <f>IFERROR( VLOOKUP(C28846,[1]expressOrderReport!$S:$AZ,34,0),0)</f>
        <v>#ERROR!</v>
      </c>
      <c r="S1042" s="6" t="str">
        <f>ARRAY_CONSTRAIN(ARRAYFORMULA(_xludf.XLOOKUP(D28846,[1]order_Report_SA_ID_BB2.0!V:V,[1]order_Report_SA_ID_BB2.0!AM:AM,"")), 1, 1)</f>
        <v>#ERROR!</v>
      </c>
      <c r="T1042" s="6" t="str">
        <f t="shared" si="2"/>
        <v>Dec'25</v>
      </c>
    </row>
    <row r="1043" ht="15.75" customHeight="1">
      <c r="A1043" s="5">
        <v>46013.0</v>
      </c>
      <c r="B1043" s="6">
        <v>4324.0</v>
      </c>
      <c r="C1043" s="6">
        <v>1.859166961E9</v>
      </c>
      <c r="D1043" s="6">
        <v>1792831.0</v>
      </c>
      <c r="E1043" s="6" t="s">
        <v>968</v>
      </c>
      <c r="F1043" s="6" t="s">
        <v>969</v>
      </c>
      <c r="G1043" s="6">
        <v>9.008417339E9</v>
      </c>
      <c r="H1043" s="6">
        <v>4.014983E7</v>
      </c>
      <c r="I1043" s="6" t="s">
        <v>30</v>
      </c>
      <c r="J1043" s="6" t="s">
        <v>21</v>
      </c>
      <c r="K1043" s="6" t="s">
        <v>22</v>
      </c>
      <c r="L1043" s="6">
        <v>28.0</v>
      </c>
      <c r="M1043" s="5">
        <v>46013.0</v>
      </c>
      <c r="N1043" s="6" t="s">
        <v>54</v>
      </c>
      <c r="O1043" s="6" t="str">
        <f>SUMIFS([1]order_sku_sales_bb2_report!P:P,[1]order_sku_sales_bb2_report!H:H,C28847,[1]order_sku_sales_bb2_report!J:J,H28847)</f>
        <v>#ERROR!</v>
      </c>
      <c r="P1043" s="6" t="str">
        <f>SUMIFS([1]order_sku_sales_bb2_report!O:O,[1]order_sku_sales_bb2_report!H:H,C28847,[1]order_sku_sales_bb2_report!J:J,H28847)</f>
        <v>#ERROR!</v>
      </c>
      <c r="Q1043" s="6" t="str">
        <f t="shared" si="1"/>
        <v>22-12-2025</v>
      </c>
      <c r="R1043" s="6" t="str">
        <f>IFERROR( VLOOKUP(C28847,[1]expressOrderReport!$S:$AZ,34,0),0)</f>
        <v>#ERROR!</v>
      </c>
      <c r="S1043" s="6" t="str">
        <f>ARRAY_CONSTRAIN(ARRAYFORMULA(_xludf.XLOOKUP(D28847,[1]order_Report_SA_ID_BB2.0!V:V,[1]order_Report_SA_ID_BB2.0!AM:AM,"")), 1, 1)</f>
        <v>#ERROR!</v>
      </c>
      <c r="T1043" s="6" t="str">
        <f t="shared" si="2"/>
        <v>Dec'25</v>
      </c>
    </row>
    <row r="1044" ht="15.75" customHeight="1">
      <c r="A1044" s="5">
        <v>46013.0</v>
      </c>
      <c r="B1044" s="6">
        <v>6092.0</v>
      </c>
      <c r="C1044" s="6">
        <v>1.859166966E9</v>
      </c>
      <c r="D1044" s="6">
        <v>7974673.0</v>
      </c>
      <c r="E1044" s="6" t="s">
        <v>1649</v>
      </c>
      <c r="F1044" s="6" t="s">
        <v>1650</v>
      </c>
      <c r="G1044" s="6">
        <v>9.820408377E9</v>
      </c>
      <c r="H1044" s="6">
        <v>4.0149834E7</v>
      </c>
      <c r="I1044" s="6" t="s">
        <v>40</v>
      </c>
      <c r="J1044" s="6" t="s">
        <v>21</v>
      </c>
      <c r="K1044" s="6" t="s">
        <v>22</v>
      </c>
      <c r="L1044" s="6">
        <v>156.0</v>
      </c>
      <c r="M1044" s="5">
        <v>46013.0</v>
      </c>
      <c r="N1044" s="6" t="s">
        <v>23</v>
      </c>
      <c r="O1044" s="6" t="str">
        <f>SUMIFS([1]order_sku_sales_bb2_report!P:P,[1]order_sku_sales_bb2_report!H:H,C28848,[1]order_sku_sales_bb2_report!J:J,H28848)</f>
        <v>#ERROR!</v>
      </c>
      <c r="P1044" s="6" t="str">
        <f>SUMIFS([1]order_sku_sales_bb2_report!O:O,[1]order_sku_sales_bb2_report!H:H,C28848,[1]order_sku_sales_bb2_report!J:J,H28848)</f>
        <v>#ERROR!</v>
      </c>
      <c r="Q1044" s="6" t="str">
        <f t="shared" si="1"/>
        <v>22-12-2025</v>
      </c>
      <c r="R1044" s="6" t="str">
        <f>IFERROR( VLOOKUP(C28848,[1]expressOrderReport!$S:$AZ,34,0),0)</f>
        <v>#ERROR!</v>
      </c>
      <c r="S1044" s="6" t="str">
        <f>ARRAY_CONSTRAIN(ARRAYFORMULA(_xludf.XLOOKUP(D28848,[1]order_Report_SA_ID_BB2.0!V:V,[1]order_Report_SA_ID_BB2.0!AM:AM,"")), 1, 1)</f>
        <v>#ERROR!</v>
      </c>
      <c r="T1044" s="6" t="str">
        <f t="shared" si="2"/>
        <v>Dec'25</v>
      </c>
    </row>
    <row r="1045" ht="15.75" customHeight="1">
      <c r="A1045" s="5">
        <v>46013.0</v>
      </c>
      <c r="B1045" s="6">
        <v>6093.0</v>
      </c>
      <c r="C1045" s="6">
        <v>1.859166977E9</v>
      </c>
      <c r="D1045" s="6">
        <v>6704603.0</v>
      </c>
      <c r="E1045" s="6" t="s">
        <v>1651</v>
      </c>
      <c r="F1045" s="6" t="s">
        <v>1652</v>
      </c>
      <c r="G1045" s="6">
        <v>9.113977513E9</v>
      </c>
      <c r="H1045" s="6">
        <v>4.0149832E7</v>
      </c>
      <c r="I1045" s="6" t="s">
        <v>26</v>
      </c>
      <c r="J1045" s="6" t="s">
        <v>21</v>
      </c>
      <c r="K1045" s="6" t="s">
        <v>22</v>
      </c>
      <c r="L1045" s="6">
        <v>79.13</v>
      </c>
      <c r="M1045" s="5">
        <v>46013.0</v>
      </c>
      <c r="N1045" s="6" t="s">
        <v>23</v>
      </c>
      <c r="O1045" s="6" t="str">
        <f>SUMIFS([1]order_sku_sales_bb2_report!P:P,[1]order_sku_sales_bb2_report!H:H,C28849,[1]order_sku_sales_bb2_report!J:J,H28849)</f>
        <v>#ERROR!</v>
      </c>
      <c r="P1045" s="6" t="str">
        <f>SUMIFS([1]order_sku_sales_bb2_report!O:O,[1]order_sku_sales_bb2_report!H:H,C28849,[1]order_sku_sales_bb2_report!J:J,H28849)</f>
        <v>#ERROR!</v>
      </c>
      <c r="Q1045" s="6" t="str">
        <f t="shared" si="1"/>
        <v>22-12-2025</v>
      </c>
      <c r="R1045" s="6" t="str">
        <f>IFERROR( VLOOKUP(C28849,[1]expressOrderReport!$S:$AZ,34,0),0)</f>
        <v>#ERROR!</v>
      </c>
      <c r="S1045" s="6" t="str">
        <f>ARRAY_CONSTRAIN(ARRAYFORMULA(_xludf.XLOOKUP(D28849,[1]order_Report_SA_ID_BB2.0!V:V,[1]order_Report_SA_ID_BB2.0!AM:AM,"")), 1, 1)</f>
        <v>#ERROR!</v>
      </c>
      <c r="T1045" s="6" t="str">
        <f t="shared" si="2"/>
        <v>Dec'25</v>
      </c>
    </row>
    <row r="1046" ht="15.75" customHeight="1">
      <c r="A1046" s="5">
        <v>46013.0</v>
      </c>
      <c r="B1046" s="6">
        <v>6697.0</v>
      </c>
      <c r="C1046" s="6">
        <v>1.859166977E9</v>
      </c>
      <c r="D1046" s="6">
        <v>6704603.0</v>
      </c>
      <c r="E1046" s="6" t="s">
        <v>1651</v>
      </c>
      <c r="F1046" s="6" t="s">
        <v>1652</v>
      </c>
      <c r="G1046" s="6">
        <v>9.113977513E9</v>
      </c>
      <c r="H1046" s="6">
        <v>2.0001186E7</v>
      </c>
      <c r="I1046" s="6" t="s">
        <v>430</v>
      </c>
      <c r="J1046" s="6" t="s">
        <v>21</v>
      </c>
      <c r="K1046" s="6" t="s">
        <v>22</v>
      </c>
      <c r="L1046" s="6">
        <v>79.13</v>
      </c>
      <c r="M1046" s="5">
        <v>46013.0</v>
      </c>
      <c r="N1046" s="6" t="s">
        <v>23</v>
      </c>
      <c r="O1046" s="6" t="str">
        <f>SUMIFS([1]order_sku_sales_bb2_report!P:P,[1]order_sku_sales_bb2_report!H:H,C28850,[1]order_sku_sales_bb2_report!J:J,H28850)</f>
        <v>#ERROR!</v>
      </c>
      <c r="P1046" s="6" t="str">
        <f>SUMIFS([1]order_sku_sales_bb2_report!O:O,[1]order_sku_sales_bb2_report!H:H,C28850,[1]order_sku_sales_bb2_report!J:J,H28850)</f>
        <v>#ERROR!</v>
      </c>
      <c r="Q1046" s="6" t="str">
        <f t="shared" si="1"/>
        <v>22-12-2025</v>
      </c>
      <c r="R1046" s="6" t="str">
        <f>IFERROR( VLOOKUP(C28850,[1]expressOrderReport!$S:$AZ,34,0),0)</f>
        <v>#ERROR!</v>
      </c>
      <c r="S1046" s="6" t="str">
        <f>ARRAY_CONSTRAIN(ARRAYFORMULA(_xludf.XLOOKUP(D28850,[1]order_Report_SA_ID_BB2.0!V:V,[1]order_Report_SA_ID_BB2.0!AM:AM,"")), 1, 1)</f>
        <v>#ERROR!</v>
      </c>
      <c r="T1046" s="6" t="str">
        <f t="shared" si="2"/>
        <v>Dec'25</v>
      </c>
    </row>
    <row r="1047" ht="15.75" customHeight="1">
      <c r="A1047" s="5">
        <v>46013.0</v>
      </c>
      <c r="B1047" s="6">
        <v>8697.0</v>
      </c>
      <c r="C1047" s="6">
        <v>1.859166983E9</v>
      </c>
      <c r="D1047" s="6">
        <v>436068.0</v>
      </c>
      <c r="E1047" s="6" t="s">
        <v>1653</v>
      </c>
      <c r="F1047" s="6" t="s">
        <v>1654</v>
      </c>
      <c r="G1047" s="6">
        <v>9.535998449E9</v>
      </c>
      <c r="H1047" s="6">
        <v>4.0149832E7</v>
      </c>
      <c r="I1047" s="6" t="s">
        <v>26</v>
      </c>
      <c r="J1047" s="6" t="s">
        <v>21</v>
      </c>
      <c r="K1047" s="6" t="s">
        <v>22</v>
      </c>
      <c r="L1047" s="6">
        <v>24.0</v>
      </c>
      <c r="M1047" s="5">
        <v>46013.0</v>
      </c>
      <c r="N1047" s="6" t="s">
        <v>23</v>
      </c>
      <c r="O1047" s="6" t="str">
        <f>SUMIFS([1]order_sku_sales_bb2_report!P:P,[1]order_sku_sales_bb2_report!H:H,C28851,[1]order_sku_sales_bb2_report!J:J,H28851)</f>
        <v>#ERROR!</v>
      </c>
      <c r="P1047" s="6" t="str">
        <f>SUMIFS([1]order_sku_sales_bb2_report!O:O,[1]order_sku_sales_bb2_report!H:H,C28851,[1]order_sku_sales_bb2_report!J:J,H28851)</f>
        <v>#ERROR!</v>
      </c>
      <c r="Q1047" s="6" t="str">
        <f t="shared" si="1"/>
        <v>22-12-2025</v>
      </c>
      <c r="R1047" s="6" t="str">
        <f>IFERROR( VLOOKUP(C28851,[1]expressOrderReport!$S:$AZ,34,0),0)</f>
        <v>#ERROR!</v>
      </c>
      <c r="S1047" s="6" t="str">
        <f>ARRAY_CONSTRAIN(ARRAYFORMULA(_xludf.XLOOKUP(D28851,[1]order_Report_SA_ID_BB2.0!V:V,[1]order_Report_SA_ID_BB2.0!AM:AM,"")), 1, 1)</f>
        <v>#ERROR!</v>
      </c>
      <c r="T1047" s="6" t="str">
        <f t="shared" si="2"/>
        <v>Dec'25</v>
      </c>
    </row>
    <row r="1048" ht="15.75" customHeight="1">
      <c r="A1048" s="5">
        <v>46013.0</v>
      </c>
      <c r="B1048" s="6">
        <v>2492.0</v>
      </c>
      <c r="C1048" s="6">
        <v>1.859164936E9</v>
      </c>
      <c r="D1048" s="6">
        <v>393133.0</v>
      </c>
      <c r="E1048" s="6" t="s">
        <v>1655</v>
      </c>
      <c r="F1048" s="6" t="s">
        <v>1656</v>
      </c>
      <c r="G1048" s="6">
        <v>9.742496645E9</v>
      </c>
      <c r="H1048" s="6">
        <v>4.0148723E7</v>
      </c>
      <c r="I1048" s="6" t="s">
        <v>69</v>
      </c>
      <c r="J1048" s="6" t="s">
        <v>21</v>
      </c>
      <c r="K1048" s="6" t="s">
        <v>22</v>
      </c>
      <c r="L1048" s="6">
        <v>168.0</v>
      </c>
      <c r="M1048" s="5">
        <v>46013.0</v>
      </c>
      <c r="N1048" s="6" t="s">
        <v>23</v>
      </c>
      <c r="O1048" s="6" t="str">
        <f>SUMIFS([1]order_sku_sales_bb2_report!P:P,[1]order_sku_sales_bb2_report!H:H,C28852,[1]order_sku_sales_bb2_report!J:J,H28852)</f>
        <v>#ERROR!</v>
      </c>
      <c r="P1048" s="6" t="str">
        <f>SUMIFS([1]order_sku_sales_bb2_report!O:O,[1]order_sku_sales_bb2_report!H:H,C28852,[1]order_sku_sales_bb2_report!J:J,H28852)</f>
        <v>#ERROR!</v>
      </c>
      <c r="Q1048" s="6" t="str">
        <f t="shared" si="1"/>
        <v>22-12-2025</v>
      </c>
      <c r="R1048" s="6" t="str">
        <f>IFERROR( VLOOKUP(C28852,[1]expressOrderReport!$S:$AZ,34,0),0)</f>
        <v>#ERROR!</v>
      </c>
      <c r="S1048" s="6" t="str">
        <f>ARRAY_CONSTRAIN(ARRAYFORMULA(_xludf.XLOOKUP(D28852,[1]order_Report_SA_ID_BB2.0!V:V,[1]order_Report_SA_ID_BB2.0!AM:AM,"")), 1, 1)</f>
        <v>#ERROR!</v>
      </c>
      <c r="T1048" s="6" t="str">
        <f t="shared" si="2"/>
        <v>Dec'25</v>
      </c>
    </row>
    <row r="1049" ht="15.75" customHeight="1">
      <c r="A1049" s="5">
        <v>46013.0</v>
      </c>
      <c r="B1049" s="6">
        <v>6903.0</v>
      </c>
      <c r="C1049" s="6">
        <v>1.859164946E9</v>
      </c>
      <c r="D1049" s="6">
        <v>3483266.0</v>
      </c>
      <c r="E1049" s="6" t="s">
        <v>1657</v>
      </c>
      <c r="F1049" s="6" t="s">
        <v>1658</v>
      </c>
      <c r="G1049" s="6">
        <v>7.35698533E9</v>
      </c>
      <c r="H1049" s="6">
        <v>1.0000369E7</v>
      </c>
      <c r="I1049" s="6" t="s">
        <v>1659</v>
      </c>
      <c r="J1049" s="6" t="s">
        <v>21</v>
      </c>
      <c r="K1049" s="6" t="s">
        <v>22</v>
      </c>
      <c r="L1049" s="6">
        <v>101.6</v>
      </c>
      <c r="M1049" s="5">
        <v>46013.0</v>
      </c>
      <c r="N1049" s="6" t="s">
        <v>54</v>
      </c>
      <c r="O1049" s="6" t="str">
        <f>SUMIFS([1]order_sku_sales_bb2_report!P:P,[1]order_sku_sales_bb2_report!H:H,C28854,[1]order_sku_sales_bb2_report!J:J,H28854)</f>
        <v>#ERROR!</v>
      </c>
      <c r="P1049" s="6" t="str">
        <f>SUMIFS([1]order_sku_sales_bb2_report!O:O,[1]order_sku_sales_bb2_report!H:H,C28854,[1]order_sku_sales_bb2_report!J:J,H28854)</f>
        <v>#ERROR!</v>
      </c>
      <c r="Q1049" s="6" t="str">
        <f t="shared" si="1"/>
        <v>22-12-2025</v>
      </c>
      <c r="R1049" s="6" t="str">
        <f>IFERROR( VLOOKUP(C28854,[1]expressOrderReport!$S:$AZ,34,0),0)</f>
        <v>#ERROR!</v>
      </c>
      <c r="S1049" s="6" t="str">
        <f>ARRAY_CONSTRAIN(ARRAYFORMULA(_xludf.XLOOKUP(D28854,[1]order_Report_SA_ID_BB2.0!V:V,[1]order_Report_SA_ID_BB2.0!AM:AM,"")), 1, 1)</f>
        <v>#ERROR!</v>
      </c>
      <c r="T1049" s="6" t="str">
        <f t="shared" si="2"/>
        <v>Dec'25</v>
      </c>
    </row>
    <row r="1050" ht="15.75" customHeight="1">
      <c r="A1050" s="5">
        <v>46013.0</v>
      </c>
      <c r="B1050" s="6">
        <v>6438.0</v>
      </c>
      <c r="C1050" s="6">
        <v>1.859164959E9</v>
      </c>
      <c r="D1050" s="6">
        <v>1.2378028E7</v>
      </c>
      <c r="E1050" s="6" t="s">
        <v>1660</v>
      </c>
      <c r="F1050" s="6" t="s">
        <v>1661</v>
      </c>
      <c r="G1050" s="6">
        <v>9.370223703E9</v>
      </c>
      <c r="H1050" s="6">
        <v>4.0149834E7</v>
      </c>
      <c r="I1050" s="6" t="s">
        <v>40</v>
      </c>
      <c r="J1050" s="6" t="s">
        <v>21</v>
      </c>
      <c r="K1050" s="6" t="s">
        <v>22</v>
      </c>
      <c r="L1050" s="6">
        <v>79.0</v>
      </c>
      <c r="M1050" s="5">
        <v>46013.0</v>
      </c>
      <c r="N1050" s="6" t="s">
        <v>23</v>
      </c>
      <c r="O1050" s="6" t="str">
        <f>SUMIFS([1]order_sku_sales_bb2_report!P:P,[1]order_sku_sales_bb2_report!H:H,C28857,[1]order_sku_sales_bb2_report!J:J,H28857)</f>
        <v>#ERROR!</v>
      </c>
      <c r="P1050" s="6" t="str">
        <f>SUMIFS([1]order_sku_sales_bb2_report!O:O,[1]order_sku_sales_bb2_report!H:H,C28857,[1]order_sku_sales_bb2_report!J:J,H28857)</f>
        <v>#ERROR!</v>
      </c>
      <c r="Q1050" s="6" t="str">
        <f t="shared" si="1"/>
        <v>22-12-2025</v>
      </c>
      <c r="R1050" s="6" t="str">
        <f>IFERROR( VLOOKUP(C28857,[1]expressOrderReport!$S:$AZ,34,0),0)</f>
        <v>#ERROR!</v>
      </c>
      <c r="S1050" s="6" t="str">
        <f>ARRAY_CONSTRAIN(ARRAYFORMULA(_xludf.XLOOKUP(D28857,[1]order_Report_SA_ID_BB2.0!V:V,[1]order_Report_SA_ID_BB2.0!AM:AM,"")), 1, 1)</f>
        <v>#ERROR!</v>
      </c>
      <c r="T1050" s="6" t="str">
        <f t="shared" si="2"/>
        <v>Dec'25</v>
      </c>
    </row>
    <row r="1051" ht="15.75" customHeight="1">
      <c r="A1051" s="5">
        <v>46013.0</v>
      </c>
      <c r="B1051" s="6">
        <v>6439.0</v>
      </c>
      <c r="C1051" s="6">
        <v>1.859164959E9</v>
      </c>
      <c r="D1051" s="6">
        <v>1.2378028E7</v>
      </c>
      <c r="E1051" s="6" t="s">
        <v>1660</v>
      </c>
      <c r="F1051" s="6" t="s">
        <v>1661</v>
      </c>
      <c r="G1051" s="6">
        <v>9.370223703E9</v>
      </c>
      <c r="H1051" s="6">
        <v>4.0149833E7</v>
      </c>
      <c r="I1051" s="6" t="s">
        <v>40</v>
      </c>
      <c r="J1051" s="6" t="s">
        <v>21</v>
      </c>
      <c r="K1051" s="6" t="s">
        <v>22</v>
      </c>
      <c r="L1051" s="6">
        <v>79.0</v>
      </c>
      <c r="M1051" s="5">
        <v>46013.0</v>
      </c>
      <c r="N1051" s="6" t="s">
        <v>23</v>
      </c>
      <c r="O1051" s="6" t="str">
        <f>SUMIFS([1]order_sku_sales_bb2_report!P:P,[1]order_sku_sales_bb2_report!H:H,C28858,[1]order_sku_sales_bb2_report!J:J,H28858)</f>
        <v>#ERROR!</v>
      </c>
      <c r="P1051" s="6" t="str">
        <f>SUMIFS([1]order_sku_sales_bb2_report!O:O,[1]order_sku_sales_bb2_report!H:H,C28858,[1]order_sku_sales_bb2_report!J:J,H28858)</f>
        <v>#ERROR!</v>
      </c>
      <c r="Q1051" s="6" t="str">
        <f t="shared" si="1"/>
        <v>22-12-2025</v>
      </c>
      <c r="R1051" s="6" t="str">
        <f>IFERROR( VLOOKUP(C28858,[1]expressOrderReport!$S:$AZ,34,0),0)</f>
        <v>#ERROR!</v>
      </c>
      <c r="S1051" s="6" t="str">
        <f>ARRAY_CONSTRAIN(ARRAYFORMULA(_xludf.XLOOKUP(D28858,[1]order_Report_SA_ID_BB2.0!V:V,[1]order_Report_SA_ID_BB2.0!AM:AM,"")), 1, 1)</f>
        <v>#ERROR!</v>
      </c>
      <c r="T1051" s="6" t="str">
        <f t="shared" si="2"/>
        <v>Dec'25</v>
      </c>
    </row>
    <row r="1052" ht="15.75" customHeight="1">
      <c r="A1052" s="5">
        <v>46013.0</v>
      </c>
      <c r="B1052" s="6">
        <v>6885.0</v>
      </c>
      <c r="C1052" s="6">
        <v>1.85916497E9</v>
      </c>
      <c r="D1052" s="6">
        <v>1.1637235E7</v>
      </c>
      <c r="E1052" s="6" t="s">
        <v>1662</v>
      </c>
      <c r="F1052" s="6" t="s">
        <v>1663</v>
      </c>
      <c r="G1052" s="6">
        <v>9.620055655E9</v>
      </c>
      <c r="H1052" s="6">
        <v>4.0149833E7</v>
      </c>
      <c r="I1052" s="6" t="s">
        <v>40</v>
      </c>
      <c r="J1052" s="6" t="s">
        <v>21</v>
      </c>
      <c r="K1052" s="6" t="s">
        <v>22</v>
      </c>
      <c r="L1052" s="6">
        <v>54.0</v>
      </c>
      <c r="M1052" s="5">
        <v>46013.0</v>
      </c>
      <c r="N1052" s="6" t="s">
        <v>23</v>
      </c>
      <c r="O1052" s="6" t="str">
        <f>SUMIFS([1]order_sku_sales_bb2_report!P:P,[1]order_sku_sales_bb2_report!H:H,C28859,[1]order_sku_sales_bb2_report!J:J,H28859)</f>
        <v>#ERROR!</v>
      </c>
      <c r="P1052" s="6" t="str">
        <f>SUMIFS([1]order_sku_sales_bb2_report!O:O,[1]order_sku_sales_bb2_report!H:H,C28859,[1]order_sku_sales_bb2_report!J:J,H28859)</f>
        <v>#ERROR!</v>
      </c>
      <c r="Q1052" s="6" t="str">
        <f t="shared" si="1"/>
        <v>22-12-2025</v>
      </c>
      <c r="R1052" s="6" t="str">
        <f>IFERROR( VLOOKUP(C28859,[1]expressOrderReport!$S:$AZ,34,0),0)</f>
        <v>#ERROR!</v>
      </c>
      <c r="S1052" s="6" t="str">
        <f>ARRAY_CONSTRAIN(ARRAYFORMULA(_xludf.XLOOKUP(D28859,[1]order_Report_SA_ID_BB2.0!V:V,[1]order_Report_SA_ID_BB2.0!AM:AM,"")), 1, 1)</f>
        <v>#ERROR!</v>
      </c>
      <c r="T1052" s="6" t="str">
        <f t="shared" si="2"/>
        <v>Dec'25</v>
      </c>
    </row>
    <row r="1053" ht="15.75" customHeight="1">
      <c r="A1053" s="5">
        <v>46013.0</v>
      </c>
      <c r="B1053" s="6">
        <v>2515.0</v>
      </c>
      <c r="C1053" s="6">
        <v>1.859164979E9</v>
      </c>
      <c r="D1053" s="6">
        <v>1262493.0</v>
      </c>
      <c r="E1053" s="6" t="s">
        <v>1664</v>
      </c>
      <c r="F1053" s="6" t="s">
        <v>1665</v>
      </c>
      <c r="G1053" s="6">
        <v>9.743200082E9</v>
      </c>
      <c r="H1053" s="6">
        <v>4.0090893E7</v>
      </c>
      <c r="I1053" s="6" t="s">
        <v>35</v>
      </c>
      <c r="J1053" s="6" t="s">
        <v>21</v>
      </c>
      <c r="K1053" s="6" t="s">
        <v>22</v>
      </c>
      <c r="L1053" s="6">
        <v>139.0</v>
      </c>
      <c r="M1053" s="5">
        <v>46013.0</v>
      </c>
      <c r="N1053" s="6" t="s">
        <v>23</v>
      </c>
      <c r="O1053" s="6" t="str">
        <f>SUMIFS([1]order_sku_sales_bb2_report!P:P,[1]order_sku_sales_bb2_report!H:H,C28860,[1]order_sku_sales_bb2_report!J:J,H28860)</f>
        <v>#ERROR!</v>
      </c>
      <c r="P1053" s="6" t="str">
        <f>SUMIFS([1]order_sku_sales_bb2_report!O:O,[1]order_sku_sales_bb2_report!H:H,C28860,[1]order_sku_sales_bb2_report!J:J,H28860)</f>
        <v>#ERROR!</v>
      </c>
      <c r="Q1053" s="6" t="str">
        <f t="shared" si="1"/>
        <v>22-12-2025</v>
      </c>
      <c r="R1053" s="6" t="str">
        <f>IFERROR( VLOOKUP(C28860,[1]expressOrderReport!$S:$AZ,34,0),0)</f>
        <v>#ERROR!</v>
      </c>
      <c r="S1053" s="6" t="str">
        <f>ARRAY_CONSTRAIN(ARRAYFORMULA(_xludf.XLOOKUP(D28860,[1]order_Report_SA_ID_BB2.0!V:V,[1]order_Report_SA_ID_BB2.0!AM:AM,"")), 1, 1)</f>
        <v>#ERROR!</v>
      </c>
      <c r="T1053" s="6" t="str">
        <f t="shared" si="2"/>
        <v>Dec'25</v>
      </c>
    </row>
    <row r="1054" ht="15.75" customHeight="1">
      <c r="A1054" s="5">
        <v>46013.0</v>
      </c>
      <c r="B1054" s="6">
        <v>2517.0</v>
      </c>
      <c r="C1054" s="6">
        <v>1.859164979E9</v>
      </c>
      <c r="D1054" s="6">
        <v>1262493.0</v>
      </c>
      <c r="E1054" s="6" t="s">
        <v>1664</v>
      </c>
      <c r="F1054" s="6" t="s">
        <v>1665</v>
      </c>
      <c r="G1054" s="6">
        <v>9.743200082E9</v>
      </c>
      <c r="H1054" s="6">
        <v>4.0148717E7</v>
      </c>
      <c r="I1054" s="6" t="s">
        <v>226</v>
      </c>
      <c r="J1054" s="6" t="s">
        <v>21</v>
      </c>
      <c r="K1054" s="6" t="s">
        <v>22</v>
      </c>
      <c r="L1054" s="6">
        <v>139.0</v>
      </c>
      <c r="M1054" s="5">
        <v>46013.0</v>
      </c>
      <c r="N1054" s="6" t="s">
        <v>23</v>
      </c>
      <c r="O1054" s="6" t="str">
        <f>SUMIFS([1]order_sku_sales_bb2_report!P:P,[1]order_sku_sales_bb2_report!H:H,C28861,[1]order_sku_sales_bb2_report!J:J,H28861)</f>
        <v>#ERROR!</v>
      </c>
      <c r="P1054" s="6" t="str">
        <f>SUMIFS([1]order_sku_sales_bb2_report!O:O,[1]order_sku_sales_bb2_report!H:H,C28861,[1]order_sku_sales_bb2_report!J:J,H28861)</f>
        <v>#ERROR!</v>
      </c>
      <c r="Q1054" s="6" t="str">
        <f t="shared" si="1"/>
        <v>22-12-2025</v>
      </c>
      <c r="R1054" s="6" t="str">
        <f>IFERROR( VLOOKUP(C28861,[1]expressOrderReport!$S:$AZ,34,0),0)</f>
        <v>#ERROR!</v>
      </c>
      <c r="S1054" s="6" t="str">
        <f>ARRAY_CONSTRAIN(ARRAYFORMULA(_xludf.XLOOKUP(D28861,[1]order_Report_SA_ID_BB2.0!V:V,[1]order_Report_SA_ID_BB2.0!AM:AM,"")), 1, 1)</f>
        <v>#ERROR!</v>
      </c>
      <c r="T1054" s="6" t="str">
        <f t="shared" si="2"/>
        <v>Dec'25</v>
      </c>
    </row>
    <row r="1055" ht="15.75" customHeight="1">
      <c r="A1055" s="5">
        <v>46013.0</v>
      </c>
      <c r="B1055" s="6">
        <v>7418.0</v>
      </c>
      <c r="C1055" s="6">
        <v>1.859164992E9</v>
      </c>
      <c r="D1055" s="6">
        <v>7064915.0</v>
      </c>
      <c r="E1055" s="6" t="s">
        <v>1666</v>
      </c>
      <c r="F1055" s="6" t="s">
        <v>1667</v>
      </c>
      <c r="G1055" s="6">
        <v>9.538881334E9</v>
      </c>
      <c r="H1055" s="6">
        <v>4.0158264E7</v>
      </c>
      <c r="I1055" s="6" t="s">
        <v>26</v>
      </c>
      <c r="J1055" s="6" t="s">
        <v>21</v>
      </c>
      <c r="K1055" s="6" t="s">
        <v>22</v>
      </c>
      <c r="L1055" s="6">
        <v>73.0</v>
      </c>
      <c r="M1055" s="5">
        <v>46013.0</v>
      </c>
      <c r="N1055" s="6" t="s">
        <v>23</v>
      </c>
      <c r="O1055" s="6" t="str">
        <f>SUMIFS([1]order_sku_sales_bb2_report!P:P,[1]order_sku_sales_bb2_report!H:H,C28862,[1]order_sku_sales_bb2_report!J:J,H28862)</f>
        <v>#ERROR!</v>
      </c>
      <c r="P1055" s="6" t="str">
        <f>SUMIFS([1]order_sku_sales_bb2_report!O:O,[1]order_sku_sales_bb2_report!H:H,C28862,[1]order_sku_sales_bb2_report!J:J,H28862)</f>
        <v>#ERROR!</v>
      </c>
      <c r="Q1055" s="6" t="str">
        <f t="shared" si="1"/>
        <v>22-12-2025</v>
      </c>
      <c r="R1055" s="6" t="str">
        <f>IFERROR( VLOOKUP(C28862,[1]expressOrderReport!$S:$AZ,34,0),0)</f>
        <v>#ERROR!</v>
      </c>
      <c r="S1055" s="6" t="str">
        <f>ARRAY_CONSTRAIN(ARRAYFORMULA(_xludf.XLOOKUP(D28862,[1]order_Report_SA_ID_BB2.0!V:V,[1]order_Report_SA_ID_BB2.0!AM:AM,"")), 1, 1)</f>
        <v>#ERROR!</v>
      </c>
      <c r="T1055" s="6" t="str">
        <f t="shared" si="2"/>
        <v>Dec'25</v>
      </c>
    </row>
    <row r="1056" ht="15.75" customHeight="1">
      <c r="A1056" s="5">
        <v>46013.0</v>
      </c>
      <c r="B1056" s="6">
        <v>9628.0</v>
      </c>
      <c r="C1056" s="6">
        <v>1.859164992E9</v>
      </c>
      <c r="D1056" s="6">
        <v>7064915.0</v>
      </c>
      <c r="E1056" s="6" t="s">
        <v>1666</v>
      </c>
      <c r="F1056" s="6" t="s">
        <v>1667</v>
      </c>
      <c r="G1056" s="6">
        <v>9.538881334E9</v>
      </c>
      <c r="H1056" s="6">
        <v>4.0212327E7</v>
      </c>
      <c r="I1056" s="6" t="s">
        <v>682</v>
      </c>
      <c r="J1056" s="6" t="s">
        <v>21</v>
      </c>
      <c r="K1056" s="6" t="s">
        <v>22</v>
      </c>
      <c r="L1056" s="6">
        <v>73.0</v>
      </c>
      <c r="M1056" s="5">
        <v>46013.0</v>
      </c>
      <c r="N1056" s="6" t="s">
        <v>23</v>
      </c>
      <c r="O1056" s="6" t="str">
        <f>SUMIFS([1]order_sku_sales_bb2_report!P:P,[1]order_sku_sales_bb2_report!H:H,C28863,[1]order_sku_sales_bb2_report!J:J,H28863)</f>
        <v>#ERROR!</v>
      </c>
      <c r="P1056" s="6" t="str">
        <f>SUMIFS([1]order_sku_sales_bb2_report!O:O,[1]order_sku_sales_bb2_report!H:H,C28863,[1]order_sku_sales_bb2_report!J:J,H28863)</f>
        <v>#ERROR!</v>
      </c>
      <c r="Q1056" s="6" t="str">
        <f t="shared" si="1"/>
        <v>22-12-2025</v>
      </c>
      <c r="R1056" s="6" t="str">
        <f>IFERROR( VLOOKUP(C28863,[1]expressOrderReport!$S:$AZ,34,0),0)</f>
        <v>#ERROR!</v>
      </c>
      <c r="S1056" s="6" t="str">
        <f>ARRAY_CONSTRAIN(ARRAYFORMULA(_xludf.XLOOKUP(D28863,[1]order_Report_SA_ID_BB2.0!V:V,[1]order_Report_SA_ID_BB2.0!AM:AM,"")), 1, 1)</f>
        <v>#ERROR!</v>
      </c>
      <c r="T1056" s="6" t="str">
        <f t="shared" si="2"/>
        <v>Dec'25</v>
      </c>
    </row>
    <row r="1057" ht="15.75" customHeight="1">
      <c r="A1057" s="5">
        <v>46013.0</v>
      </c>
      <c r="B1057" s="6">
        <v>5314.0</v>
      </c>
      <c r="C1057" s="6">
        <v>1.859165008E9</v>
      </c>
      <c r="D1057" s="6">
        <v>7915572.0</v>
      </c>
      <c r="E1057" s="6" t="s">
        <v>1668</v>
      </c>
      <c r="F1057" s="6" t="s">
        <v>1669</v>
      </c>
      <c r="G1057" s="6">
        <v>9.442256718E9</v>
      </c>
      <c r="H1057" s="6">
        <v>4.0148723E7</v>
      </c>
      <c r="I1057" s="6" t="s">
        <v>69</v>
      </c>
      <c r="J1057" s="6" t="s">
        <v>21</v>
      </c>
      <c r="K1057" s="6" t="s">
        <v>22</v>
      </c>
      <c r="L1057" s="6">
        <v>42.0</v>
      </c>
      <c r="M1057" s="5">
        <v>46013.0</v>
      </c>
      <c r="N1057" s="6" t="s">
        <v>23</v>
      </c>
      <c r="O1057" s="6" t="str">
        <f>SUMIFS([1]order_sku_sales_bb2_report!P:P,[1]order_sku_sales_bb2_report!H:H,C28864,[1]order_sku_sales_bb2_report!J:J,H28864)</f>
        <v>#ERROR!</v>
      </c>
      <c r="P1057" s="6" t="str">
        <f>SUMIFS([1]order_sku_sales_bb2_report!O:O,[1]order_sku_sales_bb2_report!H:H,C28864,[1]order_sku_sales_bb2_report!J:J,H28864)</f>
        <v>#ERROR!</v>
      </c>
      <c r="Q1057" s="6" t="str">
        <f t="shared" si="1"/>
        <v>22-12-2025</v>
      </c>
      <c r="R1057" s="6" t="str">
        <f>IFERROR( VLOOKUP(C28864,[1]expressOrderReport!$S:$AZ,34,0),0)</f>
        <v>#ERROR!</v>
      </c>
      <c r="S1057" s="6" t="str">
        <f>ARRAY_CONSTRAIN(ARRAYFORMULA(_xludf.XLOOKUP(D28864,[1]order_Report_SA_ID_BB2.0!V:V,[1]order_Report_SA_ID_BB2.0!AM:AM,"")), 1, 1)</f>
        <v>#ERROR!</v>
      </c>
      <c r="T1057" s="6" t="str">
        <f t="shared" si="2"/>
        <v>Dec'25</v>
      </c>
    </row>
    <row r="1058" ht="15.75" customHeight="1">
      <c r="A1058" s="5">
        <v>46013.0</v>
      </c>
      <c r="B1058" s="6">
        <v>4364.0</v>
      </c>
      <c r="C1058" s="6">
        <v>1.859165022E9</v>
      </c>
      <c r="D1058" s="6">
        <v>1.2602673E7</v>
      </c>
      <c r="E1058" s="6" t="s">
        <v>1670</v>
      </c>
      <c r="F1058" s="6" t="s">
        <v>1671</v>
      </c>
      <c r="G1058" s="6">
        <v>8.97161299E9</v>
      </c>
      <c r="H1058" s="6">
        <v>4.0147601E7</v>
      </c>
      <c r="I1058" s="6" t="s">
        <v>276</v>
      </c>
      <c r="J1058" s="6" t="s">
        <v>21</v>
      </c>
      <c r="K1058" s="6" t="s">
        <v>22</v>
      </c>
      <c r="L1058" s="6">
        <v>56.0</v>
      </c>
      <c r="M1058" s="5">
        <v>46013.0</v>
      </c>
      <c r="N1058" s="6" t="s">
        <v>23</v>
      </c>
      <c r="O1058" s="6" t="str">
        <f>SUMIFS([1]order_sku_sales_bb2_report!P:P,[1]order_sku_sales_bb2_report!H:H,C28865,[1]order_sku_sales_bb2_report!J:J,H28865)</f>
        <v>#ERROR!</v>
      </c>
      <c r="P1058" s="6" t="str">
        <f>SUMIFS([1]order_sku_sales_bb2_report!O:O,[1]order_sku_sales_bb2_report!H:H,C28865,[1]order_sku_sales_bb2_report!J:J,H28865)</f>
        <v>#ERROR!</v>
      </c>
      <c r="Q1058" s="6" t="str">
        <f t="shared" si="1"/>
        <v>22-12-2025</v>
      </c>
      <c r="R1058" s="6" t="str">
        <f>IFERROR( VLOOKUP(C28865,[1]expressOrderReport!$S:$AZ,34,0),0)</f>
        <v>#ERROR!</v>
      </c>
      <c r="S1058" s="6" t="str">
        <f>ARRAY_CONSTRAIN(ARRAYFORMULA(_xludf.XLOOKUP(D28865,[1]order_Report_SA_ID_BB2.0!V:V,[1]order_Report_SA_ID_BB2.0!AM:AM,"")), 1, 1)</f>
        <v>#ERROR!</v>
      </c>
      <c r="T1058" s="6" t="str">
        <f t="shared" si="2"/>
        <v>Dec'25</v>
      </c>
    </row>
    <row r="1059" ht="15.75" customHeight="1">
      <c r="A1059" s="5">
        <v>46013.0</v>
      </c>
      <c r="B1059" s="6">
        <v>4365.0</v>
      </c>
      <c r="C1059" s="6">
        <v>1.859165022E9</v>
      </c>
      <c r="D1059" s="6">
        <v>1.2602673E7</v>
      </c>
      <c r="E1059" s="6" t="s">
        <v>1670</v>
      </c>
      <c r="F1059" s="6" t="s">
        <v>1671</v>
      </c>
      <c r="G1059" s="6">
        <v>8.97161299E9</v>
      </c>
      <c r="H1059" s="6">
        <v>4.014983E7</v>
      </c>
      <c r="I1059" s="6" t="s">
        <v>30</v>
      </c>
      <c r="J1059" s="6" t="s">
        <v>21</v>
      </c>
      <c r="K1059" s="6" t="s">
        <v>22</v>
      </c>
      <c r="L1059" s="6">
        <v>56.0</v>
      </c>
      <c r="M1059" s="5">
        <v>46013.0</v>
      </c>
      <c r="N1059" s="6" t="s">
        <v>23</v>
      </c>
      <c r="O1059" s="6" t="str">
        <f>SUMIFS([1]order_sku_sales_bb2_report!P:P,[1]order_sku_sales_bb2_report!H:H,C28866,[1]order_sku_sales_bb2_report!J:J,H28866)</f>
        <v>#ERROR!</v>
      </c>
      <c r="P1059" s="6" t="str">
        <f>SUMIFS([1]order_sku_sales_bb2_report!O:O,[1]order_sku_sales_bb2_report!H:H,C28866,[1]order_sku_sales_bb2_report!J:J,H28866)</f>
        <v>#ERROR!</v>
      </c>
      <c r="Q1059" s="6" t="str">
        <f t="shared" si="1"/>
        <v>22-12-2025</v>
      </c>
      <c r="R1059" s="6" t="str">
        <f>IFERROR( VLOOKUP(C28866,[1]expressOrderReport!$S:$AZ,34,0),0)</f>
        <v>#ERROR!</v>
      </c>
      <c r="S1059" s="6" t="str">
        <f>ARRAY_CONSTRAIN(ARRAYFORMULA(_xludf.XLOOKUP(D28866,[1]order_Report_SA_ID_BB2.0!V:V,[1]order_Report_SA_ID_BB2.0!AM:AM,"")), 1, 1)</f>
        <v>#ERROR!</v>
      </c>
      <c r="T1059" s="6" t="str">
        <f t="shared" si="2"/>
        <v>Dec'25</v>
      </c>
    </row>
    <row r="1060" ht="15.75" customHeight="1">
      <c r="A1060" s="5">
        <v>46013.0</v>
      </c>
      <c r="B1060" s="6">
        <v>4948.0</v>
      </c>
      <c r="C1060" s="6">
        <v>1.859165035E9</v>
      </c>
      <c r="D1060" s="6">
        <v>4492530.0</v>
      </c>
      <c r="E1060" s="6" t="s">
        <v>1672</v>
      </c>
      <c r="F1060" s="6" t="s">
        <v>1673</v>
      </c>
      <c r="G1060" s="6">
        <v>9.930816543E9</v>
      </c>
      <c r="H1060" s="6">
        <v>4.0149833E7</v>
      </c>
      <c r="I1060" s="6" t="s">
        <v>40</v>
      </c>
      <c r="J1060" s="6" t="s">
        <v>21</v>
      </c>
      <c r="K1060" s="6" t="s">
        <v>22</v>
      </c>
      <c r="L1060" s="6">
        <v>148.0</v>
      </c>
      <c r="M1060" s="5">
        <v>46013.0</v>
      </c>
      <c r="N1060" s="6" t="s">
        <v>23</v>
      </c>
      <c r="O1060" s="6" t="str">
        <f>SUMIFS([1]order_sku_sales_bb2_report!P:P,[1]order_sku_sales_bb2_report!H:H,C28867,[1]order_sku_sales_bb2_report!J:J,H28867)</f>
        <v>#ERROR!</v>
      </c>
      <c r="P1060" s="6" t="str">
        <f>SUMIFS([1]order_sku_sales_bb2_report!O:O,[1]order_sku_sales_bb2_report!H:H,C28867,[1]order_sku_sales_bb2_report!J:J,H28867)</f>
        <v>#ERROR!</v>
      </c>
      <c r="Q1060" s="6" t="str">
        <f t="shared" si="1"/>
        <v>22-12-2025</v>
      </c>
      <c r="R1060" s="6" t="str">
        <f>IFERROR( VLOOKUP(C28867,[1]expressOrderReport!$S:$AZ,34,0),0)</f>
        <v>#ERROR!</v>
      </c>
      <c r="S1060" s="6" t="str">
        <f>ARRAY_CONSTRAIN(ARRAYFORMULA(_xludf.XLOOKUP(D28867,[1]order_Report_SA_ID_BB2.0!V:V,[1]order_Report_SA_ID_BB2.0!AM:AM,"")), 1, 1)</f>
        <v>#ERROR!</v>
      </c>
      <c r="T1060" s="6" t="str">
        <f t="shared" si="2"/>
        <v>Dec'25</v>
      </c>
    </row>
    <row r="1061" ht="15.75" customHeight="1">
      <c r="A1061" s="5">
        <v>46013.0</v>
      </c>
      <c r="B1061" s="6">
        <v>4949.0</v>
      </c>
      <c r="C1061" s="6">
        <v>1.859165035E9</v>
      </c>
      <c r="D1061" s="6">
        <v>4492530.0</v>
      </c>
      <c r="E1061" s="6" t="s">
        <v>1672</v>
      </c>
      <c r="F1061" s="6" t="s">
        <v>1673</v>
      </c>
      <c r="G1061" s="6">
        <v>9.930816543E9</v>
      </c>
      <c r="H1061" s="6">
        <v>4.0148714E7</v>
      </c>
      <c r="I1061" s="6" t="s">
        <v>183</v>
      </c>
      <c r="J1061" s="6" t="s">
        <v>21</v>
      </c>
      <c r="K1061" s="6" t="s">
        <v>22</v>
      </c>
      <c r="L1061" s="6">
        <v>148.0</v>
      </c>
      <c r="M1061" s="5">
        <v>46013.0</v>
      </c>
      <c r="N1061" s="6" t="s">
        <v>23</v>
      </c>
      <c r="O1061" s="6" t="str">
        <f>SUMIFS([1]order_sku_sales_bb2_report!P:P,[1]order_sku_sales_bb2_report!H:H,C28868,[1]order_sku_sales_bb2_report!J:J,H28868)</f>
        <v>#ERROR!</v>
      </c>
      <c r="P1061" s="6" t="str">
        <f>SUMIFS([1]order_sku_sales_bb2_report!O:O,[1]order_sku_sales_bb2_report!H:H,C28868,[1]order_sku_sales_bb2_report!J:J,H28868)</f>
        <v>#ERROR!</v>
      </c>
      <c r="Q1061" s="6" t="str">
        <f t="shared" si="1"/>
        <v>22-12-2025</v>
      </c>
      <c r="R1061" s="6" t="str">
        <f>IFERROR( VLOOKUP(C28868,[1]expressOrderReport!$S:$AZ,34,0),0)</f>
        <v>#ERROR!</v>
      </c>
      <c r="S1061" s="6" t="str">
        <f>ARRAY_CONSTRAIN(ARRAYFORMULA(_xludf.XLOOKUP(D28868,[1]order_Report_SA_ID_BB2.0!V:V,[1]order_Report_SA_ID_BB2.0!AM:AM,"")), 1, 1)</f>
        <v>#ERROR!</v>
      </c>
      <c r="T1061" s="6" t="str">
        <f t="shared" si="2"/>
        <v>Dec'25</v>
      </c>
    </row>
    <row r="1062" ht="15.75" customHeight="1">
      <c r="A1062" s="5">
        <v>46013.0</v>
      </c>
      <c r="B1062" s="6">
        <v>6874.0</v>
      </c>
      <c r="C1062" s="6">
        <v>1.859165043E9</v>
      </c>
      <c r="D1062" s="6">
        <v>290567.0</v>
      </c>
      <c r="E1062" s="6" t="s">
        <v>1674</v>
      </c>
      <c r="F1062" s="6" t="s">
        <v>1675</v>
      </c>
      <c r="G1062" s="6">
        <v>9.916964606E9</v>
      </c>
      <c r="H1062" s="6">
        <v>4.0149834E7</v>
      </c>
      <c r="I1062" s="6" t="s">
        <v>40</v>
      </c>
      <c r="J1062" s="6" t="s">
        <v>21</v>
      </c>
      <c r="K1062" s="6" t="s">
        <v>22</v>
      </c>
      <c r="L1062" s="6">
        <v>268.4</v>
      </c>
      <c r="M1062" s="5">
        <v>46013.0</v>
      </c>
      <c r="N1062" s="6" t="s">
        <v>23</v>
      </c>
      <c r="O1062" s="6" t="str">
        <f>SUMIFS([1]order_sku_sales_bb2_report!P:P,[1]order_sku_sales_bb2_report!H:H,C28869,[1]order_sku_sales_bb2_report!J:J,H28869)</f>
        <v>#ERROR!</v>
      </c>
      <c r="P1062" s="6" t="str">
        <f>SUMIFS([1]order_sku_sales_bb2_report!O:O,[1]order_sku_sales_bb2_report!H:H,C28869,[1]order_sku_sales_bb2_report!J:J,H28869)</f>
        <v>#ERROR!</v>
      </c>
      <c r="Q1062" s="6" t="str">
        <f t="shared" si="1"/>
        <v>22-12-2025</v>
      </c>
      <c r="R1062" s="6" t="str">
        <f>IFERROR( VLOOKUP(C28869,[1]expressOrderReport!$S:$AZ,34,0),0)</f>
        <v>#ERROR!</v>
      </c>
      <c r="S1062" s="6" t="str">
        <f>ARRAY_CONSTRAIN(ARRAYFORMULA(_xludf.XLOOKUP(D28869,[1]order_Report_SA_ID_BB2.0!V:V,[1]order_Report_SA_ID_BB2.0!AM:AM,"")), 1, 1)</f>
        <v>#ERROR!</v>
      </c>
      <c r="T1062" s="6" t="str">
        <f t="shared" si="2"/>
        <v>Dec'25</v>
      </c>
    </row>
    <row r="1063" ht="15.75" customHeight="1">
      <c r="A1063" s="5">
        <v>46013.0</v>
      </c>
      <c r="B1063" s="6">
        <v>12070.0</v>
      </c>
      <c r="C1063" s="6">
        <v>1.859165043E9</v>
      </c>
      <c r="D1063" s="6">
        <v>290567.0</v>
      </c>
      <c r="E1063" s="6" t="s">
        <v>1674</v>
      </c>
      <c r="F1063" s="6" t="s">
        <v>1675</v>
      </c>
      <c r="G1063" s="6">
        <v>9.916964606E9</v>
      </c>
      <c r="H1063" s="6">
        <v>4.0222034E7</v>
      </c>
      <c r="I1063" s="6" t="s">
        <v>1676</v>
      </c>
      <c r="J1063" s="6" t="s">
        <v>21</v>
      </c>
      <c r="K1063" s="6" t="s">
        <v>22</v>
      </c>
      <c r="L1063" s="6">
        <v>268.4</v>
      </c>
      <c r="M1063" s="5">
        <v>46013.0</v>
      </c>
      <c r="N1063" s="6" t="s">
        <v>23</v>
      </c>
      <c r="O1063" s="6" t="str">
        <f>SUMIFS([1]order_sku_sales_bb2_report!P:P,[1]order_sku_sales_bb2_report!H:H,C28870,[1]order_sku_sales_bb2_report!J:J,H28870)</f>
        <v>#ERROR!</v>
      </c>
      <c r="P1063" s="6" t="str">
        <f>SUMIFS([1]order_sku_sales_bb2_report!O:O,[1]order_sku_sales_bb2_report!H:H,C28870,[1]order_sku_sales_bb2_report!J:J,H28870)</f>
        <v>#ERROR!</v>
      </c>
      <c r="Q1063" s="6" t="str">
        <f t="shared" si="1"/>
        <v>22-12-2025</v>
      </c>
      <c r="R1063" s="6" t="str">
        <f>IFERROR( VLOOKUP(C28870,[1]expressOrderReport!$S:$AZ,34,0),0)</f>
        <v>#ERROR!</v>
      </c>
      <c r="S1063" s="6" t="str">
        <f>ARRAY_CONSTRAIN(ARRAYFORMULA(_xludf.XLOOKUP(D28870,[1]order_Report_SA_ID_BB2.0!V:V,[1]order_Report_SA_ID_BB2.0!AM:AM,"")), 1, 1)</f>
        <v>#ERROR!</v>
      </c>
      <c r="T1063" s="6" t="str">
        <f t="shared" si="2"/>
        <v>Dec'25</v>
      </c>
    </row>
    <row r="1064" ht="15.75" customHeight="1">
      <c r="A1064" s="5">
        <v>46013.0</v>
      </c>
      <c r="B1064" s="6">
        <v>12071.0</v>
      </c>
      <c r="C1064" s="6">
        <v>1.859165043E9</v>
      </c>
      <c r="D1064" s="6">
        <v>290567.0</v>
      </c>
      <c r="E1064" s="6" t="s">
        <v>1674</v>
      </c>
      <c r="F1064" s="6" t="s">
        <v>1675</v>
      </c>
      <c r="G1064" s="6">
        <v>9.916964606E9</v>
      </c>
      <c r="H1064" s="6">
        <v>4.0085596E7</v>
      </c>
      <c r="I1064" s="6" t="s">
        <v>1677</v>
      </c>
      <c r="J1064" s="6" t="s">
        <v>21</v>
      </c>
      <c r="K1064" s="6" t="s">
        <v>22</v>
      </c>
      <c r="L1064" s="6">
        <v>268.4</v>
      </c>
      <c r="M1064" s="5">
        <v>46013.0</v>
      </c>
      <c r="N1064" s="6" t="s">
        <v>23</v>
      </c>
      <c r="O1064" s="6" t="str">
        <f>SUMIFS([1]order_sku_sales_bb2_report!P:P,[1]order_sku_sales_bb2_report!H:H,C28871,[1]order_sku_sales_bb2_report!J:J,H28871)</f>
        <v>#ERROR!</v>
      </c>
      <c r="P1064" s="6" t="str">
        <f>SUMIFS([1]order_sku_sales_bb2_report!O:O,[1]order_sku_sales_bb2_report!H:H,C28871,[1]order_sku_sales_bb2_report!J:J,H28871)</f>
        <v>#ERROR!</v>
      </c>
      <c r="Q1064" s="6" t="str">
        <f t="shared" si="1"/>
        <v>22-12-2025</v>
      </c>
      <c r="R1064" s="6" t="str">
        <f>IFERROR( VLOOKUP(C28871,[1]expressOrderReport!$S:$AZ,34,0),0)</f>
        <v>#ERROR!</v>
      </c>
      <c r="S1064" s="6" t="str">
        <f>ARRAY_CONSTRAIN(ARRAYFORMULA(_xludf.XLOOKUP(D28871,[1]order_Report_SA_ID_BB2.0!V:V,[1]order_Report_SA_ID_BB2.0!AM:AM,"")), 1, 1)</f>
        <v>#ERROR!</v>
      </c>
      <c r="T1064" s="6" t="str">
        <f t="shared" si="2"/>
        <v>Dec'25</v>
      </c>
    </row>
    <row r="1065" ht="15.75" customHeight="1">
      <c r="A1065" s="5">
        <v>46013.0</v>
      </c>
      <c r="B1065" s="6">
        <v>1801.0</v>
      </c>
      <c r="C1065" s="6">
        <v>1.859165061E9</v>
      </c>
      <c r="D1065" s="6">
        <v>1.2776655E7</v>
      </c>
      <c r="E1065" s="6" t="s">
        <v>1678</v>
      </c>
      <c r="F1065" s="6" t="s">
        <v>1679</v>
      </c>
      <c r="G1065" s="6">
        <v>9.916669113E9</v>
      </c>
      <c r="H1065" s="6">
        <v>4.0149832E7</v>
      </c>
      <c r="I1065" s="6" t="s">
        <v>26</v>
      </c>
      <c r="J1065" s="6" t="s">
        <v>21</v>
      </c>
      <c r="K1065" s="6" t="s">
        <v>22</v>
      </c>
      <c r="L1065" s="6">
        <v>48.0</v>
      </c>
      <c r="M1065" s="5">
        <v>46013.0</v>
      </c>
      <c r="N1065" s="6" t="s">
        <v>23</v>
      </c>
      <c r="O1065" s="6" t="str">
        <f>SUMIFS([1]order_sku_sales_bb2_report!P:P,[1]order_sku_sales_bb2_report!H:H,C28872,[1]order_sku_sales_bb2_report!J:J,H28872)</f>
        <v>#ERROR!</v>
      </c>
      <c r="P1065" s="6" t="str">
        <f>SUMIFS([1]order_sku_sales_bb2_report!O:O,[1]order_sku_sales_bb2_report!H:H,C28872,[1]order_sku_sales_bb2_report!J:J,H28872)</f>
        <v>#ERROR!</v>
      </c>
      <c r="Q1065" s="6" t="str">
        <f t="shared" si="1"/>
        <v>22-12-2025</v>
      </c>
      <c r="R1065" s="6" t="str">
        <f>IFERROR( VLOOKUP(C28872,[1]expressOrderReport!$S:$AZ,34,0),0)</f>
        <v>#ERROR!</v>
      </c>
      <c r="S1065" s="6" t="str">
        <f>ARRAY_CONSTRAIN(ARRAYFORMULA(_xludf.XLOOKUP(D28872,[1]order_Report_SA_ID_BB2.0!V:V,[1]order_Report_SA_ID_BB2.0!AM:AM,"")), 1, 1)</f>
        <v>#ERROR!</v>
      </c>
      <c r="T1065" s="6" t="str">
        <f t="shared" si="2"/>
        <v>Dec'25</v>
      </c>
    </row>
    <row r="1066" ht="15.75" customHeight="1">
      <c r="A1066" s="5">
        <v>46013.0</v>
      </c>
      <c r="B1066" s="6">
        <v>3659.0</v>
      </c>
      <c r="C1066" s="6">
        <v>1.859165071E9</v>
      </c>
      <c r="D1066" s="6">
        <v>61295.0</v>
      </c>
      <c r="E1066" s="6" t="s">
        <v>1680</v>
      </c>
      <c r="F1066" s="6" t="s">
        <v>1681</v>
      </c>
      <c r="G1066" s="6">
        <v>9.900997486E9</v>
      </c>
      <c r="H1066" s="6">
        <v>4.0148714E7</v>
      </c>
      <c r="I1066" s="6" t="s">
        <v>183</v>
      </c>
      <c r="J1066" s="6" t="s">
        <v>21</v>
      </c>
      <c r="K1066" s="6" t="s">
        <v>22</v>
      </c>
      <c r="L1066" s="6">
        <v>198.0</v>
      </c>
      <c r="M1066" s="5">
        <v>46013.0</v>
      </c>
      <c r="N1066" s="6" t="s">
        <v>23</v>
      </c>
      <c r="O1066" s="6" t="str">
        <f>SUMIFS([1]order_sku_sales_bb2_report!P:P,[1]order_sku_sales_bb2_report!H:H,C28873,[1]order_sku_sales_bb2_report!J:J,H28873)</f>
        <v>#ERROR!</v>
      </c>
      <c r="P1066" s="6" t="str">
        <f>SUMIFS([1]order_sku_sales_bb2_report!O:O,[1]order_sku_sales_bb2_report!H:H,C28873,[1]order_sku_sales_bb2_report!J:J,H28873)</f>
        <v>#ERROR!</v>
      </c>
      <c r="Q1066" s="6" t="str">
        <f t="shared" si="1"/>
        <v>22-12-2025</v>
      </c>
      <c r="R1066" s="6" t="str">
        <f>IFERROR( VLOOKUP(C28873,[1]expressOrderReport!$S:$AZ,34,0),0)</f>
        <v>#ERROR!</v>
      </c>
      <c r="S1066" s="6" t="str">
        <f>ARRAY_CONSTRAIN(ARRAYFORMULA(_xludf.XLOOKUP(D28873,[1]order_Report_SA_ID_BB2.0!V:V,[1]order_Report_SA_ID_BB2.0!AM:AM,"")), 1, 1)</f>
        <v>#ERROR!</v>
      </c>
      <c r="T1066" s="6" t="str">
        <f t="shared" si="2"/>
        <v>Dec'25</v>
      </c>
    </row>
    <row r="1067" ht="15.75" customHeight="1">
      <c r="A1067" s="5">
        <v>46013.0</v>
      </c>
      <c r="B1067" s="6">
        <v>3662.0</v>
      </c>
      <c r="C1067" s="6">
        <v>1.859165071E9</v>
      </c>
      <c r="D1067" s="6">
        <v>61295.0</v>
      </c>
      <c r="E1067" s="6" t="s">
        <v>1680</v>
      </c>
      <c r="F1067" s="6" t="s">
        <v>1681</v>
      </c>
      <c r="G1067" s="6">
        <v>9.900997486E9</v>
      </c>
      <c r="H1067" s="6">
        <v>4.0163721E7</v>
      </c>
      <c r="I1067" s="6" t="s">
        <v>445</v>
      </c>
      <c r="J1067" s="6" t="s">
        <v>21</v>
      </c>
      <c r="K1067" s="6" t="s">
        <v>22</v>
      </c>
      <c r="L1067" s="6">
        <v>198.0</v>
      </c>
      <c r="M1067" s="5">
        <v>46013.0</v>
      </c>
      <c r="N1067" s="6" t="s">
        <v>23</v>
      </c>
      <c r="O1067" s="6" t="str">
        <f>SUMIFS([1]order_sku_sales_bb2_report!P:P,[1]order_sku_sales_bb2_report!H:H,C28874,[1]order_sku_sales_bb2_report!J:J,H28874)</f>
        <v>#ERROR!</v>
      </c>
      <c r="P1067" s="6" t="str">
        <f>SUMIFS([1]order_sku_sales_bb2_report!O:O,[1]order_sku_sales_bb2_report!H:H,C28874,[1]order_sku_sales_bb2_report!J:J,H28874)</f>
        <v>#ERROR!</v>
      </c>
      <c r="Q1067" s="6" t="str">
        <f t="shared" si="1"/>
        <v>22-12-2025</v>
      </c>
      <c r="R1067" s="6" t="str">
        <f>IFERROR( VLOOKUP(C28874,[1]expressOrderReport!$S:$AZ,34,0),0)</f>
        <v>#ERROR!</v>
      </c>
      <c r="S1067" s="6" t="str">
        <f>ARRAY_CONSTRAIN(ARRAYFORMULA(_xludf.XLOOKUP(D28874,[1]order_Report_SA_ID_BB2.0!V:V,[1]order_Report_SA_ID_BB2.0!AM:AM,"")), 1, 1)</f>
        <v>#ERROR!</v>
      </c>
      <c r="T1067" s="6" t="str">
        <f t="shared" si="2"/>
        <v>Dec'25</v>
      </c>
    </row>
    <row r="1068" ht="15.75" customHeight="1">
      <c r="A1068" s="5">
        <v>46013.0</v>
      </c>
      <c r="B1068" s="6">
        <v>4738.0</v>
      </c>
      <c r="C1068" s="6">
        <v>1.859165085E9</v>
      </c>
      <c r="D1068" s="6">
        <v>3653458.0</v>
      </c>
      <c r="E1068" s="6" t="s">
        <v>1682</v>
      </c>
      <c r="F1068" s="6" t="s">
        <v>1683</v>
      </c>
      <c r="G1068" s="6">
        <v>9.945077478E9</v>
      </c>
      <c r="H1068" s="6">
        <v>4.0158264E7</v>
      </c>
      <c r="I1068" s="6" t="s">
        <v>26</v>
      </c>
      <c r="J1068" s="6" t="s">
        <v>21</v>
      </c>
      <c r="K1068" s="6" t="s">
        <v>22</v>
      </c>
      <c r="L1068" s="6">
        <v>46.0</v>
      </c>
      <c r="M1068" s="5">
        <v>46013.0</v>
      </c>
      <c r="N1068" s="6" t="s">
        <v>23</v>
      </c>
      <c r="O1068" s="6" t="str">
        <f>SUMIFS([1]order_sku_sales_bb2_report!P:P,[1]order_sku_sales_bb2_report!H:H,C28875,[1]order_sku_sales_bb2_report!J:J,H28875)</f>
        <v>#ERROR!</v>
      </c>
      <c r="P1068" s="6" t="str">
        <f>SUMIFS([1]order_sku_sales_bb2_report!O:O,[1]order_sku_sales_bb2_report!H:H,C28875,[1]order_sku_sales_bb2_report!J:J,H28875)</f>
        <v>#ERROR!</v>
      </c>
      <c r="Q1068" s="6" t="str">
        <f t="shared" si="1"/>
        <v>22-12-2025</v>
      </c>
      <c r="R1068" s="6" t="str">
        <f>IFERROR( VLOOKUP(C28875,[1]expressOrderReport!$S:$AZ,34,0),0)</f>
        <v>#ERROR!</v>
      </c>
      <c r="S1068" s="6" t="str">
        <f>ARRAY_CONSTRAIN(ARRAYFORMULA(_xludf.XLOOKUP(D28875,[1]order_Report_SA_ID_BB2.0!V:V,[1]order_Report_SA_ID_BB2.0!AM:AM,"")), 1, 1)</f>
        <v>#ERROR!</v>
      </c>
      <c r="T1068" s="6" t="str">
        <f t="shared" si="2"/>
        <v>Dec'25</v>
      </c>
    </row>
    <row r="1069" ht="15.75" customHeight="1">
      <c r="A1069" s="5">
        <v>46013.0</v>
      </c>
      <c r="B1069" s="6">
        <v>5366.0</v>
      </c>
      <c r="C1069" s="6">
        <v>1.859165094E9</v>
      </c>
      <c r="D1069" s="6">
        <v>1.3068214E7</v>
      </c>
      <c r="E1069" s="6" t="s">
        <v>1684</v>
      </c>
      <c r="F1069" s="6" t="s">
        <v>1685</v>
      </c>
      <c r="G1069" s="6">
        <v>8.904764426E9</v>
      </c>
      <c r="H1069" s="6">
        <v>4.0149833E7</v>
      </c>
      <c r="I1069" s="6" t="s">
        <v>40</v>
      </c>
      <c r="J1069" s="6" t="s">
        <v>21</v>
      </c>
      <c r="K1069" s="6" t="s">
        <v>22</v>
      </c>
      <c r="L1069" s="6">
        <v>73.0</v>
      </c>
      <c r="M1069" s="5">
        <v>46013.0</v>
      </c>
      <c r="N1069" s="6" t="s">
        <v>23</v>
      </c>
      <c r="O1069" s="6" t="str">
        <f>SUMIFS([1]order_sku_sales_bb2_report!P:P,[1]order_sku_sales_bb2_report!H:H,C28876,[1]order_sku_sales_bb2_report!J:J,H28876)</f>
        <v>#ERROR!</v>
      </c>
      <c r="P1069" s="6" t="str">
        <f>SUMIFS([1]order_sku_sales_bb2_report!O:O,[1]order_sku_sales_bb2_report!H:H,C28876,[1]order_sku_sales_bb2_report!J:J,H28876)</f>
        <v>#ERROR!</v>
      </c>
      <c r="Q1069" s="6" t="str">
        <f t="shared" si="1"/>
        <v>22-12-2025</v>
      </c>
      <c r="R1069" s="6" t="str">
        <f>IFERROR( VLOOKUP(C28876,[1]expressOrderReport!$S:$AZ,34,0),0)</f>
        <v>#ERROR!</v>
      </c>
      <c r="S1069" s="6" t="str">
        <f>ARRAY_CONSTRAIN(ARRAYFORMULA(_xludf.XLOOKUP(D28876,[1]order_Report_SA_ID_BB2.0!V:V,[1]order_Report_SA_ID_BB2.0!AM:AM,"")), 1, 1)</f>
        <v>#ERROR!</v>
      </c>
      <c r="T1069" s="6" t="str">
        <f t="shared" si="2"/>
        <v>Dec'25</v>
      </c>
    </row>
    <row r="1070" ht="15.75" customHeight="1">
      <c r="A1070" s="5">
        <v>46013.0</v>
      </c>
      <c r="B1070" s="6">
        <v>6005.0</v>
      </c>
      <c r="C1070" s="6">
        <v>1.859165094E9</v>
      </c>
      <c r="D1070" s="6">
        <v>1.3068214E7</v>
      </c>
      <c r="E1070" s="6" t="s">
        <v>1684</v>
      </c>
      <c r="F1070" s="6" t="s">
        <v>1685</v>
      </c>
      <c r="G1070" s="6">
        <v>8.904764426E9</v>
      </c>
      <c r="H1070" s="6">
        <v>4.0158264E7</v>
      </c>
      <c r="I1070" s="6" t="s">
        <v>26</v>
      </c>
      <c r="J1070" s="6" t="s">
        <v>21</v>
      </c>
      <c r="K1070" s="6" t="s">
        <v>22</v>
      </c>
      <c r="L1070" s="6">
        <v>73.0</v>
      </c>
      <c r="M1070" s="5">
        <v>46013.0</v>
      </c>
      <c r="N1070" s="6" t="s">
        <v>23</v>
      </c>
      <c r="O1070" s="6" t="str">
        <f>SUMIFS([1]order_sku_sales_bb2_report!P:P,[1]order_sku_sales_bb2_report!H:H,C28877,[1]order_sku_sales_bb2_report!J:J,H28877)</f>
        <v>#ERROR!</v>
      </c>
      <c r="P1070" s="6" t="str">
        <f>SUMIFS([1]order_sku_sales_bb2_report!O:O,[1]order_sku_sales_bb2_report!H:H,C28877,[1]order_sku_sales_bb2_report!J:J,H28877)</f>
        <v>#ERROR!</v>
      </c>
      <c r="Q1070" s="6" t="str">
        <f t="shared" si="1"/>
        <v>22-12-2025</v>
      </c>
      <c r="R1070" s="6" t="str">
        <f>IFERROR( VLOOKUP(C28877,[1]expressOrderReport!$S:$AZ,34,0),0)</f>
        <v>#ERROR!</v>
      </c>
      <c r="S1070" s="6" t="str">
        <f>ARRAY_CONSTRAIN(ARRAYFORMULA(_xludf.XLOOKUP(D28877,[1]order_Report_SA_ID_BB2.0!V:V,[1]order_Report_SA_ID_BB2.0!AM:AM,"")), 1, 1)</f>
        <v>#ERROR!</v>
      </c>
      <c r="T1070" s="6" t="str">
        <f t="shared" si="2"/>
        <v>Dec'25</v>
      </c>
    </row>
    <row r="1071" ht="15.75" customHeight="1">
      <c r="A1071" s="5">
        <v>46013.0</v>
      </c>
      <c r="B1071" s="6">
        <v>2583.0</v>
      </c>
      <c r="C1071" s="6">
        <v>1.859165106E9</v>
      </c>
      <c r="D1071" s="6">
        <v>199649.0</v>
      </c>
      <c r="E1071" s="6" t="s">
        <v>1686</v>
      </c>
      <c r="F1071" s="6" t="s">
        <v>1687</v>
      </c>
      <c r="G1071" s="6">
        <v>9.731118872E9</v>
      </c>
      <c r="H1071" s="6">
        <v>281204.0</v>
      </c>
      <c r="I1071" s="6" t="s">
        <v>1469</v>
      </c>
      <c r="J1071" s="6" t="s">
        <v>21</v>
      </c>
      <c r="K1071" s="6" t="s">
        <v>22</v>
      </c>
      <c r="L1071" s="6">
        <v>136.0</v>
      </c>
      <c r="M1071" s="5">
        <v>46013.0</v>
      </c>
      <c r="N1071" s="6" t="s">
        <v>23</v>
      </c>
      <c r="O1071" s="6" t="str">
        <f>SUMIFS([1]order_sku_sales_bb2_report!P:P,[1]order_sku_sales_bb2_report!H:H,C28878,[1]order_sku_sales_bb2_report!J:J,H28878)</f>
        <v>#ERROR!</v>
      </c>
      <c r="P1071" s="6" t="str">
        <f>SUMIFS([1]order_sku_sales_bb2_report!O:O,[1]order_sku_sales_bb2_report!H:H,C28878,[1]order_sku_sales_bb2_report!J:J,H28878)</f>
        <v>#ERROR!</v>
      </c>
      <c r="Q1071" s="6" t="str">
        <f t="shared" si="1"/>
        <v>22-12-2025</v>
      </c>
      <c r="R1071" s="6" t="str">
        <f>IFERROR( VLOOKUP(C28878,[1]expressOrderReport!$S:$AZ,34,0),0)</f>
        <v>#ERROR!</v>
      </c>
      <c r="S1071" s="6" t="str">
        <f>ARRAY_CONSTRAIN(ARRAYFORMULA(_xludf.XLOOKUP(D28878,[1]order_Report_SA_ID_BB2.0!V:V,[1]order_Report_SA_ID_BB2.0!AM:AM,"")), 1, 1)</f>
        <v>#ERROR!</v>
      </c>
      <c r="T1071" s="6" t="str">
        <f t="shared" si="2"/>
        <v>Dec'25</v>
      </c>
    </row>
    <row r="1072" ht="15.75" customHeight="1">
      <c r="A1072" s="5">
        <v>46013.0</v>
      </c>
      <c r="B1072" s="6">
        <v>2584.0</v>
      </c>
      <c r="C1072" s="6">
        <v>1.859165106E9</v>
      </c>
      <c r="D1072" s="6">
        <v>199649.0</v>
      </c>
      <c r="E1072" s="6" t="s">
        <v>1686</v>
      </c>
      <c r="F1072" s="6" t="s">
        <v>1687</v>
      </c>
      <c r="G1072" s="6">
        <v>9.731118872E9</v>
      </c>
      <c r="H1072" s="6">
        <v>4.0149833E7</v>
      </c>
      <c r="I1072" s="6" t="s">
        <v>40</v>
      </c>
      <c r="J1072" s="6" t="s">
        <v>21</v>
      </c>
      <c r="K1072" s="6" t="s">
        <v>22</v>
      </c>
      <c r="L1072" s="6">
        <v>136.0</v>
      </c>
      <c r="M1072" s="5">
        <v>46013.0</v>
      </c>
      <c r="N1072" s="6" t="s">
        <v>23</v>
      </c>
      <c r="O1072" s="6" t="str">
        <f>SUMIFS([1]order_sku_sales_bb2_report!P:P,[1]order_sku_sales_bb2_report!H:H,C28879,[1]order_sku_sales_bb2_report!J:J,H28879)</f>
        <v>#ERROR!</v>
      </c>
      <c r="P1072" s="6" t="str">
        <f>SUMIFS([1]order_sku_sales_bb2_report!O:O,[1]order_sku_sales_bb2_report!H:H,C28879,[1]order_sku_sales_bb2_report!J:J,H28879)</f>
        <v>#ERROR!</v>
      </c>
      <c r="Q1072" s="6" t="str">
        <f t="shared" si="1"/>
        <v>22-12-2025</v>
      </c>
      <c r="R1072" s="6" t="str">
        <f>IFERROR( VLOOKUP(C28879,[1]expressOrderReport!$S:$AZ,34,0),0)</f>
        <v>#ERROR!</v>
      </c>
      <c r="S1072" s="6" t="str">
        <f>ARRAY_CONSTRAIN(ARRAYFORMULA(_xludf.XLOOKUP(D28879,[1]order_Report_SA_ID_BB2.0!V:V,[1]order_Report_SA_ID_BB2.0!AM:AM,"")), 1, 1)</f>
        <v>#ERROR!</v>
      </c>
      <c r="T1072" s="6" t="str">
        <f t="shared" si="2"/>
        <v>Dec'25</v>
      </c>
    </row>
    <row r="1073" ht="15.75" customHeight="1">
      <c r="A1073" s="5">
        <v>46013.0</v>
      </c>
      <c r="B1073" s="6">
        <v>11031.0</v>
      </c>
      <c r="C1073" s="6">
        <v>1.859165119E9</v>
      </c>
      <c r="D1073" s="6">
        <v>9476065.0</v>
      </c>
      <c r="E1073" s="6" t="s">
        <v>1688</v>
      </c>
      <c r="F1073" s="6" t="s">
        <v>1689</v>
      </c>
      <c r="G1073" s="6">
        <v>9.98014263E9</v>
      </c>
      <c r="H1073" s="6">
        <v>4.0158264E7</v>
      </c>
      <c r="I1073" s="6" t="s">
        <v>26</v>
      </c>
      <c r="J1073" s="6" t="s">
        <v>21</v>
      </c>
      <c r="K1073" s="6" t="s">
        <v>22</v>
      </c>
      <c r="L1073" s="6">
        <v>46.0</v>
      </c>
      <c r="M1073" s="5">
        <v>46013.0</v>
      </c>
      <c r="N1073" s="6" t="s">
        <v>23</v>
      </c>
      <c r="O1073" s="6" t="str">
        <f>SUMIFS([1]order_sku_sales_bb2_report!P:P,[1]order_sku_sales_bb2_report!H:H,C28880,[1]order_sku_sales_bb2_report!J:J,H28880)</f>
        <v>#ERROR!</v>
      </c>
      <c r="P1073" s="6" t="str">
        <f>SUMIFS([1]order_sku_sales_bb2_report!O:O,[1]order_sku_sales_bb2_report!H:H,C28880,[1]order_sku_sales_bb2_report!J:J,H28880)</f>
        <v>#ERROR!</v>
      </c>
      <c r="Q1073" s="6" t="str">
        <f t="shared" si="1"/>
        <v>22-12-2025</v>
      </c>
      <c r="R1073" s="6" t="str">
        <f>IFERROR( VLOOKUP(C28880,[1]expressOrderReport!$S:$AZ,34,0),0)</f>
        <v>#ERROR!</v>
      </c>
      <c r="S1073" s="6" t="str">
        <f>ARRAY_CONSTRAIN(ARRAYFORMULA(_xludf.XLOOKUP(D28880,[1]order_Report_SA_ID_BB2.0!V:V,[1]order_Report_SA_ID_BB2.0!AM:AM,"")), 1, 1)</f>
        <v>#ERROR!</v>
      </c>
      <c r="T1073" s="6" t="str">
        <f t="shared" si="2"/>
        <v>Dec'25</v>
      </c>
    </row>
    <row r="1074" ht="15.75" customHeight="1">
      <c r="A1074" s="5">
        <v>46013.0</v>
      </c>
      <c r="B1074" s="6">
        <v>1217.0</v>
      </c>
      <c r="C1074" s="6">
        <v>1.859165129E9</v>
      </c>
      <c r="D1074" s="6">
        <v>1.3234087E7</v>
      </c>
      <c r="E1074" s="6" t="s">
        <v>1690</v>
      </c>
      <c r="F1074" s="6" t="s">
        <v>1691</v>
      </c>
      <c r="G1074" s="6">
        <v>9.884959944E9</v>
      </c>
      <c r="H1074" s="6">
        <v>4.0149833E7</v>
      </c>
      <c r="I1074" s="6" t="s">
        <v>40</v>
      </c>
      <c r="J1074" s="6" t="s">
        <v>21</v>
      </c>
      <c r="K1074" s="6" t="s">
        <v>22</v>
      </c>
      <c r="L1074" s="6">
        <v>27.0</v>
      </c>
      <c r="M1074" s="5">
        <v>46013.0</v>
      </c>
      <c r="N1074" s="6" t="s">
        <v>23</v>
      </c>
      <c r="O1074" s="6" t="str">
        <f>SUMIFS([1]order_sku_sales_bb2_report!P:P,[1]order_sku_sales_bb2_report!H:H,C28881,[1]order_sku_sales_bb2_report!J:J,H28881)</f>
        <v>#ERROR!</v>
      </c>
      <c r="P1074" s="6" t="str">
        <f>SUMIFS([1]order_sku_sales_bb2_report!O:O,[1]order_sku_sales_bb2_report!H:H,C28881,[1]order_sku_sales_bb2_report!J:J,H28881)</f>
        <v>#ERROR!</v>
      </c>
      <c r="Q1074" s="6" t="str">
        <f t="shared" si="1"/>
        <v>22-12-2025</v>
      </c>
      <c r="R1074" s="6" t="str">
        <f>IFERROR( VLOOKUP(C28881,[1]expressOrderReport!$S:$AZ,34,0),0)</f>
        <v>#ERROR!</v>
      </c>
      <c r="S1074" s="6" t="str">
        <f>ARRAY_CONSTRAIN(ARRAYFORMULA(_xludf.XLOOKUP(D28881,[1]order_Report_SA_ID_BB2.0!V:V,[1]order_Report_SA_ID_BB2.0!AM:AM,"")), 1, 1)</f>
        <v>#ERROR!</v>
      </c>
      <c r="T1074" s="6" t="str">
        <f t="shared" si="2"/>
        <v>Dec'25</v>
      </c>
    </row>
    <row r="1075" ht="15.75" customHeight="1">
      <c r="A1075" s="5">
        <v>46013.0</v>
      </c>
      <c r="B1075" s="6">
        <v>9266.0</v>
      </c>
      <c r="C1075" s="6">
        <v>1.859165134E9</v>
      </c>
      <c r="D1075" s="6">
        <v>115832.0</v>
      </c>
      <c r="E1075" s="6" t="s">
        <v>1692</v>
      </c>
      <c r="F1075" s="6" t="s">
        <v>1693</v>
      </c>
      <c r="G1075" s="6">
        <v>7.829209371E9</v>
      </c>
      <c r="H1075" s="6">
        <v>4.0272798E7</v>
      </c>
      <c r="I1075" s="6" t="s">
        <v>113</v>
      </c>
      <c r="J1075" s="6" t="s">
        <v>21</v>
      </c>
      <c r="K1075" s="6" t="s">
        <v>22</v>
      </c>
      <c r="L1075" s="6">
        <v>58.4</v>
      </c>
      <c r="M1075" s="5">
        <v>46013.0</v>
      </c>
      <c r="N1075" s="6" t="s">
        <v>23</v>
      </c>
      <c r="O1075" s="6" t="str">
        <f>SUMIFS([1]order_sku_sales_bb2_report!P:P,[1]order_sku_sales_bb2_report!H:H,C28882,[1]order_sku_sales_bb2_report!J:J,H28882)</f>
        <v>#ERROR!</v>
      </c>
      <c r="P1075" s="6" t="str">
        <f>SUMIFS([1]order_sku_sales_bb2_report!O:O,[1]order_sku_sales_bb2_report!H:H,C28882,[1]order_sku_sales_bb2_report!J:J,H28882)</f>
        <v>#ERROR!</v>
      </c>
      <c r="Q1075" s="6" t="str">
        <f t="shared" si="1"/>
        <v>22-12-2025</v>
      </c>
      <c r="R1075" s="6" t="str">
        <f>IFERROR( VLOOKUP(C28882,[1]expressOrderReport!$S:$AZ,34,0),0)</f>
        <v>#ERROR!</v>
      </c>
      <c r="S1075" s="6" t="str">
        <f>ARRAY_CONSTRAIN(ARRAYFORMULA(_xludf.XLOOKUP(D28882,[1]order_Report_SA_ID_BB2.0!V:V,[1]order_Report_SA_ID_BB2.0!AM:AM,"")), 1, 1)</f>
        <v>#ERROR!</v>
      </c>
      <c r="T1075" s="6" t="str">
        <f t="shared" si="2"/>
        <v>Dec'25</v>
      </c>
    </row>
    <row r="1076" ht="15.75" customHeight="1">
      <c r="A1076" s="5">
        <v>46013.0</v>
      </c>
      <c r="B1076" s="6">
        <v>121.0</v>
      </c>
      <c r="C1076" s="6">
        <v>1.859165149E9</v>
      </c>
      <c r="D1076" s="6">
        <v>1.3365077E7</v>
      </c>
      <c r="E1076" s="6" t="s">
        <v>1694</v>
      </c>
      <c r="F1076" s="6" t="s">
        <v>1695</v>
      </c>
      <c r="G1076" s="6">
        <v>6.360473199E9</v>
      </c>
      <c r="H1076" s="6">
        <v>4.0149833E7</v>
      </c>
      <c r="I1076" s="6" t="s">
        <v>40</v>
      </c>
      <c r="J1076" s="6" t="s">
        <v>21</v>
      </c>
      <c r="K1076" s="6" t="s">
        <v>22</v>
      </c>
      <c r="L1076" s="6">
        <v>110.0</v>
      </c>
      <c r="M1076" s="5">
        <v>46013.0</v>
      </c>
      <c r="N1076" s="6" t="s">
        <v>23</v>
      </c>
      <c r="O1076" s="6" t="str">
        <f>SUMIFS([1]order_sku_sales_bb2_report!P:P,[1]order_sku_sales_bb2_report!H:H,C28883,[1]order_sku_sales_bb2_report!J:J,H28883)</f>
        <v>#ERROR!</v>
      </c>
      <c r="P1076" s="6" t="str">
        <f>SUMIFS([1]order_sku_sales_bb2_report!O:O,[1]order_sku_sales_bb2_report!H:H,C28883,[1]order_sku_sales_bb2_report!J:J,H28883)</f>
        <v>#ERROR!</v>
      </c>
      <c r="Q1076" s="6" t="str">
        <f t="shared" si="1"/>
        <v>22-12-2025</v>
      </c>
      <c r="R1076" s="6" t="str">
        <f>IFERROR( VLOOKUP(C28883,[1]expressOrderReport!$S:$AZ,34,0),0)</f>
        <v>#ERROR!</v>
      </c>
      <c r="S1076" s="6" t="str">
        <f>ARRAY_CONSTRAIN(ARRAYFORMULA(_xludf.XLOOKUP(D28883,[1]order_Report_SA_ID_BB2.0!V:V,[1]order_Report_SA_ID_BB2.0!AM:AM,"")), 1, 1)</f>
        <v>#ERROR!</v>
      </c>
      <c r="T1076" s="6" t="str">
        <f t="shared" si="2"/>
        <v>Dec'25</v>
      </c>
    </row>
    <row r="1077" ht="15.75" customHeight="1">
      <c r="A1077" s="5">
        <v>46013.0</v>
      </c>
      <c r="B1077" s="6">
        <v>224.0</v>
      </c>
      <c r="C1077" s="6">
        <v>1.859165149E9</v>
      </c>
      <c r="D1077" s="6">
        <v>1.3365077E7</v>
      </c>
      <c r="E1077" s="6" t="s">
        <v>1694</v>
      </c>
      <c r="F1077" s="6" t="s">
        <v>1695</v>
      </c>
      <c r="G1077" s="6">
        <v>6.360473199E9</v>
      </c>
      <c r="H1077" s="6">
        <v>4.014983E7</v>
      </c>
      <c r="I1077" s="6" t="s">
        <v>30</v>
      </c>
      <c r="J1077" s="6" t="s">
        <v>21</v>
      </c>
      <c r="K1077" s="6" t="s">
        <v>22</v>
      </c>
      <c r="L1077" s="6">
        <v>110.0</v>
      </c>
      <c r="M1077" s="5">
        <v>46013.0</v>
      </c>
      <c r="N1077" s="6" t="s">
        <v>23</v>
      </c>
      <c r="O1077" s="6" t="str">
        <f>SUMIFS([1]order_sku_sales_bb2_report!P:P,[1]order_sku_sales_bb2_report!H:H,C28884,[1]order_sku_sales_bb2_report!J:J,H28884)</f>
        <v>#ERROR!</v>
      </c>
      <c r="P1077" s="6" t="str">
        <f>SUMIFS([1]order_sku_sales_bb2_report!O:O,[1]order_sku_sales_bb2_report!H:H,C28884,[1]order_sku_sales_bb2_report!J:J,H28884)</f>
        <v>#ERROR!</v>
      </c>
      <c r="Q1077" s="6" t="str">
        <f t="shared" si="1"/>
        <v>22-12-2025</v>
      </c>
      <c r="R1077" s="6" t="str">
        <f>IFERROR( VLOOKUP(C28884,[1]expressOrderReport!$S:$AZ,34,0),0)</f>
        <v>#ERROR!</v>
      </c>
      <c r="S1077" s="6" t="str">
        <f>ARRAY_CONSTRAIN(ARRAYFORMULA(_xludf.XLOOKUP(D28884,[1]order_Report_SA_ID_BB2.0!V:V,[1]order_Report_SA_ID_BB2.0!AM:AM,"")), 1, 1)</f>
        <v>#ERROR!</v>
      </c>
      <c r="T1077" s="6" t="str">
        <f t="shared" si="2"/>
        <v>Dec'25</v>
      </c>
    </row>
    <row r="1078" ht="15.75" customHeight="1">
      <c r="A1078" s="5">
        <v>46013.0</v>
      </c>
      <c r="B1078" s="6">
        <v>1507.0</v>
      </c>
      <c r="C1078" s="6">
        <v>1.859165158E9</v>
      </c>
      <c r="D1078" s="6">
        <v>1.3390471E7</v>
      </c>
      <c r="E1078" s="6" t="s">
        <v>1696</v>
      </c>
      <c r="F1078" s="6" t="s">
        <v>1697</v>
      </c>
      <c r="G1078" s="6">
        <v>8.329885616E9</v>
      </c>
      <c r="H1078" s="6">
        <v>4.0148717E7</v>
      </c>
      <c r="I1078" s="6" t="s">
        <v>226</v>
      </c>
      <c r="J1078" s="6" t="s">
        <v>21</v>
      </c>
      <c r="K1078" s="6" t="s">
        <v>22</v>
      </c>
      <c r="L1078" s="6">
        <v>106.0</v>
      </c>
      <c r="M1078" s="5">
        <v>46013.0</v>
      </c>
      <c r="N1078" s="6" t="s">
        <v>23</v>
      </c>
      <c r="O1078" s="6" t="str">
        <f>SUMIFS([1]order_sku_sales_bb2_report!P:P,[1]order_sku_sales_bb2_report!H:H,C28885,[1]order_sku_sales_bb2_report!J:J,H28885)</f>
        <v>#ERROR!</v>
      </c>
      <c r="P1078" s="6" t="str">
        <f>SUMIFS([1]order_sku_sales_bb2_report!O:O,[1]order_sku_sales_bb2_report!H:H,C28885,[1]order_sku_sales_bb2_report!J:J,H28885)</f>
        <v>#ERROR!</v>
      </c>
      <c r="Q1078" s="6" t="str">
        <f t="shared" si="1"/>
        <v>22-12-2025</v>
      </c>
      <c r="R1078" s="6" t="str">
        <f>IFERROR( VLOOKUP(C28885,[1]expressOrderReport!$S:$AZ,34,0),0)</f>
        <v>#ERROR!</v>
      </c>
      <c r="S1078" s="6" t="str">
        <f>ARRAY_CONSTRAIN(ARRAYFORMULA(_xludf.XLOOKUP(D28885,[1]order_Report_SA_ID_BB2.0!V:V,[1]order_Report_SA_ID_BB2.0!AM:AM,"")), 1, 1)</f>
        <v>#ERROR!</v>
      </c>
      <c r="T1078" s="6" t="str">
        <f t="shared" si="2"/>
        <v>Dec'25</v>
      </c>
    </row>
    <row r="1079" ht="15.75" customHeight="1">
      <c r="A1079" s="5">
        <v>46013.0</v>
      </c>
      <c r="B1079" s="6">
        <v>3784.0</v>
      </c>
      <c r="C1079" s="6">
        <v>1.859165169E9</v>
      </c>
      <c r="D1079" s="6">
        <v>1727273.0</v>
      </c>
      <c r="E1079" s="6" t="s">
        <v>1698</v>
      </c>
      <c r="F1079" s="6" t="s">
        <v>1699</v>
      </c>
      <c r="G1079" s="6">
        <v>9.88660108E9</v>
      </c>
      <c r="H1079" s="6">
        <v>4.0148714E7</v>
      </c>
      <c r="I1079" s="6" t="s">
        <v>183</v>
      </c>
      <c r="J1079" s="6" t="s">
        <v>21</v>
      </c>
      <c r="K1079" s="6" t="s">
        <v>22</v>
      </c>
      <c r="L1079" s="6">
        <v>47.0</v>
      </c>
      <c r="M1079" s="5">
        <v>46013.0</v>
      </c>
      <c r="N1079" s="6" t="s">
        <v>23</v>
      </c>
      <c r="O1079" s="6" t="str">
        <f>SUMIFS([1]order_sku_sales_bb2_report!P:P,[1]order_sku_sales_bb2_report!H:H,C28886,[1]order_sku_sales_bb2_report!J:J,H28886)</f>
        <v>#ERROR!</v>
      </c>
      <c r="P1079" s="6" t="str">
        <f>SUMIFS([1]order_sku_sales_bb2_report!O:O,[1]order_sku_sales_bb2_report!H:H,C28886,[1]order_sku_sales_bb2_report!J:J,H28886)</f>
        <v>#ERROR!</v>
      </c>
      <c r="Q1079" s="6" t="str">
        <f t="shared" si="1"/>
        <v>22-12-2025</v>
      </c>
      <c r="R1079" s="6" t="str">
        <f>IFERROR( VLOOKUP(C28886,[1]expressOrderReport!$S:$AZ,34,0),0)</f>
        <v>#ERROR!</v>
      </c>
      <c r="S1079" s="6" t="str">
        <f>ARRAY_CONSTRAIN(ARRAYFORMULA(_xludf.XLOOKUP(D28886,[1]order_Report_SA_ID_BB2.0!V:V,[1]order_Report_SA_ID_BB2.0!AM:AM,"")), 1, 1)</f>
        <v>#ERROR!</v>
      </c>
      <c r="T1079" s="6" t="str">
        <f t="shared" si="2"/>
        <v>Dec'25</v>
      </c>
    </row>
    <row r="1080" ht="15.75" customHeight="1">
      <c r="A1080" s="5">
        <v>46013.0</v>
      </c>
      <c r="B1080" s="6">
        <v>4786.0</v>
      </c>
      <c r="C1080" s="6">
        <v>1.859165179E9</v>
      </c>
      <c r="D1080" s="6">
        <v>257425.0</v>
      </c>
      <c r="E1080" s="6" t="s">
        <v>1700</v>
      </c>
      <c r="F1080" s="6" t="s">
        <v>1701</v>
      </c>
      <c r="G1080" s="6">
        <v>8.197864864E9</v>
      </c>
      <c r="H1080" s="6">
        <v>4.0149832E7</v>
      </c>
      <c r="I1080" s="6" t="s">
        <v>26</v>
      </c>
      <c r="J1080" s="6" t="s">
        <v>21</v>
      </c>
      <c r="K1080" s="6" t="s">
        <v>22</v>
      </c>
      <c r="L1080" s="6">
        <v>48.0</v>
      </c>
      <c r="M1080" s="5">
        <v>46013.0</v>
      </c>
      <c r="N1080" s="6" t="s">
        <v>23</v>
      </c>
      <c r="O1080" s="6" t="str">
        <f>SUMIFS([1]order_sku_sales_bb2_report!P:P,[1]order_sku_sales_bb2_report!H:H,C28887,[1]order_sku_sales_bb2_report!J:J,H28887)</f>
        <v>#ERROR!</v>
      </c>
      <c r="P1080" s="6" t="str">
        <f>SUMIFS([1]order_sku_sales_bb2_report!O:O,[1]order_sku_sales_bb2_report!H:H,C28887,[1]order_sku_sales_bb2_report!J:J,H28887)</f>
        <v>#ERROR!</v>
      </c>
      <c r="Q1080" s="6" t="str">
        <f t="shared" si="1"/>
        <v>22-12-2025</v>
      </c>
      <c r="R1080" s="6" t="str">
        <f>IFERROR( VLOOKUP(C28887,[1]expressOrderReport!$S:$AZ,34,0),0)</f>
        <v>#ERROR!</v>
      </c>
      <c r="S1080" s="6" t="str">
        <f>ARRAY_CONSTRAIN(ARRAYFORMULA(_xludf.XLOOKUP(D28887,[1]order_Report_SA_ID_BB2.0!V:V,[1]order_Report_SA_ID_BB2.0!AM:AM,"")), 1, 1)</f>
        <v>#ERROR!</v>
      </c>
      <c r="T1080" s="6" t="str">
        <f t="shared" si="2"/>
        <v>Dec'25</v>
      </c>
    </row>
    <row r="1081" ht="15.75" customHeight="1">
      <c r="A1081" s="5">
        <v>46013.0</v>
      </c>
      <c r="B1081" s="6">
        <v>7508.0</v>
      </c>
      <c r="C1081" s="6">
        <v>1.859165189E9</v>
      </c>
      <c r="D1081" s="6">
        <v>1.3662057E7</v>
      </c>
      <c r="E1081" s="6" t="s">
        <v>1702</v>
      </c>
      <c r="F1081" s="6" t="s">
        <v>1703</v>
      </c>
      <c r="G1081" s="6">
        <v>8.618440572E9</v>
      </c>
      <c r="H1081" s="6">
        <v>4.0149833E7</v>
      </c>
      <c r="I1081" s="6" t="s">
        <v>40</v>
      </c>
      <c r="J1081" s="6" t="s">
        <v>21</v>
      </c>
      <c r="K1081" s="6" t="s">
        <v>22</v>
      </c>
      <c r="L1081" s="6">
        <v>27.0</v>
      </c>
      <c r="M1081" s="5">
        <v>46013.0</v>
      </c>
      <c r="N1081" s="6" t="s">
        <v>23</v>
      </c>
      <c r="O1081" s="6" t="str">
        <f>SUMIFS([1]order_sku_sales_bb2_report!P:P,[1]order_sku_sales_bb2_report!H:H,C28888,[1]order_sku_sales_bb2_report!J:J,H28888)</f>
        <v>#ERROR!</v>
      </c>
      <c r="P1081" s="6" t="str">
        <f>SUMIFS([1]order_sku_sales_bb2_report!O:O,[1]order_sku_sales_bb2_report!H:H,C28888,[1]order_sku_sales_bb2_report!J:J,H28888)</f>
        <v>#ERROR!</v>
      </c>
      <c r="Q1081" s="6" t="str">
        <f t="shared" si="1"/>
        <v>22-12-2025</v>
      </c>
      <c r="R1081" s="6" t="str">
        <f>IFERROR( VLOOKUP(C28888,[1]expressOrderReport!$S:$AZ,34,0),0)</f>
        <v>#ERROR!</v>
      </c>
      <c r="S1081" s="6" t="str">
        <f>ARRAY_CONSTRAIN(ARRAYFORMULA(_xludf.XLOOKUP(D28888,[1]order_Report_SA_ID_BB2.0!V:V,[1]order_Report_SA_ID_BB2.0!AM:AM,"")), 1, 1)</f>
        <v>#ERROR!</v>
      </c>
      <c r="T1081" s="6" t="str">
        <f t="shared" si="2"/>
        <v>Dec'25</v>
      </c>
    </row>
    <row r="1082" ht="15.75" customHeight="1">
      <c r="A1082" s="5">
        <v>46013.0</v>
      </c>
      <c r="B1082" s="6">
        <v>9780.0</v>
      </c>
      <c r="C1082" s="6">
        <v>1.859165204E9</v>
      </c>
      <c r="D1082" s="6">
        <v>5281661.0</v>
      </c>
      <c r="E1082" s="6" t="s">
        <v>1704</v>
      </c>
      <c r="F1082" s="6" t="s">
        <v>1705</v>
      </c>
      <c r="G1082" s="6">
        <v>7.044651888E9</v>
      </c>
      <c r="H1082" s="6">
        <v>4.0149832E7</v>
      </c>
      <c r="I1082" s="6" t="s">
        <v>26</v>
      </c>
      <c r="J1082" s="6" t="s">
        <v>21</v>
      </c>
      <c r="K1082" s="6" t="s">
        <v>22</v>
      </c>
      <c r="L1082" s="6">
        <v>24.0</v>
      </c>
      <c r="M1082" s="5">
        <v>46013.0</v>
      </c>
      <c r="N1082" s="6" t="s">
        <v>23</v>
      </c>
      <c r="O1082" s="6" t="str">
        <f>SUMIFS([1]order_sku_sales_bb2_report!P:P,[1]order_sku_sales_bb2_report!H:H,C28891,[1]order_sku_sales_bb2_report!J:J,H28891)</f>
        <v>#ERROR!</v>
      </c>
      <c r="P1082" s="6" t="str">
        <f>SUMIFS([1]order_sku_sales_bb2_report!O:O,[1]order_sku_sales_bb2_report!H:H,C28891,[1]order_sku_sales_bb2_report!J:J,H28891)</f>
        <v>#ERROR!</v>
      </c>
      <c r="Q1082" s="6" t="str">
        <f t="shared" si="1"/>
        <v>22-12-2025</v>
      </c>
      <c r="R1082" s="6" t="str">
        <f>IFERROR( VLOOKUP(C28891,[1]expressOrderReport!$S:$AZ,34,0),0)</f>
        <v>#ERROR!</v>
      </c>
      <c r="S1082" s="6" t="str">
        <f>ARRAY_CONSTRAIN(ARRAYFORMULA(_xludf.XLOOKUP(D28891,[1]order_Report_SA_ID_BB2.0!V:V,[1]order_Report_SA_ID_BB2.0!AM:AM,"")), 1, 1)</f>
        <v>#ERROR!</v>
      </c>
      <c r="T1082" s="6" t="str">
        <f t="shared" si="2"/>
        <v>Dec'25</v>
      </c>
    </row>
    <row r="1083" ht="15.75" customHeight="1">
      <c r="A1083" s="5">
        <v>46013.0</v>
      </c>
      <c r="B1083" s="6">
        <v>1554.0</v>
      </c>
      <c r="C1083" s="6">
        <v>1.859165214E9</v>
      </c>
      <c r="D1083" s="6">
        <v>5296246.0</v>
      </c>
      <c r="E1083" s="6" t="s">
        <v>1706</v>
      </c>
      <c r="F1083" s="6" t="s">
        <v>1707</v>
      </c>
      <c r="G1083" s="6">
        <v>9.886237732E9</v>
      </c>
      <c r="H1083" s="6">
        <v>4.014983E7</v>
      </c>
      <c r="I1083" s="6" t="s">
        <v>30</v>
      </c>
      <c r="J1083" s="6" t="s">
        <v>21</v>
      </c>
      <c r="K1083" s="6" t="s">
        <v>22</v>
      </c>
      <c r="L1083" s="6">
        <v>24.0</v>
      </c>
      <c r="M1083" s="5">
        <v>46013.0</v>
      </c>
      <c r="N1083" s="6" t="s">
        <v>23</v>
      </c>
      <c r="O1083" s="6" t="str">
        <f>SUMIFS([1]order_sku_sales_bb2_report!P:P,[1]order_sku_sales_bb2_report!H:H,C28892,[1]order_sku_sales_bb2_report!J:J,H28892)</f>
        <v>#ERROR!</v>
      </c>
      <c r="P1083" s="6" t="str">
        <f>SUMIFS([1]order_sku_sales_bb2_report!O:O,[1]order_sku_sales_bb2_report!H:H,C28892,[1]order_sku_sales_bb2_report!J:J,H28892)</f>
        <v>#ERROR!</v>
      </c>
      <c r="Q1083" s="6" t="str">
        <f t="shared" si="1"/>
        <v>22-12-2025</v>
      </c>
      <c r="R1083" s="6" t="str">
        <f>IFERROR( VLOOKUP(C28892,[1]expressOrderReport!$S:$AZ,34,0),0)</f>
        <v>#ERROR!</v>
      </c>
      <c r="S1083" s="6" t="str">
        <f>ARRAY_CONSTRAIN(ARRAYFORMULA(_xludf.XLOOKUP(D28892,[1]order_Report_SA_ID_BB2.0!V:V,[1]order_Report_SA_ID_BB2.0!AM:AM,"")), 1, 1)</f>
        <v>#ERROR!</v>
      </c>
      <c r="T1083" s="6" t="str">
        <f t="shared" si="2"/>
        <v>Dec'25</v>
      </c>
    </row>
    <row r="1084" ht="15.75" customHeight="1">
      <c r="A1084" s="5">
        <v>46013.0</v>
      </c>
      <c r="B1084" s="6">
        <v>1557.0</v>
      </c>
      <c r="C1084" s="6">
        <v>1.859165214E9</v>
      </c>
      <c r="D1084" s="6">
        <v>5296246.0</v>
      </c>
      <c r="E1084" s="6" t="s">
        <v>1706</v>
      </c>
      <c r="F1084" s="6" t="s">
        <v>1707</v>
      </c>
      <c r="G1084" s="6">
        <v>9.886237732E9</v>
      </c>
      <c r="H1084" s="6">
        <v>4.0149832E7</v>
      </c>
      <c r="I1084" s="6" t="s">
        <v>26</v>
      </c>
      <c r="J1084" s="6" t="s">
        <v>21</v>
      </c>
      <c r="K1084" s="6" t="s">
        <v>22</v>
      </c>
      <c r="L1084" s="6">
        <v>24.0</v>
      </c>
      <c r="M1084" s="5">
        <v>46013.0</v>
      </c>
      <c r="N1084" s="6" t="s">
        <v>23</v>
      </c>
      <c r="O1084" s="6" t="str">
        <f>SUMIFS([1]order_sku_sales_bb2_report!P:P,[1]order_sku_sales_bb2_report!H:H,C28893,[1]order_sku_sales_bb2_report!J:J,H28893)</f>
        <v>#ERROR!</v>
      </c>
      <c r="P1084" s="6" t="str">
        <f>SUMIFS([1]order_sku_sales_bb2_report!O:O,[1]order_sku_sales_bb2_report!H:H,C28893,[1]order_sku_sales_bb2_report!J:J,H28893)</f>
        <v>#ERROR!</v>
      </c>
      <c r="Q1084" s="6" t="str">
        <f t="shared" si="1"/>
        <v>22-12-2025</v>
      </c>
      <c r="R1084" s="6" t="str">
        <f>IFERROR( VLOOKUP(C28893,[1]expressOrderReport!$S:$AZ,34,0),0)</f>
        <v>#ERROR!</v>
      </c>
      <c r="S1084" s="6" t="str">
        <f>ARRAY_CONSTRAIN(ARRAYFORMULA(_xludf.XLOOKUP(D28893,[1]order_Report_SA_ID_BB2.0!V:V,[1]order_Report_SA_ID_BB2.0!AM:AM,"")), 1, 1)</f>
        <v>#ERROR!</v>
      </c>
      <c r="T1084" s="6" t="str">
        <f t="shared" si="2"/>
        <v>Dec'25</v>
      </c>
    </row>
    <row r="1085" ht="15.75" customHeight="1">
      <c r="A1085" s="5">
        <v>46013.0</v>
      </c>
      <c r="B1085" s="6">
        <v>7907.0</v>
      </c>
      <c r="C1085" s="6">
        <v>1.859165222E9</v>
      </c>
      <c r="D1085" s="6">
        <v>257337.0</v>
      </c>
      <c r="E1085" s="6" t="s">
        <v>1708</v>
      </c>
      <c r="F1085" s="6" t="s">
        <v>1709</v>
      </c>
      <c r="G1085" s="6">
        <v>7.893108203E9</v>
      </c>
      <c r="H1085" s="6">
        <v>4.0149834E7</v>
      </c>
      <c r="I1085" s="6" t="s">
        <v>40</v>
      </c>
      <c r="J1085" s="6" t="s">
        <v>21</v>
      </c>
      <c r="K1085" s="6" t="s">
        <v>22</v>
      </c>
      <c r="L1085" s="6">
        <v>52.0</v>
      </c>
      <c r="M1085" s="5">
        <v>46013.0</v>
      </c>
      <c r="N1085" s="6" t="s">
        <v>23</v>
      </c>
      <c r="O1085" s="6" t="str">
        <f>SUMIFS([1]order_sku_sales_bb2_report!P:P,[1]order_sku_sales_bb2_report!H:H,C28894,[1]order_sku_sales_bb2_report!J:J,H28894)</f>
        <v>#ERROR!</v>
      </c>
      <c r="P1085" s="6" t="str">
        <f>SUMIFS([1]order_sku_sales_bb2_report!O:O,[1]order_sku_sales_bb2_report!H:H,C28894,[1]order_sku_sales_bb2_report!J:J,H28894)</f>
        <v>#ERROR!</v>
      </c>
      <c r="Q1085" s="6" t="str">
        <f t="shared" si="1"/>
        <v>22-12-2025</v>
      </c>
      <c r="R1085" s="6" t="str">
        <f>IFERROR( VLOOKUP(C28894,[1]expressOrderReport!$S:$AZ,34,0),0)</f>
        <v>#ERROR!</v>
      </c>
      <c r="S1085" s="6" t="str">
        <f>ARRAY_CONSTRAIN(ARRAYFORMULA(_xludf.XLOOKUP(D28894,[1]order_Report_SA_ID_BB2.0!V:V,[1]order_Report_SA_ID_BB2.0!AM:AM,"")), 1, 1)</f>
        <v>#ERROR!</v>
      </c>
      <c r="T1085" s="6" t="str">
        <f t="shared" si="2"/>
        <v>Dec'25</v>
      </c>
    </row>
    <row r="1086" ht="15.75" customHeight="1">
      <c r="A1086" s="5">
        <v>46013.0</v>
      </c>
      <c r="B1086" s="6">
        <v>7484.0</v>
      </c>
      <c r="C1086" s="6">
        <v>1.859165234E9</v>
      </c>
      <c r="D1086" s="6">
        <v>1.4120702E7</v>
      </c>
      <c r="E1086" s="6" t="s">
        <v>1710</v>
      </c>
      <c r="F1086" s="6" t="s">
        <v>1711</v>
      </c>
      <c r="G1086" s="6">
        <v>9.980266226E9</v>
      </c>
      <c r="H1086" s="6">
        <v>4.0149832E7</v>
      </c>
      <c r="I1086" s="6" t="s">
        <v>26</v>
      </c>
      <c r="J1086" s="6" t="s">
        <v>21</v>
      </c>
      <c r="K1086" s="6" t="s">
        <v>22</v>
      </c>
      <c r="L1086" s="6">
        <v>72.0</v>
      </c>
      <c r="M1086" s="5">
        <v>46013.0</v>
      </c>
      <c r="N1086" s="6" t="s">
        <v>23</v>
      </c>
      <c r="O1086" s="6" t="str">
        <f>SUMIFS([1]order_sku_sales_bb2_report!P:P,[1]order_sku_sales_bb2_report!H:H,C28895,[1]order_sku_sales_bb2_report!J:J,H28895)</f>
        <v>#ERROR!</v>
      </c>
      <c r="P1086" s="6" t="str">
        <f>SUMIFS([1]order_sku_sales_bb2_report!O:O,[1]order_sku_sales_bb2_report!H:H,C28895,[1]order_sku_sales_bb2_report!J:J,H28895)</f>
        <v>#ERROR!</v>
      </c>
      <c r="Q1086" s="6" t="str">
        <f t="shared" si="1"/>
        <v>22-12-2025</v>
      </c>
      <c r="R1086" s="6" t="str">
        <f>IFERROR( VLOOKUP(C28895,[1]expressOrderReport!$S:$AZ,34,0),0)</f>
        <v>#ERROR!</v>
      </c>
      <c r="S1086" s="6" t="str">
        <f>ARRAY_CONSTRAIN(ARRAYFORMULA(_xludf.XLOOKUP(D28895,[1]order_Report_SA_ID_BB2.0!V:V,[1]order_Report_SA_ID_BB2.0!AM:AM,"")), 1, 1)</f>
        <v>#ERROR!</v>
      </c>
      <c r="T1086" s="6" t="str">
        <f t="shared" si="2"/>
        <v>Dec'25</v>
      </c>
    </row>
    <row r="1087" ht="15.75" customHeight="1">
      <c r="A1087" s="5">
        <v>46013.0</v>
      </c>
      <c r="B1087" s="6">
        <v>11915.0</v>
      </c>
      <c r="C1087" s="6">
        <v>1.859165239E9</v>
      </c>
      <c r="D1087" s="6">
        <v>6634699.0</v>
      </c>
      <c r="E1087" s="6" t="s">
        <v>1712</v>
      </c>
      <c r="F1087" s="6" t="s">
        <v>1713</v>
      </c>
      <c r="G1087" s="6">
        <v>9.845658623E9</v>
      </c>
      <c r="H1087" s="6">
        <v>4.0161616E7</v>
      </c>
      <c r="I1087" s="6" t="s">
        <v>20</v>
      </c>
      <c r="J1087" s="6" t="s">
        <v>21</v>
      </c>
      <c r="K1087" s="6" t="s">
        <v>22</v>
      </c>
      <c r="L1087" s="6">
        <v>28.0</v>
      </c>
      <c r="M1087" s="5">
        <v>46013.0</v>
      </c>
      <c r="N1087" s="6" t="s">
        <v>23</v>
      </c>
      <c r="O1087" s="6" t="str">
        <f>SUMIFS([1]order_sku_sales_bb2_report!P:P,[1]order_sku_sales_bb2_report!H:H,C28896,[1]order_sku_sales_bb2_report!J:J,H28896)</f>
        <v>#ERROR!</v>
      </c>
      <c r="P1087" s="6" t="str">
        <f>SUMIFS([1]order_sku_sales_bb2_report!O:O,[1]order_sku_sales_bb2_report!H:H,C28896,[1]order_sku_sales_bb2_report!J:J,H28896)</f>
        <v>#ERROR!</v>
      </c>
      <c r="Q1087" s="6" t="str">
        <f t="shared" si="1"/>
        <v>22-12-2025</v>
      </c>
      <c r="R1087" s="6" t="str">
        <f>IFERROR( VLOOKUP(C28896,[1]expressOrderReport!$S:$AZ,34,0),0)</f>
        <v>#ERROR!</v>
      </c>
      <c r="S1087" s="6" t="str">
        <f>ARRAY_CONSTRAIN(ARRAYFORMULA(_xludf.XLOOKUP(D28896,[1]order_Report_SA_ID_BB2.0!V:V,[1]order_Report_SA_ID_BB2.0!AM:AM,"")), 1, 1)</f>
        <v>#ERROR!</v>
      </c>
      <c r="T1087" s="6" t="str">
        <f t="shared" si="2"/>
        <v>Dec'25</v>
      </c>
    </row>
    <row r="1088" ht="15.75" customHeight="1">
      <c r="A1088" s="5">
        <v>46013.0</v>
      </c>
      <c r="B1088" s="6">
        <v>1481.0</v>
      </c>
      <c r="C1088" s="6">
        <v>1.859165247E9</v>
      </c>
      <c r="D1088" s="6">
        <v>1.4259116E7</v>
      </c>
      <c r="E1088" s="6" t="s">
        <v>1714</v>
      </c>
      <c r="F1088" s="6" t="s">
        <v>1715</v>
      </c>
      <c r="G1088" s="6">
        <v>8.884726355E9</v>
      </c>
      <c r="H1088" s="6">
        <v>4.0147597E7</v>
      </c>
      <c r="I1088" s="6" t="s">
        <v>59</v>
      </c>
      <c r="J1088" s="6" t="s">
        <v>21</v>
      </c>
      <c r="K1088" s="6" t="s">
        <v>22</v>
      </c>
      <c r="L1088" s="6">
        <v>52.0</v>
      </c>
      <c r="M1088" s="5">
        <v>46013.0</v>
      </c>
      <c r="N1088" s="6" t="s">
        <v>23</v>
      </c>
      <c r="O1088" s="6" t="str">
        <f>SUMIFS([1]order_sku_sales_bb2_report!P:P,[1]order_sku_sales_bb2_report!H:H,C28897,[1]order_sku_sales_bb2_report!J:J,H28897)</f>
        <v>#ERROR!</v>
      </c>
      <c r="P1088" s="6" t="str">
        <f>SUMIFS([1]order_sku_sales_bb2_report!O:O,[1]order_sku_sales_bb2_report!H:H,C28897,[1]order_sku_sales_bb2_report!J:J,H28897)</f>
        <v>#ERROR!</v>
      </c>
      <c r="Q1088" s="6" t="str">
        <f t="shared" si="1"/>
        <v>22-12-2025</v>
      </c>
      <c r="R1088" s="6" t="str">
        <f>IFERROR( VLOOKUP(C28897,[1]expressOrderReport!$S:$AZ,34,0),0)</f>
        <v>#ERROR!</v>
      </c>
      <c r="S1088" s="6" t="str">
        <f>ARRAY_CONSTRAIN(ARRAYFORMULA(_xludf.XLOOKUP(D28897,[1]order_Report_SA_ID_BB2.0!V:V,[1]order_Report_SA_ID_BB2.0!AM:AM,"")), 1, 1)</f>
        <v>#ERROR!</v>
      </c>
      <c r="T1088" s="6" t="str">
        <f t="shared" si="2"/>
        <v>Dec'25</v>
      </c>
    </row>
    <row r="1089" ht="15.75" customHeight="1">
      <c r="A1089" s="5">
        <v>46013.0</v>
      </c>
      <c r="B1089" s="6">
        <v>8011.0</v>
      </c>
      <c r="C1089" s="6">
        <v>1.859165258E9</v>
      </c>
      <c r="D1089" s="6">
        <v>9690419.0</v>
      </c>
      <c r="E1089" s="6" t="s">
        <v>1716</v>
      </c>
      <c r="F1089" s="6" t="s">
        <v>1717</v>
      </c>
      <c r="G1089" s="6">
        <v>9.878216121E9</v>
      </c>
      <c r="H1089" s="6">
        <v>4.0161616E7</v>
      </c>
      <c r="I1089" s="6" t="s">
        <v>20</v>
      </c>
      <c r="J1089" s="6" t="s">
        <v>21</v>
      </c>
      <c r="K1089" s="6" t="s">
        <v>22</v>
      </c>
      <c r="L1089" s="6">
        <v>252.0</v>
      </c>
      <c r="M1089" s="5">
        <v>46013.0</v>
      </c>
      <c r="N1089" s="6" t="s">
        <v>23</v>
      </c>
      <c r="O1089" s="6" t="str">
        <f>SUMIFS([1]order_sku_sales_bb2_report!P:P,[1]order_sku_sales_bb2_report!H:H,C28898,[1]order_sku_sales_bb2_report!J:J,H28898)</f>
        <v>#ERROR!</v>
      </c>
      <c r="P1089" s="6" t="str">
        <f>SUMIFS([1]order_sku_sales_bb2_report!O:O,[1]order_sku_sales_bb2_report!H:H,C28898,[1]order_sku_sales_bb2_report!J:J,H28898)</f>
        <v>#ERROR!</v>
      </c>
      <c r="Q1089" s="6" t="str">
        <f t="shared" si="1"/>
        <v>22-12-2025</v>
      </c>
      <c r="R1089" s="6" t="str">
        <f>IFERROR( VLOOKUP(C28898,[1]expressOrderReport!$S:$AZ,34,0),0)</f>
        <v>#ERROR!</v>
      </c>
      <c r="S1089" s="6" t="str">
        <f>ARRAY_CONSTRAIN(ARRAYFORMULA(_xludf.XLOOKUP(D28898,[1]order_Report_SA_ID_BB2.0!V:V,[1]order_Report_SA_ID_BB2.0!AM:AM,"")), 1, 1)</f>
        <v>#ERROR!</v>
      </c>
      <c r="T1089" s="6" t="str">
        <f t="shared" si="2"/>
        <v>Dec'25</v>
      </c>
    </row>
    <row r="1090" ht="15.75" customHeight="1">
      <c r="A1090" s="5">
        <v>46013.0</v>
      </c>
      <c r="B1090" s="6">
        <v>8012.0</v>
      </c>
      <c r="C1090" s="6">
        <v>1.859165258E9</v>
      </c>
      <c r="D1090" s="6">
        <v>9690419.0</v>
      </c>
      <c r="E1090" s="6" t="s">
        <v>1716</v>
      </c>
      <c r="F1090" s="6" t="s">
        <v>1717</v>
      </c>
      <c r="G1090" s="6">
        <v>9.878216121E9</v>
      </c>
      <c r="H1090" s="6">
        <v>4.014983E7</v>
      </c>
      <c r="I1090" s="6" t="s">
        <v>30</v>
      </c>
      <c r="J1090" s="6" t="s">
        <v>21</v>
      </c>
      <c r="K1090" s="6" t="s">
        <v>22</v>
      </c>
      <c r="L1090" s="6">
        <v>252.0</v>
      </c>
      <c r="M1090" s="5">
        <v>46013.0</v>
      </c>
      <c r="N1090" s="6" t="s">
        <v>23</v>
      </c>
      <c r="O1090" s="6" t="str">
        <f>SUMIFS([1]order_sku_sales_bb2_report!P:P,[1]order_sku_sales_bb2_report!H:H,C28899,[1]order_sku_sales_bb2_report!J:J,H28899)</f>
        <v>#ERROR!</v>
      </c>
      <c r="P1090" s="6" t="str">
        <f>SUMIFS([1]order_sku_sales_bb2_report!O:O,[1]order_sku_sales_bb2_report!H:H,C28899,[1]order_sku_sales_bb2_report!J:J,H28899)</f>
        <v>#ERROR!</v>
      </c>
      <c r="Q1090" s="6" t="str">
        <f t="shared" si="1"/>
        <v>22-12-2025</v>
      </c>
      <c r="R1090" s="6" t="str">
        <f>IFERROR( VLOOKUP(C28899,[1]expressOrderReport!$S:$AZ,34,0),0)</f>
        <v>#ERROR!</v>
      </c>
      <c r="S1090" s="6" t="str">
        <f>ARRAY_CONSTRAIN(ARRAYFORMULA(_xludf.XLOOKUP(D28899,[1]order_Report_SA_ID_BB2.0!V:V,[1]order_Report_SA_ID_BB2.0!AM:AM,"")), 1, 1)</f>
        <v>#ERROR!</v>
      </c>
      <c r="T1090" s="6" t="str">
        <f t="shared" si="2"/>
        <v>Dec'25</v>
      </c>
    </row>
    <row r="1091" ht="15.75" customHeight="1">
      <c r="A1091" s="5">
        <v>46013.0</v>
      </c>
      <c r="B1091" s="6">
        <v>10349.0</v>
      </c>
      <c r="C1091" s="6">
        <v>1.859165263E9</v>
      </c>
      <c r="D1091" s="6">
        <v>1029168.0</v>
      </c>
      <c r="E1091" s="6" t="s">
        <v>1718</v>
      </c>
      <c r="F1091" s="6" t="s">
        <v>1719</v>
      </c>
      <c r="G1091" s="6">
        <v>9.88618159E9</v>
      </c>
      <c r="H1091" s="6">
        <v>4.0147597E7</v>
      </c>
      <c r="I1091" s="6" t="s">
        <v>59</v>
      </c>
      <c r="J1091" s="6" t="s">
        <v>21</v>
      </c>
      <c r="K1091" s="6" t="s">
        <v>22</v>
      </c>
      <c r="L1091" s="6">
        <v>26.0</v>
      </c>
      <c r="M1091" s="5">
        <v>46013.0</v>
      </c>
      <c r="N1091" s="6" t="s">
        <v>23</v>
      </c>
      <c r="O1091" s="6" t="str">
        <f>SUMIFS([1]order_sku_sales_bb2_report!P:P,[1]order_sku_sales_bb2_report!H:H,C28900,[1]order_sku_sales_bb2_report!J:J,H28900)</f>
        <v>#ERROR!</v>
      </c>
      <c r="P1091" s="6" t="str">
        <f>SUMIFS([1]order_sku_sales_bb2_report!O:O,[1]order_sku_sales_bb2_report!H:H,C28900,[1]order_sku_sales_bb2_report!J:J,H28900)</f>
        <v>#ERROR!</v>
      </c>
      <c r="Q1091" s="6" t="str">
        <f t="shared" si="1"/>
        <v>22-12-2025</v>
      </c>
      <c r="R1091" s="6" t="str">
        <f>IFERROR( VLOOKUP(C28900,[1]expressOrderReport!$S:$AZ,34,0),0)</f>
        <v>#ERROR!</v>
      </c>
      <c r="S1091" s="6" t="str">
        <f>ARRAY_CONSTRAIN(ARRAYFORMULA(_xludf.XLOOKUP(D28900,[1]order_Report_SA_ID_BB2.0!V:V,[1]order_Report_SA_ID_BB2.0!AM:AM,"")), 1, 1)</f>
        <v>#ERROR!</v>
      </c>
      <c r="T1091" s="6" t="str">
        <f t="shared" si="2"/>
        <v>Dec'25</v>
      </c>
    </row>
    <row r="1092" ht="15.75" customHeight="1">
      <c r="A1092" s="5">
        <v>46013.0</v>
      </c>
      <c r="B1092" s="6">
        <v>8982.0</v>
      </c>
      <c r="C1092" s="6">
        <v>1.859165271E9</v>
      </c>
      <c r="D1092" s="6">
        <v>1.444107E7</v>
      </c>
      <c r="E1092" s="6" t="s">
        <v>1720</v>
      </c>
      <c r="F1092" s="6" t="s">
        <v>1721</v>
      </c>
      <c r="G1092" s="6">
        <v>9.620044347E9</v>
      </c>
      <c r="H1092" s="6">
        <v>4.0148714E7</v>
      </c>
      <c r="I1092" s="6" t="s">
        <v>183</v>
      </c>
      <c r="J1092" s="6" t="s">
        <v>21</v>
      </c>
      <c r="K1092" s="6" t="s">
        <v>22</v>
      </c>
      <c r="L1092" s="6">
        <v>99.0</v>
      </c>
      <c r="M1092" s="5">
        <v>46013.0</v>
      </c>
      <c r="N1092" s="6" t="s">
        <v>23</v>
      </c>
      <c r="O1092" s="6" t="str">
        <f>SUMIFS([1]order_sku_sales_bb2_report!P:P,[1]order_sku_sales_bb2_report!H:H,C28901,[1]order_sku_sales_bb2_report!J:J,H28901)</f>
        <v>#ERROR!</v>
      </c>
      <c r="P1092" s="6" t="str">
        <f>SUMIFS([1]order_sku_sales_bb2_report!O:O,[1]order_sku_sales_bb2_report!H:H,C28901,[1]order_sku_sales_bb2_report!J:J,H28901)</f>
        <v>#ERROR!</v>
      </c>
      <c r="Q1092" s="6" t="str">
        <f t="shared" si="1"/>
        <v>22-12-2025</v>
      </c>
      <c r="R1092" s="6" t="str">
        <f>IFERROR( VLOOKUP(C28901,[1]expressOrderReport!$S:$AZ,34,0),0)</f>
        <v>#ERROR!</v>
      </c>
      <c r="S1092" s="6" t="str">
        <f>ARRAY_CONSTRAIN(ARRAYFORMULA(_xludf.XLOOKUP(D28901,[1]order_Report_SA_ID_BB2.0!V:V,[1]order_Report_SA_ID_BB2.0!AM:AM,"")), 1, 1)</f>
        <v>#ERROR!</v>
      </c>
      <c r="T1092" s="6" t="str">
        <f t="shared" si="2"/>
        <v>Dec'25</v>
      </c>
    </row>
    <row r="1093" ht="15.75" customHeight="1">
      <c r="A1093" s="5">
        <v>46013.0</v>
      </c>
      <c r="B1093" s="6">
        <v>8984.0</v>
      </c>
      <c r="C1093" s="6">
        <v>1.859165271E9</v>
      </c>
      <c r="D1093" s="6">
        <v>1.444107E7</v>
      </c>
      <c r="E1093" s="6" t="s">
        <v>1720</v>
      </c>
      <c r="F1093" s="6" t="s">
        <v>1721</v>
      </c>
      <c r="G1093" s="6">
        <v>9.620044347E9</v>
      </c>
      <c r="H1093" s="6">
        <v>4.0149834E7</v>
      </c>
      <c r="I1093" s="6" t="s">
        <v>40</v>
      </c>
      <c r="J1093" s="6" t="s">
        <v>21</v>
      </c>
      <c r="K1093" s="6" t="s">
        <v>22</v>
      </c>
      <c r="L1093" s="6">
        <v>99.0</v>
      </c>
      <c r="M1093" s="5">
        <v>46013.0</v>
      </c>
      <c r="N1093" s="6" t="s">
        <v>23</v>
      </c>
      <c r="O1093" s="6" t="str">
        <f>SUMIFS([1]order_sku_sales_bb2_report!P:P,[1]order_sku_sales_bb2_report!H:H,C28902,[1]order_sku_sales_bb2_report!J:J,H28902)</f>
        <v>#ERROR!</v>
      </c>
      <c r="P1093" s="6" t="str">
        <f>SUMIFS([1]order_sku_sales_bb2_report!O:O,[1]order_sku_sales_bb2_report!H:H,C28902,[1]order_sku_sales_bb2_report!J:J,H28902)</f>
        <v>#ERROR!</v>
      </c>
      <c r="Q1093" s="6" t="str">
        <f t="shared" si="1"/>
        <v>22-12-2025</v>
      </c>
      <c r="R1093" s="6" t="str">
        <f>IFERROR( VLOOKUP(C28902,[1]expressOrderReport!$S:$AZ,34,0),0)</f>
        <v>#ERROR!</v>
      </c>
      <c r="S1093" s="6" t="str">
        <f>ARRAY_CONSTRAIN(ARRAYFORMULA(_xludf.XLOOKUP(D28902,[1]order_Report_SA_ID_BB2.0!V:V,[1]order_Report_SA_ID_BB2.0!AM:AM,"")), 1, 1)</f>
        <v>#ERROR!</v>
      </c>
      <c r="T1093" s="6" t="str">
        <f t="shared" si="2"/>
        <v>Dec'25</v>
      </c>
    </row>
    <row r="1094" ht="15.75" customHeight="1">
      <c r="A1094" s="5">
        <v>46013.0</v>
      </c>
      <c r="B1094" s="6">
        <v>9285.0</v>
      </c>
      <c r="C1094" s="6">
        <v>1.859165282E9</v>
      </c>
      <c r="D1094" s="6">
        <v>1.4450263E7</v>
      </c>
      <c r="E1094" s="6" t="s">
        <v>1722</v>
      </c>
      <c r="F1094" s="6" t="s">
        <v>1723</v>
      </c>
      <c r="G1094" s="6">
        <v>9.845304729E9</v>
      </c>
      <c r="H1094" s="6">
        <v>4.0158264E7</v>
      </c>
      <c r="I1094" s="6" t="s">
        <v>26</v>
      </c>
      <c r="J1094" s="6" t="s">
        <v>21</v>
      </c>
      <c r="K1094" s="6" t="s">
        <v>22</v>
      </c>
      <c r="L1094" s="6">
        <v>46.0</v>
      </c>
      <c r="M1094" s="5">
        <v>46013.0</v>
      </c>
      <c r="N1094" s="6" t="s">
        <v>23</v>
      </c>
      <c r="O1094" s="6" t="str">
        <f>SUMIFS([1]order_sku_sales_bb2_report!P:P,[1]order_sku_sales_bb2_report!H:H,C28903,[1]order_sku_sales_bb2_report!J:J,H28903)</f>
        <v>#ERROR!</v>
      </c>
      <c r="P1094" s="6" t="str">
        <f>SUMIFS([1]order_sku_sales_bb2_report!O:O,[1]order_sku_sales_bb2_report!H:H,C28903,[1]order_sku_sales_bb2_report!J:J,H28903)</f>
        <v>#ERROR!</v>
      </c>
      <c r="Q1094" s="6" t="str">
        <f t="shared" si="1"/>
        <v>22-12-2025</v>
      </c>
      <c r="R1094" s="6" t="str">
        <f>IFERROR( VLOOKUP(C28903,[1]expressOrderReport!$S:$AZ,34,0),0)</f>
        <v>#ERROR!</v>
      </c>
      <c r="S1094" s="6" t="str">
        <f>ARRAY_CONSTRAIN(ARRAYFORMULA(_xludf.XLOOKUP(D28903,[1]order_Report_SA_ID_BB2.0!V:V,[1]order_Report_SA_ID_BB2.0!AM:AM,"")), 1, 1)</f>
        <v>#ERROR!</v>
      </c>
      <c r="T1094" s="6" t="str">
        <f t="shared" si="2"/>
        <v>Dec'25</v>
      </c>
    </row>
    <row r="1095" ht="15.75" customHeight="1">
      <c r="A1095" s="5">
        <v>46013.0</v>
      </c>
      <c r="B1095" s="6">
        <v>7561.0</v>
      </c>
      <c r="C1095" s="6">
        <v>1.859165792E9</v>
      </c>
      <c r="D1095" s="6">
        <v>1.4482387E7</v>
      </c>
      <c r="E1095" s="6" t="s">
        <v>1724</v>
      </c>
      <c r="F1095" s="6" t="s">
        <v>1725</v>
      </c>
      <c r="G1095" s="6">
        <v>9.742812888E9</v>
      </c>
      <c r="H1095" s="6">
        <v>4.0198739E7</v>
      </c>
      <c r="I1095" s="6" t="s">
        <v>103</v>
      </c>
      <c r="J1095" s="6" t="s">
        <v>21</v>
      </c>
      <c r="K1095" s="6" t="s">
        <v>22</v>
      </c>
      <c r="L1095" s="6">
        <v>80.0</v>
      </c>
      <c r="M1095" s="5">
        <v>46013.0</v>
      </c>
      <c r="N1095" s="6" t="s">
        <v>54</v>
      </c>
      <c r="O1095" s="6" t="str">
        <f>SUMIFS([1]order_sku_sales_bb2_report!P:P,[1]order_sku_sales_bb2_report!H:H,C28904,[1]order_sku_sales_bb2_report!J:J,H28904)</f>
        <v>#ERROR!</v>
      </c>
      <c r="P1095" s="6" t="str">
        <f>SUMIFS([1]order_sku_sales_bb2_report!O:O,[1]order_sku_sales_bb2_report!H:H,C28904,[1]order_sku_sales_bb2_report!J:J,H28904)</f>
        <v>#ERROR!</v>
      </c>
      <c r="Q1095" s="6" t="str">
        <f t="shared" si="1"/>
        <v>22-12-2025</v>
      </c>
      <c r="R1095" s="6" t="str">
        <f>IFERROR( VLOOKUP(C28904,[1]expressOrderReport!$S:$AZ,34,0),0)</f>
        <v>#ERROR!</v>
      </c>
      <c r="S1095" s="6" t="str">
        <f>ARRAY_CONSTRAIN(ARRAYFORMULA(_xludf.XLOOKUP(D28904,[1]order_Report_SA_ID_BB2.0!V:V,[1]order_Report_SA_ID_BB2.0!AM:AM,"")), 1, 1)</f>
        <v>#ERROR!</v>
      </c>
      <c r="T1095" s="6" t="str">
        <f t="shared" si="2"/>
        <v>Dec'25</v>
      </c>
    </row>
    <row r="1096" ht="15.75" customHeight="1">
      <c r="A1096" s="5">
        <v>46013.0</v>
      </c>
      <c r="B1096" s="6">
        <v>1334.0</v>
      </c>
      <c r="C1096" s="6">
        <v>1.859165804E9</v>
      </c>
      <c r="D1096" s="6">
        <v>1.3084476E7</v>
      </c>
      <c r="E1096" s="6" t="s">
        <v>1726</v>
      </c>
      <c r="F1096" s="6" t="s">
        <v>1727</v>
      </c>
      <c r="G1096" s="6">
        <v>9.788122266E9</v>
      </c>
      <c r="H1096" s="6">
        <v>4.0149833E7</v>
      </c>
      <c r="I1096" s="6" t="s">
        <v>40</v>
      </c>
      <c r="J1096" s="6" t="s">
        <v>21</v>
      </c>
      <c r="K1096" s="6" t="s">
        <v>22</v>
      </c>
      <c r="L1096" s="6">
        <v>54.0</v>
      </c>
      <c r="M1096" s="5">
        <v>46013.0</v>
      </c>
      <c r="N1096" s="6" t="s">
        <v>23</v>
      </c>
      <c r="O1096" s="6" t="str">
        <f>SUMIFS([1]order_sku_sales_bb2_report!P:P,[1]order_sku_sales_bb2_report!H:H,C28905,[1]order_sku_sales_bb2_report!J:J,H28905)</f>
        <v>#ERROR!</v>
      </c>
      <c r="P1096" s="6" t="str">
        <f>SUMIFS([1]order_sku_sales_bb2_report!O:O,[1]order_sku_sales_bb2_report!H:H,C28905,[1]order_sku_sales_bb2_report!J:J,H28905)</f>
        <v>#ERROR!</v>
      </c>
      <c r="Q1096" s="6" t="str">
        <f t="shared" si="1"/>
        <v>22-12-2025</v>
      </c>
      <c r="R1096" s="6" t="str">
        <f>IFERROR( VLOOKUP(C28905,[1]expressOrderReport!$S:$AZ,34,0),0)</f>
        <v>#ERROR!</v>
      </c>
      <c r="S1096" s="6" t="str">
        <f>ARRAY_CONSTRAIN(ARRAYFORMULA(_xludf.XLOOKUP(D28905,[1]order_Report_SA_ID_BB2.0!V:V,[1]order_Report_SA_ID_BB2.0!AM:AM,"")), 1, 1)</f>
        <v>#ERROR!</v>
      </c>
      <c r="T1096" s="6" t="str">
        <f t="shared" si="2"/>
        <v>Dec'25</v>
      </c>
    </row>
    <row r="1097" ht="15.75" customHeight="1">
      <c r="A1097" s="5">
        <v>46013.0</v>
      </c>
      <c r="B1097" s="6">
        <v>6995.0</v>
      </c>
      <c r="C1097" s="6">
        <v>1.859165816E9</v>
      </c>
      <c r="D1097" s="6">
        <v>1.4509846E7</v>
      </c>
      <c r="E1097" s="6" t="s">
        <v>1728</v>
      </c>
      <c r="F1097" s="6" t="s">
        <v>1729</v>
      </c>
      <c r="G1097" s="6">
        <v>8.884210777E9</v>
      </c>
      <c r="H1097" s="6">
        <v>4.0198739E7</v>
      </c>
      <c r="I1097" s="6" t="s">
        <v>103</v>
      </c>
      <c r="J1097" s="6" t="s">
        <v>21</v>
      </c>
      <c r="K1097" s="6" t="s">
        <v>22</v>
      </c>
      <c r="L1097" s="6">
        <v>40.0</v>
      </c>
      <c r="M1097" s="5">
        <v>46013.0</v>
      </c>
      <c r="N1097" s="6" t="s">
        <v>54</v>
      </c>
      <c r="O1097" s="6" t="str">
        <f>SUMIFS([1]order_sku_sales_bb2_report!P:P,[1]order_sku_sales_bb2_report!H:H,C28906,[1]order_sku_sales_bb2_report!J:J,H28906)</f>
        <v>#ERROR!</v>
      </c>
      <c r="P1097" s="6" t="str">
        <f>SUMIFS([1]order_sku_sales_bb2_report!O:O,[1]order_sku_sales_bb2_report!H:H,C28906,[1]order_sku_sales_bb2_report!J:J,H28906)</f>
        <v>#ERROR!</v>
      </c>
      <c r="Q1097" s="6" t="str">
        <f t="shared" si="1"/>
        <v>22-12-2025</v>
      </c>
      <c r="R1097" s="6" t="str">
        <f>IFERROR( VLOOKUP(C28906,[1]expressOrderReport!$S:$AZ,34,0),0)</f>
        <v>#ERROR!</v>
      </c>
      <c r="S1097" s="6" t="str">
        <f>ARRAY_CONSTRAIN(ARRAYFORMULA(_xludf.XLOOKUP(D28906,[1]order_Report_SA_ID_BB2.0!V:V,[1]order_Report_SA_ID_BB2.0!AM:AM,"")), 1, 1)</f>
        <v>#ERROR!</v>
      </c>
      <c r="T1097" s="6" t="str">
        <f t="shared" si="2"/>
        <v>Dec'25</v>
      </c>
    </row>
    <row r="1098" ht="15.75" customHeight="1">
      <c r="A1098" s="5">
        <v>46013.0</v>
      </c>
      <c r="B1098" s="6">
        <v>7027.0</v>
      </c>
      <c r="C1098" s="6">
        <v>1.859165828E9</v>
      </c>
      <c r="D1098" s="6">
        <v>1.4686727E7</v>
      </c>
      <c r="E1098" s="6" t="s">
        <v>1730</v>
      </c>
      <c r="F1098" s="6" t="s">
        <v>1731</v>
      </c>
      <c r="G1098" s="6">
        <v>9.98694777E9</v>
      </c>
      <c r="H1098" s="6">
        <v>4.0149832E7</v>
      </c>
      <c r="I1098" s="6" t="s">
        <v>26</v>
      </c>
      <c r="J1098" s="6" t="s">
        <v>21</v>
      </c>
      <c r="K1098" s="6" t="s">
        <v>22</v>
      </c>
      <c r="L1098" s="6">
        <v>24.0</v>
      </c>
      <c r="M1098" s="5">
        <v>46013.0</v>
      </c>
      <c r="N1098" s="6" t="s">
        <v>23</v>
      </c>
      <c r="O1098" s="6" t="str">
        <f>SUMIFS([1]order_sku_sales_bb2_report!P:P,[1]order_sku_sales_bb2_report!H:H,C28907,[1]order_sku_sales_bb2_report!J:J,H28907)</f>
        <v>#ERROR!</v>
      </c>
      <c r="P1098" s="6" t="str">
        <f>SUMIFS([1]order_sku_sales_bb2_report!O:O,[1]order_sku_sales_bb2_report!H:H,C28907,[1]order_sku_sales_bb2_report!J:J,H28907)</f>
        <v>#ERROR!</v>
      </c>
      <c r="Q1098" s="6" t="str">
        <f t="shared" si="1"/>
        <v>22-12-2025</v>
      </c>
      <c r="R1098" s="6" t="str">
        <f>IFERROR( VLOOKUP(C28907,[1]expressOrderReport!$S:$AZ,34,0),0)</f>
        <v>#ERROR!</v>
      </c>
      <c r="S1098" s="6" t="str">
        <f>ARRAY_CONSTRAIN(ARRAYFORMULA(_xludf.XLOOKUP(D28907,[1]order_Report_SA_ID_BB2.0!V:V,[1]order_Report_SA_ID_BB2.0!AM:AM,"")), 1, 1)</f>
        <v>#ERROR!</v>
      </c>
      <c r="T1098" s="6" t="str">
        <f t="shared" si="2"/>
        <v>Dec'25</v>
      </c>
    </row>
    <row r="1099" ht="15.75" customHeight="1">
      <c r="A1099" s="5">
        <v>46013.0</v>
      </c>
      <c r="B1099" s="6">
        <v>3646.0</v>
      </c>
      <c r="C1099" s="6">
        <v>1.859165832E9</v>
      </c>
      <c r="D1099" s="6">
        <v>1.4704712E7</v>
      </c>
      <c r="E1099" s="6" t="s">
        <v>1732</v>
      </c>
      <c r="F1099" s="6" t="s">
        <v>1733</v>
      </c>
      <c r="G1099" s="6">
        <v>8.374729164E9</v>
      </c>
      <c r="H1099" s="6">
        <v>4.0149831E7</v>
      </c>
      <c r="I1099" s="6" t="s">
        <v>65</v>
      </c>
      <c r="J1099" s="6" t="s">
        <v>21</v>
      </c>
      <c r="K1099" s="6" t="s">
        <v>22</v>
      </c>
      <c r="L1099" s="6">
        <v>26.0</v>
      </c>
      <c r="M1099" s="5">
        <v>46013.0</v>
      </c>
      <c r="N1099" s="6" t="s">
        <v>23</v>
      </c>
      <c r="O1099" s="6" t="str">
        <f>SUMIFS([1]order_sku_sales_bb2_report!P:P,[1]order_sku_sales_bb2_report!H:H,C28908,[1]order_sku_sales_bb2_report!J:J,H28908)</f>
        <v>#ERROR!</v>
      </c>
      <c r="P1099" s="6" t="str">
        <f>SUMIFS([1]order_sku_sales_bb2_report!O:O,[1]order_sku_sales_bb2_report!H:H,C28908,[1]order_sku_sales_bb2_report!J:J,H28908)</f>
        <v>#ERROR!</v>
      </c>
      <c r="Q1099" s="6" t="str">
        <f t="shared" si="1"/>
        <v>22-12-2025</v>
      </c>
      <c r="R1099" s="6" t="str">
        <f>IFERROR( VLOOKUP(C28908,[1]expressOrderReport!$S:$AZ,34,0),0)</f>
        <v>#ERROR!</v>
      </c>
      <c r="S1099" s="6" t="str">
        <f>ARRAY_CONSTRAIN(ARRAYFORMULA(_xludf.XLOOKUP(D28908,[1]order_Report_SA_ID_BB2.0!V:V,[1]order_Report_SA_ID_BB2.0!AM:AM,"")), 1, 1)</f>
        <v>#ERROR!</v>
      </c>
      <c r="T1099" s="6" t="str">
        <f t="shared" si="2"/>
        <v>Dec'25</v>
      </c>
    </row>
    <row r="1100" ht="15.75" customHeight="1">
      <c r="A1100" s="5">
        <v>46013.0</v>
      </c>
      <c r="B1100" s="6">
        <v>4944.0</v>
      </c>
      <c r="C1100" s="6">
        <v>1.859165845E9</v>
      </c>
      <c r="D1100" s="6">
        <v>1.4743136E7</v>
      </c>
      <c r="E1100" s="6" t="s">
        <v>1734</v>
      </c>
      <c r="F1100" s="6" t="s">
        <v>1735</v>
      </c>
      <c r="G1100" s="6">
        <v>9.092557848E9</v>
      </c>
      <c r="H1100" s="6">
        <v>294904.0</v>
      </c>
      <c r="I1100" s="6" t="s">
        <v>941</v>
      </c>
      <c r="J1100" s="6" t="s">
        <v>21</v>
      </c>
      <c r="K1100" s="6" t="s">
        <v>22</v>
      </c>
      <c r="L1100" s="6">
        <v>247.35</v>
      </c>
      <c r="M1100" s="5">
        <v>46013.0</v>
      </c>
      <c r="N1100" s="6" t="s">
        <v>23</v>
      </c>
      <c r="O1100" s="6" t="str">
        <f>SUMIFS([1]order_sku_sales_bb2_report!P:P,[1]order_sku_sales_bb2_report!H:H,C28909,[1]order_sku_sales_bb2_report!J:J,H28909)</f>
        <v>#ERROR!</v>
      </c>
      <c r="P1100" s="6" t="str">
        <f>SUMIFS([1]order_sku_sales_bb2_report!O:O,[1]order_sku_sales_bb2_report!H:H,C28909,[1]order_sku_sales_bb2_report!J:J,H28909)</f>
        <v>#ERROR!</v>
      </c>
      <c r="Q1100" s="6" t="str">
        <f t="shared" si="1"/>
        <v>22-12-2025</v>
      </c>
      <c r="R1100" s="6" t="str">
        <f>IFERROR( VLOOKUP(C28909,[1]expressOrderReport!$S:$AZ,34,0),0)</f>
        <v>#ERROR!</v>
      </c>
      <c r="S1100" s="6" t="str">
        <f>ARRAY_CONSTRAIN(ARRAYFORMULA(_xludf.XLOOKUP(D28909,[1]order_Report_SA_ID_BB2.0!V:V,[1]order_Report_SA_ID_BB2.0!AM:AM,"")), 1, 1)</f>
        <v>#ERROR!</v>
      </c>
      <c r="T1100" s="6" t="str">
        <f t="shared" si="2"/>
        <v>Dec'25</v>
      </c>
    </row>
    <row r="1101" ht="15.75" customHeight="1">
      <c r="A1101" s="5">
        <v>46013.0</v>
      </c>
      <c r="B1101" s="6">
        <v>12079.0</v>
      </c>
      <c r="C1101" s="6">
        <v>1.859165845E9</v>
      </c>
      <c r="D1101" s="6">
        <v>1.4743136E7</v>
      </c>
      <c r="E1101" s="6" t="s">
        <v>1734</v>
      </c>
      <c r="F1101" s="6" t="s">
        <v>1735</v>
      </c>
      <c r="G1101" s="6">
        <v>9.092557848E9</v>
      </c>
      <c r="H1101" s="6">
        <v>4.0147601E7</v>
      </c>
      <c r="I1101" s="6" t="s">
        <v>276</v>
      </c>
      <c r="J1101" s="6" t="s">
        <v>21</v>
      </c>
      <c r="K1101" s="6" t="s">
        <v>22</v>
      </c>
      <c r="L1101" s="6">
        <v>247.35</v>
      </c>
      <c r="M1101" s="5">
        <v>46013.0</v>
      </c>
      <c r="N1101" s="6" t="s">
        <v>23</v>
      </c>
      <c r="O1101" s="6" t="str">
        <f>SUMIFS([1]order_sku_sales_bb2_report!P:P,[1]order_sku_sales_bb2_report!H:H,C28910,[1]order_sku_sales_bb2_report!J:J,H28910)</f>
        <v>#ERROR!</v>
      </c>
      <c r="P1101" s="6" t="str">
        <f>SUMIFS([1]order_sku_sales_bb2_report!O:O,[1]order_sku_sales_bb2_report!H:H,C28910,[1]order_sku_sales_bb2_report!J:J,H28910)</f>
        <v>#ERROR!</v>
      </c>
      <c r="Q1101" s="6" t="str">
        <f t="shared" si="1"/>
        <v>22-12-2025</v>
      </c>
      <c r="R1101" s="6" t="str">
        <f>IFERROR( VLOOKUP(C28910,[1]expressOrderReport!$S:$AZ,34,0),0)</f>
        <v>#ERROR!</v>
      </c>
      <c r="S1101" s="6" t="str">
        <f>ARRAY_CONSTRAIN(ARRAYFORMULA(_xludf.XLOOKUP(D28910,[1]order_Report_SA_ID_BB2.0!V:V,[1]order_Report_SA_ID_BB2.0!AM:AM,"")), 1, 1)</f>
        <v>#ERROR!</v>
      </c>
      <c r="T1101" s="6" t="str">
        <f t="shared" si="2"/>
        <v>Dec'25</v>
      </c>
    </row>
    <row r="1102" ht="15.75" customHeight="1">
      <c r="A1102" s="5">
        <v>46013.0</v>
      </c>
      <c r="B1102" s="6">
        <v>8854.0</v>
      </c>
      <c r="C1102" s="6">
        <v>1.859165856E9</v>
      </c>
      <c r="D1102" s="6">
        <v>4773166.0</v>
      </c>
      <c r="E1102" s="6" t="s">
        <v>1736</v>
      </c>
      <c r="F1102" s="6" t="s">
        <v>1737</v>
      </c>
      <c r="G1102" s="6">
        <v>9.179271071E9</v>
      </c>
      <c r="H1102" s="6">
        <v>4.0090894E7</v>
      </c>
      <c r="I1102" s="6" t="s">
        <v>62</v>
      </c>
      <c r="J1102" s="6" t="s">
        <v>21</v>
      </c>
      <c r="K1102" s="6" t="s">
        <v>22</v>
      </c>
      <c r="L1102" s="6">
        <v>56.0</v>
      </c>
      <c r="M1102" s="5">
        <v>46013.0</v>
      </c>
      <c r="N1102" s="6" t="s">
        <v>23</v>
      </c>
      <c r="O1102" s="6" t="str">
        <f>SUMIFS([1]order_sku_sales_bb2_report!P:P,[1]order_sku_sales_bb2_report!H:H,C28911,[1]order_sku_sales_bb2_report!J:J,H28911)</f>
        <v>#ERROR!</v>
      </c>
      <c r="P1102" s="6" t="str">
        <f>SUMIFS([1]order_sku_sales_bb2_report!O:O,[1]order_sku_sales_bb2_report!H:H,C28911,[1]order_sku_sales_bb2_report!J:J,H28911)</f>
        <v>#ERROR!</v>
      </c>
      <c r="Q1102" s="6" t="str">
        <f t="shared" si="1"/>
        <v>22-12-2025</v>
      </c>
      <c r="R1102" s="6" t="str">
        <f>IFERROR( VLOOKUP(C28911,[1]expressOrderReport!$S:$AZ,34,0),0)</f>
        <v>#ERROR!</v>
      </c>
      <c r="S1102" s="6" t="str">
        <f>ARRAY_CONSTRAIN(ARRAYFORMULA(_xludf.XLOOKUP(D28911,[1]order_Report_SA_ID_BB2.0!V:V,[1]order_Report_SA_ID_BB2.0!AM:AM,"")), 1, 1)</f>
        <v>#ERROR!</v>
      </c>
      <c r="T1102" s="6" t="str">
        <f t="shared" si="2"/>
        <v>Dec'25</v>
      </c>
    </row>
    <row r="1103" ht="15.75" customHeight="1">
      <c r="A1103" s="5">
        <v>46013.0</v>
      </c>
      <c r="B1103" s="6">
        <v>1374.0</v>
      </c>
      <c r="C1103" s="6">
        <v>1.859165864E9</v>
      </c>
      <c r="D1103" s="6">
        <v>1094034.0</v>
      </c>
      <c r="E1103" s="6" t="s">
        <v>1738</v>
      </c>
      <c r="F1103" s="6" t="s">
        <v>1739</v>
      </c>
      <c r="G1103" s="6">
        <v>9.611488991E9</v>
      </c>
      <c r="H1103" s="6">
        <v>4.0149832E7</v>
      </c>
      <c r="I1103" s="6" t="s">
        <v>26</v>
      </c>
      <c r="J1103" s="6" t="s">
        <v>21</v>
      </c>
      <c r="K1103" s="6" t="s">
        <v>22</v>
      </c>
      <c r="L1103" s="6">
        <v>72.0</v>
      </c>
      <c r="M1103" s="5">
        <v>46013.0</v>
      </c>
      <c r="N1103" s="6" t="s">
        <v>23</v>
      </c>
      <c r="O1103" s="6" t="str">
        <f>SUMIFS([1]order_sku_sales_bb2_report!P:P,[1]order_sku_sales_bb2_report!H:H,C28912,[1]order_sku_sales_bb2_report!J:J,H28912)</f>
        <v>#ERROR!</v>
      </c>
      <c r="P1103" s="6" t="str">
        <f>SUMIFS([1]order_sku_sales_bb2_report!O:O,[1]order_sku_sales_bb2_report!H:H,C28912,[1]order_sku_sales_bb2_report!J:J,H28912)</f>
        <v>#ERROR!</v>
      </c>
      <c r="Q1103" s="6" t="str">
        <f t="shared" si="1"/>
        <v>22-12-2025</v>
      </c>
      <c r="R1103" s="6" t="str">
        <f>IFERROR( VLOOKUP(C28912,[1]expressOrderReport!$S:$AZ,34,0),0)</f>
        <v>#ERROR!</v>
      </c>
      <c r="S1103" s="6" t="str">
        <f>ARRAY_CONSTRAIN(ARRAYFORMULA(_xludf.XLOOKUP(D28912,[1]order_Report_SA_ID_BB2.0!V:V,[1]order_Report_SA_ID_BB2.0!AM:AM,"")), 1, 1)</f>
        <v>#ERROR!</v>
      </c>
      <c r="T1103" s="6" t="str">
        <f t="shared" si="2"/>
        <v>Dec'25</v>
      </c>
    </row>
    <row r="1104" ht="15.75" customHeight="1">
      <c r="A1104" s="5">
        <v>46013.0</v>
      </c>
      <c r="B1104" s="6">
        <v>5152.0</v>
      </c>
      <c r="C1104" s="6">
        <v>1.859165873E9</v>
      </c>
      <c r="D1104" s="6">
        <v>1.4970109E7</v>
      </c>
      <c r="E1104" s="6" t="s">
        <v>1740</v>
      </c>
      <c r="F1104" s="6" t="s">
        <v>1741</v>
      </c>
      <c r="G1104" s="6">
        <v>9.844804275E9</v>
      </c>
      <c r="H1104" s="6">
        <v>4.0158264E7</v>
      </c>
      <c r="I1104" s="6" t="s">
        <v>26</v>
      </c>
      <c r="J1104" s="6" t="s">
        <v>21</v>
      </c>
      <c r="K1104" s="6" t="s">
        <v>22</v>
      </c>
      <c r="L1104" s="6">
        <v>46.0</v>
      </c>
      <c r="M1104" s="5">
        <v>46013.0</v>
      </c>
      <c r="N1104" s="6" t="s">
        <v>23</v>
      </c>
      <c r="O1104" s="6" t="str">
        <f>SUMIFS([1]order_sku_sales_bb2_report!P:P,[1]order_sku_sales_bb2_report!H:H,C28913,[1]order_sku_sales_bb2_report!J:J,H28913)</f>
        <v>#ERROR!</v>
      </c>
      <c r="P1104" s="6" t="str">
        <f>SUMIFS([1]order_sku_sales_bb2_report!O:O,[1]order_sku_sales_bb2_report!H:H,C28913,[1]order_sku_sales_bb2_report!J:J,H28913)</f>
        <v>#ERROR!</v>
      </c>
      <c r="Q1104" s="6" t="str">
        <f t="shared" si="1"/>
        <v>22-12-2025</v>
      </c>
      <c r="R1104" s="6" t="str">
        <f>IFERROR( VLOOKUP(C28913,[1]expressOrderReport!$S:$AZ,34,0),0)</f>
        <v>#ERROR!</v>
      </c>
      <c r="S1104" s="6" t="str">
        <f>ARRAY_CONSTRAIN(ARRAYFORMULA(_xludf.XLOOKUP(D28913,[1]order_Report_SA_ID_BB2.0!V:V,[1]order_Report_SA_ID_BB2.0!AM:AM,"")), 1, 1)</f>
        <v>#ERROR!</v>
      </c>
      <c r="T1104" s="6" t="str">
        <f t="shared" si="2"/>
        <v>Dec'25</v>
      </c>
    </row>
    <row r="1105" ht="15.75" customHeight="1">
      <c r="A1105" s="5">
        <v>46013.0</v>
      </c>
      <c r="B1105" s="6">
        <v>1189.0</v>
      </c>
      <c r="C1105" s="6">
        <v>1.859165886E9</v>
      </c>
      <c r="D1105" s="6">
        <v>1.1594809E7</v>
      </c>
      <c r="E1105" s="6" t="s">
        <v>1742</v>
      </c>
      <c r="F1105" s="6" t="s">
        <v>1743</v>
      </c>
      <c r="G1105" s="6">
        <v>8.147801506E9</v>
      </c>
      <c r="H1105" s="6">
        <v>4.0149834E7</v>
      </c>
      <c r="I1105" s="6" t="s">
        <v>40</v>
      </c>
      <c r="J1105" s="6" t="s">
        <v>21</v>
      </c>
      <c r="K1105" s="6" t="s">
        <v>22</v>
      </c>
      <c r="L1105" s="6">
        <v>86.27</v>
      </c>
      <c r="M1105" s="5">
        <v>46013.0</v>
      </c>
      <c r="N1105" s="6" t="s">
        <v>23</v>
      </c>
      <c r="O1105" s="6" t="str">
        <f>SUMIFS([1]order_sku_sales_bb2_report!P:P,[1]order_sku_sales_bb2_report!H:H,C28915,[1]order_sku_sales_bb2_report!J:J,H28915)</f>
        <v>#ERROR!</v>
      </c>
      <c r="P1105" s="6" t="str">
        <f>SUMIFS([1]order_sku_sales_bb2_report!O:O,[1]order_sku_sales_bb2_report!H:H,C28915,[1]order_sku_sales_bb2_report!J:J,H28915)</f>
        <v>#ERROR!</v>
      </c>
      <c r="Q1105" s="6" t="str">
        <f t="shared" si="1"/>
        <v>22-12-2025</v>
      </c>
      <c r="R1105" s="6" t="str">
        <f>IFERROR( VLOOKUP(C28915,[1]expressOrderReport!$S:$AZ,34,0),0)</f>
        <v>#ERROR!</v>
      </c>
      <c r="S1105" s="6" t="str">
        <f>ARRAY_CONSTRAIN(ARRAYFORMULA(_xludf.XLOOKUP(D28915,[1]order_Report_SA_ID_BB2.0!V:V,[1]order_Report_SA_ID_BB2.0!AM:AM,"")), 1, 1)</f>
        <v>#ERROR!</v>
      </c>
      <c r="T1105" s="6" t="str">
        <f t="shared" si="2"/>
        <v>Dec'25</v>
      </c>
    </row>
    <row r="1106" ht="15.75" customHeight="1">
      <c r="A1106" s="5">
        <v>46013.0</v>
      </c>
      <c r="B1106" s="6">
        <v>1192.0</v>
      </c>
      <c r="C1106" s="6">
        <v>1.859165886E9</v>
      </c>
      <c r="D1106" s="6">
        <v>1.1594809E7</v>
      </c>
      <c r="E1106" s="6" t="s">
        <v>1742</v>
      </c>
      <c r="F1106" s="6" t="s">
        <v>1743</v>
      </c>
      <c r="G1106" s="6">
        <v>8.147801506E9</v>
      </c>
      <c r="H1106" s="6">
        <v>2.0001186E7</v>
      </c>
      <c r="I1106" s="6" t="s">
        <v>430</v>
      </c>
      <c r="J1106" s="6" t="s">
        <v>21</v>
      </c>
      <c r="K1106" s="6" t="s">
        <v>22</v>
      </c>
      <c r="L1106" s="6">
        <v>86.27</v>
      </c>
      <c r="M1106" s="5">
        <v>46013.0</v>
      </c>
      <c r="N1106" s="6" t="s">
        <v>23</v>
      </c>
      <c r="O1106" s="6" t="str">
        <f>SUMIFS([1]order_sku_sales_bb2_report!P:P,[1]order_sku_sales_bb2_report!H:H,C28916,[1]order_sku_sales_bb2_report!J:J,H28916)</f>
        <v>#ERROR!</v>
      </c>
      <c r="P1106" s="6" t="str">
        <f>SUMIFS([1]order_sku_sales_bb2_report!O:O,[1]order_sku_sales_bb2_report!H:H,C28916,[1]order_sku_sales_bb2_report!J:J,H28916)</f>
        <v>#ERROR!</v>
      </c>
      <c r="Q1106" s="6" t="str">
        <f t="shared" si="1"/>
        <v>22-12-2025</v>
      </c>
      <c r="R1106" s="6" t="str">
        <f>IFERROR( VLOOKUP(C28916,[1]expressOrderReport!$S:$AZ,34,0),0)</f>
        <v>#ERROR!</v>
      </c>
      <c r="S1106" s="6" t="str">
        <f>ARRAY_CONSTRAIN(ARRAYFORMULA(_xludf.XLOOKUP(D28916,[1]order_Report_SA_ID_BB2.0!V:V,[1]order_Report_SA_ID_BB2.0!AM:AM,"")), 1, 1)</f>
        <v>#ERROR!</v>
      </c>
      <c r="T1106" s="6" t="str">
        <f t="shared" si="2"/>
        <v>Dec'25</v>
      </c>
    </row>
    <row r="1107" ht="15.75" customHeight="1">
      <c r="A1107" s="5">
        <v>46013.0</v>
      </c>
      <c r="B1107" s="6">
        <v>1195.0</v>
      </c>
      <c r="C1107" s="6">
        <v>1.859165886E9</v>
      </c>
      <c r="D1107" s="6">
        <v>1.1594809E7</v>
      </c>
      <c r="E1107" s="6" t="s">
        <v>1742</v>
      </c>
      <c r="F1107" s="6" t="s">
        <v>1743</v>
      </c>
      <c r="G1107" s="6">
        <v>8.147801506E9</v>
      </c>
      <c r="H1107" s="6">
        <v>4.0149833E7</v>
      </c>
      <c r="I1107" s="6" t="s">
        <v>40</v>
      </c>
      <c r="J1107" s="6" t="s">
        <v>21</v>
      </c>
      <c r="K1107" s="6" t="s">
        <v>22</v>
      </c>
      <c r="L1107" s="6">
        <v>86.27</v>
      </c>
      <c r="M1107" s="5">
        <v>46013.0</v>
      </c>
      <c r="N1107" s="6" t="s">
        <v>23</v>
      </c>
      <c r="O1107" s="6" t="str">
        <f>SUMIFS([1]order_sku_sales_bb2_report!P:P,[1]order_sku_sales_bb2_report!H:H,C28917,[1]order_sku_sales_bb2_report!J:J,H28917)</f>
        <v>#ERROR!</v>
      </c>
      <c r="P1107" s="6" t="str">
        <f>SUMIFS([1]order_sku_sales_bb2_report!O:O,[1]order_sku_sales_bb2_report!H:H,C28917,[1]order_sku_sales_bb2_report!J:J,H28917)</f>
        <v>#ERROR!</v>
      </c>
      <c r="Q1107" s="6" t="str">
        <f t="shared" si="1"/>
        <v>22-12-2025</v>
      </c>
      <c r="R1107" s="6" t="str">
        <f>IFERROR( VLOOKUP(C28917,[1]expressOrderReport!$S:$AZ,34,0),0)</f>
        <v>#ERROR!</v>
      </c>
      <c r="S1107" s="6" t="str">
        <f>ARRAY_CONSTRAIN(ARRAYFORMULA(_xludf.XLOOKUP(D28917,[1]order_Report_SA_ID_BB2.0!V:V,[1]order_Report_SA_ID_BB2.0!AM:AM,"")), 1, 1)</f>
        <v>#ERROR!</v>
      </c>
      <c r="T1107" s="6" t="str">
        <f t="shared" si="2"/>
        <v>Dec'25</v>
      </c>
    </row>
    <row r="1108" ht="15.75" customHeight="1">
      <c r="A1108" s="5">
        <v>46013.0</v>
      </c>
      <c r="B1108" s="6">
        <v>6137.0</v>
      </c>
      <c r="C1108" s="6">
        <v>1.859165893E9</v>
      </c>
      <c r="D1108" s="6">
        <v>1.5085467E7</v>
      </c>
      <c r="E1108" s="6" t="s">
        <v>1744</v>
      </c>
      <c r="F1108" s="6" t="s">
        <v>1745</v>
      </c>
      <c r="G1108" s="6">
        <v>7.760052244E9</v>
      </c>
      <c r="H1108" s="6">
        <v>4.0149831E7</v>
      </c>
      <c r="I1108" s="6" t="s">
        <v>65</v>
      </c>
      <c r="J1108" s="6" t="s">
        <v>21</v>
      </c>
      <c r="K1108" s="6" t="s">
        <v>22</v>
      </c>
      <c r="L1108" s="6">
        <v>26.0</v>
      </c>
      <c r="M1108" s="5">
        <v>46013.0</v>
      </c>
      <c r="N1108" s="6" t="s">
        <v>23</v>
      </c>
      <c r="O1108" s="6" t="str">
        <f>SUMIFS([1]order_sku_sales_bb2_report!P:P,[1]order_sku_sales_bb2_report!H:H,C28918,[1]order_sku_sales_bb2_report!J:J,H28918)</f>
        <v>#ERROR!</v>
      </c>
      <c r="P1108" s="6" t="str">
        <f>SUMIFS([1]order_sku_sales_bb2_report!O:O,[1]order_sku_sales_bb2_report!H:H,C28918,[1]order_sku_sales_bb2_report!J:J,H28918)</f>
        <v>#ERROR!</v>
      </c>
      <c r="Q1108" s="6" t="str">
        <f t="shared" si="1"/>
        <v>22-12-2025</v>
      </c>
      <c r="R1108" s="6" t="str">
        <f>IFERROR( VLOOKUP(C28918,[1]expressOrderReport!$S:$AZ,34,0),0)</f>
        <v>#ERROR!</v>
      </c>
      <c r="S1108" s="6" t="str">
        <f>ARRAY_CONSTRAIN(ARRAYFORMULA(_xludf.XLOOKUP(D28918,[1]order_Report_SA_ID_BB2.0!V:V,[1]order_Report_SA_ID_BB2.0!AM:AM,"")), 1, 1)</f>
        <v>#ERROR!</v>
      </c>
      <c r="T1108" s="6" t="str">
        <f t="shared" si="2"/>
        <v>Dec'25</v>
      </c>
    </row>
    <row r="1109" ht="15.75" customHeight="1">
      <c r="A1109" s="5">
        <v>46013.0</v>
      </c>
      <c r="B1109" s="6">
        <v>7691.0</v>
      </c>
      <c r="C1109" s="6">
        <v>1.859165904E9</v>
      </c>
      <c r="D1109" s="6">
        <v>1.180259E7</v>
      </c>
      <c r="E1109" s="6" t="s">
        <v>1746</v>
      </c>
      <c r="F1109" s="6" t="s">
        <v>1747</v>
      </c>
      <c r="G1109" s="6">
        <v>9.482069249E9</v>
      </c>
      <c r="H1109" s="6">
        <v>4.014983E7</v>
      </c>
      <c r="I1109" s="6" t="s">
        <v>30</v>
      </c>
      <c r="J1109" s="6" t="s">
        <v>21</v>
      </c>
      <c r="K1109" s="6" t="s">
        <v>22</v>
      </c>
      <c r="L1109" s="6">
        <v>139.0</v>
      </c>
      <c r="M1109" s="5">
        <v>46013.0</v>
      </c>
      <c r="N1109" s="6" t="s">
        <v>23</v>
      </c>
      <c r="O1109" s="6" t="str">
        <f>SUMIFS([1]order_sku_sales_bb2_report!P:P,[1]order_sku_sales_bb2_report!H:H,C28919,[1]order_sku_sales_bb2_report!J:J,H28919)</f>
        <v>#ERROR!</v>
      </c>
      <c r="P1109" s="6" t="str">
        <f>SUMIFS([1]order_sku_sales_bb2_report!O:O,[1]order_sku_sales_bb2_report!H:H,C28919,[1]order_sku_sales_bb2_report!J:J,H28919)</f>
        <v>#ERROR!</v>
      </c>
      <c r="Q1109" s="6" t="str">
        <f t="shared" si="1"/>
        <v>22-12-2025</v>
      </c>
      <c r="R1109" s="6" t="str">
        <f>IFERROR( VLOOKUP(C28919,[1]expressOrderReport!$S:$AZ,34,0),0)</f>
        <v>#ERROR!</v>
      </c>
      <c r="S1109" s="6" t="str">
        <f>ARRAY_CONSTRAIN(ARRAYFORMULA(_xludf.XLOOKUP(D28919,[1]order_Report_SA_ID_BB2.0!V:V,[1]order_Report_SA_ID_BB2.0!AM:AM,"")), 1, 1)</f>
        <v>#ERROR!</v>
      </c>
      <c r="T1109" s="6" t="str">
        <f t="shared" si="2"/>
        <v>Dec'25</v>
      </c>
    </row>
    <row r="1110" ht="15.75" customHeight="1">
      <c r="A1110" s="5">
        <v>46013.0</v>
      </c>
      <c r="B1110" s="6">
        <v>7692.0</v>
      </c>
      <c r="C1110" s="6">
        <v>1.859165904E9</v>
      </c>
      <c r="D1110" s="6">
        <v>1.180259E7</v>
      </c>
      <c r="E1110" s="6" t="s">
        <v>1746</v>
      </c>
      <c r="F1110" s="6" t="s">
        <v>1747</v>
      </c>
      <c r="G1110" s="6">
        <v>9.482069249E9</v>
      </c>
      <c r="H1110" s="6">
        <v>4.0148723E7</v>
      </c>
      <c r="I1110" s="6" t="s">
        <v>69</v>
      </c>
      <c r="J1110" s="6" t="s">
        <v>21</v>
      </c>
      <c r="K1110" s="6" t="s">
        <v>22</v>
      </c>
      <c r="L1110" s="6">
        <v>139.0</v>
      </c>
      <c r="M1110" s="5">
        <v>46013.0</v>
      </c>
      <c r="N1110" s="6" t="s">
        <v>23</v>
      </c>
      <c r="O1110" s="6" t="str">
        <f>SUMIFS([1]order_sku_sales_bb2_report!P:P,[1]order_sku_sales_bb2_report!H:H,C28920,[1]order_sku_sales_bb2_report!J:J,H28920)</f>
        <v>#ERROR!</v>
      </c>
      <c r="P1110" s="6" t="str">
        <f>SUMIFS([1]order_sku_sales_bb2_report!O:O,[1]order_sku_sales_bb2_report!H:H,C28920,[1]order_sku_sales_bb2_report!J:J,H28920)</f>
        <v>#ERROR!</v>
      </c>
      <c r="Q1110" s="6" t="str">
        <f t="shared" si="1"/>
        <v>22-12-2025</v>
      </c>
      <c r="R1110" s="6" t="str">
        <f>IFERROR( VLOOKUP(C28920,[1]expressOrderReport!$S:$AZ,34,0),0)</f>
        <v>#ERROR!</v>
      </c>
      <c r="S1110" s="6" t="str">
        <f>ARRAY_CONSTRAIN(ARRAYFORMULA(_xludf.XLOOKUP(D28920,[1]order_Report_SA_ID_BB2.0!V:V,[1]order_Report_SA_ID_BB2.0!AM:AM,"")), 1, 1)</f>
        <v>#ERROR!</v>
      </c>
      <c r="T1110" s="6" t="str">
        <f t="shared" si="2"/>
        <v>Dec'25</v>
      </c>
    </row>
    <row r="1111" ht="15.75" customHeight="1">
      <c r="A1111" s="5">
        <v>46013.0</v>
      </c>
      <c r="B1111" s="6">
        <v>7693.0</v>
      </c>
      <c r="C1111" s="6">
        <v>1.859165904E9</v>
      </c>
      <c r="D1111" s="6">
        <v>1.180259E7</v>
      </c>
      <c r="E1111" s="6" t="s">
        <v>1746</v>
      </c>
      <c r="F1111" s="6" t="s">
        <v>1747</v>
      </c>
      <c r="G1111" s="6">
        <v>9.482069249E9</v>
      </c>
      <c r="H1111" s="6">
        <v>4.0149833E7</v>
      </c>
      <c r="I1111" s="6" t="s">
        <v>40</v>
      </c>
      <c r="J1111" s="6" t="s">
        <v>21</v>
      </c>
      <c r="K1111" s="6" t="s">
        <v>22</v>
      </c>
      <c r="L1111" s="6">
        <v>139.0</v>
      </c>
      <c r="M1111" s="5">
        <v>46013.0</v>
      </c>
      <c r="N1111" s="6" t="s">
        <v>23</v>
      </c>
      <c r="O1111" s="6" t="str">
        <f>SUMIFS([1]order_sku_sales_bb2_report!P:P,[1]order_sku_sales_bb2_report!H:H,C28921,[1]order_sku_sales_bb2_report!J:J,H28921)</f>
        <v>#ERROR!</v>
      </c>
      <c r="P1111" s="6" t="str">
        <f>SUMIFS([1]order_sku_sales_bb2_report!O:O,[1]order_sku_sales_bb2_report!H:H,C28921,[1]order_sku_sales_bb2_report!J:J,H28921)</f>
        <v>#ERROR!</v>
      </c>
      <c r="Q1111" s="6" t="str">
        <f t="shared" si="1"/>
        <v>22-12-2025</v>
      </c>
      <c r="R1111" s="6" t="str">
        <f>IFERROR( VLOOKUP(C28921,[1]expressOrderReport!$S:$AZ,34,0),0)</f>
        <v>#ERROR!</v>
      </c>
      <c r="S1111" s="6" t="str">
        <f>ARRAY_CONSTRAIN(ARRAYFORMULA(_xludf.XLOOKUP(D28921,[1]order_Report_SA_ID_BB2.0!V:V,[1]order_Report_SA_ID_BB2.0!AM:AM,"")), 1, 1)</f>
        <v>#ERROR!</v>
      </c>
      <c r="T1111" s="6" t="str">
        <f t="shared" si="2"/>
        <v>Dec'25</v>
      </c>
    </row>
    <row r="1112" ht="15.75" customHeight="1">
      <c r="A1112" s="5">
        <v>46013.0</v>
      </c>
      <c r="B1112" s="6">
        <v>6720.0</v>
      </c>
      <c r="C1112" s="6">
        <v>1.859165917E9</v>
      </c>
      <c r="D1112" s="6">
        <v>219041.0</v>
      </c>
      <c r="E1112" s="6" t="s">
        <v>1748</v>
      </c>
      <c r="F1112" s="6" t="s">
        <v>1749</v>
      </c>
      <c r="G1112" s="6">
        <v>8.970405611E9</v>
      </c>
      <c r="H1112" s="6">
        <v>4.0149834E7</v>
      </c>
      <c r="I1112" s="6" t="s">
        <v>40</v>
      </c>
      <c r="J1112" s="6" t="s">
        <v>21</v>
      </c>
      <c r="K1112" s="6" t="s">
        <v>22</v>
      </c>
      <c r="L1112" s="6">
        <v>110.4</v>
      </c>
      <c r="M1112" s="5">
        <v>46013.0</v>
      </c>
      <c r="N1112" s="6" t="s">
        <v>23</v>
      </c>
      <c r="O1112" s="6" t="str">
        <f>SUMIFS([1]order_sku_sales_bb2_report!P:P,[1]order_sku_sales_bb2_report!H:H,C28922,[1]order_sku_sales_bb2_report!J:J,H28922)</f>
        <v>#ERROR!</v>
      </c>
      <c r="P1112" s="6" t="str">
        <f>SUMIFS([1]order_sku_sales_bb2_report!O:O,[1]order_sku_sales_bb2_report!H:H,C28922,[1]order_sku_sales_bb2_report!J:J,H28922)</f>
        <v>#ERROR!</v>
      </c>
      <c r="Q1112" s="6" t="str">
        <f t="shared" si="1"/>
        <v>22-12-2025</v>
      </c>
      <c r="R1112" s="6" t="str">
        <f>IFERROR( VLOOKUP(C28922,[1]expressOrderReport!$S:$AZ,34,0),0)</f>
        <v>#ERROR!</v>
      </c>
      <c r="S1112" s="6" t="str">
        <f>ARRAY_CONSTRAIN(ARRAYFORMULA(_xludf.XLOOKUP(D28922,[1]order_Report_SA_ID_BB2.0!V:V,[1]order_Report_SA_ID_BB2.0!AM:AM,"")), 1, 1)</f>
        <v>#ERROR!</v>
      </c>
      <c r="T1112" s="6" t="str">
        <f t="shared" si="2"/>
        <v>Dec'25</v>
      </c>
    </row>
    <row r="1113" ht="15.75" customHeight="1">
      <c r="A1113" s="5">
        <v>46013.0</v>
      </c>
      <c r="B1113" s="6">
        <v>6721.0</v>
      </c>
      <c r="C1113" s="6">
        <v>1.859165917E9</v>
      </c>
      <c r="D1113" s="6">
        <v>219041.0</v>
      </c>
      <c r="E1113" s="6" t="s">
        <v>1748</v>
      </c>
      <c r="F1113" s="6" t="s">
        <v>1749</v>
      </c>
      <c r="G1113" s="6">
        <v>8.970405611E9</v>
      </c>
      <c r="H1113" s="6">
        <v>4.014983E7</v>
      </c>
      <c r="I1113" s="6" t="s">
        <v>30</v>
      </c>
      <c r="J1113" s="6" t="s">
        <v>21</v>
      </c>
      <c r="K1113" s="6" t="s">
        <v>22</v>
      </c>
      <c r="L1113" s="6">
        <v>110.4</v>
      </c>
      <c r="M1113" s="5">
        <v>46013.0</v>
      </c>
      <c r="N1113" s="6" t="s">
        <v>23</v>
      </c>
      <c r="O1113" s="6" t="str">
        <f>SUMIFS([1]order_sku_sales_bb2_report!P:P,[1]order_sku_sales_bb2_report!H:H,C28923,[1]order_sku_sales_bb2_report!J:J,H28923)</f>
        <v>#ERROR!</v>
      </c>
      <c r="P1113" s="6" t="str">
        <f>SUMIFS([1]order_sku_sales_bb2_report!O:O,[1]order_sku_sales_bb2_report!H:H,C28923,[1]order_sku_sales_bb2_report!J:J,H28923)</f>
        <v>#ERROR!</v>
      </c>
      <c r="Q1113" s="6" t="str">
        <f t="shared" si="1"/>
        <v>22-12-2025</v>
      </c>
      <c r="R1113" s="6" t="str">
        <f>IFERROR( VLOOKUP(C28923,[1]expressOrderReport!$S:$AZ,34,0),0)</f>
        <v>#ERROR!</v>
      </c>
      <c r="S1113" s="6" t="str">
        <f>ARRAY_CONSTRAIN(ARRAYFORMULA(_xludf.XLOOKUP(D28923,[1]order_Report_SA_ID_BB2.0!V:V,[1]order_Report_SA_ID_BB2.0!AM:AM,"")), 1, 1)</f>
        <v>#ERROR!</v>
      </c>
      <c r="T1113" s="6" t="str">
        <f t="shared" si="2"/>
        <v>Dec'25</v>
      </c>
    </row>
    <row r="1114" ht="15.75" customHeight="1">
      <c r="A1114" s="5">
        <v>46013.0</v>
      </c>
      <c r="B1114" s="6">
        <v>6722.0</v>
      </c>
      <c r="C1114" s="6">
        <v>1.859165917E9</v>
      </c>
      <c r="D1114" s="6">
        <v>219041.0</v>
      </c>
      <c r="E1114" s="6" t="s">
        <v>1748</v>
      </c>
      <c r="F1114" s="6" t="s">
        <v>1749</v>
      </c>
      <c r="G1114" s="6">
        <v>8.970405611E9</v>
      </c>
      <c r="H1114" s="6">
        <v>4.0163722E7</v>
      </c>
      <c r="I1114" s="6" t="s">
        <v>385</v>
      </c>
      <c r="J1114" s="6" t="s">
        <v>21</v>
      </c>
      <c r="K1114" s="6" t="s">
        <v>22</v>
      </c>
      <c r="L1114" s="6">
        <v>110.4</v>
      </c>
      <c r="M1114" s="5">
        <v>46013.0</v>
      </c>
      <c r="N1114" s="6" t="s">
        <v>23</v>
      </c>
      <c r="O1114" s="6" t="str">
        <f>SUMIFS([1]order_sku_sales_bb2_report!P:P,[1]order_sku_sales_bb2_report!H:H,C28924,[1]order_sku_sales_bb2_report!J:J,H28924)</f>
        <v>#ERROR!</v>
      </c>
      <c r="P1114" s="6" t="str">
        <f>SUMIFS([1]order_sku_sales_bb2_report!O:O,[1]order_sku_sales_bb2_report!H:H,C28924,[1]order_sku_sales_bb2_report!J:J,H28924)</f>
        <v>#ERROR!</v>
      </c>
      <c r="Q1114" s="6" t="str">
        <f t="shared" si="1"/>
        <v>22-12-2025</v>
      </c>
      <c r="R1114" s="6" t="str">
        <f>IFERROR( VLOOKUP(C28924,[1]expressOrderReport!$S:$AZ,34,0),0)</f>
        <v>#ERROR!</v>
      </c>
      <c r="S1114" s="6" t="str">
        <f>ARRAY_CONSTRAIN(ARRAYFORMULA(_xludf.XLOOKUP(D28924,[1]order_Report_SA_ID_BB2.0!V:V,[1]order_Report_SA_ID_BB2.0!AM:AM,"")), 1, 1)</f>
        <v>#ERROR!</v>
      </c>
      <c r="T1114" s="6" t="str">
        <f t="shared" si="2"/>
        <v>Dec'25</v>
      </c>
    </row>
    <row r="1115" ht="15.75" customHeight="1">
      <c r="A1115" s="5">
        <v>46013.0</v>
      </c>
      <c r="B1115" s="6">
        <v>10624.0</v>
      </c>
      <c r="C1115" s="6">
        <v>1.859165931E9</v>
      </c>
      <c r="D1115" s="6">
        <v>4911264.0</v>
      </c>
      <c r="E1115" s="6" t="s">
        <v>1750</v>
      </c>
      <c r="F1115" s="6" t="s">
        <v>1751</v>
      </c>
      <c r="G1115" s="6">
        <v>8.147321664E9</v>
      </c>
      <c r="H1115" s="6">
        <v>4.0148714E7</v>
      </c>
      <c r="I1115" s="6" t="s">
        <v>183</v>
      </c>
      <c r="J1115" s="6" t="s">
        <v>21</v>
      </c>
      <c r="K1115" s="6" t="s">
        <v>22</v>
      </c>
      <c r="L1115" s="6">
        <v>141.0</v>
      </c>
      <c r="M1115" s="5">
        <v>46013.0</v>
      </c>
      <c r="N1115" s="6" t="s">
        <v>23</v>
      </c>
      <c r="O1115" s="6" t="str">
        <f>SUMIFS([1]order_sku_sales_bb2_report!P:P,[1]order_sku_sales_bb2_report!H:H,C28925,[1]order_sku_sales_bb2_report!J:J,H28925)</f>
        <v>#ERROR!</v>
      </c>
      <c r="P1115" s="6" t="str">
        <f>SUMIFS([1]order_sku_sales_bb2_report!O:O,[1]order_sku_sales_bb2_report!H:H,C28925,[1]order_sku_sales_bb2_report!J:J,H28925)</f>
        <v>#ERROR!</v>
      </c>
      <c r="Q1115" s="6" t="str">
        <f t="shared" si="1"/>
        <v>22-12-2025</v>
      </c>
      <c r="R1115" s="6" t="str">
        <f>IFERROR( VLOOKUP(C28925,[1]expressOrderReport!$S:$AZ,34,0),0)</f>
        <v>#ERROR!</v>
      </c>
      <c r="S1115" s="6" t="str">
        <f>ARRAY_CONSTRAIN(ARRAYFORMULA(_xludf.XLOOKUP(D28925,[1]order_Report_SA_ID_BB2.0!V:V,[1]order_Report_SA_ID_BB2.0!AM:AM,"")), 1, 1)</f>
        <v>#ERROR!</v>
      </c>
      <c r="T1115" s="6" t="str">
        <f t="shared" si="2"/>
        <v>Dec'25</v>
      </c>
    </row>
    <row r="1116" ht="15.75" customHeight="1">
      <c r="A1116" s="5">
        <v>46013.0</v>
      </c>
      <c r="B1116" s="6">
        <v>9179.0</v>
      </c>
      <c r="C1116" s="6">
        <v>1.859165937E9</v>
      </c>
      <c r="D1116" s="6">
        <v>1.535445E7</v>
      </c>
      <c r="E1116" s="6" t="s">
        <v>1752</v>
      </c>
      <c r="F1116" s="6" t="s">
        <v>1753</v>
      </c>
      <c r="G1116" s="6">
        <v>9.886422322E9</v>
      </c>
      <c r="H1116" s="6">
        <v>4.0149834E7</v>
      </c>
      <c r="I1116" s="6" t="s">
        <v>40</v>
      </c>
      <c r="J1116" s="6" t="s">
        <v>21</v>
      </c>
      <c r="K1116" s="6" t="s">
        <v>22</v>
      </c>
      <c r="L1116" s="6">
        <v>99.0</v>
      </c>
      <c r="M1116" s="5">
        <v>46013.0</v>
      </c>
      <c r="N1116" s="6" t="s">
        <v>23</v>
      </c>
      <c r="O1116" s="6" t="str">
        <f>SUMIFS([1]order_sku_sales_bb2_report!P:P,[1]order_sku_sales_bb2_report!H:H,C28926,[1]order_sku_sales_bb2_report!J:J,H28926)</f>
        <v>#ERROR!</v>
      </c>
      <c r="P1116" s="6" t="str">
        <f>SUMIFS([1]order_sku_sales_bb2_report!O:O,[1]order_sku_sales_bb2_report!H:H,C28926,[1]order_sku_sales_bb2_report!J:J,H28926)</f>
        <v>#ERROR!</v>
      </c>
      <c r="Q1116" s="6" t="str">
        <f t="shared" si="1"/>
        <v>22-12-2025</v>
      </c>
      <c r="R1116" s="6" t="str">
        <f>IFERROR( VLOOKUP(C28926,[1]expressOrderReport!$S:$AZ,34,0),0)</f>
        <v>#ERROR!</v>
      </c>
      <c r="S1116" s="6" t="str">
        <f>ARRAY_CONSTRAIN(ARRAYFORMULA(_xludf.XLOOKUP(D28926,[1]order_Report_SA_ID_BB2.0!V:V,[1]order_Report_SA_ID_BB2.0!AM:AM,"")), 1, 1)</f>
        <v>#ERROR!</v>
      </c>
      <c r="T1116" s="6" t="str">
        <f t="shared" si="2"/>
        <v>Dec'25</v>
      </c>
    </row>
    <row r="1117" ht="15.75" customHeight="1">
      <c r="A1117" s="5">
        <v>46013.0</v>
      </c>
      <c r="B1117" s="6">
        <v>9180.0</v>
      </c>
      <c r="C1117" s="6">
        <v>1.859165937E9</v>
      </c>
      <c r="D1117" s="6">
        <v>1.535445E7</v>
      </c>
      <c r="E1117" s="6" t="s">
        <v>1752</v>
      </c>
      <c r="F1117" s="6" t="s">
        <v>1753</v>
      </c>
      <c r="G1117" s="6">
        <v>9.886422322E9</v>
      </c>
      <c r="H1117" s="6">
        <v>4.0148714E7</v>
      </c>
      <c r="I1117" s="6" t="s">
        <v>183</v>
      </c>
      <c r="J1117" s="6" t="s">
        <v>21</v>
      </c>
      <c r="K1117" s="6" t="s">
        <v>22</v>
      </c>
      <c r="L1117" s="6">
        <v>99.0</v>
      </c>
      <c r="M1117" s="5">
        <v>46013.0</v>
      </c>
      <c r="N1117" s="6" t="s">
        <v>23</v>
      </c>
      <c r="O1117" s="6" t="str">
        <f>SUMIFS([1]order_sku_sales_bb2_report!P:P,[1]order_sku_sales_bb2_report!H:H,C28927,[1]order_sku_sales_bb2_report!J:J,H28927)</f>
        <v>#ERROR!</v>
      </c>
      <c r="P1117" s="6" t="str">
        <f>SUMIFS([1]order_sku_sales_bb2_report!O:O,[1]order_sku_sales_bb2_report!H:H,C28927,[1]order_sku_sales_bb2_report!J:J,H28927)</f>
        <v>#ERROR!</v>
      </c>
      <c r="Q1117" s="6" t="str">
        <f t="shared" si="1"/>
        <v>22-12-2025</v>
      </c>
      <c r="R1117" s="6" t="str">
        <f>IFERROR( VLOOKUP(C28927,[1]expressOrderReport!$S:$AZ,34,0),0)</f>
        <v>#ERROR!</v>
      </c>
      <c r="S1117" s="6" t="str">
        <f>ARRAY_CONSTRAIN(ARRAYFORMULA(_xludf.XLOOKUP(D28927,[1]order_Report_SA_ID_BB2.0!V:V,[1]order_Report_SA_ID_BB2.0!AM:AM,"")), 1, 1)</f>
        <v>#ERROR!</v>
      </c>
      <c r="T1117" s="6" t="str">
        <f t="shared" si="2"/>
        <v>Dec'25</v>
      </c>
    </row>
    <row r="1118" ht="15.75" customHeight="1">
      <c r="A1118" s="5">
        <v>46013.0</v>
      </c>
      <c r="B1118" s="6">
        <v>10639.0</v>
      </c>
      <c r="C1118" s="6">
        <v>1.85916595E9</v>
      </c>
      <c r="D1118" s="6">
        <v>1720071.0</v>
      </c>
      <c r="E1118" s="6" t="s">
        <v>1754</v>
      </c>
      <c r="F1118" s="6" t="s">
        <v>1755</v>
      </c>
      <c r="G1118" s="6">
        <v>8.710939758E9</v>
      </c>
      <c r="H1118" s="6">
        <v>4.0149832E7</v>
      </c>
      <c r="I1118" s="6" t="s">
        <v>26</v>
      </c>
      <c r="J1118" s="6" t="s">
        <v>21</v>
      </c>
      <c r="K1118" s="6" t="s">
        <v>22</v>
      </c>
      <c r="L1118" s="6">
        <v>24.0</v>
      </c>
      <c r="M1118" s="5">
        <v>46013.0</v>
      </c>
      <c r="N1118" s="6" t="s">
        <v>23</v>
      </c>
      <c r="O1118" s="6" t="str">
        <f>SUMIFS([1]order_sku_sales_bb2_report!P:P,[1]order_sku_sales_bb2_report!H:H,C28928,[1]order_sku_sales_bb2_report!J:J,H28928)</f>
        <v>#ERROR!</v>
      </c>
      <c r="P1118" s="6" t="str">
        <f>SUMIFS([1]order_sku_sales_bb2_report!O:O,[1]order_sku_sales_bb2_report!H:H,C28928,[1]order_sku_sales_bb2_report!J:J,H28928)</f>
        <v>#ERROR!</v>
      </c>
      <c r="Q1118" s="6" t="str">
        <f t="shared" si="1"/>
        <v>22-12-2025</v>
      </c>
      <c r="R1118" s="6" t="str">
        <f>IFERROR( VLOOKUP(C28928,[1]expressOrderReport!$S:$AZ,34,0),0)</f>
        <v>#ERROR!</v>
      </c>
      <c r="S1118" s="6" t="str">
        <f>ARRAY_CONSTRAIN(ARRAYFORMULA(_xludf.XLOOKUP(D28928,[1]order_Report_SA_ID_BB2.0!V:V,[1]order_Report_SA_ID_BB2.0!AM:AM,"")), 1, 1)</f>
        <v>#ERROR!</v>
      </c>
      <c r="T1118" s="6" t="str">
        <f t="shared" si="2"/>
        <v>Dec'25</v>
      </c>
    </row>
    <row r="1119" ht="15.75" customHeight="1">
      <c r="A1119" s="5">
        <v>46013.0</v>
      </c>
      <c r="B1119" s="6">
        <v>2560.0</v>
      </c>
      <c r="C1119" s="6">
        <v>1.85916596E9</v>
      </c>
      <c r="D1119" s="6">
        <v>1.5366935E7</v>
      </c>
      <c r="E1119" s="6" t="s">
        <v>1756</v>
      </c>
      <c r="F1119" s="6" t="s">
        <v>1757</v>
      </c>
      <c r="G1119" s="6">
        <v>9.742173547E9</v>
      </c>
      <c r="H1119" s="6">
        <v>281204.0</v>
      </c>
      <c r="I1119" s="6" t="s">
        <v>1469</v>
      </c>
      <c r="J1119" s="6" t="s">
        <v>21</v>
      </c>
      <c r="K1119" s="6" t="s">
        <v>22</v>
      </c>
      <c r="L1119" s="6">
        <v>55.0</v>
      </c>
      <c r="M1119" s="5">
        <v>46013.0</v>
      </c>
      <c r="N1119" s="6" t="s">
        <v>23</v>
      </c>
      <c r="O1119" s="6" t="str">
        <f>SUMIFS([1]order_sku_sales_bb2_report!P:P,[1]order_sku_sales_bb2_report!H:H,C28929,[1]order_sku_sales_bb2_report!J:J,H28929)</f>
        <v>#ERROR!</v>
      </c>
      <c r="P1119" s="6" t="str">
        <f>SUMIFS([1]order_sku_sales_bb2_report!O:O,[1]order_sku_sales_bb2_report!H:H,C28929,[1]order_sku_sales_bb2_report!J:J,H28929)</f>
        <v>#ERROR!</v>
      </c>
      <c r="Q1119" s="6" t="str">
        <f t="shared" si="1"/>
        <v>22-12-2025</v>
      </c>
      <c r="R1119" s="6" t="str">
        <f>IFERROR( VLOOKUP(C28929,[1]expressOrderReport!$S:$AZ,34,0),0)</f>
        <v>#ERROR!</v>
      </c>
      <c r="S1119" s="6" t="str">
        <f>ARRAY_CONSTRAIN(ARRAYFORMULA(_xludf.XLOOKUP(D28929,[1]order_Report_SA_ID_BB2.0!V:V,[1]order_Report_SA_ID_BB2.0!AM:AM,"")), 1, 1)</f>
        <v>#ERROR!</v>
      </c>
      <c r="T1119" s="6" t="str">
        <f t="shared" si="2"/>
        <v>Dec'25</v>
      </c>
    </row>
    <row r="1120" ht="15.75" customHeight="1">
      <c r="A1120" s="5">
        <v>46013.0</v>
      </c>
      <c r="B1120" s="6">
        <v>8580.0</v>
      </c>
      <c r="C1120" s="6">
        <v>1.859165972E9</v>
      </c>
      <c r="D1120" s="6">
        <v>153459.0</v>
      </c>
      <c r="E1120" s="6" t="s">
        <v>1758</v>
      </c>
      <c r="F1120" s="6" t="s">
        <v>1759</v>
      </c>
      <c r="G1120" s="6">
        <v>9.686613256E9</v>
      </c>
      <c r="H1120" s="6">
        <v>4.0161616E7</v>
      </c>
      <c r="I1120" s="6" t="s">
        <v>20</v>
      </c>
      <c r="J1120" s="6" t="s">
        <v>21</v>
      </c>
      <c r="K1120" s="6" t="s">
        <v>22</v>
      </c>
      <c r="L1120" s="6">
        <v>56.0</v>
      </c>
      <c r="M1120" s="5">
        <v>46013.0</v>
      </c>
      <c r="N1120" s="6" t="s">
        <v>23</v>
      </c>
      <c r="O1120" s="6" t="str">
        <f>SUMIFS([1]order_sku_sales_bb2_report!P:P,[1]order_sku_sales_bb2_report!H:H,C28930,[1]order_sku_sales_bb2_report!J:J,H28930)</f>
        <v>#ERROR!</v>
      </c>
      <c r="P1120" s="6" t="str">
        <f>SUMIFS([1]order_sku_sales_bb2_report!O:O,[1]order_sku_sales_bb2_report!H:H,C28930,[1]order_sku_sales_bb2_report!J:J,H28930)</f>
        <v>#ERROR!</v>
      </c>
      <c r="Q1120" s="6" t="str">
        <f t="shared" si="1"/>
        <v>22-12-2025</v>
      </c>
      <c r="R1120" s="6" t="str">
        <f>IFERROR( VLOOKUP(C28930,[1]expressOrderReport!$S:$AZ,34,0),0)</f>
        <v>#ERROR!</v>
      </c>
      <c r="S1120" s="6" t="str">
        <f>ARRAY_CONSTRAIN(ARRAYFORMULA(_xludf.XLOOKUP(D28930,[1]order_Report_SA_ID_BB2.0!V:V,[1]order_Report_SA_ID_BB2.0!AM:AM,"")), 1, 1)</f>
        <v>#ERROR!</v>
      </c>
      <c r="T1120" s="6" t="str">
        <f t="shared" si="2"/>
        <v>Dec'25</v>
      </c>
    </row>
    <row r="1121" ht="15.75" customHeight="1">
      <c r="A1121" s="5">
        <v>46013.0</v>
      </c>
      <c r="B1121" s="6">
        <v>9155.0</v>
      </c>
      <c r="C1121" s="6">
        <v>1.859165978E9</v>
      </c>
      <c r="D1121" s="6">
        <v>6299675.0</v>
      </c>
      <c r="E1121" s="6" t="s">
        <v>1760</v>
      </c>
      <c r="F1121" s="6" t="s">
        <v>1761</v>
      </c>
      <c r="G1121" s="6">
        <v>9.167518804E9</v>
      </c>
      <c r="H1121" s="6">
        <v>4.0148716E7</v>
      </c>
      <c r="I1121" s="6" t="s">
        <v>148</v>
      </c>
      <c r="J1121" s="6" t="s">
        <v>21</v>
      </c>
      <c r="K1121" s="6" t="s">
        <v>22</v>
      </c>
      <c r="L1121" s="6">
        <v>45.0</v>
      </c>
      <c r="M1121" s="5">
        <v>46013.0</v>
      </c>
      <c r="N1121" s="6" t="s">
        <v>23</v>
      </c>
      <c r="O1121" s="6" t="str">
        <f>SUMIFS([1]order_sku_sales_bb2_report!P:P,[1]order_sku_sales_bb2_report!H:H,C28931,[1]order_sku_sales_bb2_report!J:J,H28931)</f>
        <v>#ERROR!</v>
      </c>
      <c r="P1121" s="6" t="str">
        <f>SUMIFS([1]order_sku_sales_bb2_report!O:O,[1]order_sku_sales_bb2_report!H:H,C28931,[1]order_sku_sales_bb2_report!J:J,H28931)</f>
        <v>#ERROR!</v>
      </c>
      <c r="Q1121" s="6" t="str">
        <f t="shared" si="1"/>
        <v>22-12-2025</v>
      </c>
      <c r="R1121" s="6" t="str">
        <f>IFERROR( VLOOKUP(C28931,[1]expressOrderReport!$S:$AZ,34,0),0)</f>
        <v>#ERROR!</v>
      </c>
      <c r="S1121" s="6" t="str">
        <f>ARRAY_CONSTRAIN(ARRAYFORMULA(_xludf.XLOOKUP(D28931,[1]order_Report_SA_ID_BB2.0!V:V,[1]order_Report_SA_ID_BB2.0!AM:AM,"")), 1, 1)</f>
        <v>#ERROR!</v>
      </c>
      <c r="T1121" s="6" t="str">
        <f t="shared" si="2"/>
        <v>Dec'25</v>
      </c>
    </row>
    <row r="1122" ht="15.75" customHeight="1">
      <c r="A1122" s="5">
        <v>46013.0</v>
      </c>
      <c r="B1122" s="6">
        <v>11811.0</v>
      </c>
      <c r="C1122" s="6">
        <v>1.859165987E9</v>
      </c>
      <c r="D1122" s="6">
        <v>1.550098E7</v>
      </c>
      <c r="E1122" s="6" t="s">
        <v>1762</v>
      </c>
      <c r="F1122" s="6" t="s">
        <v>1763</v>
      </c>
      <c r="G1122" s="6">
        <v>9.166119475E9</v>
      </c>
      <c r="H1122" s="6">
        <v>4.0147597E7</v>
      </c>
      <c r="I1122" s="6" t="s">
        <v>59</v>
      </c>
      <c r="J1122" s="6" t="s">
        <v>21</v>
      </c>
      <c r="K1122" s="6" t="s">
        <v>22</v>
      </c>
      <c r="L1122" s="6">
        <v>78.0</v>
      </c>
      <c r="M1122" s="5">
        <v>46013.0</v>
      </c>
      <c r="N1122" s="6" t="s">
        <v>23</v>
      </c>
      <c r="O1122" s="6" t="str">
        <f>SUMIFS([1]order_sku_sales_bb2_report!P:P,[1]order_sku_sales_bb2_report!H:H,C28932,[1]order_sku_sales_bb2_report!J:J,H28932)</f>
        <v>#ERROR!</v>
      </c>
      <c r="P1122" s="6" t="str">
        <f>SUMIFS([1]order_sku_sales_bb2_report!O:O,[1]order_sku_sales_bb2_report!H:H,C28932,[1]order_sku_sales_bb2_report!J:J,H28932)</f>
        <v>#ERROR!</v>
      </c>
      <c r="Q1122" s="6" t="str">
        <f t="shared" si="1"/>
        <v>22-12-2025</v>
      </c>
      <c r="R1122" s="6" t="str">
        <f>IFERROR( VLOOKUP(C28932,[1]expressOrderReport!$S:$AZ,34,0),0)</f>
        <v>#ERROR!</v>
      </c>
      <c r="S1122" s="6" t="str">
        <f>ARRAY_CONSTRAIN(ARRAYFORMULA(_xludf.XLOOKUP(D28932,[1]order_Report_SA_ID_BB2.0!V:V,[1]order_Report_SA_ID_BB2.0!AM:AM,"")), 1, 1)</f>
        <v>#ERROR!</v>
      </c>
      <c r="T1122" s="6" t="str">
        <f t="shared" si="2"/>
        <v>Dec'25</v>
      </c>
    </row>
    <row r="1123" ht="15.75" customHeight="1">
      <c r="A1123" s="5">
        <v>46013.0</v>
      </c>
      <c r="B1123" s="6">
        <v>2540.0</v>
      </c>
      <c r="C1123" s="6">
        <v>1.859165993E9</v>
      </c>
      <c r="D1123" s="6">
        <v>1.5523874E7</v>
      </c>
      <c r="E1123" s="6" t="s">
        <v>1764</v>
      </c>
      <c r="F1123" s="6" t="s">
        <v>1765</v>
      </c>
      <c r="G1123" s="6">
        <v>9.886780682E9</v>
      </c>
      <c r="H1123" s="6">
        <v>4.0149832E7</v>
      </c>
      <c r="I1123" s="6" t="s">
        <v>26</v>
      </c>
      <c r="J1123" s="6" t="s">
        <v>21</v>
      </c>
      <c r="K1123" s="6" t="s">
        <v>22</v>
      </c>
      <c r="L1123" s="6">
        <v>48.0</v>
      </c>
      <c r="M1123" s="5">
        <v>46013.0</v>
      </c>
      <c r="N1123" s="6" t="s">
        <v>23</v>
      </c>
      <c r="O1123" s="6" t="str">
        <f>SUMIFS([1]order_sku_sales_bb2_report!P:P,[1]order_sku_sales_bb2_report!H:H,C28933,[1]order_sku_sales_bb2_report!J:J,H28933)</f>
        <v>#ERROR!</v>
      </c>
      <c r="P1123" s="6" t="str">
        <f>SUMIFS([1]order_sku_sales_bb2_report!O:O,[1]order_sku_sales_bb2_report!H:H,C28933,[1]order_sku_sales_bb2_report!J:J,H28933)</f>
        <v>#ERROR!</v>
      </c>
      <c r="Q1123" s="6" t="str">
        <f t="shared" si="1"/>
        <v>22-12-2025</v>
      </c>
      <c r="R1123" s="6" t="str">
        <f>IFERROR( VLOOKUP(C28933,[1]expressOrderReport!$S:$AZ,34,0),0)</f>
        <v>#ERROR!</v>
      </c>
      <c r="S1123" s="6" t="str">
        <f>ARRAY_CONSTRAIN(ARRAYFORMULA(_xludf.XLOOKUP(D28933,[1]order_Report_SA_ID_BB2.0!V:V,[1]order_Report_SA_ID_BB2.0!AM:AM,"")), 1, 1)</f>
        <v>#ERROR!</v>
      </c>
      <c r="T1123" s="6" t="str">
        <f t="shared" si="2"/>
        <v>Dec'25</v>
      </c>
    </row>
    <row r="1124" ht="15.75" customHeight="1">
      <c r="A1124" s="5">
        <v>46013.0</v>
      </c>
      <c r="B1124" s="6">
        <v>7920.0</v>
      </c>
      <c r="C1124" s="6">
        <v>1.859167315E9</v>
      </c>
      <c r="D1124" s="6">
        <v>2.8092141E7</v>
      </c>
      <c r="E1124" s="6" t="s">
        <v>1766</v>
      </c>
      <c r="F1124" s="6" t="s">
        <v>1767</v>
      </c>
      <c r="G1124" s="6">
        <v>9.44470958E9</v>
      </c>
      <c r="H1124" s="6">
        <v>4.0147633E7</v>
      </c>
      <c r="I1124" s="6" t="s">
        <v>1036</v>
      </c>
      <c r="J1124" s="6" t="s">
        <v>21</v>
      </c>
      <c r="K1124" s="6" t="s">
        <v>22</v>
      </c>
      <c r="L1124" s="6">
        <v>192.0</v>
      </c>
      <c r="M1124" s="5">
        <v>46013.0</v>
      </c>
      <c r="N1124" s="6" t="s">
        <v>23</v>
      </c>
      <c r="O1124" s="6" t="str">
        <f>SUMIFS([1]order_sku_sales_bb2_report!P:P,[1]order_sku_sales_bb2_report!H:H,C28934,[1]order_sku_sales_bb2_report!J:J,H28934)</f>
        <v>#ERROR!</v>
      </c>
      <c r="P1124" s="6" t="str">
        <f>SUMIFS([1]order_sku_sales_bb2_report!O:O,[1]order_sku_sales_bb2_report!H:H,C28934,[1]order_sku_sales_bb2_report!J:J,H28934)</f>
        <v>#ERROR!</v>
      </c>
      <c r="Q1124" s="6" t="str">
        <f t="shared" si="1"/>
        <v>22-12-2025</v>
      </c>
      <c r="R1124" s="6" t="str">
        <f>IFERROR( VLOOKUP(C28934,[1]expressOrderReport!$S:$AZ,34,0),0)</f>
        <v>#ERROR!</v>
      </c>
      <c r="S1124" s="6" t="str">
        <f>ARRAY_CONSTRAIN(ARRAYFORMULA(_xludf.XLOOKUP(D28934,[1]order_Report_SA_ID_BB2.0!V:V,[1]order_Report_SA_ID_BB2.0!AM:AM,"")), 1, 1)</f>
        <v>#ERROR!</v>
      </c>
      <c r="T1124" s="6" t="str">
        <f t="shared" si="2"/>
        <v>Dec'25</v>
      </c>
    </row>
    <row r="1125" ht="15.75" customHeight="1">
      <c r="A1125" s="5">
        <v>46013.0</v>
      </c>
      <c r="B1125" s="6">
        <v>1780.0</v>
      </c>
      <c r="C1125" s="6">
        <v>1.859167323E9</v>
      </c>
      <c r="D1125" s="6">
        <v>129261.0</v>
      </c>
      <c r="E1125" s="6" t="s">
        <v>1768</v>
      </c>
      <c r="F1125" s="6" t="s">
        <v>1769</v>
      </c>
      <c r="G1125" s="6">
        <v>9.160844411E9</v>
      </c>
      <c r="H1125" s="6">
        <v>4.0090893E7</v>
      </c>
      <c r="I1125" s="6" t="s">
        <v>35</v>
      </c>
      <c r="J1125" s="6" t="s">
        <v>21</v>
      </c>
      <c r="K1125" s="6" t="s">
        <v>22</v>
      </c>
      <c r="L1125" s="6">
        <v>59.0</v>
      </c>
      <c r="M1125" s="5">
        <v>46013.0</v>
      </c>
      <c r="N1125" s="6" t="s">
        <v>23</v>
      </c>
      <c r="O1125" s="6" t="str">
        <f>SUMIFS([1]order_sku_sales_bb2_report!P:P,[1]order_sku_sales_bb2_report!H:H,C28935,[1]order_sku_sales_bb2_report!J:J,H28935)</f>
        <v>#ERROR!</v>
      </c>
      <c r="P1125" s="6" t="str">
        <f>SUMIFS([1]order_sku_sales_bb2_report!O:O,[1]order_sku_sales_bb2_report!H:H,C28935,[1]order_sku_sales_bb2_report!J:J,H28935)</f>
        <v>#ERROR!</v>
      </c>
      <c r="Q1125" s="6" t="str">
        <f t="shared" si="1"/>
        <v>22-12-2025</v>
      </c>
      <c r="R1125" s="6" t="str">
        <f>IFERROR( VLOOKUP(C28935,[1]expressOrderReport!$S:$AZ,34,0),0)</f>
        <v>#ERROR!</v>
      </c>
      <c r="S1125" s="6" t="str">
        <f>ARRAY_CONSTRAIN(ARRAYFORMULA(_xludf.XLOOKUP(D28935,[1]order_Report_SA_ID_BB2.0!V:V,[1]order_Report_SA_ID_BB2.0!AM:AM,"")), 1, 1)</f>
        <v>#ERROR!</v>
      </c>
      <c r="T1125" s="6" t="str">
        <f t="shared" si="2"/>
        <v>Dec'25</v>
      </c>
    </row>
    <row r="1126" ht="15.75" customHeight="1">
      <c r="A1126" s="5">
        <v>46013.0</v>
      </c>
      <c r="B1126" s="6">
        <v>4607.0</v>
      </c>
      <c r="C1126" s="6">
        <v>1.859167323E9</v>
      </c>
      <c r="D1126" s="6">
        <v>129261.0</v>
      </c>
      <c r="E1126" s="6" t="s">
        <v>1768</v>
      </c>
      <c r="F1126" s="6" t="s">
        <v>1769</v>
      </c>
      <c r="G1126" s="6">
        <v>9.160844411E9</v>
      </c>
      <c r="H1126" s="6">
        <v>4.0147597E7</v>
      </c>
      <c r="I1126" s="6" t="s">
        <v>59</v>
      </c>
      <c r="J1126" s="6" t="s">
        <v>21</v>
      </c>
      <c r="K1126" s="6" t="s">
        <v>22</v>
      </c>
      <c r="L1126" s="6">
        <v>59.0</v>
      </c>
      <c r="M1126" s="5">
        <v>46013.0</v>
      </c>
      <c r="N1126" s="6" t="s">
        <v>23</v>
      </c>
      <c r="O1126" s="6" t="str">
        <f>SUMIFS([1]order_sku_sales_bb2_report!P:P,[1]order_sku_sales_bb2_report!H:H,C28936,[1]order_sku_sales_bb2_report!J:J,H28936)</f>
        <v>#ERROR!</v>
      </c>
      <c r="P1126" s="6" t="str">
        <f>SUMIFS([1]order_sku_sales_bb2_report!O:O,[1]order_sku_sales_bb2_report!H:H,C28936,[1]order_sku_sales_bb2_report!J:J,H28936)</f>
        <v>#ERROR!</v>
      </c>
      <c r="Q1126" s="6" t="str">
        <f t="shared" si="1"/>
        <v>22-12-2025</v>
      </c>
      <c r="R1126" s="6" t="str">
        <f>IFERROR( VLOOKUP(C28936,[1]expressOrderReport!$S:$AZ,34,0),0)</f>
        <v>#ERROR!</v>
      </c>
      <c r="S1126" s="6" t="str">
        <f>ARRAY_CONSTRAIN(ARRAYFORMULA(_xludf.XLOOKUP(D28936,[1]order_Report_SA_ID_BB2.0!V:V,[1]order_Report_SA_ID_BB2.0!AM:AM,"")), 1, 1)</f>
        <v>#ERROR!</v>
      </c>
      <c r="T1126" s="6" t="str">
        <f t="shared" si="2"/>
        <v>Dec'25</v>
      </c>
    </row>
    <row r="1127" ht="15.75" customHeight="1">
      <c r="A1127" s="5">
        <v>46013.0</v>
      </c>
      <c r="B1127" s="6">
        <v>7831.0</v>
      </c>
      <c r="C1127" s="6">
        <v>1.859167331E9</v>
      </c>
      <c r="D1127" s="6">
        <v>1092257.0</v>
      </c>
      <c r="E1127" s="6" t="s">
        <v>1770</v>
      </c>
      <c r="F1127" s="6" t="s">
        <v>1771</v>
      </c>
      <c r="G1127" s="6">
        <v>7.799458104E9</v>
      </c>
      <c r="H1127" s="6">
        <v>4.0148716E7</v>
      </c>
      <c r="I1127" s="6" t="s">
        <v>148</v>
      </c>
      <c r="J1127" s="6" t="s">
        <v>21</v>
      </c>
      <c r="K1127" s="6" t="s">
        <v>22</v>
      </c>
      <c r="L1127" s="6">
        <v>87.0</v>
      </c>
      <c r="M1127" s="5">
        <v>46013.0</v>
      </c>
      <c r="N1127" s="6" t="s">
        <v>23</v>
      </c>
      <c r="O1127" s="6" t="str">
        <f>SUMIFS([1]order_sku_sales_bb2_report!P:P,[1]order_sku_sales_bb2_report!H:H,C28937,[1]order_sku_sales_bb2_report!J:J,H28937)</f>
        <v>#ERROR!</v>
      </c>
      <c r="P1127" s="6" t="str">
        <f>SUMIFS([1]order_sku_sales_bb2_report!O:O,[1]order_sku_sales_bb2_report!H:H,C28937,[1]order_sku_sales_bb2_report!J:J,H28937)</f>
        <v>#ERROR!</v>
      </c>
      <c r="Q1127" s="6" t="str">
        <f t="shared" si="1"/>
        <v>22-12-2025</v>
      </c>
      <c r="R1127" s="6" t="str">
        <f>IFERROR( VLOOKUP(C28937,[1]expressOrderReport!$S:$AZ,34,0),0)</f>
        <v>#ERROR!</v>
      </c>
      <c r="S1127" s="6" t="str">
        <f>ARRAY_CONSTRAIN(ARRAYFORMULA(_xludf.XLOOKUP(D28937,[1]order_Report_SA_ID_BB2.0!V:V,[1]order_Report_SA_ID_BB2.0!AM:AM,"")), 1, 1)</f>
        <v>#ERROR!</v>
      </c>
      <c r="T1127" s="6" t="str">
        <f t="shared" si="2"/>
        <v>Dec'25</v>
      </c>
    </row>
    <row r="1128" ht="15.75" customHeight="1">
      <c r="A1128" s="5">
        <v>46013.0</v>
      </c>
      <c r="B1128" s="6">
        <v>10560.0</v>
      </c>
      <c r="C1128" s="6">
        <v>1.859167331E9</v>
      </c>
      <c r="D1128" s="6">
        <v>1092257.0</v>
      </c>
      <c r="E1128" s="6" t="s">
        <v>1770</v>
      </c>
      <c r="F1128" s="6" t="s">
        <v>1771</v>
      </c>
      <c r="G1128" s="6">
        <v>7.799458104E9</v>
      </c>
      <c r="H1128" s="6">
        <v>4.0148723E7</v>
      </c>
      <c r="I1128" s="6" t="s">
        <v>69</v>
      </c>
      <c r="J1128" s="6" t="s">
        <v>21</v>
      </c>
      <c r="K1128" s="6" t="s">
        <v>22</v>
      </c>
      <c r="L1128" s="6">
        <v>87.0</v>
      </c>
      <c r="M1128" s="5">
        <v>46013.0</v>
      </c>
      <c r="N1128" s="6" t="s">
        <v>23</v>
      </c>
      <c r="O1128" s="6" t="str">
        <f>SUMIFS([1]order_sku_sales_bb2_report!P:P,[1]order_sku_sales_bb2_report!H:H,C28938,[1]order_sku_sales_bb2_report!J:J,H28938)</f>
        <v>#ERROR!</v>
      </c>
      <c r="P1128" s="6" t="str">
        <f>SUMIFS([1]order_sku_sales_bb2_report!O:O,[1]order_sku_sales_bb2_report!H:H,C28938,[1]order_sku_sales_bb2_report!J:J,H28938)</f>
        <v>#ERROR!</v>
      </c>
      <c r="Q1128" s="6" t="str">
        <f t="shared" si="1"/>
        <v>22-12-2025</v>
      </c>
      <c r="R1128" s="6" t="str">
        <f>IFERROR( VLOOKUP(C28938,[1]expressOrderReport!$S:$AZ,34,0),0)</f>
        <v>#ERROR!</v>
      </c>
      <c r="S1128" s="6" t="str">
        <f>ARRAY_CONSTRAIN(ARRAYFORMULA(_xludf.XLOOKUP(D28938,[1]order_Report_SA_ID_BB2.0!V:V,[1]order_Report_SA_ID_BB2.0!AM:AM,"")), 1, 1)</f>
        <v>#ERROR!</v>
      </c>
      <c r="T1128" s="6" t="str">
        <f t="shared" si="2"/>
        <v>Dec'25</v>
      </c>
    </row>
    <row r="1129" ht="15.75" customHeight="1">
      <c r="A1129" s="5">
        <v>46013.0</v>
      </c>
      <c r="B1129" s="6">
        <v>9206.0</v>
      </c>
      <c r="C1129" s="6">
        <v>1.859167337E9</v>
      </c>
      <c r="D1129" s="6">
        <v>2330543.0</v>
      </c>
      <c r="E1129" s="6" t="s">
        <v>1772</v>
      </c>
      <c r="F1129" s="6" t="s">
        <v>1773</v>
      </c>
      <c r="G1129" s="6">
        <v>9.769199205E9</v>
      </c>
      <c r="H1129" s="6">
        <v>4.0148723E7</v>
      </c>
      <c r="I1129" s="6" t="s">
        <v>69</v>
      </c>
      <c r="J1129" s="6" t="s">
        <v>21</v>
      </c>
      <c r="K1129" s="6" t="s">
        <v>22</v>
      </c>
      <c r="L1129" s="6">
        <v>126.0</v>
      </c>
      <c r="M1129" s="5">
        <v>46013.0</v>
      </c>
      <c r="N1129" s="6" t="s">
        <v>23</v>
      </c>
      <c r="O1129" s="6" t="str">
        <f>SUMIFS([1]order_sku_sales_bb2_report!P:P,[1]order_sku_sales_bb2_report!H:H,C28939,[1]order_sku_sales_bb2_report!J:J,H28939)</f>
        <v>#ERROR!</v>
      </c>
      <c r="P1129" s="6" t="str">
        <f>SUMIFS([1]order_sku_sales_bb2_report!O:O,[1]order_sku_sales_bb2_report!H:H,C28939,[1]order_sku_sales_bb2_report!J:J,H28939)</f>
        <v>#ERROR!</v>
      </c>
      <c r="Q1129" s="6" t="str">
        <f t="shared" si="1"/>
        <v>22-12-2025</v>
      </c>
      <c r="R1129" s="6" t="str">
        <f>IFERROR( VLOOKUP(C28939,[1]expressOrderReport!$S:$AZ,34,0),0)</f>
        <v>#ERROR!</v>
      </c>
      <c r="S1129" s="6" t="str">
        <f>ARRAY_CONSTRAIN(ARRAYFORMULA(_xludf.XLOOKUP(D28939,[1]order_Report_SA_ID_BB2.0!V:V,[1]order_Report_SA_ID_BB2.0!AM:AM,"")), 1, 1)</f>
        <v>#ERROR!</v>
      </c>
      <c r="T1129" s="6" t="str">
        <f t="shared" si="2"/>
        <v>Dec'25</v>
      </c>
    </row>
    <row r="1130" ht="15.75" customHeight="1">
      <c r="A1130" s="5">
        <v>46013.0</v>
      </c>
      <c r="B1130" s="6">
        <v>1497.0</v>
      </c>
      <c r="C1130" s="6">
        <v>1.859167341E9</v>
      </c>
      <c r="D1130" s="6">
        <v>2.277837E7</v>
      </c>
      <c r="E1130" s="6" t="s">
        <v>1774</v>
      </c>
      <c r="F1130" s="6" t="s">
        <v>1775</v>
      </c>
      <c r="G1130" s="6">
        <v>9.739909781E9</v>
      </c>
      <c r="H1130" s="6">
        <v>4.0148716E7</v>
      </c>
      <c r="I1130" s="6" t="s">
        <v>148</v>
      </c>
      <c r="J1130" s="6" t="s">
        <v>21</v>
      </c>
      <c r="K1130" s="6" t="s">
        <v>22</v>
      </c>
      <c r="L1130" s="6">
        <v>90.0</v>
      </c>
      <c r="M1130" s="5">
        <v>46013.0</v>
      </c>
      <c r="N1130" s="6" t="s">
        <v>23</v>
      </c>
      <c r="O1130" s="6" t="str">
        <f>SUMIFS([1]order_sku_sales_bb2_report!P:P,[1]order_sku_sales_bb2_report!H:H,C28940,[1]order_sku_sales_bb2_report!J:J,H28940)</f>
        <v>#ERROR!</v>
      </c>
      <c r="P1130" s="6" t="str">
        <f>SUMIFS([1]order_sku_sales_bb2_report!O:O,[1]order_sku_sales_bb2_report!H:H,C28940,[1]order_sku_sales_bb2_report!J:J,H28940)</f>
        <v>#ERROR!</v>
      </c>
      <c r="Q1130" s="6" t="str">
        <f t="shared" si="1"/>
        <v>22-12-2025</v>
      </c>
      <c r="R1130" s="6" t="str">
        <f>IFERROR( VLOOKUP(C28940,[1]expressOrderReport!$S:$AZ,34,0),0)</f>
        <v>#ERROR!</v>
      </c>
      <c r="S1130" s="6" t="str">
        <f>ARRAY_CONSTRAIN(ARRAYFORMULA(_xludf.XLOOKUP(D28940,[1]order_Report_SA_ID_BB2.0!V:V,[1]order_Report_SA_ID_BB2.0!AM:AM,"")), 1, 1)</f>
        <v>#ERROR!</v>
      </c>
      <c r="T1130" s="6" t="str">
        <f t="shared" si="2"/>
        <v>Dec'25</v>
      </c>
    </row>
    <row r="1131" ht="15.75" customHeight="1">
      <c r="A1131" s="5">
        <v>46013.0</v>
      </c>
      <c r="B1131" s="6">
        <v>3925.0</v>
      </c>
      <c r="C1131" s="6">
        <v>1.859167346E9</v>
      </c>
      <c r="D1131" s="6">
        <v>3.5362248E7</v>
      </c>
      <c r="E1131" s="6" t="s">
        <v>1776</v>
      </c>
      <c r="F1131" s="6" t="s">
        <v>1777</v>
      </c>
      <c r="G1131" s="6">
        <v>9.62070796E9</v>
      </c>
      <c r="H1131" s="6">
        <v>4.0148714E7</v>
      </c>
      <c r="I1131" s="6" t="s">
        <v>183</v>
      </c>
      <c r="J1131" s="6" t="s">
        <v>21</v>
      </c>
      <c r="K1131" s="6" t="s">
        <v>22</v>
      </c>
      <c r="L1131" s="6">
        <v>71.0</v>
      </c>
      <c r="M1131" s="5">
        <v>46013.0</v>
      </c>
      <c r="N1131" s="6" t="s">
        <v>23</v>
      </c>
      <c r="O1131" s="6" t="str">
        <f>SUMIFS([1]order_sku_sales_bb2_report!P:P,[1]order_sku_sales_bb2_report!H:H,C28941,[1]order_sku_sales_bb2_report!J:J,H28941)</f>
        <v>#ERROR!</v>
      </c>
      <c r="P1131" s="6" t="str">
        <f>SUMIFS([1]order_sku_sales_bb2_report!O:O,[1]order_sku_sales_bb2_report!H:H,C28941,[1]order_sku_sales_bb2_report!J:J,H28941)</f>
        <v>#ERROR!</v>
      </c>
      <c r="Q1131" s="6" t="str">
        <f t="shared" si="1"/>
        <v>22-12-2025</v>
      </c>
      <c r="R1131" s="6" t="str">
        <f>IFERROR( VLOOKUP(C28941,[1]expressOrderReport!$S:$AZ,34,0),0)</f>
        <v>#ERROR!</v>
      </c>
      <c r="S1131" s="6" t="str">
        <f>ARRAY_CONSTRAIN(ARRAYFORMULA(_xludf.XLOOKUP(D28941,[1]order_Report_SA_ID_BB2.0!V:V,[1]order_Report_SA_ID_BB2.0!AM:AM,"")), 1, 1)</f>
        <v>#ERROR!</v>
      </c>
      <c r="T1131" s="6" t="str">
        <f t="shared" si="2"/>
        <v>Dec'25</v>
      </c>
    </row>
    <row r="1132" ht="15.75" customHeight="1">
      <c r="A1132" s="5">
        <v>46013.0</v>
      </c>
      <c r="B1132" s="6">
        <v>12077.0</v>
      </c>
      <c r="C1132" s="6">
        <v>1.859167346E9</v>
      </c>
      <c r="D1132" s="6">
        <v>3.5362248E7</v>
      </c>
      <c r="E1132" s="6" t="s">
        <v>1776</v>
      </c>
      <c r="F1132" s="6" t="s">
        <v>1777</v>
      </c>
      <c r="G1132" s="6">
        <v>9.62070796E9</v>
      </c>
      <c r="H1132" s="6">
        <v>4.0149832E7</v>
      </c>
      <c r="I1132" s="6" t="s">
        <v>26</v>
      </c>
      <c r="J1132" s="6" t="s">
        <v>21</v>
      </c>
      <c r="K1132" s="6" t="s">
        <v>22</v>
      </c>
      <c r="L1132" s="6">
        <v>71.0</v>
      </c>
      <c r="M1132" s="5">
        <v>46013.0</v>
      </c>
      <c r="N1132" s="6" t="s">
        <v>23</v>
      </c>
      <c r="O1132" s="6" t="str">
        <f>SUMIFS([1]order_sku_sales_bb2_report!P:P,[1]order_sku_sales_bb2_report!H:H,C28942,[1]order_sku_sales_bb2_report!J:J,H28942)</f>
        <v>#ERROR!</v>
      </c>
      <c r="P1132" s="6" t="str">
        <f>SUMIFS([1]order_sku_sales_bb2_report!O:O,[1]order_sku_sales_bb2_report!H:H,C28942,[1]order_sku_sales_bb2_report!J:J,H28942)</f>
        <v>#ERROR!</v>
      </c>
      <c r="Q1132" s="6" t="str">
        <f t="shared" si="1"/>
        <v>22-12-2025</v>
      </c>
      <c r="R1132" s="6" t="str">
        <f>IFERROR( VLOOKUP(C28942,[1]expressOrderReport!$S:$AZ,34,0),0)</f>
        <v>#ERROR!</v>
      </c>
      <c r="S1132" s="6" t="str">
        <f>ARRAY_CONSTRAIN(ARRAYFORMULA(_xludf.XLOOKUP(D28942,[1]order_Report_SA_ID_BB2.0!V:V,[1]order_Report_SA_ID_BB2.0!AM:AM,"")), 1, 1)</f>
        <v>#ERROR!</v>
      </c>
      <c r="T1132" s="6" t="str">
        <f t="shared" si="2"/>
        <v>Dec'25</v>
      </c>
    </row>
    <row r="1133" ht="15.75" customHeight="1">
      <c r="A1133" s="5">
        <v>46013.0</v>
      </c>
      <c r="B1133" s="6">
        <v>5816.0</v>
      </c>
      <c r="C1133" s="6">
        <v>1.859167352E9</v>
      </c>
      <c r="D1133" s="6">
        <v>8023979.0</v>
      </c>
      <c r="E1133" s="6" t="s">
        <v>1778</v>
      </c>
      <c r="F1133" s="6" t="s">
        <v>1779</v>
      </c>
      <c r="G1133" s="6">
        <v>7.043084817E9</v>
      </c>
      <c r="H1133" s="6">
        <v>4.0090893E7</v>
      </c>
      <c r="I1133" s="6" t="s">
        <v>35</v>
      </c>
      <c r="J1133" s="6" t="s">
        <v>21</v>
      </c>
      <c r="K1133" s="6" t="s">
        <v>22</v>
      </c>
      <c r="L1133" s="6">
        <v>66.0</v>
      </c>
      <c r="M1133" s="5">
        <v>46013.0</v>
      </c>
      <c r="N1133" s="6" t="s">
        <v>23</v>
      </c>
      <c r="O1133" s="6" t="str">
        <f>SUMIFS([1]order_sku_sales_bb2_report!P:P,[1]order_sku_sales_bb2_report!H:H,C28943,[1]order_sku_sales_bb2_report!J:J,H28943)</f>
        <v>#ERROR!</v>
      </c>
      <c r="P1133" s="6" t="str">
        <f>SUMIFS([1]order_sku_sales_bb2_report!O:O,[1]order_sku_sales_bb2_report!H:H,C28943,[1]order_sku_sales_bb2_report!J:J,H28943)</f>
        <v>#ERROR!</v>
      </c>
      <c r="Q1133" s="6" t="str">
        <f t="shared" si="1"/>
        <v>22-12-2025</v>
      </c>
      <c r="R1133" s="6" t="str">
        <f>IFERROR( VLOOKUP(C28943,[1]expressOrderReport!$S:$AZ,34,0),0)</f>
        <v>#ERROR!</v>
      </c>
      <c r="S1133" s="6" t="str">
        <f>ARRAY_CONSTRAIN(ARRAYFORMULA(_xludf.XLOOKUP(D28943,[1]order_Report_SA_ID_BB2.0!V:V,[1]order_Report_SA_ID_BB2.0!AM:AM,"")), 1, 1)</f>
        <v>#ERROR!</v>
      </c>
      <c r="T1133" s="6" t="str">
        <f t="shared" si="2"/>
        <v>Dec'25</v>
      </c>
    </row>
    <row r="1134" ht="15.75" customHeight="1">
      <c r="A1134" s="5">
        <v>46013.0</v>
      </c>
      <c r="B1134" s="6">
        <v>11483.0</v>
      </c>
      <c r="C1134" s="6">
        <v>1.859167355E9</v>
      </c>
      <c r="D1134" s="6">
        <v>2.4017178E7</v>
      </c>
      <c r="E1134" s="6" t="s">
        <v>1780</v>
      </c>
      <c r="F1134" s="6" t="s">
        <v>1781</v>
      </c>
      <c r="G1134" s="6">
        <v>8.087123889E9</v>
      </c>
      <c r="H1134" s="6">
        <v>4.014983E7</v>
      </c>
      <c r="I1134" s="6" t="s">
        <v>30</v>
      </c>
      <c r="J1134" s="6" t="s">
        <v>21</v>
      </c>
      <c r="K1134" s="6" t="s">
        <v>27</v>
      </c>
      <c r="L1134" s="6">
        <v>90.0</v>
      </c>
      <c r="M1134" s="5">
        <v>46013.0</v>
      </c>
      <c r="N1134" s="6" t="s">
        <v>23</v>
      </c>
      <c r="O1134" s="6" t="str">
        <f>SUMIFS([1]order_sku_sales_bb2_report!P:P,[1]order_sku_sales_bb2_report!H:H,C28944,[1]order_sku_sales_bb2_report!J:J,H28944)</f>
        <v>#ERROR!</v>
      </c>
      <c r="P1134" s="6" t="str">
        <f>SUMIFS([1]order_sku_sales_bb2_report!O:O,[1]order_sku_sales_bb2_report!H:H,C28944,[1]order_sku_sales_bb2_report!J:J,H28944)</f>
        <v>#ERROR!</v>
      </c>
      <c r="Q1134" s="6" t="str">
        <f t="shared" si="1"/>
        <v>22-12-2025</v>
      </c>
      <c r="R1134" s="6" t="str">
        <f>IFERROR( VLOOKUP(C28944,[1]expressOrderReport!$S:$AZ,34,0),0)</f>
        <v>#ERROR!</v>
      </c>
      <c r="S1134" s="6" t="str">
        <f>ARRAY_CONSTRAIN(ARRAYFORMULA(_xludf.XLOOKUP(D28944,[1]order_Report_SA_ID_BB2.0!V:V,[1]order_Report_SA_ID_BB2.0!AM:AM,"")), 1, 1)</f>
        <v>#ERROR!</v>
      </c>
      <c r="T1134" s="6" t="str">
        <f t="shared" si="2"/>
        <v>Dec'25</v>
      </c>
    </row>
    <row r="1135" ht="15.75" customHeight="1">
      <c r="A1135" s="5">
        <v>46013.0</v>
      </c>
      <c r="B1135" s="6">
        <v>11633.0</v>
      </c>
      <c r="C1135" s="6">
        <v>1.859167355E9</v>
      </c>
      <c r="D1135" s="6">
        <v>2.4017178E7</v>
      </c>
      <c r="E1135" s="6" t="s">
        <v>1780</v>
      </c>
      <c r="F1135" s="6" t="s">
        <v>1781</v>
      </c>
      <c r="G1135" s="6">
        <v>8.087123889E9</v>
      </c>
      <c r="H1135" s="6">
        <v>4.0147618E7</v>
      </c>
      <c r="I1135" s="6" t="s">
        <v>180</v>
      </c>
      <c r="J1135" s="6" t="s">
        <v>21</v>
      </c>
      <c r="K1135" s="6" t="s">
        <v>27</v>
      </c>
      <c r="L1135" s="6">
        <v>90.0</v>
      </c>
      <c r="M1135" s="5">
        <v>46013.0</v>
      </c>
      <c r="N1135" s="6" t="s">
        <v>23</v>
      </c>
      <c r="O1135" s="6" t="str">
        <f>SUMIFS([1]order_sku_sales_bb2_report!P:P,[1]order_sku_sales_bb2_report!H:H,C28945,[1]order_sku_sales_bb2_report!J:J,H28945)</f>
        <v>#ERROR!</v>
      </c>
      <c r="P1135" s="6" t="str">
        <f>SUMIFS([1]order_sku_sales_bb2_report!O:O,[1]order_sku_sales_bb2_report!H:H,C28945,[1]order_sku_sales_bb2_report!J:J,H28945)</f>
        <v>#ERROR!</v>
      </c>
      <c r="Q1135" s="6" t="str">
        <f t="shared" si="1"/>
        <v>22-12-2025</v>
      </c>
      <c r="R1135" s="6" t="str">
        <f>IFERROR( VLOOKUP(C28945,[1]expressOrderReport!$S:$AZ,34,0),0)</f>
        <v>#ERROR!</v>
      </c>
      <c r="S1135" s="6" t="str">
        <f>ARRAY_CONSTRAIN(ARRAYFORMULA(_xludf.XLOOKUP(D28945,[1]order_Report_SA_ID_BB2.0!V:V,[1]order_Report_SA_ID_BB2.0!AM:AM,"")), 1, 1)</f>
        <v>#ERROR!</v>
      </c>
      <c r="T1135" s="6" t="str">
        <f t="shared" si="2"/>
        <v>Dec'25</v>
      </c>
    </row>
    <row r="1136" ht="15.75" customHeight="1">
      <c r="A1136" s="5">
        <v>46013.0</v>
      </c>
      <c r="B1136" s="6">
        <v>10233.0</v>
      </c>
      <c r="C1136" s="6">
        <v>1.85916736E9</v>
      </c>
      <c r="D1136" s="6">
        <v>5.9048813E7</v>
      </c>
      <c r="E1136" s="6" t="s">
        <v>1782</v>
      </c>
      <c r="F1136" s="6" t="s">
        <v>1783</v>
      </c>
      <c r="G1136" s="6">
        <v>9.752099131E9</v>
      </c>
      <c r="H1136" s="6">
        <v>4.0149832E7</v>
      </c>
      <c r="I1136" s="6" t="s">
        <v>26</v>
      </c>
      <c r="J1136" s="6" t="s">
        <v>21</v>
      </c>
      <c r="K1136" s="6" t="s">
        <v>22</v>
      </c>
      <c r="L1136" s="6">
        <v>24.0</v>
      </c>
      <c r="M1136" s="5">
        <v>46013.0</v>
      </c>
      <c r="N1136" s="6" t="s">
        <v>23</v>
      </c>
      <c r="O1136" s="6" t="str">
        <f>SUMIFS([1]order_sku_sales_bb2_report!P:P,[1]order_sku_sales_bb2_report!H:H,C28946,[1]order_sku_sales_bb2_report!J:J,H28946)</f>
        <v>#ERROR!</v>
      </c>
      <c r="P1136" s="6" t="str">
        <f>SUMIFS([1]order_sku_sales_bb2_report!O:O,[1]order_sku_sales_bb2_report!H:H,C28946,[1]order_sku_sales_bb2_report!J:J,H28946)</f>
        <v>#ERROR!</v>
      </c>
      <c r="Q1136" s="6" t="str">
        <f t="shared" si="1"/>
        <v>22-12-2025</v>
      </c>
      <c r="R1136" s="6" t="str">
        <f>IFERROR( VLOOKUP(C28946,[1]expressOrderReport!$S:$AZ,34,0),0)</f>
        <v>#ERROR!</v>
      </c>
      <c r="S1136" s="6" t="str">
        <f>ARRAY_CONSTRAIN(ARRAYFORMULA(_xludf.XLOOKUP(D28946,[1]order_Report_SA_ID_BB2.0!V:V,[1]order_Report_SA_ID_BB2.0!AM:AM,"")), 1, 1)</f>
        <v>#ERROR!</v>
      </c>
      <c r="T1136" s="6" t="str">
        <f t="shared" si="2"/>
        <v>Dec'25</v>
      </c>
    </row>
    <row r="1137" ht="15.75" customHeight="1">
      <c r="A1137" s="5">
        <v>46013.0</v>
      </c>
      <c r="B1137" s="6">
        <v>4541.0</v>
      </c>
      <c r="C1137" s="6">
        <v>1.859167362E9</v>
      </c>
      <c r="D1137" s="6">
        <v>5.6411884E7</v>
      </c>
      <c r="E1137" s="6" t="s">
        <v>1784</v>
      </c>
      <c r="F1137" s="6" t="s">
        <v>1785</v>
      </c>
      <c r="G1137" s="6">
        <v>7.488925284E9</v>
      </c>
      <c r="H1137" s="6">
        <v>4.0158264E7</v>
      </c>
      <c r="I1137" s="6" t="s">
        <v>26</v>
      </c>
      <c r="J1137" s="6" t="s">
        <v>21</v>
      </c>
      <c r="K1137" s="6" t="s">
        <v>22</v>
      </c>
      <c r="L1137" s="6">
        <v>46.0</v>
      </c>
      <c r="M1137" s="5">
        <v>46013.0</v>
      </c>
      <c r="N1137" s="6" t="s">
        <v>23</v>
      </c>
      <c r="O1137" s="6" t="str">
        <f>SUMIFS([1]order_sku_sales_bb2_report!P:P,[1]order_sku_sales_bb2_report!H:H,C28947,[1]order_sku_sales_bb2_report!J:J,H28947)</f>
        <v>#ERROR!</v>
      </c>
      <c r="P1137" s="6" t="str">
        <f>SUMIFS([1]order_sku_sales_bb2_report!O:O,[1]order_sku_sales_bb2_report!H:H,C28947,[1]order_sku_sales_bb2_report!J:J,H28947)</f>
        <v>#ERROR!</v>
      </c>
      <c r="Q1137" s="6" t="str">
        <f t="shared" si="1"/>
        <v>22-12-2025</v>
      </c>
      <c r="R1137" s="6" t="str">
        <f>IFERROR( VLOOKUP(C28947,[1]expressOrderReport!$S:$AZ,34,0),0)</f>
        <v>#ERROR!</v>
      </c>
      <c r="S1137" s="6" t="str">
        <f>ARRAY_CONSTRAIN(ARRAYFORMULA(_xludf.XLOOKUP(D28947,[1]order_Report_SA_ID_BB2.0!V:V,[1]order_Report_SA_ID_BB2.0!AM:AM,"")), 1, 1)</f>
        <v>#ERROR!</v>
      </c>
      <c r="T1137" s="6" t="str">
        <f t="shared" si="2"/>
        <v>Dec'25</v>
      </c>
    </row>
    <row r="1138" ht="15.75" customHeight="1">
      <c r="A1138" s="5">
        <v>46013.0</v>
      </c>
      <c r="B1138" s="6">
        <v>9790.0</v>
      </c>
      <c r="C1138" s="6">
        <v>1.859167366E9</v>
      </c>
      <c r="D1138" s="6">
        <v>8653013.0</v>
      </c>
      <c r="E1138" s="6" t="s">
        <v>685</v>
      </c>
      <c r="F1138" s="6" t="s">
        <v>686</v>
      </c>
      <c r="G1138" s="6">
        <v>7.259200297E9</v>
      </c>
      <c r="H1138" s="6">
        <v>4.0149834E7</v>
      </c>
      <c r="I1138" s="6" t="s">
        <v>40</v>
      </c>
      <c r="J1138" s="6" t="s">
        <v>21</v>
      </c>
      <c r="K1138" s="6" t="s">
        <v>22</v>
      </c>
      <c r="L1138" s="6">
        <v>156.0</v>
      </c>
      <c r="M1138" s="5">
        <v>46013.0</v>
      </c>
      <c r="N1138" s="6" t="s">
        <v>23</v>
      </c>
      <c r="O1138" s="6" t="str">
        <f>SUMIFS([1]order_sku_sales_bb2_report!P:P,[1]order_sku_sales_bb2_report!H:H,C28948,[1]order_sku_sales_bb2_report!J:J,H28948)</f>
        <v>#ERROR!</v>
      </c>
      <c r="P1138" s="6" t="str">
        <f>SUMIFS([1]order_sku_sales_bb2_report!O:O,[1]order_sku_sales_bb2_report!H:H,C28948,[1]order_sku_sales_bb2_report!J:J,H28948)</f>
        <v>#ERROR!</v>
      </c>
      <c r="Q1138" s="6" t="str">
        <f t="shared" si="1"/>
        <v>22-12-2025</v>
      </c>
      <c r="R1138" s="6" t="str">
        <f>IFERROR( VLOOKUP(C28948,[1]expressOrderReport!$S:$AZ,34,0),0)</f>
        <v>#ERROR!</v>
      </c>
      <c r="S1138" s="6" t="str">
        <f>ARRAY_CONSTRAIN(ARRAYFORMULA(_xludf.XLOOKUP(D28948,[1]order_Report_SA_ID_BB2.0!V:V,[1]order_Report_SA_ID_BB2.0!AM:AM,"")), 1, 1)</f>
        <v>#ERROR!</v>
      </c>
      <c r="T1138" s="6" t="str">
        <f t="shared" si="2"/>
        <v>Dec'25</v>
      </c>
    </row>
    <row r="1139" ht="15.75" customHeight="1">
      <c r="A1139" s="5">
        <v>46013.0</v>
      </c>
      <c r="B1139" s="6">
        <v>3937.0</v>
      </c>
      <c r="C1139" s="6">
        <v>1.859167369E9</v>
      </c>
      <c r="D1139" s="6">
        <v>5.0096955E7</v>
      </c>
      <c r="E1139" s="6" t="s">
        <v>1786</v>
      </c>
      <c r="F1139" s="6" t="s">
        <v>1787</v>
      </c>
      <c r="G1139" s="6">
        <v>9.910799968E9</v>
      </c>
      <c r="H1139" s="6">
        <v>4.0161616E7</v>
      </c>
      <c r="I1139" s="6" t="s">
        <v>20</v>
      </c>
      <c r="J1139" s="6" t="s">
        <v>21</v>
      </c>
      <c r="K1139" s="6" t="s">
        <v>22</v>
      </c>
      <c r="L1139" s="6">
        <v>28.0</v>
      </c>
      <c r="M1139" s="5">
        <v>46013.0</v>
      </c>
      <c r="N1139" s="6" t="s">
        <v>23</v>
      </c>
      <c r="O1139" s="6" t="str">
        <f>SUMIFS([1]order_sku_sales_bb2_report!P:P,[1]order_sku_sales_bb2_report!H:H,C28949,[1]order_sku_sales_bb2_report!J:J,H28949)</f>
        <v>#ERROR!</v>
      </c>
      <c r="P1139" s="6" t="str">
        <f>SUMIFS([1]order_sku_sales_bb2_report!O:O,[1]order_sku_sales_bb2_report!H:H,C28949,[1]order_sku_sales_bb2_report!J:J,H28949)</f>
        <v>#ERROR!</v>
      </c>
      <c r="Q1139" s="6" t="str">
        <f t="shared" si="1"/>
        <v>22-12-2025</v>
      </c>
      <c r="R1139" s="6" t="str">
        <f>IFERROR( VLOOKUP(C28949,[1]expressOrderReport!$S:$AZ,34,0),0)</f>
        <v>#ERROR!</v>
      </c>
      <c r="S1139" s="6" t="str">
        <f>ARRAY_CONSTRAIN(ARRAYFORMULA(_xludf.XLOOKUP(D28949,[1]order_Report_SA_ID_BB2.0!V:V,[1]order_Report_SA_ID_BB2.0!AM:AM,"")), 1, 1)</f>
        <v>#ERROR!</v>
      </c>
      <c r="T1139" s="6" t="str">
        <f t="shared" si="2"/>
        <v>Dec'25</v>
      </c>
    </row>
    <row r="1140" ht="15.75" customHeight="1">
      <c r="A1140" s="5">
        <v>46013.0</v>
      </c>
      <c r="B1140" s="6">
        <v>11435.0</v>
      </c>
      <c r="C1140" s="6">
        <v>1.859167374E9</v>
      </c>
      <c r="D1140" s="6">
        <v>2.542474E7</v>
      </c>
      <c r="E1140" s="6" t="s">
        <v>1788</v>
      </c>
      <c r="F1140" s="6" t="s">
        <v>1789</v>
      </c>
      <c r="G1140" s="6">
        <v>8.971392968E9</v>
      </c>
      <c r="H1140" s="6">
        <v>4.0149833E7</v>
      </c>
      <c r="I1140" s="6" t="s">
        <v>40</v>
      </c>
      <c r="J1140" s="6" t="s">
        <v>21</v>
      </c>
      <c r="K1140" s="6" t="s">
        <v>22</v>
      </c>
      <c r="L1140" s="6">
        <v>27.0</v>
      </c>
      <c r="M1140" s="5">
        <v>46013.0</v>
      </c>
      <c r="N1140" s="6" t="s">
        <v>23</v>
      </c>
      <c r="O1140" s="6" t="str">
        <f>SUMIFS([1]order_sku_sales_bb2_report!P:P,[1]order_sku_sales_bb2_report!H:H,C28950,[1]order_sku_sales_bb2_report!J:J,H28950)</f>
        <v>#ERROR!</v>
      </c>
      <c r="P1140" s="6" t="str">
        <f>SUMIFS([1]order_sku_sales_bb2_report!O:O,[1]order_sku_sales_bb2_report!H:H,C28950,[1]order_sku_sales_bb2_report!J:J,H28950)</f>
        <v>#ERROR!</v>
      </c>
      <c r="Q1140" s="6" t="str">
        <f t="shared" si="1"/>
        <v>22-12-2025</v>
      </c>
      <c r="R1140" s="6" t="str">
        <f>IFERROR( VLOOKUP(C28950,[1]expressOrderReport!$S:$AZ,34,0),0)</f>
        <v>#ERROR!</v>
      </c>
      <c r="S1140" s="6" t="str">
        <f>ARRAY_CONSTRAIN(ARRAYFORMULA(_xludf.XLOOKUP(D28950,[1]order_Report_SA_ID_BB2.0!V:V,[1]order_Report_SA_ID_BB2.0!AM:AM,"")), 1, 1)</f>
        <v>#ERROR!</v>
      </c>
      <c r="T1140" s="6" t="str">
        <f t="shared" si="2"/>
        <v>Dec'25</v>
      </c>
    </row>
    <row r="1141" ht="15.75" customHeight="1">
      <c r="A1141" s="5">
        <v>46013.0</v>
      </c>
      <c r="B1141" s="6">
        <v>8122.0</v>
      </c>
      <c r="C1141" s="6">
        <v>1.859167379E9</v>
      </c>
      <c r="D1141" s="6">
        <v>1.6797167E7</v>
      </c>
      <c r="E1141" s="6" t="s">
        <v>1790</v>
      </c>
      <c r="F1141" s="6" t="s">
        <v>1791</v>
      </c>
      <c r="G1141" s="6">
        <v>7.33763955E9</v>
      </c>
      <c r="H1141" s="6">
        <v>4.0149832E7</v>
      </c>
      <c r="I1141" s="6" t="s">
        <v>26</v>
      </c>
      <c r="J1141" s="6" t="s">
        <v>21</v>
      </c>
      <c r="K1141" s="6" t="s">
        <v>22</v>
      </c>
      <c r="L1141" s="6">
        <v>24.0</v>
      </c>
      <c r="M1141" s="5">
        <v>46013.0</v>
      </c>
      <c r="N1141" s="6" t="s">
        <v>23</v>
      </c>
      <c r="O1141" s="6" t="str">
        <f>SUMIFS([1]order_sku_sales_bb2_report!P:P,[1]order_sku_sales_bb2_report!H:H,C28951,[1]order_sku_sales_bb2_report!J:J,H28951)</f>
        <v>#ERROR!</v>
      </c>
      <c r="P1141" s="6" t="str">
        <f>SUMIFS([1]order_sku_sales_bb2_report!O:O,[1]order_sku_sales_bb2_report!H:H,C28951,[1]order_sku_sales_bb2_report!J:J,H28951)</f>
        <v>#ERROR!</v>
      </c>
      <c r="Q1141" s="6" t="str">
        <f t="shared" si="1"/>
        <v>22-12-2025</v>
      </c>
      <c r="R1141" s="6" t="str">
        <f>IFERROR( VLOOKUP(C28951,[1]expressOrderReport!$S:$AZ,34,0),0)</f>
        <v>#ERROR!</v>
      </c>
      <c r="S1141" s="6" t="str">
        <f>ARRAY_CONSTRAIN(ARRAYFORMULA(_xludf.XLOOKUP(D28951,[1]order_Report_SA_ID_BB2.0!V:V,[1]order_Report_SA_ID_BB2.0!AM:AM,"")), 1, 1)</f>
        <v>#ERROR!</v>
      </c>
      <c r="T1141" s="6" t="str">
        <f t="shared" si="2"/>
        <v>Dec'25</v>
      </c>
    </row>
    <row r="1142" ht="15.75" customHeight="1">
      <c r="A1142" s="5">
        <v>46013.0</v>
      </c>
      <c r="B1142" s="6">
        <v>7112.0</v>
      </c>
      <c r="C1142" s="6">
        <v>1.859167382E9</v>
      </c>
      <c r="D1142" s="6">
        <v>4205763.0</v>
      </c>
      <c r="E1142" s="6" t="s">
        <v>1792</v>
      </c>
      <c r="F1142" s="6" t="s">
        <v>1793</v>
      </c>
      <c r="G1142" s="6">
        <v>9.676931317E9</v>
      </c>
      <c r="H1142" s="6">
        <v>4.0148717E7</v>
      </c>
      <c r="I1142" s="6" t="s">
        <v>226</v>
      </c>
      <c r="J1142" s="6" t="s">
        <v>21</v>
      </c>
      <c r="K1142" s="6" t="s">
        <v>22</v>
      </c>
      <c r="L1142" s="6">
        <v>106.0</v>
      </c>
      <c r="M1142" s="5">
        <v>46013.0</v>
      </c>
      <c r="N1142" s="6" t="s">
        <v>23</v>
      </c>
      <c r="O1142" s="6" t="str">
        <f>SUMIFS([1]order_sku_sales_bb2_report!P:P,[1]order_sku_sales_bb2_report!H:H,C28952,[1]order_sku_sales_bb2_report!J:J,H28952)</f>
        <v>#ERROR!</v>
      </c>
      <c r="P1142" s="6" t="str">
        <f>SUMIFS([1]order_sku_sales_bb2_report!O:O,[1]order_sku_sales_bb2_report!H:H,C28952,[1]order_sku_sales_bb2_report!J:J,H28952)</f>
        <v>#ERROR!</v>
      </c>
      <c r="Q1142" s="6" t="str">
        <f t="shared" si="1"/>
        <v>22-12-2025</v>
      </c>
      <c r="R1142" s="6" t="str">
        <f>IFERROR( VLOOKUP(C28952,[1]expressOrderReport!$S:$AZ,34,0),0)</f>
        <v>#ERROR!</v>
      </c>
      <c r="S1142" s="6" t="str">
        <f>ARRAY_CONSTRAIN(ARRAYFORMULA(_xludf.XLOOKUP(D28952,[1]order_Report_SA_ID_BB2.0!V:V,[1]order_Report_SA_ID_BB2.0!AM:AM,"")), 1, 1)</f>
        <v>#ERROR!</v>
      </c>
      <c r="T1142" s="6" t="str">
        <f t="shared" si="2"/>
        <v>Dec'25</v>
      </c>
    </row>
    <row r="1143" ht="15.75" customHeight="1">
      <c r="A1143" s="5">
        <v>46013.0</v>
      </c>
      <c r="B1143" s="6">
        <v>1498.0</v>
      </c>
      <c r="C1143" s="6">
        <v>1.859167389E9</v>
      </c>
      <c r="D1143" s="6">
        <v>2.4798327E7</v>
      </c>
      <c r="E1143" s="6" t="s">
        <v>1794</v>
      </c>
      <c r="F1143" s="6" t="s">
        <v>1795</v>
      </c>
      <c r="G1143" s="6">
        <v>8.884101401E9</v>
      </c>
      <c r="H1143" s="6">
        <v>4.0149832E7</v>
      </c>
      <c r="I1143" s="6" t="s">
        <v>26</v>
      </c>
      <c r="J1143" s="6" t="s">
        <v>21</v>
      </c>
      <c r="K1143" s="6" t="s">
        <v>22</v>
      </c>
      <c r="L1143" s="6">
        <v>24.0</v>
      </c>
      <c r="M1143" s="5">
        <v>46013.0</v>
      </c>
      <c r="N1143" s="6" t="s">
        <v>23</v>
      </c>
      <c r="O1143" s="6" t="str">
        <f>SUMIFS([1]order_sku_sales_bb2_report!P:P,[1]order_sku_sales_bb2_report!H:H,C28953,[1]order_sku_sales_bb2_report!J:J,H28953)</f>
        <v>#ERROR!</v>
      </c>
      <c r="P1143" s="6" t="str">
        <f>SUMIFS([1]order_sku_sales_bb2_report!O:O,[1]order_sku_sales_bb2_report!H:H,C28953,[1]order_sku_sales_bb2_report!J:J,H28953)</f>
        <v>#ERROR!</v>
      </c>
      <c r="Q1143" s="6" t="str">
        <f t="shared" si="1"/>
        <v>22-12-2025</v>
      </c>
      <c r="R1143" s="6" t="str">
        <f>IFERROR( VLOOKUP(C28953,[1]expressOrderReport!$S:$AZ,34,0),0)</f>
        <v>#ERROR!</v>
      </c>
      <c r="S1143" s="6" t="str">
        <f>ARRAY_CONSTRAIN(ARRAYFORMULA(_xludf.XLOOKUP(D28953,[1]order_Report_SA_ID_BB2.0!V:V,[1]order_Report_SA_ID_BB2.0!AM:AM,"")), 1, 1)</f>
        <v>#ERROR!</v>
      </c>
      <c r="T1143" s="6" t="str">
        <f t="shared" si="2"/>
        <v>Dec'25</v>
      </c>
    </row>
    <row r="1144" ht="15.75" customHeight="1">
      <c r="A1144" s="5">
        <v>46013.0</v>
      </c>
      <c r="B1144" s="6">
        <v>12058.0</v>
      </c>
      <c r="C1144" s="6">
        <v>1.859167398E9</v>
      </c>
      <c r="D1144" s="6">
        <v>6.0299538E7</v>
      </c>
      <c r="E1144" s="6" t="s">
        <v>1796</v>
      </c>
      <c r="F1144" s="6" t="s">
        <v>1797</v>
      </c>
      <c r="G1144" s="6">
        <v>9.8671791E9</v>
      </c>
      <c r="H1144" s="6">
        <v>4.0047739E7</v>
      </c>
      <c r="I1144" s="6" t="s">
        <v>180</v>
      </c>
      <c r="J1144" s="6" t="s">
        <v>21</v>
      </c>
      <c r="K1144" s="6" t="s">
        <v>22</v>
      </c>
      <c r="L1144" s="6">
        <v>68.0</v>
      </c>
      <c r="M1144" s="5">
        <v>46013.0</v>
      </c>
      <c r="N1144" s="6" t="s">
        <v>23</v>
      </c>
      <c r="O1144" s="6" t="str">
        <f>SUMIFS([1]order_sku_sales_bb2_report!P:P,[1]order_sku_sales_bb2_report!H:H,C28954,[1]order_sku_sales_bb2_report!J:J,H28954)</f>
        <v>#ERROR!</v>
      </c>
      <c r="P1144" s="6" t="str">
        <f>SUMIFS([1]order_sku_sales_bb2_report!O:O,[1]order_sku_sales_bb2_report!H:H,C28954,[1]order_sku_sales_bb2_report!J:J,H28954)</f>
        <v>#ERROR!</v>
      </c>
      <c r="Q1144" s="6" t="str">
        <f t="shared" si="1"/>
        <v>22-12-2025</v>
      </c>
      <c r="R1144" s="6" t="str">
        <f>IFERROR( VLOOKUP(C28954,[1]expressOrderReport!$S:$AZ,34,0),0)</f>
        <v>#ERROR!</v>
      </c>
      <c r="S1144" s="6" t="str">
        <f>ARRAY_CONSTRAIN(ARRAYFORMULA(_xludf.XLOOKUP(D28954,[1]order_Report_SA_ID_BB2.0!V:V,[1]order_Report_SA_ID_BB2.0!AM:AM,"")), 1, 1)</f>
        <v>#ERROR!</v>
      </c>
      <c r="T1144" s="6" t="str">
        <f t="shared" si="2"/>
        <v>Dec'25</v>
      </c>
    </row>
    <row r="1145" ht="15.75" customHeight="1">
      <c r="A1145" s="5">
        <v>46013.0</v>
      </c>
      <c r="B1145" s="6">
        <v>8086.0</v>
      </c>
      <c r="C1145" s="6">
        <v>1.8591674E9</v>
      </c>
      <c r="D1145" s="6">
        <v>6.0495894E7</v>
      </c>
      <c r="E1145" s="6" t="s">
        <v>1798</v>
      </c>
      <c r="F1145" s="6" t="s">
        <v>1799</v>
      </c>
      <c r="G1145" s="6">
        <v>7.337886423E9</v>
      </c>
      <c r="H1145" s="6">
        <v>4.0149833E7</v>
      </c>
      <c r="I1145" s="6" t="s">
        <v>40</v>
      </c>
      <c r="J1145" s="6" t="s">
        <v>21</v>
      </c>
      <c r="K1145" s="6" t="s">
        <v>22</v>
      </c>
      <c r="L1145" s="6">
        <v>54.0</v>
      </c>
      <c r="M1145" s="5">
        <v>46013.0</v>
      </c>
      <c r="N1145" s="6" t="s">
        <v>23</v>
      </c>
      <c r="O1145" s="6" t="str">
        <f>SUMIFS([1]order_sku_sales_bb2_report!P:P,[1]order_sku_sales_bb2_report!H:H,C28955,[1]order_sku_sales_bb2_report!J:J,H28955)</f>
        <v>#ERROR!</v>
      </c>
      <c r="P1145" s="6" t="str">
        <f>SUMIFS([1]order_sku_sales_bb2_report!O:O,[1]order_sku_sales_bb2_report!H:H,C28955,[1]order_sku_sales_bb2_report!J:J,H28955)</f>
        <v>#ERROR!</v>
      </c>
      <c r="Q1145" s="6" t="str">
        <f t="shared" si="1"/>
        <v>22-12-2025</v>
      </c>
      <c r="R1145" s="6" t="str">
        <f>IFERROR( VLOOKUP(C28955,[1]expressOrderReport!$S:$AZ,34,0),0)</f>
        <v>#ERROR!</v>
      </c>
      <c r="S1145" s="6" t="str">
        <f>ARRAY_CONSTRAIN(ARRAYFORMULA(_xludf.XLOOKUP(D28955,[1]order_Report_SA_ID_BB2.0!V:V,[1]order_Report_SA_ID_BB2.0!AM:AM,"")), 1, 1)</f>
        <v>#ERROR!</v>
      </c>
      <c r="T1145" s="6" t="str">
        <f t="shared" si="2"/>
        <v>Dec'25</v>
      </c>
    </row>
    <row r="1146" ht="15.75" customHeight="1">
      <c r="A1146" s="5">
        <v>46013.0</v>
      </c>
      <c r="B1146" s="6">
        <v>11864.0</v>
      </c>
      <c r="C1146" s="6">
        <v>1.859167407E9</v>
      </c>
      <c r="D1146" s="6">
        <v>1.0023466E7</v>
      </c>
      <c r="E1146" s="6" t="s">
        <v>1800</v>
      </c>
      <c r="F1146" s="6" t="s">
        <v>1801</v>
      </c>
      <c r="G1146" s="6">
        <v>9.845719332E9</v>
      </c>
      <c r="H1146" s="6">
        <v>4.0147597E7</v>
      </c>
      <c r="I1146" s="6" t="s">
        <v>59</v>
      </c>
      <c r="J1146" s="6" t="s">
        <v>21</v>
      </c>
      <c r="K1146" s="6" t="s">
        <v>22</v>
      </c>
      <c r="L1146" s="6">
        <v>52.0</v>
      </c>
      <c r="M1146" s="5">
        <v>46013.0</v>
      </c>
      <c r="N1146" s="6" t="s">
        <v>23</v>
      </c>
      <c r="O1146" s="6" t="str">
        <f>SUMIFS([1]order_sku_sales_bb2_report!P:P,[1]order_sku_sales_bb2_report!H:H,C28956,[1]order_sku_sales_bb2_report!J:J,H28956)</f>
        <v>#ERROR!</v>
      </c>
      <c r="P1146" s="6" t="str">
        <f>SUMIFS([1]order_sku_sales_bb2_report!O:O,[1]order_sku_sales_bb2_report!H:H,C28956,[1]order_sku_sales_bb2_report!J:J,H28956)</f>
        <v>#ERROR!</v>
      </c>
      <c r="Q1146" s="6" t="str">
        <f t="shared" si="1"/>
        <v>22-12-2025</v>
      </c>
      <c r="R1146" s="6" t="str">
        <f>IFERROR( VLOOKUP(C28956,[1]expressOrderReport!$S:$AZ,34,0),0)</f>
        <v>#ERROR!</v>
      </c>
      <c r="S1146" s="6" t="str">
        <f>ARRAY_CONSTRAIN(ARRAYFORMULA(_xludf.XLOOKUP(D28956,[1]order_Report_SA_ID_BB2.0!V:V,[1]order_Report_SA_ID_BB2.0!AM:AM,"")), 1, 1)</f>
        <v>#ERROR!</v>
      </c>
      <c r="T1146" s="6" t="str">
        <f t="shared" si="2"/>
        <v>Dec'25</v>
      </c>
    </row>
    <row r="1147" ht="15.75" customHeight="1">
      <c r="A1147" s="5">
        <v>46013.0</v>
      </c>
      <c r="B1147" s="6">
        <v>11015.0</v>
      </c>
      <c r="C1147" s="6">
        <v>1.859167414E9</v>
      </c>
      <c r="D1147" s="6">
        <v>1.3837006E7</v>
      </c>
      <c r="E1147" s="6" t="s">
        <v>1802</v>
      </c>
      <c r="F1147" s="6" t="s">
        <v>1803</v>
      </c>
      <c r="G1147" s="6">
        <v>9.003805511E9</v>
      </c>
      <c r="H1147" s="6">
        <v>4.0149832E7</v>
      </c>
      <c r="I1147" s="6" t="s">
        <v>26</v>
      </c>
      <c r="J1147" s="6" t="s">
        <v>21</v>
      </c>
      <c r="K1147" s="6" t="s">
        <v>22</v>
      </c>
      <c r="L1147" s="6">
        <v>24.0</v>
      </c>
      <c r="M1147" s="5">
        <v>46013.0</v>
      </c>
      <c r="N1147" s="6" t="s">
        <v>54</v>
      </c>
      <c r="O1147" s="6" t="str">
        <f>SUMIFS([1]order_sku_sales_bb2_report!P:P,[1]order_sku_sales_bb2_report!H:H,C28957,[1]order_sku_sales_bb2_report!J:J,H28957)</f>
        <v>#ERROR!</v>
      </c>
      <c r="P1147" s="6" t="str">
        <f>SUMIFS([1]order_sku_sales_bb2_report!O:O,[1]order_sku_sales_bb2_report!H:H,C28957,[1]order_sku_sales_bb2_report!J:J,H28957)</f>
        <v>#ERROR!</v>
      </c>
      <c r="Q1147" s="6" t="str">
        <f t="shared" si="1"/>
        <v>22-12-2025</v>
      </c>
      <c r="R1147" s="6" t="str">
        <f>IFERROR( VLOOKUP(C28957,[1]expressOrderReport!$S:$AZ,34,0),0)</f>
        <v>#ERROR!</v>
      </c>
      <c r="S1147" s="6" t="str">
        <f>ARRAY_CONSTRAIN(ARRAYFORMULA(_xludf.XLOOKUP(D28957,[1]order_Report_SA_ID_BB2.0!V:V,[1]order_Report_SA_ID_BB2.0!AM:AM,"")), 1, 1)</f>
        <v>#ERROR!</v>
      </c>
      <c r="T1147" s="6" t="str">
        <f t="shared" si="2"/>
        <v>Dec'25</v>
      </c>
    </row>
    <row r="1148" ht="15.75" customHeight="1">
      <c r="A1148" s="5">
        <v>46013.0</v>
      </c>
      <c r="B1148" s="6">
        <v>4282.0</v>
      </c>
      <c r="C1148" s="6">
        <v>1.859167419E9</v>
      </c>
      <c r="D1148" s="6">
        <v>4.6168296E7</v>
      </c>
      <c r="E1148" s="6" t="s">
        <v>1804</v>
      </c>
      <c r="F1148" s="6" t="s">
        <v>1805</v>
      </c>
      <c r="G1148" s="6">
        <v>8.088369733E9</v>
      </c>
      <c r="H1148" s="6">
        <v>4.0149834E7</v>
      </c>
      <c r="I1148" s="6" t="s">
        <v>40</v>
      </c>
      <c r="J1148" s="6" t="s">
        <v>21</v>
      </c>
      <c r="K1148" s="6" t="s">
        <v>22</v>
      </c>
      <c r="L1148" s="6">
        <v>52.0</v>
      </c>
      <c r="M1148" s="5">
        <v>46013.0</v>
      </c>
      <c r="N1148" s="6" t="s">
        <v>23</v>
      </c>
      <c r="O1148" s="6" t="str">
        <f>SUMIFS([1]order_sku_sales_bb2_report!P:P,[1]order_sku_sales_bb2_report!H:H,C28958,[1]order_sku_sales_bb2_report!J:J,H28958)</f>
        <v>#ERROR!</v>
      </c>
      <c r="P1148" s="6" t="str">
        <f>SUMIFS([1]order_sku_sales_bb2_report!O:O,[1]order_sku_sales_bb2_report!H:H,C28958,[1]order_sku_sales_bb2_report!J:J,H28958)</f>
        <v>#ERROR!</v>
      </c>
      <c r="Q1148" s="6" t="str">
        <f t="shared" si="1"/>
        <v>22-12-2025</v>
      </c>
      <c r="R1148" s="6" t="str">
        <f>IFERROR( VLOOKUP(C28958,[1]expressOrderReport!$S:$AZ,34,0),0)</f>
        <v>#ERROR!</v>
      </c>
      <c r="S1148" s="6" t="str">
        <f>ARRAY_CONSTRAIN(ARRAYFORMULA(_xludf.XLOOKUP(D28958,[1]order_Report_SA_ID_BB2.0!V:V,[1]order_Report_SA_ID_BB2.0!AM:AM,"")), 1, 1)</f>
        <v>#ERROR!</v>
      </c>
      <c r="T1148" s="6" t="str">
        <f t="shared" si="2"/>
        <v>Dec'25</v>
      </c>
    </row>
    <row r="1149" ht="15.75" customHeight="1">
      <c r="A1149" s="5">
        <v>46013.0</v>
      </c>
      <c r="B1149" s="6">
        <v>5996.0</v>
      </c>
      <c r="C1149" s="6">
        <v>1.859167426E9</v>
      </c>
      <c r="D1149" s="6">
        <v>4044455.0</v>
      </c>
      <c r="E1149" s="6" t="s">
        <v>571</v>
      </c>
      <c r="F1149" s="6" t="s">
        <v>572</v>
      </c>
      <c r="G1149" s="6">
        <v>9.591233061E9</v>
      </c>
      <c r="H1149" s="6">
        <v>4.0149833E7</v>
      </c>
      <c r="I1149" s="6" t="s">
        <v>40</v>
      </c>
      <c r="J1149" s="6" t="s">
        <v>21</v>
      </c>
      <c r="K1149" s="6" t="s">
        <v>22</v>
      </c>
      <c r="L1149" s="6">
        <v>27.0</v>
      </c>
      <c r="M1149" s="5">
        <v>46013.0</v>
      </c>
      <c r="N1149" s="6" t="s">
        <v>23</v>
      </c>
      <c r="O1149" s="6" t="str">
        <f>SUMIFS([1]order_sku_sales_bb2_report!P:P,[1]order_sku_sales_bb2_report!H:H,C28959,[1]order_sku_sales_bb2_report!J:J,H28959)</f>
        <v>#ERROR!</v>
      </c>
      <c r="P1149" s="6" t="str">
        <f>SUMIFS([1]order_sku_sales_bb2_report!O:O,[1]order_sku_sales_bb2_report!H:H,C28959,[1]order_sku_sales_bb2_report!J:J,H28959)</f>
        <v>#ERROR!</v>
      </c>
      <c r="Q1149" s="6" t="str">
        <f t="shared" si="1"/>
        <v>22-12-2025</v>
      </c>
      <c r="R1149" s="6" t="str">
        <f>IFERROR( VLOOKUP(C28959,[1]expressOrderReport!$S:$AZ,34,0),0)</f>
        <v>#ERROR!</v>
      </c>
      <c r="S1149" s="6" t="str">
        <f>ARRAY_CONSTRAIN(ARRAYFORMULA(_xludf.XLOOKUP(D28959,[1]order_Report_SA_ID_BB2.0!V:V,[1]order_Report_SA_ID_BB2.0!AM:AM,"")), 1, 1)</f>
        <v>#ERROR!</v>
      </c>
      <c r="T1149" s="6" t="str">
        <f t="shared" si="2"/>
        <v>Dec'25</v>
      </c>
    </row>
    <row r="1150" ht="15.75" customHeight="1">
      <c r="A1150" s="5">
        <v>46013.0</v>
      </c>
      <c r="B1150" s="6">
        <v>12059.0</v>
      </c>
      <c r="C1150" s="6">
        <v>1.85916743E9</v>
      </c>
      <c r="D1150" s="6">
        <v>6.1083332E7</v>
      </c>
      <c r="E1150" s="6" t="s">
        <v>1806</v>
      </c>
      <c r="F1150" s="6" t="s">
        <v>1807</v>
      </c>
      <c r="G1150" s="6">
        <v>9.980845109E9</v>
      </c>
      <c r="H1150" s="6">
        <v>4.0313034E7</v>
      </c>
      <c r="I1150" s="6" t="s">
        <v>1808</v>
      </c>
      <c r="J1150" s="6" t="s">
        <v>21</v>
      </c>
      <c r="K1150" s="6" t="s">
        <v>22</v>
      </c>
      <c r="L1150" s="6">
        <v>152.0</v>
      </c>
      <c r="M1150" s="5">
        <v>46013.0</v>
      </c>
      <c r="N1150" s="6" t="s">
        <v>23</v>
      </c>
      <c r="O1150" s="6" t="str">
        <f>SUMIFS([1]order_sku_sales_bb2_report!P:P,[1]order_sku_sales_bb2_report!H:H,C28960,[1]order_sku_sales_bb2_report!J:J,H28960)</f>
        <v>#ERROR!</v>
      </c>
      <c r="P1150" s="6" t="str">
        <f>SUMIFS([1]order_sku_sales_bb2_report!O:O,[1]order_sku_sales_bb2_report!H:H,C28960,[1]order_sku_sales_bb2_report!J:J,H28960)</f>
        <v>#ERROR!</v>
      </c>
      <c r="Q1150" s="6" t="str">
        <f t="shared" si="1"/>
        <v>22-12-2025</v>
      </c>
      <c r="R1150" s="6" t="str">
        <f>IFERROR( VLOOKUP(C28960,[1]expressOrderReport!$S:$AZ,34,0),0)</f>
        <v>#ERROR!</v>
      </c>
      <c r="S1150" s="6" t="str">
        <f>ARRAY_CONSTRAIN(ARRAYFORMULA(_xludf.XLOOKUP(D28960,[1]order_Report_SA_ID_BB2.0!V:V,[1]order_Report_SA_ID_BB2.0!AM:AM,"")), 1, 1)</f>
        <v>#ERROR!</v>
      </c>
      <c r="T1150" s="6" t="str">
        <f t="shared" si="2"/>
        <v>Dec'25</v>
      </c>
    </row>
    <row r="1151" ht="15.75" customHeight="1">
      <c r="A1151" s="5">
        <v>46013.0</v>
      </c>
      <c r="B1151" s="6">
        <v>10159.0</v>
      </c>
      <c r="C1151" s="6">
        <v>1.859167435E9</v>
      </c>
      <c r="D1151" s="6">
        <v>5.2768655E7</v>
      </c>
      <c r="E1151" s="6" t="s">
        <v>1809</v>
      </c>
      <c r="F1151" s="6" t="s">
        <v>1810</v>
      </c>
      <c r="G1151" s="6">
        <v>9.123131635E9</v>
      </c>
      <c r="H1151" s="6">
        <v>4.0149834E7</v>
      </c>
      <c r="I1151" s="6" t="s">
        <v>40</v>
      </c>
      <c r="J1151" s="6" t="s">
        <v>21</v>
      </c>
      <c r="K1151" s="6" t="s">
        <v>22</v>
      </c>
      <c r="L1151" s="6">
        <v>79.0</v>
      </c>
      <c r="M1151" s="5">
        <v>46013.0</v>
      </c>
      <c r="N1151" s="6" t="s">
        <v>23</v>
      </c>
      <c r="O1151" s="6" t="str">
        <f>SUMIFS([1]order_sku_sales_bb2_report!P:P,[1]order_sku_sales_bb2_report!H:H,C28961,[1]order_sku_sales_bb2_report!J:J,H28961)</f>
        <v>#ERROR!</v>
      </c>
      <c r="P1151" s="6" t="str">
        <f>SUMIFS([1]order_sku_sales_bb2_report!O:O,[1]order_sku_sales_bb2_report!H:H,C28961,[1]order_sku_sales_bb2_report!J:J,H28961)</f>
        <v>#ERROR!</v>
      </c>
      <c r="Q1151" s="6" t="str">
        <f t="shared" si="1"/>
        <v>22-12-2025</v>
      </c>
      <c r="R1151" s="6" t="str">
        <f>IFERROR( VLOOKUP(C28961,[1]expressOrderReport!$S:$AZ,34,0),0)</f>
        <v>#ERROR!</v>
      </c>
      <c r="S1151" s="6" t="str">
        <f>ARRAY_CONSTRAIN(ARRAYFORMULA(_xludf.XLOOKUP(D28961,[1]order_Report_SA_ID_BB2.0!V:V,[1]order_Report_SA_ID_BB2.0!AM:AM,"")), 1, 1)</f>
        <v>#ERROR!</v>
      </c>
      <c r="T1151" s="6" t="str">
        <f t="shared" si="2"/>
        <v>Dec'25</v>
      </c>
    </row>
    <row r="1152" ht="15.75" customHeight="1">
      <c r="A1152" s="5">
        <v>46013.0</v>
      </c>
      <c r="B1152" s="6">
        <v>10160.0</v>
      </c>
      <c r="C1152" s="6">
        <v>1.859167435E9</v>
      </c>
      <c r="D1152" s="6">
        <v>5.2768655E7</v>
      </c>
      <c r="E1152" s="6" t="s">
        <v>1809</v>
      </c>
      <c r="F1152" s="6" t="s">
        <v>1810</v>
      </c>
      <c r="G1152" s="6">
        <v>9.123131635E9</v>
      </c>
      <c r="H1152" s="6">
        <v>4.0149833E7</v>
      </c>
      <c r="I1152" s="6" t="s">
        <v>40</v>
      </c>
      <c r="J1152" s="6" t="s">
        <v>21</v>
      </c>
      <c r="K1152" s="6" t="s">
        <v>22</v>
      </c>
      <c r="L1152" s="6">
        <v>79.0</v>
      </c>
      <c r="M1152" s="5">
        <v>46013.0</v>
      </c>
      <c r="N1152" s="6" t="s">
        <v>23</v>
      </c>
      <c r="O1152" s="6" t="str">
        <f>SUMIFS([1]order_sku_sales_bb2_report!P:P,[1]order_sku_sales_bb2_report!H:H,C28962,[1]order_sku_sales_bb2_report!J:J,H28962)</f>
        <v>#ERROR!</v>
      </c>
      <c r="P1152" s="6" t="str">
        <f>SUMIFS([1]order_sku_sales_bb2_report!O:O,[1]order_sku_sales_bb2_report!H:H,C28962,[1]order_sku_sales_bb2_report!J:J,H28962)</f>
        <v>#ERROR!</v>
      </c>
      <c r="Q1152" s="6" t="str">
        <f t="shared" si="1"/>
        <v>22-12-2025</v>
      </c>
      <c r="R1152" s="6" t="str">
        <f>IFERROR( VLOOKUP(C28962,[1]expressOrderReport!$S:$AZ,34,0),0)</f>
        <v>#ERROR!</v>
      </c>
      <c r="S1152" s="6" t="str">
        <f>ARRAY_CONSTRAIN(ARRAYFORMULA(_xludf.XLOOKUP(D28962,[1]order_Report_SA_ID_BB2.0!V:V,[1]order_Report_SA_ID_BB2.0!AM:AM,"")), 1, 1)</f>
        <v>#ERROR!</v>
      </c>
      <c r="T1152" s="6" t="str">
        <f t="shared" si="2"/>
        <v>Dec'25</v>
      </c>
    </row>
    <row r="1153" ht="15.75" customHeight="1">
      <c r="A1153" s="5">
        <v>46013.0</v>
      </c>
      <c r="B1153" s="6">
        <v>8682.0</v>
      </c>
      <c r="C1153" s="6">
        <v>1.859167439E9</v>
      </c>
      <c r="D1153" s="6">
        <v>1.4664989E7</v>
      </c>
      <c r="E1153" s="6" t="s">
        <v>1811</v>
      </c>
      <c r="F1153" s="6" t="s">
        <v>1812</v>
      </c>
      <c r="G1153" s="6">
        <v>8.074328565E9</v>
      </c>
      <c r="H1153" s="6">
        <v>4.0158264E7</v>
      </c>
      <c r="I1153" s="6" t="s">
        <v>26</v>
      </c>
      <c r="J1153" s="6" t="s">
        <v>21</v>
      </c>
      <c r="K1153" s="6" t="s">
        <v>22</v>
      </c>
      <c r="L1153" s="6">
        <v>46.0</v>
      </c>
      <c r="M1153" s="5">
        <v>46013.0</v>
      </c>
      <c r="N1153" s="6" t="s">
        <v>23</v>
      </c>
      <c r="O1153" s="6" t="str">
        <f>SUMIFS([1]order_sku_sales_bb2_report!P:P,[1]order_sku_sales_bb2_report!H:H,C28963,[1]order_sku_sales_bb2_report!J:J,H28963)</f>
        <v>#ERROR!</v>
      </c>
      <c r="P1153" s="6" t="str">
        <f>SUMIFS([1]order_sku_sales_bb2_report!O:O,[1]order_sku_sales_bb2_report!H:H,C28963,[1]order_sku_sales_bb2_report!J:J,H28963)</f>
        <v>#ERROR!</v>
      </c>
      <c r="Q1153" s="6" t="str">
        <f t="shared" si="1"/>
        <v>22-12-2025</v>
      </c>
      <c r="R1153" s="6" t="str">
        <f>IFERROR( VLOOKUP(C28963,[1]expressOrderReport!$S:$AZ,34,0),0)</f>
        <v>#ERROR!</v>
      </c>
      <c r="S1153" s="6" t="str">
        <f>ARRAY_CONSTRAIN(ARRAYFORMULA(_xludf.XLOOKUP(D28963,[1]order_Report_SA_ID_BB2.0!V:V,[1]order_Report_SA_ID_BB2.0!AM:AM,"")), 1, 1)</f>
        <v>#ERROR!</v>
      </c>
      <c r="T1153" s="6" t="str">
        <f t="shared" si="2"/>
        <v>Dec'25</v>
      </c>
    </row>
    <row r="1154" ht="15.75" customHeight="1">
      <c r="A1154" s="5">
        <v>46013.0</v>
      </c>
      <c r="B1154" s="6">
        <v>8026.0</v>
      </c>
      <c r="C1154" s="6">
        <v>1.859167446E9</v>
      </c>
      <c r="D1154" s="6">
        <v>1.6013059E7</v>
      </c>
      <c r="E1154" s="6" t="s">
        <v>1813</v>
      </c>
      <c r="F1154" s="6" t="s">
        <v>1814</v>
      </c>
      <c r="G1154" s="6">
        <v>7.023547026E9</v>
      </c>
      <c r="H1154" s="6">
        <v>4.0047739E7</v>
      </c>
      <c r="I1154" s="6" t="s">
        <v>180</v>
      </c>
      <c r="J1154" s="6" t="s">
        <v>21</v>
      </c>
      <c r="K1154" s="6" t="s">
        <v>22</v>
      </c>
      <c r="L1154" s="6">
        <v>34.0</v>
      </c>
      <c r="M1154" s="5">
        <v>46013.0</v>
      </c>
      <c r="N1154" s="6" t="s">
        <v>23</v>
      </c>
      <c r="O1154" s="6" t="str">
        <f>SUMIFS([1]order_sku_sales_bb2_report!P:P,[1]order_sku_sales_bb2_report!H:H,C28964,[1]order_sku_sales_bb2_report!J:J,H28964)</f>
        <v>#ERROR!</v>
      </c>
      <c r="P1154" s="6" t="str">
        <f>SUMIFS([1]order_sku_sales_bb2_report!O:O,[1]order_sku_sales_bb2_report!H:H,C28964,[1]order_sku_sales_bb2_report!J:J,H28964)</f>
        <v>#ERROR!</v>
      </c>
      <c r="Q1154" s="6" t="str">
        <f t="shared" si="1"/>
        <v>22-12-2025</v>
      </c>
      <c r="R1154" s="6" t="str">
        <f>IFERROR( VLOOKUP(C28964,[1]expressOrderReport!$S:$AZ,34,0),0)</f>
        <v>#ERROR!</v>
      </c>
      <c r="S1154" s="6" t="str">
        <f>ARRAY_CONSTRAIN(ARRAYFORMULA(_xludf.XLOOKUP(D28964,[1]order_Report_SA_ID_BB2.0!V:V,[1]order_Report_SA_ID_BB2.0!AM:AM,"")), 1, 1)</f>
        <v>#ERROR!</v>
      </c>
      <c r="T1154" s="6" t="str">
        <f t="shared" si="2"/>
        <v>Dec'25</v>
      </c>
    </row>
    <row r="1155" ht="15.75" customHeight="1">
      <c r="A1155" s="5">
        <v>46013.0</v>
      </c>
      <c r="B1155" s="6">
        <v>11956.0</v>
      </c>
      <c r="C1155" s="6">
        <v>1.859167452E9</v>
      </c>
      <c r="D1155" s="6">
        <v>3.8591994E7</v>
      </c>
      <c r="E1155" s="6" t="s">
        <v>1815</v>
      </c>
      <c r="F1155" s="6" t="s">
        <v>1816</v>
      </c>
      <c r="G1155" s="6">
        <v>8.709642861E9</v>
      </c>
      <c r="H1155" s="6">
        <v>4.0147597E7</v>
      </c>
      <c r="I1155" s="6" t="s">
        <v>59</v>
      </c>
      <c r="J1155" s="6" t="s">
        <v>21</v>
      </c>
      <c r="K1155" s="6" t="s">
        <v>22</v>
      </c>
      <c r="L1155" s="6">
        <v>26.0</v>
      </c>
      <c r="M1155" s="5">
        <v>46013.0</v>
      </c>
      <c r="N1155" s="6" t="s">
        <v>23</v>
      </c>
      <c r="O1155" s="6" t="str">
        <f>SUMIFS([1]order_sku_sales_bb2_report!P:P,[1]order_sku_sales_bb2_report!H:H,C28966,[1]order_sku_sales_bb2_report!J:J,H28966)</f>
        <v>#ERROR!</v>
      </c>
      <c r="P1155" s="6" t="str">
        <f>SUMIFS([1]order_sku_sales_bb2_report!O:O,[1]order_sku_sales_bb2_report!H:H,C28966,[1]order_sku_sales_bb2_report!J:J,H28966)</f>
        <v>#ERROR!</v>
      </c>
      <c r="Q1155" s="6" t="str">
        <f t="shared" si="1"/>
        <v>22-12-2025</v>
      </c>
      <c r="R1155" s="6" t="str">
        <f>IFERROR( VLOOKUP(C28966,[1]expressOrderReport!$S:$AZ,34,0),0)</f>
        <v>#ERROR!</v>
      </c>
      <c r="S1155" s="6" t="str">
        <f>ARRAY_CONSTRAIN(ARRAYFORMULA(_xludf.XLOOKUP(D28966,[1]order_Report_SA_ID_BB2.0!V:V,[1]order_Report_SA_ID_BB2.0!AM:AM,"")), 1, 1)</f>
        <v>#ERROR!</v>
      </c>
      <c r="T1155" s="6" t="str">
        <f t="shared" si="2"/>
        <v>Dec'25</v>
      </c>
    </row>
    <row r="1156" ht="15.75" customHeight="1">
      <c r="A1156" s="5">
        <v>46013.0</v>
      </c>
      <c r="B1156" s="6">
        <v>9049.0</v>
      </c>
      <c r="C1156" s="6">
        <v>1.859167456E9</v>
      </c>
      <c r="D1156" s="6">
        <v>1.4144201E7</v>
      </c>
      <c r="E1156" s="6" t="s">
        <v>1817</v>
      </c>
      <c r="F1156" s="6" t="s">
        <v>1818</v>
      </c>
      <c r="G1156" s="6">
        <v>9.560036347E9</v>
      </c>
      <c r="H1156" s="6">
        <v>4.0090893E7</v>
      </c>
      <c r="I1156" s="6" t="s">
        <v>35</v>
      </c>
      <c r="J1156" s="6" t="s">
        <v>21</v>
      </c>
      <c r="K1156" s="6" t="s">
        <v>22</v>
      </c>
      <c r="L1156" s="6">
        <v>100.0</v>
      </c>
      <c r="M1156" s="5">
        <v>46013.0</v>
      </c>
      <c r="N1156" s="6" t="s">
        <v>23</v>
      </c>
      <c r="O1156" s="6" t="str">
        <f>SUMIFS([1]order_sku_sales_bb2_report!P:P,[1]order_sku_sales_bb2_report!H:H,C28967,[1]order_sku_sales_bb2_report!J:J,H28967)</f>
        <v>#ERROR!</v>
      </c>
      <c r="P1156" s="6" t="str">
        <f>SUMIFS([1]order_sku_sales_bb2_report!O:O,[1]order_sku_sales_bb2_report!H:H,C28967,[1]order_sku_sales_bb2_report!J:J,H28967)</f>
        <v>#ERROR!</v>
      </c>
      <c r="Q1156" s="6" t="str">
        <f t="shared" si="1"/>
        <v>22-12-2025</v>
      </c>
      <c r="R1156" s="6" t="str">
        <f>IFERROR( VLOOKUP(C28967,[1]expressOrderReport!$S:$AZ,34,0),0)</f>
        <v>#ERROR!</v>
      </c>
      <c r="S1156" s="6" t="str">
        <f>ARRAY_CONSTRAIN(ARRAYFORMULA(_xludf.XLOOKUP(D28967,[1]order_Report_SA_ID_BB2.0!V:V,[1]order_Report_SA_ID_BB2.0!AM:AM,"")), 1, 1)</f>
        <v>#ERROR!</v>
      </c>
      <c r="T1156" s="6" t="str">
        <f t="shared" si="2"/>
        <v>Dec'25</v>
      </c>
    </row>
    <row r="1157" ht="15.75" customHeight="1">
      <c r="A1157" s="5">
        <v>46013.0</v>
      </c>
      <c r="B1157" s="6">
        <v>9050.0</v>
      </c>
      <c r="C1157" s="6">
        <v>1.859167456E9</v>
      </c>
      <c r="D1157" s="6">
        <v>1.4144201E7</v>
      </c>
      <c r="E1157" s="6" t="s">
        <v>1817</v>
      </c>
      <c r="F1157" s="6" t="s">
        <v>1818</v>
      </c>
      <c r="G1157" s="6">
        <v>9.560036347E9</v>
      </c>
      <c r="H1157" s="6">
        <v>4.0308499E7</v>
      </c>
      <c r="I1157" s="6" t="s">
        <v>371</v>
      </c>
      <c r="J1157" s="6" t="s">
        <v>21</v>
      </c>
      <c r="K1157" s="6" t="s">
        <v>22</v>
      </c>
      <c r="L1157" s="6">
        <v>100.0</v>
      </c>
      <c r="M1157" s="5">
        <v>46013.0</v>
      </c>
      <c r="N1157" s="6" t="s">
        <v>23</v>
      </c>
      <c r="O1157" s="6" t="str">
        <f>SUMIFS([1]order_sku_sales_bb2_report!P:P,[1]order_sku_sales_bb2_report!H:H,C28968,[1]order_sku_sales_bb2_report!J:J,H28968)</f>
        <v>#ERROR!</v>
      </c>
      <c r="P1157" s="6" t="str">
        <f>SUMIFS([1]order_sku_sales_bb2_report!O:O,[1]order_sku_sales_bb2_report!H:H,C28968,[1]order_sku_sales_bb2_report!J:J,H28968)</f>
        <v>#ERROR!</v>
      </c>
      <c r="Q1157" s="6" t="str">
        <f t="shared" si="1"/>
        <v>22-12-2025</v>
      </c>
      <c r="R1157" s="6" t="str">
        <f>IFERROR( VLOOKUP(C28968,[1]expressOrderReport!$S:$AZ,34,0),0)</f>
        <v>#ERROR!</v>
      </c>
      <c r="S1157" s="6" t="str">
        <f>ARRAY_CONSTRAIN(ARRAYFORMULA(_xludf.XLOOKUP(D28968,[1]order_Report_SA_ID_BB2.0!V:V,[1]order_Report_SA_ID_BB2.0!AM:AM,"")), 1, 1)</f>
        <v>#ERROR!</v>
      </c>
      <c r="T1157" s="6" t="str">
        <f t="shared" si="2"/>
        <v>Dec'25</v>
      </c>
    </row>
    <row r="1158" ht="15.75" customHeight="1">
      <c r="A1158" s="5">
        <v>46013.0</v>
      </c>
      <c r="B1158" s="6">
        <v>3320.0</v>
      </c>
      <c r="C1158" s="6">
        <v>1.859167465E9</v>
      </c>
      <c r="D1158" s="6">
        <v>1.7903414E7</v>
      </c>
      <c r="E1158" s="6" t="s">
        <v>1819</v>
      </c>
      <c r="F1158" s="6" t="s">
        <v>1820</v>
      </c>
      <c r="G1158" s="6">
        <v>9.900131847E9</v>
      </c>
      <c r="H1158" s="6">
        <v>4.0158264E7</v>
      </c>
      <c r="I1158" s="6" t="s">
        <v>26</v>
      </c>
      <c r="J1158" s="6" t="s">
        <v>21</v>
      </c>
      <c r="K1158" s="6" t="s">
        <v>22</v>
      </c>
      <c r="L1158" s="6">
        <v>98.0</v>
      </c>
      <c r="M1158" s="5">
        <v>46013.0</v>
      </c>
      <c r="N1158" s="6" t="s">
        <v>23</v>
      </c>
      <c r="O1158" s="6" t="str">
        <f>SUMIFS([1]order_sku_sales_bb2_report!P:P,[1]order_sku_sales_bb2_report!H:H,C28969,[1]order_sku_sales_bb2_report!J:J,H28969)</f>
        <v>#ERROR!</v>
      </c>
      <c r="P1158" s="6" t="str">
        <f>SUMIFS([1]order_sku_sales_bb2_report!O:O,[1]order_sku_sales_bb2_report!H:H,C28969,[1]order_sku_sales_bb2_report!J:J,H28969)</f>
        <v>#ERROR!</v>
      </c>
      <c r="Q1158" s="6" t="str">
        <f t="shared" si="1"/>
        <v>22-12-2025</v>
      </c>
      <c r="R1158" s="6" t="str">
        <f>IFERROR( VLOOKUP(C28969,[1]expressOrderReport!$S:$AZ,34,0),0)</f>
        <v>#ERROR!</v>
      </c>
      <c r="S1158" s="6" t="str">
        <f>ARRAY_CONSTRAIN(ARRAYFORMULA(_xludf.XLOOKUP(D28969,[1]order_Report_SA_ID_BB2.0!V:V,[1]order_Report_SA_ID_BB2.0!AM:AM,"")), 1, 1)</f>
        <v>#ERROR!</v>
      </c>
      <c r="T1158" s="6" t="str">
        <f t="shared" si="2"/>
        <v>Dec'25</v>
      </c>
    </row>
    <row r="1159" ht="15.75" customHeight="1">
      <c r="A1159" s="5">
        <v>46013.0</v>
      </c>
      <c r="B1159" s="6">
        <v>3323.0</v>
      </c>
      <c r="C1159" s="6">
        <v>1.859167465E9</v>
      </c>
      <c r="D1159" s="6">
        <v>1.7903414E7</v>
      </c>
      <c r="E1159" s="6" t="s">
        <v>1819</v>
      </c>
      <c r="F1159" s="6" t="s">
        <v>1820</v>
      </c>
      <c r="G1159" s="6">
        <v>9.900131847E9</v>
      </c>
      <c r="H1159" s="6">
        <v>4.014983E7</v>
      </c>
      <c r="I1159" s="6" t="s">
        <v>30</v>
      </c>
      <c r="J1159" s="6" t="s">
        <v>21</v>
      </c>
      <c r="K1159" s="6" t="s">
        <v>22</v>
      </c>
      <c r="L1159" s="6">
        <v>98.0</v>
      </c>
      <c r="M1159" s="5">
        <v>46013.0</v>
      </c>
      <c r="N1159" s="6" t="s">
        <v>23</v>
      </c>
      <c r="O1159" s="6" t="str">
        <f>SUMIFS([1]order_sku_sales_bb2_report!P:P,[1]order_sku_sales_bb2_report!H:H,C28970,[1]order_sku_sales_bb2_report!J:J,H28970)</f>
        <v>#ERROR!</v>
      </c>
      <c r="P1159" s="6" t="str">
        <f>SUMIFS([1]order_sku_sales_bb2_report!O:O,[1]order_sku_sales_bb2_report!H:H,C28970,[1]order_sku_sales_bb2_report!J:J,H28970)</f>
        <v>#ERROR!</v>
      </c>
      <c r="Q1159" s="6" t="str">
        <f t="shared" si="1"/>
        <v>22-12-2025</v>
      </c>
      <c r="R1159" s="6" t="str">
        <f>IFERROR( VLOOKUP(C28970,[1]expressOrderReport!$S:$AZ,34,0),0)</f>
        <v>#ERROR!</v>
      </c>
      <c r="S1159" s="6" t="str">
        <f>ARRAY_CONSTRAIN(ARRAYFORMULA(_xludf.XLOOKUP(D28970,[1]order_Report_SA_ID_BB2.0!V:V,[1]order_Report_SA_ID_BB2.0!AM:AM,"")), 1, 1)</f>
        <v>#ERROR!</v>
      </c>
      <c r="T1159" s="6" t="str">
        <f t="shared" si="2"/>
        <v>Dec'25</v>
      </c>
    </row>
    <row r="1160" ht="15.75" customHeight="1">
      <c r="A1160" s="5">
        <v>46013.0</v>
      </c>
      <c r="B1160" s="6">
        <v>3325.0</v>
      </c>
      <c r="C1160" s="6">
        <v>1.859167465E9</v>
      </c>
      <c r="D1160" s="6">
        <v>1.7903414E7</v>
      </c>
      <c r="E1160" s="6" t="s">
        <v>1819</v>
      </c>
      <c r="F1160" s="6" t="s">
        <v>1820</v>
      </c>
      <c r="G1160" s="6">
        <v>9.900131847E9</v>
      </c>
      <c r="H1160" s="6">
        <v>4.0149832E7</v>
      </c>
      <c r="I1160" s="6" t="s">
        <v>26</v>
      </c>
      <c r="J1160" s="6" t="s">
        <v>21</v>
      </c>
      <c r="K1160" s="6" t="s">
        <v>22</v>
      </c>
      <c r="L1160" s="6">
        <v>98.0</v>
      </c>
      <c r="M1160" s="5">
        <v>46013.0</v>
      </c>
      <c r="N1160" s="6" t="s">
        <v>23</v>
      </c>
      <c r="O1160" s="6" t="str">
        <f>SUMIFS([1]order_sku_sales_bb2_report!P:P,[1]order_sku_sales_bb2_report!H:H,C28971,[1]order_sku_sales_bb2_report!J:J,H28971)</f>
        <v>#ERROR!</v>
      </c>
      <c r="P1160" s="6" t="str">
        <f>SUMIFS([1]order_sku_sales_bb2_report!O:O,[1]order_sku_sales_bb2_report!H:H,C28971,[1]order_sku_sales_bb2_report!J:J,H28971)</f>
        <v>#ERROR!</v>
      </c>
      <c r="Q1160" s="6" t="str">
        <f t="shared" si="1"/>
        <v>22-12-2025</v>
      </c>
      <c r="R1160" s="6" t="str">
        <f>IFERROR( VLOOKUP(C28971,[1]expressOrderReport!$S:$AZ,34,0),0)</f>
        <v>#ERROR!</v>
      </c>
      <c r="S1160" s="6" t="str">
        <f>ARRAY_CONSTRAIN(ARRAYFORMULA(_xludf.XLOOKUP(D28971,[1]order_Report_SA_ID_BB2.0!V:V,[1]order_Report_SA_ID_BB2.0!AM:AM,"")), 1, 1)</f>
        <v>#ERROR!</v>
      </c>
      <c r="T1160" s="6" t="str">
        <f t="shared" si="2"/>
        <v>Dec'25</v>
      </c>
    </row>
    <row r="1161" ht="15.75" customHeight="1">
      <c r="A1161" s="5">
        <v>46013.0</v>
      </c>
      <c r="B1161" s="6">
        <v>4006.0</v>
      </c>
      <c r="C1161" s="6">
        <v>1.859167469E9</v>
      </c>
      <c r="D1161" s="6">
        <v>227520.0</v>
      </c>
      <c r="E1161" s="6" t="s">
        <v>1821</v>
      </c>
      <c r="F1161" s="6" t="s">
        <v>1822</v>
      </c>
      <c r="G1161" s="6">
        <v>8.884345064E9</v>
      </c>
      <c r="H1161" s="6">
        <v>4.0149834E7</v>
      </c>
      <c r="I1161" s="6" t="s">
        <v>40</v>
      </c>
      <c r="J1161" s="6" t="s">
        <v>21</v>
      </c>
      <c r="K1161" s="6" t="s">
        <v>22</v>
      </c>
      <c r="L1161" s="6">
        <v>52.0</v>
      </c>
      <c r="M1161" s="5">
        <v>46013.0</v>
      </c>
      <c r="N1161" s="6" t="s">
        <v>23</v>
      </c>
      <c r="O1161" s="6" t="str">
        <f>SUMIFS([1]order_sku_sales_bb2_report!P:P,[1]order_sku_sales_bb2_report!H:H,C28972,[1]order_sku_sales_bb2_report!J:J,H28972)</f>
        <v>#ERROR!</v>
      </c>
      <c r="P1161" s="6" t="str">
        <f>SUMIFS([1]order_sku_sales_bb2_report!O:O,[1]order_sku_sales_bb2_report!H:H,C28972,[1]order_sku_sales_bb2_report!J:J,H28972)</f>
        <v>#ERROR!</v>
      </c>
      <c r="Q1161" s="6" t="str">
        <f t="shared" si="1"/>
        <v>22-12-2025</v>
      </c>
      <c r="R1161" s="6" t="str">
        <f>IFERROR( VLOOKUP(C28972,[1]expressOrderReport!$S:$AZ,34,0),0)</f>
        <v>#ERROR!</v>
      </c>
      <c r="S1161" s="6" t="str">
        <f>ARRAY_CONSTRAIN(ARRAYFORMULA(_xludf.XLOOKUP(D28972,[1]order_Report_SA_ID_BB2.0!V:V,[1]order_Report_SA_ID_BB2.0!AM:AM,"")), 1, 1)</f>
        <v>#ERROR!</v>
      </c>
      <c r="T1161" s="6" t="str">
        <f t="shared" si="2"/>
        <v>Dec'25</v>
      </c>
    </row>
    <row r="1162" ht="15.75" customHeight="1">
      <c r="A1162" s="5">
        <v>46013.0</v>
      </c>
      <c r="B1162" s="6">
        <v>2660.0</v>
      </c>
      <c r="C1162" s="6">
        <v>1.859167478E9</v>
      </c>
      <c r="D1162" s="6">
        <v>5.4465974E7</v>
      </c>
      <c r="E1162" s="6" t="s">
        <v>1823</v>
      </c>
      <c r="F1162" s="6" t="s">
        <v>1824</v>
      </c>
      <c r="G1162" s="6">
        <v>7.619657444E9</v>
      </c>
      <c r="H1162" s="6">
        <v>4.0149832E7</v>
      </c>
      <c r="I1162" s="6" t="s">
        <v>26</v>
      </c>
      <c r="J1162" s="6" t="s">
        <v>21</v>
      </c>
      <c r="K1162" s="6" t="s">
        <v>22</v>
      </c>
      <c r="L1162" s="6">
        <v>203.69</v>
      </c>
      <c r="M1162" s="5">
        <v>46013.0</v>
      </c>
      <c r="N1162" s="6" t="s">
        <v>23</v>
      </c>
      <c r="O1162" s="6" t="str">
        <f>SUMIFS([1]order_sku_sales_bb2_report!P:P,[1]order_sku_sales_bb2_report!H:H,C28973,[1]order_sku_sales_bb2_report!J:J,H28973)</f>
        <v>#ERROR!</v>
      </c>
      <c r="P1162" s="6" t="str">
        <f>SUMIFS([1]order_sku_sales_bb2_report!O:O,[1]order_sku_sales_bb2_report!H:H,C28973,[1]order_sku_sales_bb2_report!J:J,H28973)</f>
        <v>#ERROR!</v>
      </c>
      <c r="Q1162" s="6" t="str">
        <f t="shared" si="1"/>
        <v>22-12-2025</v>
      </c>
      <c r="R1162" s="6" t="str">
        <f>IFERROR( VLOOKUP(C28973,[1]expressOrderReport!$S:$AZ,34,0),0)</f>
        <v>#ERROR!</v>
      </c>
      <c r="S1162" s="6" t="str">
        <f>ARRAY_CONSTRAIN(ARRAYFORMULA(_xludf.XLOOKUP(D28973,[1]order_Report_SA_ID_BB2.0!V:V,[1]order_Report_SA_ID_BB2.0!AM:AM,"")), 1, 1)</f>
        <v>#ERROR!</v>
      </c>
      <c r="T1162" s="6" t="str">
        <f t="shared" si="2"/>
        <v>Dec'25</v>
      </c>
    </row>
    <row r="1163" ht="15.75" customHeight="1">
      <c r="A1163" s="5">
        <v>46013.0</v>
      </c>
      <c r="B1163" s="6">
        <v>5790.0</v>
      </c>
      <c r="C1163" s="6">
        <v>1.859167478E9</v>
      </c>
      <c r="D1163" s="6">
        <v>5.4465974E7</v>
      </c>
      <c r="E1163" s="6" t="s">
        <v>1823</v>
      </c>
      <c r="F1163" s="6" t="s">
        <v>1824</v>
      </c>
      <c r="G1163" s="6">
        <v>7.619657444E9</v>
      </c>
      <c r="H1163" s="6">
        <v>1.0000071E7</v>
      </c>
      <c r="I1163" s="6" t="s">
        <v>1163</v>
      </c>
      <c r="J1163" s="6" t="s">
        <v>21</v>
      </c>
      <c r="K1163" s="6" t="s">
        <v>22</v>
      </c>
      <c r="L1163" s="6">
        <v>203.69</v>
      </c>
      <c r="M1163" s="5">
        <v>46013.0</v>
      </c>
      <c r="N1163" s="6" t="s">
        <v>23</v>
      </c>
      <c r="O1163" s="6" t="str">
        <f>SUMIFS([1]order_sku_sales_bb2_report!P:P,[1]order_sku_sales_bb2_report!H:H,C28974,[1]order_sku_sales_bb2_report!J:J,H28974)</f>
        <v>#ERROR!</v>
      </c>
      <c r="P1163" s="6" t="str">
        <f>SUMIFS([1]order_sku_sales_bb2_report!O:O,[1]order_sku_sales_bb2_report!H:H,C28974,[1]order_sku_sales_bb2_report!J:J,H28974)</f>
        <v>#ERROR!</v>
      </c>
      <c r="Q1163" s="6" t="str">
        <f t="shared" si="1"/>
        <v>22-12-2025</v>
      </c>
      <c r="R1163" s="6" t="str">
        <f>IFERROR( VLOOKUP(C28974,[1]expressOrderReport!$S:$AZ,34,0),0)</f>
        <v>#ERROR!</v>
      </c>
      <c r="S1163" s="6" t="str">
        <f>ARRAY_CONSTRAIN(ARRAYFORMULA(_xludf.XLOOKUP(D28974,[1]order_Report_SA_ID_BB2.0!V:V,[1]order_Report_SA_ID_BB2.0!AM:AM,"")), 1, 1)</f>
        <v>#ERROR!</v>
      </c>
      <c r="T1163" s="6" t="str">
        <f t="shared" si="2"/>
        <v>Dec'25</v>
      </c>
    </row>
    <row r="1164" ht="15.75" customHeight="1">
      <c r="A1164" s="5">
        <v>46013.0</v>
      </c>
      <c r="B1164" s="6">
        <v>10220.0</v>
      </c>
      <c r="C1164" s="6">
        <v>1.859167478E9</v>
      </c>
      <c r="D1164" s="6">
        <v>5.4465974E7</v>
      </c>
      <c r="E1164" s="6" t="s">
        <v>1823</v>
      </c>
      <c r="F1164" s="6" t="s">
        <v>1824</v>
      </c>
      <c r="G1164" s="6">
        <v>7.619657444E9</v>
      </c>
      <c r="H1164" s="6">
        <v>1.0000066E7</v>
      </c>
      <c r="I1164" s="6" t="s">
        <v>1825</v>
      </c>
      <c r="J1164" s="6" t="s">
        <v>21</v>
      </c>
      <c r="K1164" s="6" t="s">
        <v>22</v>
      </c>
      <c r="L1164" s="6">
        <v>203.69</v>
      </c>
      <c r="M1164" s="5">
        <v>46013.0</v>
      </c>
      <c r="N1164" s="6" t="s">
        <v>23</v>
      </c>
      <c r="O1164" s="6" t="str">
        <f>SUMIFS([1]order_sku_sales_bb2_report!P:P,[1]order_sku_sales_bb2_report!H:H,C28975,[1]order_sku_sales_bb2_report!J:J,H28975)</f>
        <v>#ERROR!</v>
      </c>
      <c r="P1164" s="6" t="str">
        <f>SUMIFS([1]order_sku_sales_bb2_report!O:O,[1]order_sku_sales_bb2_report!H:H,C28975,[1]order_sku_sales_bb2_report!J:J,H28975)</f>
        <v>#ERROR!</v>
      </c>
      <c r="Q1164" s="6" t="str">
        <f t="shared" si="1"/>
        <v>22-12-2025</v>
      </c>
      <c r="R1164" s="6" t="str">
        <f>IFERROR( VLOOKUP(C28975,[1]expressOrderReport!$S:$AZ,34,0),0)</f>
        <v>#ERROR!</v>
      </c>
      <c r="S1164" s="6" t="str">
        <f>ARRAY_CONSTRAIN(ARRAYFORMULA(_xludf.XLOOKUP(D28975,[1]order_Report_SA_ID_BB2.0!V:V,[1]order_Report_SA_ID_BB2.0!AM:AM,"")), 1, 1)</f>
        <v>#ERROR!</v>
      </c>
      <c r="T1164" s="6" t="str">
        <f t="shared" si="2"/>
        <v>Dec'25</v>
      </c>
    </row>
    <row r="1165" ht="15.75" customHeight="1">
      <c r="A1165" s="5">
        <v>46013.0</v>
      </c>
      <c r="B1165" s="6">
        <v>11163.0</v>
      </c>
      <c r="C1165" s="6">
        <v>1.859167478E9</v>
      </c>
      <c r="D1165" s="6">
        <v>5.4465974E7</v>
      </c>
      <c r="E1165" s="6" t="s">
        <v>1823</v>
      </c>
      <c r="F1165" s="6" t="s">
        <v>1824</v>
      </c>
      <c r="G1165" s="6">
        <v>7.619657444E9</v>
      </c>
      <c r="H1165" s="6">
        <v>1.0000103E7</v>
      </c>
      <c r="I1165" s="6" t="s">
        <v>741</v>
      </c>
      <c r="J1165" s="6" t="s">
        <v>21</v>
      </c>
      <c r="K1165" s="6" t="s">
        <v>27</v>
      </c>
      <c r="L1165" s="6">
        <v>203.69</v>
      </c>
      <c r="M1165" s="5">
        <v>46013.0</v>
      </c>
      <c r="N1165" s="6" t="s">
        <v>23</v>
      </c>
      <c r="O1165" s="6" t="str">
        <f>SUMIFS([1]order_sku_sales_bb2_report!P:P,[1]order_sku_sales_bb2_report!H:H,C28976,[1]order_sku_sales_bb2_report!J:J,H28976)</f>
        <v>#ERROR!</v>
      </c>
      <c r="P1165" s="6" t="str">
        <f>SUMIFS([1]order_sku_sales_bb2_report!O:O,[1]order_sku_sales_bb2_report!H:H,C28976,[1]order_sku_sales_bb2_report!J:J,H28976)</f>
        <v>#ERROR!</v>
      </c>
      <c r="Q1165" s="6" t="str">
        <f t="shared" si="1"/>
        <v>22-12-2025</v>
      </c>
      <c r="R1165" s="6" t="str">
        <f>IFERROR( VLOOKUP(C28976,[1]expressOrderReport!$S:$AZ,34,0),0)</f>
        <v>#ERROR!</v>
      </c>
      <c r="S1165" s="6" t="str">
        <f>ARRAY_CONSTRAIN(ARRAYFORMULA(_xludf.XLOOKUP(D28976,[1]order_Report_SA_ID_BB2.0!V:V,[1]order_Report_SA_ID_BB2.0!AM:AM,"")), 1, 1)</f>
        <v>#ERROR!</v>
      </c>
      <c r="T1165" s="6" t="str">
        <f t="shared" si="2"/>
        <v>Dec'25</v>
      </c>
    </row>
    <row r="1166" ht="15.75" customHeight="1">
      <c r="A1166" s="5">
        <v>46013.0</v>
      </c>
      <c r="B1166" s="6">
        <v>11616.0</v>
      </c>
      <c r="C1166" s="6">
        <v>1.859167478E9</v>
      </c>
      <c r="D1166" s="6">
        <v>5.4465974E7</v>
      </c>
      <c r="E1166" s="6" t="s">
        <v>1823</v>
      </c>
      <c r="F1166" s="6" t="s">
        <v>1824</v>
      </c>
      <c r="G1166" s="6">
        <v>7.619657444E9</v>
      </c>
      <c r="H1166" s="6">
        <v>1.0000194E7</v>
      </c>
      <c r="I1166" s="6" t="s">
        <v>1160</v>
      </c>
      <c r="J1166" s="6" t="s">
        <v>21</v>
      </c>
      <c r="K1166" s="6" t="s">
        <v>27</v>
      </c>
      <c r="L1166" s="6">
        <v>203.69</v>
      </c>
      <c r="M1166" s="5">
        <v>46013.0</v>
      </c>
      <c r="N1166" s="6" t="s">
        <v>23</v>
      </c>
      <c r="O1166" s="6" t="str">
        <f>SUMIFS([1]order_sku_sales_bb2_report!P:P,[1]order_sku_sales_bb2_report!H:H,C28977,[1]order_sku_sales_bb2_report!J:J,H28977)</f>
        <v>#ERROR!</v>
      </c>
      <c r="P1166" s="6" t="str">
        <f>SUMIFS([1]order_sku_sales_bb2_report!O:O,[1]order_sku_sales_bb2_report!H:H,C28977,[1]order_sku_sales_bb2_report!J:J,H28977)</f>
        <v>#ERROR!</v>
      </c>
      <c r="Q1166" s="6" t="str">
        <f t="shared" si="1"/>
        <v>22-12-2025</v>
      </c>
      <c r="R1166" s="6" t="str">
        <f>IFERROR( VLOOKUP(C28977,[1]expressOrderReport!$S:$AZ,34,0),0)</f>
        <v>#ERROR!</v>
      </c>
      <c r="S1166" s="6" t="str">
        <f>ARRAY_CONSTRAIN(ARRAYFORMULA(_xludf.XLOOKUP(D28977,[1]order_Report_SA_ID_BB2.0!V:V,[1]order_Report_SA_ID_BB2.0!AM:AM,"")), 1, 1)</f>
        <v>#ERROR!</v>
      </c>
      <c r="T1166" s="6" t="str">
        <f t="shared" si="2"/>
        <v>Dec'25</v>
      </c>
    </row>
    <row r="1167" ht="15.75" customHeight="1">
      <c r="A1167" s="5">
        <v>46013.0</v>
      </c>
      <c r="B1167" s="6">
        <v>7612.0</v>
      </c>
      <c r="C1167" s="6">
        <v>1.859167487E9</v>
      </c>
      <c r="D1167" s="6">
        <v>2.0294211E7</v>
      </c>
      <c r="E1167" s="6" t="s">
        <v>1826</v>
      </c>
      <c r="F1167" s="6" t="s">
        <v>1827</v>
      </c>
      <c r="G1167" s="6">
        <v>9.833866742E9</v>
      </c>
      <c r="H1167" s="6">
        <v>4.0090894E7</v>
      </c>
      <c r="I1167" s="6" t="s">
        <v>62</v>
      </c>
      <c r="J1167" s="6" t="s">
        <v>21</v>
      </c>
      <c r="K1167" s="6" t="s">
        <v>22</v>
      </c>
      <c r="L1167" s="6">
        <v>44.8</v>
      </c>
      <c r="M1167" s="5">
        <v>46013.0</v>
      </c>
      <c r="N1167" s="6" t="s">
        <v>23</v>
      </c>
      <c r="O1167" s="6" t="str">
        <f>SUMIFS([1]order_sku_sales_bb2_report!P:P,[1]order_sku_sales_bb2_report!H:H,C28978,[1]order_sku_sales_bb2_report!J:J,H28978)</f>
        <v>#ERROR!</v>
      </c>
      <c r="P1167" s="6" t="str">
        <f>SUMIFS([1]order_sku_sales_bb2_report!O:O,[1]order_sku_sales_bb2_report!H:H,C28978,[1]order_sku_sales_bb2_report!J:J,H28978)</f>
        <v>#ERROR!</v>
      </c>
      <c r="Q1167" s="6" t="str">
        <f t="shared" si="1"/>
        <v>22-12-2025</v>
      </c>
      <c r="R1167" s="6" t="str">
        <f>IFERROR( VLOOKUP(C28978,[1]expressOrderReport!$S:$AZ,34,0),0)</f>
        <v>#ERROR!</v>
      </c>
      <c r="S1167" s="6" t="str">
        <f>ARRAY_CONSTRAIN(ARRAYFORMULA(_xludf.XLOOKUP(D28978,[1]order_Report_SA_ID_BB2.0!V:V,[1]order_Report_SA_ID_BB2.0!AM:AM,"")), 1, 1)</f>
        <v>#ERROR!</v>
      </c>
      <c r="T1167" s="6" t="str">
        <f t="shared" si="2"/>
        <v>Dec'25</v>
      </c>
    </row>
    <row r="1168" ht="15.75" customHeight="1">
      <c r="A1168" s="5">
        <v>46013.0</v>
      </c>
      <c r="B1168" s="6">
        <v>7613.0</v>
      </c>
      <c r="C1168" s="6">
        <v>1.859167487E9</v>
      </c>
      <c r="D1168" s="6">
        <v>2.0294211E7</v>
      </c>
      <c r="E1168" s="6" t="s">
        <v>1826</v>
      </c>
      <c r="F1168" s="6" t="s">
        <v>1827</v>
      </c>
      <c r="G1168" s="6">
        <v>9.833866742E9</v>
      </c>
      <c r="H1168" s="6">
        <v>2.0001035E7</v>
      </c>
      <c r="I1168" s="6" t="s">
        <v>627</v>
      </c>
      <c r="J1168" s="6" t="s">
        <v>21</v>
      </c>
      <c r="K1168" s="6" t="s">
        <v>22</v>
      </c>
      <c r="L1168" s="6">
        <v>44.8</v>
      </c>
      <c r="M1168" s="5">
        <v>46013.0</v>
      </c>
      <c r="N1168" s="6" t="s">
        <v>23</v>
      </c>
      <c r="O1168" s="6" t="str">
        <f>SUMIFS([1]order_sku_sales_bb2_report!P:P,[1]order_sku_sales_bb2_report!H:H,C28979,[1]order_sku_sales_bb2_report!J:J,H28979)</f>
        <v>#ERROR!</v>
      </c>
      <c r="P1168" s="6" t="str">
        <f>SUMIFS([1]order_sku_sales_bb2_report!O:O,[1]order_sku_sales_bb2_report!H:H,C28979,[1]order_sku_sales_bb2_report!J:J,H28979)</f>
        <v>#ERROR!</v>
      </c>
      <c r="Q1168" s="6" t="str">
        <f t="shared" si="1"/>
        <v>22-12-2025</v>
      </c>
      <c r="R1168" s="6" t="str">
        <f>IFERROR( VLOOKUP(C28979,[1]expressOrderReport!$S:$AZ,34,0),0)</f>
        <v>#ERROR!</v>
      </c>
      <c r="S1168" s="6" t="str">
        <f>ARRAY_CONSTRAIN(ARRAYFORMULA(_xludf.XLOOKUP(D28979,[1]order_Report_SA_ID_BB2.0!V:V,[1]order_Report_SA_ID_BB2.0!AM:AM,"")), 1, 1)</f>
        <v>#ERROR!</v>
      </c>
      <c r="T1168" s="6" t="str">
        <f t="shared" si="2"/>
        <v>Dec'25</v>
      </c>
    </row>
    <row r="1169" ht="15.75" customHeight="1">
      <c r="A1169" s="5">
        <v>46013.0</v>
      </c>
      <c r="B1169" s="6">
        <v>9177.0</v>
      </c>
      <c r="C1169" s="6">
        <v>1.859167494E9</v>
      </c>
      <c r="D1169" s="6">
        <v>639056.0</v>
      </c>
      <c r="E1169" s="6" t="s">
        <v>1828</v>
      </c>
      <c r="F1169" s="6" t="s">
        <v>1829</v>
      </c>
      <c r="G1169" s="6">
        <v>7.022999603E9</v>
      </c>
      <c r="H1169" s="6">
        <v>4.0149833E7</v>
      </c>
      <c r="I1169" s="6" t="s">
        <v>40</v>
      </c>
      <c r="J1169" s="6" t="s">
        <v>21</v>
      </c>
      <c r="K1169" s="6" t="s">
        <v>22</v>
      </c>
      <c r="L1169" s="6">
        <v>81.0</v>
      </c>
      <c r="M1169" s="5">
        <v>46013.0</v>
      </c>
      <c r="N1169" s="6" t="s">
        <v>23</v>
      </c>
      <c r="O1169" s="6" t="str">
        <f>SUMIFS([1]order_sku_sales_bb2_report!P:P,[1]order_sku_sales_bb2_report!H:H,C28980,[1]order_sku_sales_bb2_report!J:J,H28980)</f>
        <v>#ERROR!</v>
      </c>
      <c r="P1169" s="6" t="str">
        <f>SUMIFS([1]order_sku_sales_bb2_report!O:O,[1]order_sku_sales_bb2_report!H:H,C28980,[1]order_sku_sales_bb2_report!J:J,H28980)</f>
        <v>#ERROR!</v>
      </c>
      <c r="Q1169" s="6" t="str">
        <f t="shared" si="1"/>
        <v>22-12-2025</v>
      </c>
      <c r="R1169" s="6" t="str">
        <f>IFERROR( VLOOKUP(C28980,[1]expressOrderReport!$S:$AZ,34,0),0)</f>
        <v>#ERROR!</v>
      </c>
      <c r="S1169" s="6" t="str">
        <f>ARRAY_CONSTRAIN(ARRAYFORMULA(_xludf.XLOOKUP(D28980,[1]order_Report_SA_ID_BB2.0!V:V,[1]order_Report_SA_ID_BB2.0!AM:AM,"")), 1, 1)</f>
        <v>#ERROR!</v>
      </c>
      <c r="T1169" s="6" t="str">
        <f t="shared" si="2"/>
        <v>Dec'25</v>
      </c>
    </row>
    <row r="1170" ht="15.75" customHeight="1">
      <c r="A1170" s="5">
        <v>46013.0</v>
      </c>
      <c r="B1170" s="6">
        <v>11973.0</v>
      </c>
      <c r="C1170" s="6">
        <v>1.8591675E9</v>
      </c>
      <c r="D1170" s="6">
        <v>6.2636951E7</v>
      </c>
      <c r="E1170" s="6" t="s">
        <v>1830</v>
      </c>
      <c r="F1170" s="6" t="s">
        <v>1831</v>
      </c>
      <c r="G1170" s="6">
        <v>8.200299214E9</v>
      </c>
      <c r="H1170" s="6">
        <v>4.017939E7</v>
      </c>
      <c r="I1170" s="6" t="s">
        <v>297</v>
      </c>
      <c r="J1170" s="6" t="s">
        <v>21</v>
      </c>
      <c r="K1170" s="6" t="s">
        <v>22</v>
      </c>
      <c r="L1170" s="6">
        <v>92.04</v>
      </c>
      <c r="M1170" s="5">
        <v>46013.0</v>
      </c>
      <c r="N1170" s="6" t="s">
        <v>23</v>
      </c>
      <c r="O1170" s="6" t="str">
        <f>SUMIFS([1]order_sku_sales_bb2_report!P:P,[1]order_sku_sales_bb2_report!H:H,C28981,[1]order_sku_sales_bb2_report!J:J,H28981)</f>
        <v>#ERROR!</v>
      </c>
      <c r="P1170" s="6" t="str">
        <f>SUMIFS([1]order_sku_sales_bb2_report!O:O,[1]order_sku_sales_bb2_report!H:H,C28981,[1]order_sku_sales_bb2_report!J:J,H28981)</f>
        <v>#ERROR!</v>
      </c>
      <c r="Q1170" s="6" t="str">
        <f t="shared" si="1"/>
        <v>22-12-2025</v>
      </c>
      <c r="R1170" s="6" t="str">
        <f>IFERROR( VLOOKUP(C28981,[1]expressOrderReport!$S:$AZ,34,0),0)</f>
        <v>#ERROR!</v>
      </c>
      <c r="S1170" s="6" t="str">
        <f>ARRAY_CONSTRAIN(ARRAYFORMULA(_xludf.XLOOKUP(D28981,[1]order_Report_SA_ID_BB2.0!V:V,[1]order_Report_SA_ID_BB2.0!AM:AM,"")), 1, 1)</f>
        <v>#ERROR!</v>
      </c>
      <c r="T1170" s="6" t="str">
        <f t="shared" si="2"/>
        <v>Dec'25</v>
      </c>
    </row>
    <row r="1171" ht="15.75" customHeight="1">
      <c r="A1171" s="5">
        <v>46013.0</v>
      </c>
      <c r="B1171" s="6">
        <v>12038.0</v>
      </c>
      <c r="C1171" s="6">
        <v>1.8591675E9</v>
      </c>
      <c r="D1171" s="6">
        <v>6.2636951E7</v>
      </c>
      <c r="E1171" s="6" t="s">
        <v>1830</v>
      </c>
      <c r="F1171" s="6" t="s">
        <v>1831</v>
      </c>
      <c r="G1171" s="6">
        <v>8.200299214E9</v>
      </c>
      <c r="H1171" s="6">
        <v>4.0090894E7</v>
      </c>
      <c r="I1171" s="6" t="s">
        <v>62</v>
      </c>
      <c r="J1171" s="6" t="s">
        <v>21</v>
      </c>
      <c r="K1171" s="6" t="s">
        <v>22</v>
      </c>
      <c r="L1171" s="6">
        <v>92.04</v>
      </c>
      <c r="M1171" s="5">
        <v>46013.0</v>
      </c>
      <c r="N1171" s="6" t="s">
        <v>23</v>
      </c>
      <c r="O1171" s="6" t="str">
        <f>SUMIFS([1]order_sku_sales_bb2_report!P:P,[1]order_sku_sales_bb2_report!H:H,C28982,[1]order_sku_sales_bb2_report!J:J,H28982)</f>
        <v>#ERROR!</v>
      </c>
      <c r="P1171" s="6" t="str">
        <f>SUMIFS([1]order_sku_sales_bb2_report!O:O,[1]order_sku_sales_bb2_report!H:H,C28982,[1]order_sku_sales_bb2_report!J:J,H28982)</f>
        <v>#ERROR!</v>
      </c>
      <c r="Q1171" s="6" t="str">
        <f t="shared" si="1"/>
        <v>22-12-2025</v>
      </c>
      <c r="R1171" s="6" t="str">
        <f>IFERROR( VLOOKUP(C28982,[1]expressOrderReport!$S:$AZ,34,0),0)</f>
        <v>#ERROR!</v>
      </c>
      <c r="S1171" s="6" t="str">
        <f>ARRAY_CONSTRAIN(ARRAYFORMULA(_xludf.XLOOKUP(D28982,[1]order_Report_SA_ID_BB2.0!V:V,[1]order_Report_SA_ID_BB2.0!AM:AM,"")), 1, 1)</f>
        <v>#ERROR!</v>
      </c>
      <c r="T1171" s="6" t="str">
        <f t="shared" si="2"/>
        <v>Dec'25</v>
      </c>
    </row>
    <row r="1172" ht="15.75" customHeight="1">
      <c r="A1172" s="5">
        <v>46013.0</v>
      </c>
      <c r="B1172" s="6">
        <v>11360.0</v>
      </c>
      <c r="C1172" s="6">
        <v>1.859167503E9</v>
      </c>
      <c r="D1172" s="6">
        <v>1.8093667E7</v>
      </c>
      <c r="E1172" s="6" t="s">
        <v>1832</v>
      </c>
      <c r="F1172" s="6" t="s">
        <v>1833</v>
      </c>
      <c r="G1172" s="6">
        <v>9.451013942E9</v>
      </c>
      <c r="H1172" s="6">
        <v>4.0149834E7</v>
      </c>
      <c r="I1172" s="6" t="s">
        <v>40</v>
      </c>
      <c r="J1172" s="6" t="s">
        <v>21</v>
      </c>
      <c r="K1172" s="6" t="s">
        <v>22</v>
      </c>
      <c r="L1172" s="6">
        <v>52.0</v>
      </c>
      <c r="M1172" s="5">
        <v>46013.0</v>
      </c>
      <c r="N1172" s="6" t="s">
        <v>23</v>
      </c>
      <c r="O1172" s="6" t="str">
        <f>SUMIFS([1]order_sku_sales_bb2_report!P:P,[1]order_sku_sales_bb2_report!H:H,C28983,[1]order_sku_sales_bb2_report!J:J,H28983)</f>
        <v>#ERROR!</v>
      </c>
      <c r="P1172" s="6" t="str">
        <f>SUMIFS([1]order_sku_sales_bb2_report!O:O,[1]order_sku_sales_bb2_report!H:H,C28983,[1]order_sku_sales_bb2_report!J:J,H28983)</f>
        <v>#ERROR!</v>
      </c>
      <c r="Q1172" s="6" t="str">
        <f t="shared" si="1"/>
        <v>22-12-2025</v>
      </c>
      <c r="R1172" s="6" t="str">
        <f>IFERROR( VLOOKUP(C28983,[1]expressOrderReport!$S:$AZ,34,0),0)</f>
        <v>#ERROR!</v>
      </c>
      <c r="S1172" s="6" t="str">
        <f>ARRAY_CONSTRAIN(ARRAYFORMULA(_xludf.XLOOKUP(D28983,[1]order_Report_SA_ID_BB2.0!V:V,[1]order_Report_SA_ID_BB2.0!AM:AM,"")), 1, 1)</f>
        <v>#ERROR!</v>
      </c>
      <c r="T1172" s="6" t="str">
        <f t="shared" si="2"/>
        <v>Dec'25</v>
      </c>
    </row>
    <row r="1173" ht="15.75" customHeight="1">
      <c r="A1173" s="5">
        <v>46013.0</v>
      </c>
      <c r="B1173" s="6">
        <v>10042.0</v>
      </c>
      <c r="C1173" s="6">
        <v>1.85916751E9</v>
      </c>
      <c r="D1173" s="6">
        <v>5.7184247E7</v>
      </c>
      <c r="E1173" s="6" t="s">
        <v>1834</v>
      </c>
      <c r="F1173" s="6" t="s">
        <v>1835</v>
      </c>
      <c r="G1173" s="6">
        <v>9.840202929E9</v>
      </c>
      <c r="H1173" s="6">
        <v>4.0149833E7</v>
      </c>
      <c r="I1173" s="6" t="s">
        <v>40</v>
      </c>
      <c r="J1173" s="6" t="s">
        <v>21</v>
      </c>
      <c r="K1173" s="6" t="s">
        <v>27</v>
      </c>
      <c r="L1173" s="6">
        <v>54.0</v>
      </c>
      <c r="M1173" s="5">
        <v>46013.0</v>
      </c>
      <c r="N1173" s="6" t="s">
        <v>23</v>
      </c>
      <c r="O1173" s="6" t="str">
        <f>SUMIFS([1]order_sku_sales_bb2_report!P:P,[1]order_sku_sales_bb2_report!H:H,C28984,[1]order_sku_sales_bb2_report!J:J,H28984)</f>
        <v>#ERROR!</v>
      </c>
      <c r="P1173" s="6" t="str">
        <f>SUMIFS([1]order_sku_sales_bb2_report!O:O,[1]order_sku_sales_bb2_report!H:H,C28984,[1]order_sku_sales_bb2_report!J:J,H28984)</f>
        <v>#ERROR!</v>
      </c>
      <c r="Q1173" s="6" t="str">
        <f t="shared" si="1"/>
        <v>22-12-2025</v>
      </c>
      <c r="R1173" s="6" t="str">
        <f>IFERROR( VLOOKUP(C28984,[1]expressOrderReport!$S:$AZ,34,0),0)</f>
        <v>#ERROR!</v>
      </c>
      <c r="S1173" s="6" t="str">
        <f>ARRAY_CONSTRAIN(ARRAYFORMULA(_xludf.XLOOKUP(D28984,[1]order_Report_SA_ID_BB2.0!V:V,[1]order_Report_SA_ID_BB2.0!AM:AM,"")), 1, 1)</f>
        <v>#ERROR!</v>
      </c>
      <c r="T1173" s="6" t="str">
        <f t="shared" si="2"/>
        <v>Dec'25</v>
      </c>
    </row>
    <row r="1174" ht="15.75" customHeight="1">
      <c r="A1174" s="5">
        <v>46013.0</v>
      </c>
      <c r="B1174" s="6">
        <v>7430.0</v>
      </c>
      <c r="C1174" s="6">
        <v>1.859165665E9</v>
      </c>
      <c r="D1174" s="6">
        <v>1.6189835E7</v>
      </c>
      <c r="E1174" s="6" t="s">
        <v>1836</v>
      </c>
      <c r="F1174" s="6" t="s">
        <v>1837</v>
      </c>
      <c r="G1174" s="6">
        <v>7.019741063E9</v>
      </c>
      <c r="H1174" s="6">
        <v>4.014983E7</v>
      </c>
      <c r="I1174" s="6" t="s">
        <v>30</v>
      </c>
      <c r="J1174" s="6" t="s">
        <v>21</v>
      </c>
      <c r="K1174" s="6" t="s">
        <v>22</v>
      </c>
      <c r="L1174" s="6">
        <v>74.0</v>
      </c>
      <c r="M1174" s="5">
        <v>46013.0</v>
      </c>
      <c r="N1174" s="6" t="s">
        <v>23</v>
      </c>
      <c r="O1174" s="6" t="str">
        <f>SUMIFS([1]order_sku_sales_bb2_report!P:P,[1]order_sku_sales_bb2_report!H:H,C28985,[1]order_sku_sales_bb2_report!J:J,H28985)</f>
        <v>#ERROR!</v>
      </c>
      <c r="P1174" s="6" t="str">
        <f>SUMIFS([1]order_sku_sales_bb2_report!O:O,[1]order_sku_sales_bb2_report!H:H,C28985,[1]order_sku_sales_bb2_report!J:J,H28985)</f>
        <v>#ERROR!</v>
      </c>
      <c r="Q1174" s="6" t="str">
        <f t="shared" si="1"/>
        <v>22-12-2025</v>
      </c>
      <c r="R1174" s="6" t="str">
        <f>IFERROR( VLOOKUP(C28985,[1]expressOrderReport!$S:$AZ,34,0),0)</f>
        <v>#ERROR!</v>
      </c>
      <c r="S1174" s="6" t="str">
        <f>ARRAY_CONSTRAIN(ARRAYFORMULA(_xludf.XLOOKUP(D28985,[1]order_Report_SA_ID_BB2.0!V:V,[1]order_Report_SA_ID_BB2.0!AM:AM,"")), 1, 1)</f>
        <v>#ERROR!</v>
      </c>
      <c r="T1174" s="6" t="str">
        <f t="shared" si="2"/>
        <v>Dec'25</v>
      </c>
    </row>
    <row r="1175" ht="15.75" customHeight="1">
      <c r="A1175" s="5">
        <v>46013.0</v>
      </c>
      <c r="B1175" s="6">
        <v>10250.0</v>
      </c>
      <c r="C1175" s="6">
        <v>1.859165665E9</v>
      </c>
      <c r="D1175" s="6">
        <v>1.6189835E7</v>
      </c>
      <c r="E1175" s="6" t="s">
        <v>1836</v>
      </c>
      <c r="F1175" s="6" t="s">
        <v>1837</v>
      </c>
      <c r="G1175" s="6">
        <v>7.019741063E9</v>
      </c>
      <c r="H1175" s="6">
        <v>4.0158264E7</v>
      </c>
      <c r="I1175" s="6" t="s">
        <v>26</v>
      </c>
      <c r="J1175" s="6" t="s">
        <v>21</v>
      </c>
      <c r="K1175" s="6" t="s">
        <v>22</v>
      </c>
      <c r="L1175" s="6">
        <v>74.0</v>
      </c>
      <c r="M1175" s="5">
        <v>46013.0</v>
      </c>
      <c r="N1175" s="6" t="s">
        <v>23</v>
      </c>
      <c r="O1175" s="6" t="str">
        <f>SUMIFS([1]order_sku_sales_bb2_report!P:P,[1]order_sku_sales_bb2_report!H:H,C28986,[1]order_sku_sales_bb2_report!J:J,H28986)</f>
        <v>#ERROR!</v>
      </c>
      <c r="P1175" s="6" t="str">
        <f>SUMIFS([1]order_sku_sales_bb2_report!O:O,[1]order_sku_sales_bb2_report!H:H,C28986,[1]order_sku_sales_bb2_report!J:J,H28986)</f>
        <v>#ERROR!</v>
      </c>
      <c r="Q1175" s="6" t="str">
        <f t="shared" si="1"/>
        <v>22-12-2025</v>
      </c>
      <c r="R1175" s="6" t="str">
        <f>IFERROR( VLOOKUP(C28986,[1]expressOrderReport!$S:$AZ,34,0),0)</f>
        <v>#ERROR!</v>
      </c>
      <c r="S1175" s="6" t="str">
        <f>ARRAY_CONSTRAIN(ARRAYFORMULA(_xludf.XLOOKUP(D28986,[1]order_Report_SA_ID_BB2.0!V:V,[1]order_Report_SA_ID_BB2.0!AM:AM,"")), 1, 1)</f>
        <v>#ERROR!</v>
      </c>
      <c r="T1175" s="6" t="str">
        <f t="shared" si="2"/>
        <v>Dec'25</v>
      </c>
    </row>
    <row r="1176" ht="15.75" customHeight="1">
      <c r="A1176" s="5">
        <v>46013.0</v>
      </c>
      <c r="B1176" s="6">
        <v>3841.0</v>
      </c>
      <c r="C1176" s="6">
        <v>1.859165678E9</v>
      </c>
      <c r="D1176" s="6">
        <v>2.0959283E7</v>
      </c>
      <c r="E1176" s="6" t="s">
        <v>1838</v>
      </c>
      <c r="F1176" s="6" t="s">
        <v>1839</v>
      </c>
      <c r="G1176" s="6">
        <v>9.686323809E9</v>
      </c>
      <c r="H1176" s="6">
        <v>4.0149834E7</v>
      </c>
      <c r="I1176" s="6" t="s">
        <v>40</v>
      </c>
      <c r="J1176" s="6" t="s">
        <v>21</v>
      </c>
      <c r="K1176" s="6" t="s">
        <v>22</v>
      </c>
      <c r="L1176" s="6">
        <v>52.0</v>
      </c>
      <c r="M1176" s="5">
        <v>46013.0</v>
      </c>
      <c r="N1176" s="6" t="s">
        <v>23</v>
      </c>
      <c r="O1176" s="6" t="str">
        <f>SUMIFS([1]order_sku_sales_bb2_report!P:P,[1]order_sku_sales_bb2_report!H:H,C28987,[1]order_sku_sales_bb2_report!J:J,H28987)</f>
        <v>#ERROR!</v>
      </c>
      <c r="P1176" s="6" t="str">
        <f>SUMIFS([1]order_sku_sales_bb2_report!O:O,[1]order_sku_sales_bb2_report!H:H,C28987,[1]order_sku_sales_bb2_report!J:J,H28987)</f>
        <v>#ERROR!</v>
      </c>
      <c r="Q1176" s="6" t="str">
        <f t="shared" si="1"/>
        <v>22-12-2025</v>
      </c>
      <c r="R1176" s="6" t="str">
        <f>IFERROR( VLOOKUP(C28987,[1]expressOrderReport!$S:$AZ,34,0),0)</f>
        <v>#ERROR!</v>
      </c>
      <c r="S1176" s="6" t="str">
        <f>ARRAY_CONSTRAIN(ARRAYFORMULA(_xludf.XLOOKUP(D28987,[1]order_Report_SA_ID_BB2.0!V:V,[1]order_Report_SA_ID_BB2.0!AM:AM,"")), 1, 1)</f>
        <v>#ERROR!</v>
      </c>
      <c r="T1176" s="6" t="str">
        <f t="shared" si="2"/>
        <v>Dec'25</v>
      </c>
    </row>
    <row r="1177" ht="15.75" customHeight="1">
      <c r="A1177" s="5">
        <v>46013.0</v>
      </c>
      <c r="B1177" s="6">
        <v>9163.0</v>
      </c>
      <c r="C1177" s="6">
        <v>1.859165686E9</v>
      </c>
      <c r="D1177" s="6">
        <v>1.0284773E7</v>
      </c>
      <c r="E1177" s="6" t="s">
        <v>1840</v>
      </c>
      <c r="F1177" s="6" t="s">
        <v>1841</v>
      </c>
      <c r="G1177" s="6">
        <v>9.453041061E9</v>
      </c>
      <c r="H1177" s="6">
        <v>4.0161616E7</v>
      </c>
      <c r="I1177" s="6" t="s">
        <v>20</v>
      </c>
      <c r="J1177" s="6" t="s">
        <v>21</v>
      </c>
      <c r="K1177" s="6" t="s">
        <v>22</v>
      </c>
      <c r="L1177" s="6">
        <v>56.0</v>
      </c>
      <c r="M1177" s="5">
        <v>46013.0</v>
      </c>
      <c r="N1177" s="6" t="s">
        <v>23</v>
      </c>
      <c r="O1177" s="6" t="str">
        <f>SUMIFS([1]order_sku_sales_bb2_report!P:P,[1]order_sku_sales_bb2_report!H:H,C28988,[1]order_sku_sales_bb2_report!J:J,H28988)</f>
        <v>#ERROR!</v>
      </c>
      <c r="P1177" s="6" t="str">
        <f>SUMIFS([1]order_sku_sales_bb2_report!O:O,[1]order_sku_sales_bb2_report!H:H,C28988,[1]order_sku_sales_bb2_report!J:J,H28988)</f>
        <v>#ERROR!</v>
      </c>
      <c r="Q1177" s="6" t="str">
        <f t="shared" si="1"/>
        <v>22-12-2025</v>
      </c>
      <c r="R1177" s="6" t="str">
        <f>IFERROR( VLOOKUP(C28988,[1]expressOrderReport!$S:$AZ,34,0),0)</f>
        <v>#ERROR!</v>
      </c>
      <c r="S1177" s="6" t="str">
        <f>ARRAY_CONSTRAIN(ARRAYFORMULA(_xludf.XLOOKUP(D28988,[1]order_Report_SA_ID_BB2.0!V:V,[1]order_Report_SA_ID_BB2.0!AM:AM,"")), 1, 1)</f>
        <v>#ERROR!</v>
      </c>
      <c r="T1177" s="6" t="str">
        <f t="shared" si="2"/>
        <v>Dec'25</v>
      </c>
    </row>
    <row r="1178" ht="15.75" customHeight="1">
      <c r="A1178" s="5">
        <v>46013.0</v>
      </c>
      <c r="B1178" s="6">
        <v>2362.0</v>
      </c>
      <c r="C1178" s="6">
        <v>1.859167141E9</v>
      </c>
      <c r="D1178" s="6">
        <v>5.5445428E7</v>
      </c>
      <c r="E1178" s="6" t="s">
        <v>1842</v>
      </c>
      <c r="F1178" s="6" t="s">
        <v>1843</v>
      </c>
      <c r="G1178" s="6">
        <v>9.663894199E9</v>
      </c>
      <c r="H1178" s="6">
        <v>4.0148716E7</v>
      </c>
      <c r="I1178" s="6" t="s">
        <v>148</v>
      </c>
      <c r="J1178" s="6" t="s">
        <v>21</v>
      </c>
      <c r="K1178" s="6" t="s">
        <v>22</v>
      </c>
      <c r="L1178" s="6">
        <v>194.0</v>
      </c>
      <c r="M1178" s="5">
        <v>46013.0</v>
      </c>
      <c r="N1178" s="6" t="s">
        <v>23</v>
      </c>
      <c r="O1178" s="6" t="str">
        <f>SUMIFS([1]order_sku_sales_bb2_report!P:P,[1]order_sku_sales_bb2_report!H:H,C28989,[1]order_sku_sales_bb2_report!J:J,H28989)</f>
        <v>#ERROR!</v>
      </c>
      <c r="P1178" s="6" t="str">
        <f>SUMIFS([1]order_sku_sales_bb2_report!O:O,[1]order_sku_sales_bb2_report!H:H,C28989,[1]order_sku_sales_bb2_report!J:J,H28989)</f>
        <v>#ERROR!</v>
      </c>
      <c r="Q1178" s="6" t="str">
        <f t="shared" si="1"/>
        <v>22-12-2025</v>
      </c>
      <c r="R1178" s="6" t="str">
        <f>IFERROR( VLOOKUP(C28989,[1]expressOrderReport!$S:$AZ,34,0),0)</f>
        <v>#ERROR!</v>
      </c>
      <c r="S1178" s="6" t="str">
        <f>ARRAY_CONSTRAIN(ARRAYFORMULA(_xludf.XLOOKUP(D28989,[1]order_Report_SA_ID_BB2.0!V:V,[1]order_Report_SA_ID_BB2.0!AM:AM,"")), 1, 1)</f>
        <v>#ERROR!</v>
      </c>
      <c r="T1178" s="6" t="str">
        <f t="shared" si="2"/>
        <v>Dec'25</v>
      </c>
    </row>
    <row r="1179" ht="15.75" customHeight="1">
      <c r="A1179" s="5">
        <v>46013.0</v>
      </c>
      <c r="B1179" s="6">
        <v>2364.0</v>
      </c>
      <c r="C1179" s="6">
        <v>1.859167141E9</v>
      </c>
      <c r="D1179" s="6">
        <v>5.5445428E7</v>
      </c>
      <c r="E1179" s="6" t="s">
        <v>1842</v>
      </c>
      <c r="F1179" s="6" t="s">
        <v>1843</v>
      </c>
      <c r="G1179" s="6">
        <v>9.663894199E9</v>
      </c>
      <c r="H1179" s="6">
        <v>4.0147597E7</v>
      </c>
      <c r="I1179" s="6" t="s">
        <v>59</v>
      </c>
      <c r="J1179" s="6" t="s">
        <v>21</v>
      </c>
      <c r="K1179" s="6" t="s">
        <v>22</v>
      </c>
      <c r="L1179" s="6">
        <v>194.0</v>
      </c>
      <c r="M1179" s="5">
        <v>46013.0</v>
      </c>
      <c r="N1179" s="6" t="s">
        <v>23</v>
      </c>
      <c r="O1179" s="6" t="str">
        <f>SUMIFS([1]order_sku_sales_bb2_report!P:P,[1]order_sku_sales_bb2_report!H:H,C28990,[1]order_sku_sales_bb2_report!J:J,H28990)</f>
        <v>#ERROR!</v>
      </c>
      <c r="P1179" s="6" t="str">
        <f>SUMIFS([1]order_sku_sales_bb2_report!O:O,[1]order_sku_sales_bb2_report!H:H,C28990,[1]order_sku_sales_bb2_report!J:J,H28990)</f>
        <v>#ERROR!</v>
      </c>
      <c r="Q1179" s="6" t="str">
        <f t="shared" si="1"/>
        <v>22-12-2025</v>
      </c>
      <c r="R1179" s="6" t="str">
        <f>IFERROR( VLOOKUP(C28990,[1]expressOrderReport!$S:$AZ,34,0),0)</f>
        <v>#ERROR!</v>
      </c>
      <c r="S1179" s="6" t="str">
        <f>ARRAY_CONSTRAIN(ARRAYFORMULA(_xludf.XLOOKUP(D28990,[1]order_Report_SA_ID_BB2.0!V:V,[1]order_Report_SA_ID_BB2.0!AM:AM,"")), 1, 1)</f>
        <v>#ERROR!</v>
      </c>
      <c r="T1179" s="6" t="str">
        <f t="shared" si="2"/>
        <v>Dec'25</v>
      </c>
    </row>
    <row r="1180" ht="15.75" customHeight="1">
      <c r="A1180" s="5">
        <v>46013.0</v>
      </c>
      <c r="B1180" s="6">
        <v>1846.0</v>
      </c>
      <c r="C1180" s="6">
        <v>1.859167145E9</v>
      </c>
      <c r="D1180" s="6">
        <v>1.02614E7</v>
      </c>
      <c r="E1180" s="6" t="s">
        <v>1844</v>
      </c>
      <c r="F1180" s="6" t="s">
        <v>1845</v>
      </c>
      <c r="G1180" s="6">
        <v>9.665132152E9</v>
      </c>
      <c r="H1180" s="6">
        <v>4.0149832E7</v>
      </c>
      <c r="I1180" s="6" t="s">
        <v>26</v>
      </c>
      <c r="J1180" s="6" t="s">
        <v>21</v>
      </c>
      <c r="K1180" s="6" t="s">
        <v>22</v>
      </c>
      <c r="L1180" s="6">
        <v>24.0</v>
      </c>
      <c r="M1180" s="5">
        <v>46013.0</v>
      </c>
      <c r="N1180" s="6" t="s">
        <v>23</v>
      </c>
      <c r="O1180" s="6" t="str">
        <f>SUMIFS([1]order_sku_sales_bb2_report!P:P,[1]order_sku_sales_bb2_report!H:H,C28991,[1]order_sku_sales_bb2_report!J:J,H28991)</f>
        <v>#ERROR!</v>
      </c>
      <c r="P1180" s="6" t="str">
        <f>SUMIFS([1]order_sku_sales_bb2_report!O:O,[1]order_sku_sales_bb2_report!H:H,C28991,[1]order_sku_sales_bb2_report!J:J,H28991)</f>
        <v>#ERROR!</v>
      </c>
      <c r="Q1180" s="6" t="str">
        <f t="shared" si="1"/>
        <v>22-12-2025</v>
      </c>
      <c r="R1180" s="6" t="str">
        <f>IFERROR( VLOOKUP(C28991,[1]expressOrderReport!$S:$AZ,34,0),0)</f>
        <v>#ERROR!</v>
      </c>
      <c r="S1180" s="6" t="str">
        <f>ARRAY_CONSTRAIN(ARRAYFORMULA(_xludf.XLOOKUP(D28991,[1]order_Report_SA_ID_BB2.0!V:V,[1]order_Report_SA_ID_BB2.0!AM:AM,"")), 1, 1)</f>
        <v>#ERROR!</v>
      </c>
      <c r="T1180" s="6" t="str">
        <f t="shared" si="2"/>
        <v>Dec'25</v>
      </c>
    </row>
    <row r="1181" ht="15.75" customHeight="1">
      <c r="A1181" s="5">
        <v>46013.0</v>
      </c>
      <c r="B1181" s="6">
        <v>9616.0</v>
      </c>
      <c r="C1181" s="6">
        <v>1.859167149E9</v>
      </c>
      <c r="D1181" s="6">
        <v>3.7291507E7</v>
      </c>
      <c r="E1181" s="6" t="s">
        <v>1846</v>
      </c>
      <c r="F1181" s="6" t="s">
        <v>1847</v>
      </c>
      <c r="G1181" s="6">
        <v>9.76628319E9</v>
      </c>
      <c r="H1181" s="6">
        <v>4.0090893E7</v>
      </c>
      <c r="I1181" s="6" t="s">
        <v>35</v>
      </c>
      <c r="J1181" s="6" t="s">
        <v>21</v>
      </c>
      <c r="K1181" s="6" t="s">
        <v>22</v>
      </c>
      <c r="L1181" s="6">
        <v>132.0</v>
      </c>
      <c r="M1181" s="5">
        <v>46013.0</v>
      </c>
      <c r="N1181" s="6" t="s">
        <v>23</v>
      </c>
      <c r="O1181" s="6" t="str">
        <f>SUMIFS([1]order_sku_sales_bb2_report!P:P,[1]order_sku_sales_bb2_report!H:H,C28992,[1]order_sku_sales_bb2_report!J:J,H28992)</f>
        <v>#ERROR!</v>
      </c>
      <c r="P1181" s="6" t="str">
        <f>SUMIFS([1]order_sku_sales_bb2_report!O:O,[1]order_sku_sales_bb2_report!H:H,C28992,[1]order_sku_sales_bb2_report!J:J,H28992)</f>
        <v>#ERROR!</v>
      </c>
      <c r="Q1181" s="6" t="str">
        <f t="shared" si="1"/>
        <v>22-12-2025</v>
      </c>
      <c r="R1181" s="6" t="str">
        <f>IFERROR( VLOOKUP(C28992,[1]expressOrderReport!$S:$AZ,34,0),0)</f>
        <v>#ERROR!</v>
      </c>
      <c r="S1181" s="6" t="str">
        <f>ARRAY_CONSTRAIN(ARRAYFORMULA(_xludf.XLOOKUP(D28992,[1]order_Report_SA_ID_BB2.0!V:V,[1]order_Report_SA_ID_BB2.0!AM:AM,"")), 1, 1)</f>
        <v>#ERROR!</v>
      </c>
      <c r="T1181" s="6" t="str">
        <f t="shared" si="2"/>
        <v>Dec'25</v>
      </c>
    </row>
    <row r="1182" ht="15.75" customHeight="1">
      <c r="A1182" s="5">
        <v>46013.0</v>
      </c>
      <c r="B1182" s="6">
        <v>4632.0</v>
      </c>
      <c r="C1182" s="6">
        <v>1.859167154E9</v>
      </c>
      <c r="D1182" s="6">
        <v>232399.0</v>
      </c>
      <c r="E1182" s="6" t="s">
        <v>1848</v>
      </c>
      <c r="F1182" s="6" t="s">
        <v>1849</v>
      </c>
      <c r="G1182" s="6">
        <v>9.74135184E9</v>
      </c>
      <c r="H1182" s="6">
        <v>4.0148723E7</v>
      </c>
      <c r="I1182" s="6" t="s">
        <v>69</v>
      </c>
      <c r="J1182" s="6" t="s">
        <v>21</v>
      </c>
      <c r="K1182" s="6" t="s">
        <v>22</v>
      </c>
      <c r="L1182" s="6">
        <v>126.0</v>
      </c>
      <c r="M1182" s="5">
        <v>46013.0</v>
      </c>
      <c r="N1182" s="6" t="s">
        <v>23</v>
      </c>
      <c r="O1182" s="6" t="str">
        <f>SUMIFS([1]order_sku_sales_bb2_report!P:P,[1]order_sku_sales_bb2_report!H:H,C28993,[1]order_sku_sales_bb2_report!J:J,H28993)</f>
        <v>#ERROR!</v>
      </c>
      <c r="P1182" s="6" t="str">
        <f>SUMIFS([1]order_sku_sales_bb2_report!O:O,[1]order_sku_sales_bb2_report!H:H,C28993,[1]order_sku_sales_bb2_report!J:J,H28993)</f>
        <v>#ERROR!</v>
      </c>
      <c r="Q1182" s="6" t="str">
        <f t="shared" si="1"/>
        <v>22-12-2025</v>
      </c>
      <c r="R1182" s="6" t="str">
        <f>IFERROR( VLOOKUP(C28993,[1]expressOrderReport!$S:$AZ,34,0),0)</f>
        <v>#ERROR!</v>
      </c>
      <c r="S1182" s="6" t="str">
        <f>ARRAY_CONSTRAIN(ARRAYFORMULA(_xludf.XLOOKUP(D28993,[1]order_Report_SA_ID_BB2.0!V:V,[1]order_Report_SA_ID_BB2.0!AM:AM,"")), 1, 1)</f>
        <v>#ERROR!</v>
      </c>
      <c r="T1182" s="6" t="str">
        <f t="shared" si="2"/>
        <v>Dec'25</v>
      </c>
    </row>
    <row r="1183" ht="15.75" customHeight="1">
      <c r="A1183" s="5">
        <v>46013.0</v>
      </c>
      <c r="B1183" s="6">
        <v>10448.0</v>
      </c>
      <c r="C1183" s="6">
        <v>1.85916716E9</v>
      </c>
      <c r="D1183" s="6">
        <v>4603757.0</v>
      </c>
      <c r="E1183" s="6" t="s">
        <v>1850</v>
      </c>
      <c r="F1183" s="6" t="s">
        <v>1851</v>
      </c>
      <c r="G1183" s="6">
        <v>8.951896234E9</v>
      </c>
      <c r="H1183" s="6">
        <v>4.0149829E7</v>
      </c>
      <c r="I1183" s="6" t="s">
        <v>355</v>
      </c>
      <c r="J1183" s="6" t="s">
        <v>21</v>
      </c>
      <c r="K1183" s="6" t="s">
        <v>22</v>
      </c>
      <c r="L1183" s="6">
        <v>34.0</v>
      </c>
      <c r="M1183" s="5">
        <v>46013.0</v>
      </c>
      <c r="N1183" s="6" t="s">
        <v>23</v>
      </c>
      <c r="O1183" s="6" t="str">
        <f>SUMIFS([1]order_sku_sales_bb2_report!P:P,[1]order_sku_sales_bb2_report!H:H,C28994,[1]order_sku_sales_bb2_report!J:J,H28994)</f>
        <v>#ERROR!</v>
      </c>
      <c r="P1183" s="6" t="str">
        <f>SUMIFS([1]order_sku_sales_bb2_report!O:O,[1]order_sku_sales_bb2_report!H:H,C28994,[1]order_sku_sales_bb2_report!J:J,H28994)</f>
        <v>#ERROR!</v>
      </c>
      <c r="Q1183" s="6" t="str">
        <f t="shared" si="1"/>
        <v>22-12-2025</v>
      </c>
      <c r="R1183" s="6" t="str">
        <f>IFERROR( VLOOKUP(C28994,[1]expressOrderReport!$S:$AZ,34,0),0)</f>
        <v>#ERROR!</v>
      </c>
      <c r="S1183" s="6" t="str">
        <f>ARRAY_CONSTRAIN(ARRAYFORMULA(_xludf.XLOOKUP(D28994,[1]order_Report_SA_ID_BB2.0!V:V,[1]order_Report_SA_ID_BB2.0!AM:AM,"")), 1, 1)</f>
        <v>#ERROR!</v>
      </c>
      <c r="T1183" s="6" t="str">
        <f t="shared" si="2"/>
        <v>Dec'25</v>
      </c>
    </row>
    <row r="1184" ht="15.75" customHeight="1">
      <c r="A1184" s="5">
        <v>46013.0</v>
      </c>
      <c r="B1184" s="6">
        <v>5015.0</v>
      </c>
      <c r="C1184" s="6">
        <v>1.859167161E9</v>
      </c>
      <c r="D1184" s="6">
        <v>2.8508157E7</v>
      </c>
      <c r="E1184" s="6" t="s">
        <v>1852</v>
      </c>
      <c r="F1184" s="6" t="s">
        <v>1853</v>
      </c>
      <c r="G1184" s="6">
        <v>9.620968876E9</v>
      </c>
      <c r="H1184" s="6">
        <v>4.0161616E7</v>
      </c>
      <c r="I1184" s="6" t="s">
        <v>20</v>
      </c>
      <c r="J1184" s="6" t="s">
        <v>21</v>
      </c>
      <c r="K1184" s="6" t="s">
        <v>22</v>
      </c>
      <c r="L1184" s="6">
        <v>28.0</v>
      </c>
      <c r="M1184" s="5">
        <v>46013.0</v>
      </c>
      <c r="N1184" s="6" t="s">
        <v>23</v>
      </c>
      <c r="O1184" s="6" t="str">
        <f>SUMIFS([1]order_sku_sales_bb2_report!P:P,[1]order_sku_sales_bb2_report!H:H,C28995,[1]order_sku_sales_bb2_report!J:J,H28995)</f>
        <v>#ERROR!</v>
      </c>
      <c r="P1184" s="6" t="str">
        <f>SUMIFS([1]order_sku_sales_bb2_report!O:O,[1]order_sku_sales_bb2_report!H:H,C28995,[1]order_sku_sales_bb2_report!J:J,H28995)</f>
        <v>#ERROR!</v>
      </c>
      <c r="Q1184" s="6" t="str">
        <f t="shared" si="1"/>
        <v>22-12-2025</v>
      </c>
      <c r="R1184" s="6" t="str">
        <f>IFERROR( VLOOKUP(C28995,[1]expressOrderReport!$S:$AZ,34,0),0)</f>
        <v>#ERROR!</v>
      </c>
      <c r="S1184" s="6" t="str">
        <f>ARRAY_CONSTRAIN(ARRAYFORMULA(_xludf.XLOOKUP(D28995,[1]order_Report_SA_ID_BB2.0!V:V,[1]order_Report_SA_ID_BB2.0!AM:AM,"")), 1, 1)</f>
        <v>#ERROR!</v>
      </c>
      <c r="T1184" s="6" t="str">
        <f t="shared" si="2"/>
        <v>Dec'25</v>
      </c>
    </row>
    <row r="1185" ht="15.75" customHeight="1">
      <c r="A1185" s="5">
        <v>46013.0</v>
      </c>
      <c r="B1185" s="6">
        <v>3953.0</v>
      </c>
      <c r="C1185" s="6">
        <v>1.859167165E9</v>
      </c>
      <c r="D1185" s="6">
        <v>1363054.0</v>
      </c>
      <c r="E1185" s="6" t="s">
        <v>1854</v>
      </c>
      <c r="F1185" s="6" t="s">
        <v>1855</v>
      </c>
      <c r="G1185" s="6">
        <v>9.886592496E9</v>
      </c>
      <c r="H1185" s="6">
        <v>4.0047739E7</v>
      </c>
      <c r="I1185" s="6" t="s">
        <v>180</v>
      </c>
      <c r="J1185" s="6" t="s">
        <v>21</v>
      </c>
      <c r="K1185" s="6" t="s">
        <v>22</v>
      </c>
      <c r="L1185" s="6">
        <v>68.0</v>
      </c>
      <c r="M1185" s="5">
        <v>46013.0</v>
      </c>
      <c r="N1185" s="6" t="s">
        <v>23</v>
      </c>
      <c r="O1185" s="6" t="str">
        <f>SUMIFS([1]order_sku_sales_bb2_report!P:P,[1]order_sku_sales_bb2_report!H:H,C28996,[1]order_sku_sales_bb2_report!J:J,H28996)</f>
        <v>#ERROR!</v>
      </c>
      <c r="P1185" s="6" t="str">
        <f>SUMIFS([1]order_sku_sales_bb2_report!O:O,[1]order_sku_sales_bb2_report!H:H,C28996,[1]order_sku_sales_bb2_report!J:J,H28996)</f>
        <v>#ERROR!</v>
      </c>
      <c r="Q1185" s="6" t="str">
        <f t="shared" si="1"/>
        <v>22-12-2025</v>
      </c>
      <c r="R1185" s="6" t="str">
        <f>IFERROR( VLOOKUP(C28996,[1]expressOrderReport!$S:$AZ,34,0),0)</f>
        <v>#ERROR!</v>
      </c>
      <c r="S1185" s="6" t="str">
        <f>ARRAY_CONSTRAIN(ARRAYFORMULA(_xludf.XLOOKUP(D28996,[1]order_Report_SA_ID_BB2.0!V:V,[1]order_Report_SA_ID_BB2.0!AM:AM,"")), 1, 1)</f>
        <v>#ERROR!</v>
      </c>
      <c r="T1185" s="6" t="str">
        <f t="shared" si="2"/>
        <v>Dec'25</v>
      </c>
    </row>
    <row r="1186" ht="15.75" customHeight="1">
      <c r="A1186" s="5">
        <v>46013.0</v>
      </c>
      <c r="B1186" s="6">
        <v>9992.0</v>
      </c>
      <c r="C1186" s="6">
        <v>1.859167167E9</v>
      </c>
      <c r="D1186" s="6">
        <v>1.209177E7</v>
      </c>
      <c r="E1186" s="6" t="s">
        <v>1856</v>
      </c>
      <c r="F1186" s="6" t="s">
        <v>1857</v>
      </c>
      <c r="G1186" s="6">
        <v>9.74134034E9</v>
      </c>
      <c r="H1186" s="6">
        <v>4.0057966E7</v>
      </c>
      <c r="I1186" s="6" t="s">
        <v>173</v>
      </c>
      <c r="J1186" s="6" t="s">
        <v>21</v>
      </c>
      <c r="K1186" s="6" t="s">
        <v>22</v>
      </c>
      <c r="L1186" s="6">
        <v>53.6</v>
      </c>
      <c r="M1186" s="5">
        <v>46013.0</v>
      </c>
      <c r="N1186" s="6" t="s">
        <v>23</v>
      </c>
      <c r="O1186" s="6" t="str">
        <f>SUMIFS([1]order_sku_sales_bb2_report!P:P,[1]order_sku_sales_bb2_report!H:H,C28997,[1]order_sku_sales_bb2_report!J:J,H28997)</f>
        <v>#ERROR!</v>
      </c>
      <c r="P1186" s="6" t="str">
        <f>SUMIFS([1]order_sku_sales_bb2_report!O:O,[1]order_sku_sales_bb2_report!H:H,C28997,[1]order_sku_sales_bb2_report!J:J,H28997)</f>
        <v>#ERROR!</v>
      </c>
      <c r="Q1186" s="6" t="str">
        <f t="shared" si="1"/>
        <v>22-12-2025</v>
      </c>
      <c r="R1186" s="6" t="str">
        <f>IFERROR( VLOOKUP(C28997,[1]expressOrderReport!$S:$AZ,34,0),0)</f>
        <v>#ERROR!</v>
      </c>
      <c r="S1186" s="6" t="str">
        <f>ARRAY_CONSTRAIN(ARRAYFORMULA(_xludf.XLOOKUP(D28997,[1]order_Report_SA_ID_BB2.0!V:V,[1]order_Report_SA_ID_BB2.0!AM:AM,"")), 1, 1)</f>
        <v>#ERROR!</v>
      </c>
      <c r="T1186" s="6" t="str">
        <f t="shared" si="2"/>
        <v>Dec'25</v>
      </c>
    </row>
    <row r="1187" ht="15.75" customHeight="1">
      <c r="A1187" s="5">
        <v>46013.0</v>
      </c>
      <c r="B1187" s="6">
        <v>11959.0</v>
      </c>
      <c r="C1187" s="6">
        <v>1.859167172E9</v>
      </c>
      <c r="D1187" s="6">
        <v>1797621.0</v>
      </c>
      <c r="E1187" s="6" t="s">
        <v>1858</v>
      </c>
      <c r="F1187" s="6" t="s">
        <v>1859</v>
      </c>
      <c r="G1187" s="6">
        <v>9.666438468E9</v>
      </c>
      <c r="H1187" s="6">
        <v>4.0148716E7</v>
      </c>
      <c r="I1187" s="6" t="s">
        <v>148</v>
      </c>
      <c r="J1187" s="6" t="s">
        <v>21</v>
      </c>
      <c r="K1187" s="6" t="s">
        <v>22</v>
      </c>
      <c r="L1187" s="6">
        <v>143.0</v>
      </c>
      <c r="M1187" s="5">
        <v>46013.0</v>
      </c>
      <c r="N1187" s="6" t="s">
        <v>23</v>
      </c>
      <c r="O1187" s="6" t="str">
        <f>SUMIFS([1]order_sku_sales_bb2_report!P:P,[1]order_sku_sales_bb2_report!H:H,C28998,[1]order_sku_sales_bb2_report!J:J,H28998)</f>
        <v>#ERROR!</v>
      </c>
      <c r="P1187" s="6" t="str">
        <f>SUMIFS([1]order_sku_sales_bb2_report!O:O,[1]order_sku_sales_bb2_report!H:H,C28998,[1]order_sku_sales_bb2_report!J:J,H28998)</f>
        <v>#ERROR!</v>
      </c>
      <c r="Q1187" s="6" t="str">
        <f t="shared" si="1"/>
        <v>22-12-2025</v>
      </c>
      <c r="R1187" s="6" t="str">
        <f>IFERROR( VLOOKUP(C28998,[1]expressOrderReport!$S:$AZ,34,0),0)</f>
        <v>#ERROR!</v>
      </c>
      <c r="S1187" s="6" t="str">
        <f>ARRAY_CONSTRAIN(ARRAYFORMULA(_xludf.XLOOKUP(D28998,[1]order_Report_SA_ID_BB2.0!V:V,[1]order_Report_SA_ID_BB2.0!AM:AM,"")), 1, 1)</f>
        <v>#ERROR!</v>
      </c>
      <c r="T1187" s="6" t="str">
        <f t="shared" si="2"/>
        <v>Dec'25</v>
      </c>
    </row>
    <row r="1188" ht="15.75" customHeight="1">
      <c r="A1188" s="5">
        <v>46013.0</v>
      </c>
      <c r="B1188" s="6">
        <v>11960.0</v>
      </c>
      <c r="C1188" s="6">
        <v>1.859167172E9</v>
      </c>
      <c r="D1188" s="6">
        <v>1797621.0</v>
      </c>
      <c r="E1188" s="6" t="s">
        <v>1858</v>
      </c>
      <c r="F1188" s="6" t="s">
        <v>1859</v>
      </c>
      <c r="G1188" s="6">
        <v>9.666438468E9</v>
      </c>
      <c r="H1188" s="6">
        <v>4.0148723E7</v>
      </c>
      <c r="I1188" s="6" t="s">
        <v>69</v>
      </c>
      <c r="J1188" s="6" t="s">
        <v>21</v>
      </c>
      <c r="K1188" s="6" t="s">
        <v>22</v>
      </c>
      <c r="L1188" s="6">
        <v>143.0</v>
      </c>
      <c r="M1188" s="5">
        <v>46013.0</v>
      </c>
      <c r="N1188" s="6" t="s">
        <v>23</v>
      </c>
      <c r="O1188" s="6" t="str">
        <f>SUMIFS([1]order_sku_sales_bb2_report!P:P,[1]order_sku_sales_bb2_report!H:H,C28999,[1]order_sku_sales_bb2_report!J:J,H28999)</f>
        <v>#ERROR!</v>
      </c>
      <c r="P1188" s="6" t="str">
        <f>SUMIFS([1]order_sku_sales_bb2_report!O:O,[1]order_sku_sales_bb2_report!H:H,C28999,[1]order_sku_sales_bb2_report!J:J,H28999)</f>
        <v>#ERROR!</v>
      </c>
      <c r="Q1188" s="6" t="str">
        <f t="shared" si="1"/>
        <v>22-12-2025</v>
      </c>
      <c r="R1188" s="6" t="str">
        <f>IFERROR( VLOOKUP(C28999,[1]expressOrderReport!$S:$AZ,34,0),0)</f>
        <v>#ERROR!</v>
      </c>
      <c r="S1188" s="6" t="str">
        <f>ARRAY_CONSTRAIN(ARRAYFORMULA(_xludf.XLOOKUP(D28999,[1]order_Report_SA_ID_BB2.0!V:V,[1]order_Report_SA_ID_BB2.0!AM:AM,"")), 1, 1)</f>
        <v>#ERROR!</v>
      </c>
      <c r="T1188" s="6" t="str">
        <f t="shared" si="2"/>
        <v>Dec'25</v>
      </c>
    </row>
    <row r="1189" ht="15.75" customHeight="1">
      <c r="A1189" s="5">
        <v>46013.0</v>
      </c>
      <c r="B1189" s="6">
        <v>11961.0</v>
      </c>
      <c r="C1189" s="6">
        <v>1.859167172E9</v>
      </c>
      <c r="D1189" s="6">
        <v>1797621.0</v>
      </c>
      <c r="E1189" s="6" t="s">
        <v>1858</v>
      </c>
      <c r="F1189" s="6" t="s">
        <v>1859</v>
      </c>
      <c r="G1189" s="6">
        <v>9.666438468E9</v>
      </c>
      <c r="H1189" s="6">
        <v>4.0147601E7</v>
      </c>
      <c r="I1189" s="6" t="s">
        <v>276</v>
      </c>
      <c r="J1189" s="6" t="s">
        <v>21</v>
      </c>
      <c r="K1189" s="6" t="s">
        <v>22</v>
      </c>
      <c r="L1189" s="6">
        <v>143.0</v>
      </c>
      <c r="M1189" s="5">
        <v>46013.0</v>
      </c>
      <c r="N1189" s="6" t="s">
        <v>23</v>
      </c>
      <c r="O1189" s="6" t="str">
        <f>SUMIFS([1]order_sku_sales_bb2_report!P:P,[1]order_sku_sales_bb2_report!H:H,C29000,[1]order_sku_sales_bb2_report!J:J,H29000)</f>
        <v>#ERROR!</v>
      </c>
      <c r="P1189" s="6" t="str">
        <f>SUMIFS([1]order_sku_sales_bb2_report!O:O,[1]order_sku_sales_bb2_report!H:H,C29000,[1]order_sku_sales_bb2_report!J:J,H29000)</f>
        <v>#ERROR!</v>
      </c>
      <c r="Q1189" s="6" t="str">
        <f t="shared" si="1"/>
        <v>22-12-2025</v>
      </c>
      <c r="R1189" s="6" t="str">
        <f>IFERROR( VLOOKUP(C29000,[1]expressOrderReport!$S:$AZ,34,0),0)</f>
        <v>#ERROR!</v>
      </c>
      <c r="S1189" s="6" t="str">
        <f>ARRAY_CONSTRAIN(ARRAYFORMULA(_xludf.XLOOKUP(D29000,[1]order_Report_SA_ID_BB2.0!V:V,[1]order_Report_SA_ID_BB2.0!AM:AM,"")), 1, 1)</f>
        <v>#ERROR!</v>
      </c>
      <c r="T1189" s="6" t="str">
        <f t="shared" si="2"/>
        <v>Dec'25</v>
      </c>
    </row>
    <row r="1190" ht="15.75" customHeight="1">
      <c r="A1190" s="5">
        <v>46013.0</v>
      </c>
      <c r="B1190" s="6">
        <v>9251.0</v>
      </c>
      <c r="C1190" s="6">
        <v>1.859167176E9</v>
      </c>
      <c r="D1190" s="6">
        <v>2.2765028E7</v>
      </c>
      <c r="E1190" s="6" t="s">
        <v>1860</v>
      </c>
      <c r="F1190" s="6" t="s">
        <v>1861</v>
      </c>
      <c r="G1190" s="6">
        <v>9.90284592E9</v>
      </c>
      <c r="H1190" s="6">
        <v>4.0149832E7</v>
      </c>
      <c r="I1190" s="6" t="s">
        <v>26</v>
      </c>
      <c r="J1190" s="6" t="s">
        <v>21</v>
      </c>
      <c r="K1190" s="6" t="s">
        <v>22</v>
      </c>
      <c r="L1190" s="6">
        <v>48.0</v>
      </c>
      <c r="M1190" s="5">
        <v>46013.0</v>
      </c>
      <c r="N1190" s="6" t="s">
        <v>23</v>
      </c>
      <c r="O1190" s="6" t="str">
        <f>SUMIFS([1]order_sku_sales_bb2_report!P:P,[1]order_sku_sales_bb2_report!H:H,C29001,[1]order_sku_sales_bb2_report!J:J,H29001)</f>
        <v>#ERROR!</v>
      </c>
      <c r="P1190" s="6" t="str">
        <f>SUMIFS([1]order_sku_sales_bb2_report!O:O,[1]order_sku_sales_bb2_report!H:H,C29001,[1]order_sku_sales_bb2_report!J:J,H29001)</f>
        <v>#ERROR!</v>
      </c>
      <c r="Q1190" s="6" t="str">
        <f t="shared" si="1"/>
        <v>22-12-2025</v>
      </c>
      <c r="R1190" s="6" t="str">
        <f>IFERROR( VLOOKUP(C29001,[1]expressOrderReport!$S:$AZ,34,0),0)</f>
        <v>#ERROR!</v>
      </c>
      <c r="S1190" s="6" t="str">
        <f>ARRAY_CONSTRAIN(ARRAYFORMULA(_xludf.XLOOKUP(D29001,[1]order_Report_SA_ID_BB2.0!V:V,[1]order_Report_SA_ID_BB2.0!AM:AM,"")), 1, 1)</f>
        <v>#ERROR!</v>
      </c>
      <c r="T1190" s="6" t="str">
        <f t="shared" si="2"/>
        <v>Dec'25</v>
      </c>
    </row>
    <row r="1191" ht="15.75" customHeight="1">
      <c r="A1191" s="5">
        <v>46013.0</v>
      </c>
      <c r="B1191" s="6">
        <v>7192.0</v>
      </c>
      <c r="C1191" s="6">
        <v>1.859167185E9</v>
      </c>
      <c r="D1191" s="6">
        <v>1.3366955E7</v>
      </c>
      <c r="E1191" s="6" t="s">
        <v>1862</v>
      </c>
      <c r="F1191" s="6" t="s">
        <v>1863</v>
      </c>
      <c r="G1191" s="6">
        <v>9.626198699E9</v>
      </c>
      <c r="H1191" s="6">
        <v>4.0148716E7</v>
      </c>
      <c r="I1191" s="6" t="s">
        <v>148</v>
      </c>
      <c r="J1191" s="6" t="s">
        <v>21</v>
      </c>
      <c r="K1191" s="6" t="s">
        <v>22</v>
      </c>
      <c r="L1191" s="6">
        <v>72.0</v>
      </c>
      <c r="M1191" s="5">
        <v>46013.0</v>
      </c>
      <c r="N1191" s="6" t="s">
        <v>23</v>
      </c>
      <c r="O1191" s="6" t="str">
        <f>SUMIFS([1]order_sku_sales_bb2_report!P:P,[1]order_sku_sales_bb2_report!H:H,C29002,[1]order_sku_sales_bb2_report!J:J,H29002)</f>
        <v>#ERROR!</v>
      </c>
      <c r="P1191" s="6" t="str">
        <f>SUMIFS([1]order_sku_sales_bb2_report!O:O,[1]order_sku_sales_bb2_report!H:H,C29002,[1]order_sku_sales_bb2_report!J:J,H29002)</f>
        <v>#ERROR!</v>
      </c>
      <c r="Q1191" s="6" t="str">
        <f t="shared" si="1"/>
        <v>22-12-2025</v>
      </c>
      <c r="R1191" s="6" t="str">
        <f>IFERROR( VLOOKUP(C29002,[1]expressOrderReport!$S:$AZ,34,0),0)</f>
        <v>#ERROR!</v>
      </c>
      <c r="S1191" s="6" t="str">
        <f>ARRAY_CONSTRAIN(ARRAYFORMULA(_xludf.XLOOKUP(D29002,[1]order_Report_SA_ID_BB2.0!V:V,[1]order_Report_SA_ID_BB2.0!AM:AM,"")), 1, 1)</f>
        <v>#ERROR!</v>
      </c>
      <c r="T1191" s="6" t="str">
        <f t="shared" si="2"/>
        <v>Dec'25</v>
      </c>
    </row>
    <row r="1192" ht="15.75" customHeight="1">
      <c r="A1192" s="5">
        <v>46013.0</v>
      </c>
      <c r="B1192" s="6">
        <v>9762.0</v>
      </c>
      <c r="C1192" s="6">
        <v>1.859167185E9</v>
      </c>
      <c r="D1192" s="6">
        <v>1.3366955E7</v>
      </c>
      <c r="E1192" s="6" t="s">
        <v>1862</v>
      </c>
      <c r="F1192" s="6" t="s">
        <v>1863</v>
      </c>
      <c r="G1192" s="6">
        <v>9.626198699E9</v>
      </c>
      <c r="H1192" s="6">
        <v>4.0149833E7</v>
      </c>
      <c r="I1192" s="6" t="s">
        <v>40</v>
      </c>
      <c r="J1192" s="6" t="s">
        <v>21</v>
      </c>
      <c r="K1192" s="6" t="s">
        <v>22</v>
      </c>
      <c r="L1192" s="6">
        <v>72.0</v>
      </c>
      <c r="M1192" s="5">
        <v>46013.0</v>
      </c>
      <c r="N1192" s="6" t="s">
        <v>23</v>
      </c>
      <c r="O1192" s="6" t="str">
        <f>SUMIFS([1]order_sku_sales_bb2_report!P:P,[1]order_sku_sales_bb2_report!H:H,C29003,[1]order_sku_sales_bb2_report!J:J,H29003)</f>
        <v>#ERROR!</v>
      </c>
      <c r="P1192" s="6" t="str">
        <f>SUMIFS([1]order_sku_sales_bb2_report!O:O,[1]order_sku_sales_bb2_report!H:H,C29003,[1]order_sku_sales_bb2_report!J:J,H29003)</f>
        <v>#ERROR!</v>
      </c>
      <c r="Q1192" s="6" t="str">
        <f t="shared" si="1"/>
        <v>22-12-2025</v>
      </c>
      <c r="R1192" s="6" t="str">
        <f>IFERROR( VLOOKUP(C29003,[1]expressOrderReport!$S:$AZ,34,0),0)</f>
        <v>#ERROR!</v>
      </c>
      <c r="S1192" s="6" t="str">
        <f>ARRAY_CONSTRAIN(ARRAYFORMULA(_xludf.XLOOKUP(D29003,[1]order_Report_SA_ID_BB2.0!V:V,[1]order_Report_SA_ID_BB2.0!AM:AM,"")), 1, 1)</f>
        <v>#ERROR!</v>
      </c>
      <c r="T1192" s="6" t="str">
        <f t="shared" si="2"/>
        <v>Dec'25</v>
      </c>
    </row>
    <row r="1193" ht="15.75" customHeight="1">
      <c r="A1193" s="5">
        <v>46013.0</v>
      </c>
      <c r="B1193" s="6">
        <v>277.0</v>
      </c>
      <c r="C1193" s="6">
        <v>1.85916719E9</v>
      </c>
      <c r="D1193" s="6">
        <v>3.5129373E7</v>
      </c>
      <c r="E1193" s="6" t="s">
        <v>1864</v>
      </c>
      <c r="F1193" s="6" t="s">
        <v>1865</v>
      </c>
      <c r="G1193" s="6">
        <v>9.967783071E9</v>
      </c>
      <c r="H1193" s="6">
        <v>4.0148717E7</v>
      </c>
      <c r="I1193" s="6" t="s">
        <v>226</v>
      </c>
      <c r="J1193" s="6" t="s">
        <v>21</v>
      </c>
      <c r="K1193" s="6" t="s">
        <v>22</v>
      </c>
      <c r="L1193" s="6">
        <v>98.0</v>
      </c>
      <c r="M1193" s="5">
        <v>46013.0</v>
      </c>
      <c r="N1193" s="6" t="s">
        <v>23</v>
      </c>
      <c r="O1193" s="6" t="str">
        <f>SUMIFS([1]order_sku_sales_bb2_report!P:P,[1]order_sku_sales_bb2_report!H:H,C29004,[1]order_sku_sales_bb2_report!J:J,H29004)</f>
        <v>#ERROR!</v>
      </c>
      <c r="P1193" s="6" t="str">
        <f>SUMIFS([1]order_sku_sales_bb2_report!O:O,[1]order_sku_sales_bb2_report!H:H,C29004,[1]order_sku_sales_bb2_report!J:J,H29004)</f>
        <v>#ERROR!</v>
      </c>
      <c r="Q1193" s="6" t="str">
        <f t="shared" si="1"/>
        <v>22-12-2025</v>
      </c>
      <c r="R1193" s="6" t="str">
        <f>IFERROR( VLOOKUP(C29004,[1]expressOrderReport!$S:$AZ,34,0),0)</f>
        <v>#ERROR!</v>
      </c>
      <c r="S1193" s="6" t="str">
        <f>ARRAY_CONSTRAIN(ARRAYFORMULA(_xludf.XLOOKUP(D29004,[1]order_Report_SA_ID_BB2.0!V:V,[1]order_Report_SA_ID_BB2.0!AM:AM,"")), 1, 1)</f>
        <v>#ERROR!</v>
      </c>
      <c r="T1193" s="6" t="str">
        <f t="shared" si="2"/>
        <v>Dec'25</v>
      </c>
    </row>
    <row r="1194" ht="15.75" customHeight="1">
      <c r="A1194" s="5">
        <v>46013.0</v>
      </c>
      <c r="B1194" s="6">
        <v>11012.0</v>
      </c>
      <c r="C1194" s="6">
        <v>1.85916719E9</v>
      </c>
      <c r="D1194" s="6">
        <v>3.5129373E7</v>
      </c>
      <c r="E1194" s="6" t="s">
        <v>1864</v>
      </c>
      <c r="F1194" s="6" t="s">
        <v>1865</v>
      </c>
      <c r="G1194" s="6">
        <v>9.967783071E9</v>
      </c>
      <c r="H1194" s="6">
        <v>4.0148716E7</v>
      </c>
      <c r="I1194" s="6" t="s">
        <v>148</v>
      </c>
      <c r="J1194" s="6" t="s">
        <v>21</v>
      </c>
      <c r="K1194" s="6" t="s">
        <v>22</v>
      </c>
      <c r="L1194" s="6">
        <v>98.0</v>
      </c>
      <c r="M1194" s="5">
        <v>46013.0</v>
      </c>
      <c r="N1194" s="6" t="s">
        <v>23</v>
      </c>
      <c r="O1194" s="6" t="str">
        <f>SUMIFS([1]order_sku_sales_bb2_report!P:P,[1]order_sku_sales_bb2_report!H:H,C29005,[1]order_sku_sales_bb2_report!J:J,H29005)</f>
        <v>#ERROR!</v>
      </c>
      <c r="P1194" s="6" t="str">
        <f>SUMIFS([1]order_sku_sales_bb2_report!O:O,[1]order_sku_sales_bb2_report!H:H,C29005,[1]order_sku_sales_bb2_report!J:J,H29005)</f>
        <v>#ERROR!</v>
      </c>
      <c r="Q1194" s="6" t="str">
        <f t="shared" si="1"/>
        <v>22-12-2025</v>
      </c>
      <c r="R1194" s="6" t="str">
        <f>IFERROR( VLOOKUP(C29005,[1]expressOrderReport!$S:$AZ,34,0),0)</f>
        <v>#ERROR!</v>
      </c>
      <c r="S1194" s="6" t="str">
        <f>ARRAY_CONSTRAIN(ARRAYFORMULA(_xludf.XLOOKUP(D29005,[1]order_Report_SA_ID_BB2.0!V:V,[1]order_Report_SA_ID_BB2.0!AM:AM,"")), 1, 1)</f>
        <v>#ERROR!</v>
      </c>
      <c r="T1194" s="6" t="str">
        <f t="shared" si="2"/>
        <v>Dec'25</v>
      </c>
    </row>
    <row r="1195" ht="15.75" customHeight="1">
      <c r="A1195" s="5">
        <v>46013.0</v>
      </c>
      <c r="B1195" s="6">
        <v>7384.0</v>
      </c>
      <c r="C1195" s="6">
        <v>1.859167193E9</v>
      </c>
      <c r="D1195" s="6">
        <v>6.4409893E7</v>
      </c>
      <c r="E1195" s="6" t="s">
        <v>1866</v>
      </c>
      <c r="F1195" s="6" t="s">
        <v>1867</v>
      </c>
      <c r="G1195" s="6">
        <v>7.618702626E9</v>
      </c>
      <c r="H1195" s="6">
        <v>242671.0</v>
      </c>
      <c r="I1195" s="6" t="s">
        <v>1868</v>
      </c>
      <c r="J1195" s="6" t="s">
        <v>21</v>
      </c>
      <c r="K1195" s="6" t="s">
        <v>22</v>
      </c>
      <c r="L1195" s="6">
        <v>31.0</v>
      </c>
      <c r="M1195" s="5">
        <v>46013.0</v>
      </c>
      <c r="N1195" s="6" t="s">
        <v>23</v>
      </c>
      <c r="O1195" s="6" t="str">
        <f>SUMIFS([1]order_sku_sales_bb2_report!P:P,[1]order_sku_sales_bb2_report!H:H,C29006,[1]order_sku_sales_bb2_report!J:J,H29006)</f>
        <v>#ERROR!</v>
      </c>
      <c r="P1195" s="6" t="str">
        <f>SUMIFS([1]order_sku_sales_bb2_report!O:O,[1]order_sku_sales_bb2_report!H:H,C29006,[1]order_sku_sales_bb2_report!J:J,H29006)</f>
        <v>#ERROR!</v>
      </c>
      <c r="Q1195" s="6" t="str">
        <f t="shared" si="1"/>
        <v>22-12-2025</v>
      </c>
      <c r="R1195" s="6" t="str">
        <f>IFERROR( VLOOKUP(C29006,[1]expressOrderReport!$S:$AZ,34,0),0)</f>
        <v>#ERROR!</v>
      </c>
      <c r="S1195" s="6" t="str">
        <f>ARRAY_CONSTRAIN(ARRAYFORMULA(_xludf.XLOOKUP(D29006,[1]order_Report_SA_ID_BB2.0!V:V,[1]order_Report_SA_ID_BB2.0!AM:AM,"")), 1, 1)</f>
        <v>#ERROR!</v>
      </c>
      <c r="T1195" s="6" t="str">
        <f t="shared" si="2"/>
        <v>Dec'25</v>
      </c>
    </row>
    <row r="1196" ht="15.75" customHeight="1">
      <c r="A1196" s="5">
        <v>46013.0</v>
      </c>
      <c r="B1196" s="6">
        <v>5174.0</v>
      </c>
      <c r="C1196" s="6">
        <v>1.859167197E9</v>
      </c>
      <c r="D1196" s="6">
        <v>1.7726143E7</v>
      </c>
      <c r="E1196" s="6" t="s">
        <v>1869</v>
      </c>
      <c r="F1196" s="6" t="s">
        <v>1870</v>
      </c>
      <c r="G1196" s="6">
        <v>9.900131873E9</v>
      </c>
      <c r="H1196" s="6">
        <v>4.0149834E7</v>
      </c>
      <c r="I1196" s="6" t="s">
        <v>40</v>
      </c>
      <c r="J1196" s="6" t="s">
        <v>21</v>
      </c>
      <c r="K1196" s="6" t="s">
        <v>22</v>
      </c>
      <c r="L1196" s="6">
        <v>52.0</v>
      </c>
      <c r="M1196" s="5">
        <v>46013.0</v>
      </c>
      <c r="N1196" s="6" t="s">
        <v>23</v>
      </c>
      <c r="O1196" s="6" t="str">
        <f>SUMIFS([1]order_sku_sales_bb2_report!P:P,[1]order_sku_sales_bb2_report!H:H,C29007,[1]order_sku_sales_bb2_report!J:J,H29007)</f>
        <v>#ERROR!</v>
      </c>
      <c r="P1196" s="6" t="str">
        <f>SUMIFS([1]order_sku_sales_bb2_report!O:O,[1]order_sku_sales_bb2_report!H:H,C29007,[1]order_sku_sales_bb2_report!J:J,H29007)</f>
        <v>#ERROR!</v>
      </c>
      <c r="Q1196" s="6" t="str">
        <f t="shared" si="1"/>
        <v>22-12-2025</v>
      </c>
      <c r="R1196" s="6" t="str">
        <f>IFERROR( VLOOKUP(C29007,[1]expressOrderReport!$S:$AZ,34,0),0)</f>
        <v>#ERROR!</v>
      </c>
      <c r="S1196" s="6" t="str">
        <f>ARRAY_CONSTRAIN(ARRAYFORMULA(_xludf.XLOOKUP(D29007,[1]order_Report_SA_ID_BB2.0!V:V,[1]order_Report_SA_ID_BB2.0!AM:AM,"")), 1, 1)</f>
        <v>#ERROR!</v>
      </c>
      <c r="T1196" s="6" t="str">
        <f t="shared" si="2"/>
        <v>Dec'25</v>
      </c>
    </row>
    <row r="1197" ht="15.75" customHeight="1">
      <c r="A1197" s="5">
        <v>46013.0</v>
      </c>
      <c r="B1197" s="6">
        <v>7487.0</v>
      </c>
      <c r="C1197" s="6">
        <v>1.859167203E9</v>
      </c>
      <c r="D1197" s="6">
        <v>1.9097094E7</v>
      </c>
      <c r="E1197" s="6" t="s">
        <v>1871</v>
      </c>
      <c r="F1197" s="6" t="s">
        <v>1872</v>
      </c>
      <c r="G1197" s="6">
        <v>8.69589168E9</v>
      </c>
      <c r="H1197" s="6">
        <v>4.0149832E7</v>
      </c>
      <c r="I1197" s="6" t="s">
        <v>26</v>
      </c>
      <c r="J1197" s="6" t="s">
        <v>21</v>
      </c>
      <c r="K1197" s="6" t="s">
        <v>22</v>
      </c>
      <c r="L1197" s="6">
        <v>24.0</v>
      </c>
      <c r="M1197" s="5">
        <v>46013.0</v>
      </c>
      <c r="N1197" s="6" t="s">
        <v>23</v>
      </c>
      <c r="O1197" s="6" t="str">
        <f>SUMIFS([1]order_sku_sales_bb2_report!P:P,[1]order_sku_sales_bb2_report!H:H,C29008,[1]order_sku_sales_bb2_report!J:J,H29008)</f>
        <v>#ERROR!</v>
      </c>
      <c r="P1197" s="6" t="str">
        <f>SUMIFS([1]order_sku_sales_bb2_report!O:O,[1]order_sku_sales_bb2_report!H:H,C29008,[1]order_sku_sales_bb2_report!J:J,H29008)</f>
        <v>#ERROR!</v>
      </c>
      <c r="Q1197" s="6" t="str">
        <f t="shared" si="1"/>
        <v>22-12-2025</v>
      </c>
      <c r="R1197" s="6" t="str">
        <f>IFERROR( VLOOKUP(C29008,[1]expressOrderReport!$S:$AZ,34,0),0)</f>
        <v>#ERROR!</v>
      </c>
      <c r="S1197" s="6" t="str">
        <f>ARRAY_CONSTRAIN(ARRAYFORMULA(_xludf.XLOOKUP(D29008,[1]order_Report_SA_ID_BB2.0!V:V,[1]order_Report_SA_ID_BB2.0!AM:AM,"")), 1, 1)</f>
        <v>#ERROR!</v>
      </c>
      <c r="T1197" s="6" t="str">
        <f t="shared" si="2"/>
        <v>Dec'25</v>
      </c>
    </row>
    <row r="1198" ht="15.75" customHeight="1">
      <c r="A1198" s="5">
        <v>46013.0</v>
      </c>
      <c r="B1198" s="6">
        <v>9273.0</v>
      </c>
      <c r="C1198" s="6">
        <v>1.859167209E9</v>
      </c>
      <c r="D1198" s="6">
        <v>6.5380921E7</v>
      </c>
      <c r="E1198" s="6" t="s">
        <v>1873</v>
      </c>
      <c r="F1198" s="6" t="s">
        <v>1874</v>
      </c>
      <c r="G1198" s="6">
        <v>9.739907724E9</v>
      </c>
      <c r="H1198" s="6">
        <v>4.0161616E7</v>
      </c>
      <c r="I1198" s="6" t="s">
        <v>20</v>
      </c>
      <c r="J1198" s="6" t="s">
        <v>21</v>
      </c>
      <c r="K1198" s="6" t="s">
        <v>22</v>
      </c>
      <c r="L1198" s="6">
        <v>84.0</v>
      </c>
      <c r="M1198" s="5">
        <v>46013.0</v>
      </c>
      <c r="N1198" s="6" t="s">
        <v>23</v>
      </c>
      <c r="O1198" s="6" t="str">
        <f>SUMIFS([1]order_sku_sales_bb2_report!P:P,[1]order_sku_sales_bb2_report!H:H,C29009,[1]order_sku_sales_bb2_report!J:J,H29009)</f>
        <v>#ERROR!</v>
      </c>
      <c r="P1198" s="6" t="str">
        <f>SUMIFS([1]order_sku_sales_bb2_report!O:O,[1]order_sku_sales_bb2_report!H:H,C29009,[1]order_sku_sales_bb2_report!J:J,H29009)</f>
        <v>#ERROR!</v>
      </c>
      <c r="Q1198" s="6" t="str">
        <f t="shared" si="1"/>
        <v>22-12-2025</v>
      </c>
      <c r="R1198" s="6" t="str">
        <f>IFERROR( VLOOKUP(C29009,[1]expressOrderReport!$S:$AZ,34,0),0)</f>
        <v>#ERROR!</v>
      </c>
      <c r="S1198" s="6" t="str">
        <f>ARRAY_CONSTRAIN(ARRAYFORMULA(_xludf.XLOOKUP(D29009,[1]order_Report_SA_ID_BB2.0!V:V,[1]order_Report_SA_ID_BB2.0!AM:AM,"")), 1, 1)</f>
        <v>#ERROR!</v>
      </c>
      <c r="T1198" s="6" t="str">
        <f t="shared" si="2"/>
        <v>Dec'25</v>
      </c>
    </row>
    <row r="1199" ht="15.75" customHeight="1">
      <c r="A1199" s="5">
        <v>46013.0</v>
      </c>
      <c r="B1199" s="6">
        <v>1716.0</v>
      </c>
      <c r="C1199" s="6">
        <v>1.859167214E9</v>
      </c>
      <c r="D1199" s="6">
        <v>1.2504015E7</v>
      </c>
      <c r="E1199" s="6" t="s">
        <v>1875</v>
      </c>
      <c r="F1199" s="6" t="s">
        <v>1876</v>
      </c>
      <c r="G1199" s="6">
        <v>9.80445027E9</v>
      </c>
      <c r="H1199" s="6">
        <v>4.0149832E7</v>
      </c>
      <c r="I1199" s="6" t="s">
        <v>26</v>
      </c>
      <c r="J1199" s="6" t="s">
        <v>21</v>
      </c>
      <c r="K1199" s="6" t="s">
        <v>22</v>
      </c>
      <c r="L1199" s="6">
        <v>39.12</v>
      </c>
      <c r="M1199" s="5">
        <v>46013.0</v>
      </c>
      <c r="N1199" s="6" t="s">
        <v>23</v>
      </c>
      <c r="O1199" s="6" t="str">
        <f>SUMIFS([1]order_sku_sales_bb2_report!P:P,[1]order_sku_sales_bb2_report!H:H,C29011,[1]order_sku_sales_bb2_report!J:J,H29011)</f>
        <v>#ERROR!</v>
      </c>
      <c r="P1199" s="6" t="str">
        <f>SUMIFS([1]order_sku_sales_bb2_report!O:O,[1]order_sku_sales_bb2_report!H:H,C29011,[1]order_sku_sales_bb2_report!J:J,H29011)</f>
        <v>#ERROR!</v>
      </c>
      <c r="Q1199" s="6" t="str">
        <f t="shared" si="1"/>
        <v>22-12-2025</v>
      </c>
      <c r="R1199" s="6" t="str">
        <f>IFERROR( VLOOKUP(C29011,[1]expressOrderReport!$S:$AZ,34,0),0)</f>
        <v>#ERROR!</v>
      </c>
      <c r="S1199" s="6" t="str">
        <f>ARRAY_CONSTRAIN(ARRAYFORMULA(_xludf.XLOOKUP(D29011,[1]order_Report_SA_ID_BB2.0!V:V,[1]order_Report_SA_ID_BB2.0!AM:AM,"")), 1, 1)</f>
        <v>#ERROR!</v>
      </c>
      <c r="T1199" s="6" t="str">
        <f t="shared" si="2"/>
        <v>Dec'25</v>
      </c>
    </row>
    <row r="1200" ht="15.75" customHeight="1">
      <c r="A1200" s="5">
        <v>46013.0</v>
      </c>
      <c r="B1200" s="6">
        <v>11183.0</v>
      </c>
      <c r="C1200" s="6">
        <v>1.859167214E9</v>
      </c>
      <c r="D1200" s="6">
        <v>1.2504015E7</v>
      </c>
      <c r="E1200" s="6" t="s">
        <v>1875</v>
      </c>
      <c r="F1200" s="6" t="s">
        <v>1876</v>
      </c>
      <c r="G1200" s="6">
        <v>9.80445027E9</v>
      </c>
      <c r="H1200" s="6">
        <v>2.0001186E7</v>
      </c>
      <c r="I1200" s="6" t="s">
        <v>430</v>
      </c>
      <c r="J1200" s="6" t="s">
        <v>21</v>
      </c>
      <c r="K1200" s="6" t="s">
        <v>22</v>
      </c>
      <c r="L1200" s="6">
        <v>39.12</v>
      </c>
      <c r="M1200" s="5">
        <v>46013.0</v>
      </c>
      <c r="N1200" s="6" t="s">
        <v>23</v>
      </c>
      <c r="O1200" s="6" t="str">
        <f>SUMIFS([1]order_sku_sales_bb2_report!P:P,[1]order_sku_sales_bb2_report!H:H,C29012,[1]order_sku_sales_bb2_report!J:J,H29012)</f>
        <v>#ERROR!</v>
      </c>
      <c r="P1200" s="6" t="str">
        <f>SUMIFS([1]order_sku_sales_bb2_report!O:O,[1]order_sku_sales_bb2_report!H:H,C29012,[1]order_sku_sales_bb2_report!J:J,H29012)</f>
        <v>#ERROR!</v>
      </c>
      <c r="Q1200" s="6" t="str">
        <f t="shared" si="1"/>
        <v>22-12-2025</v>
      </c>
      <c r="R1200" s="6" t="str">
        <f>IFERROR( VLOOKUP(C29012,[1]expressOrderReport!$S:$AZ,34,0),0)</f>
        <v>#ERROR!</v>
      </c>
      <c r="S1200" s="6" t="str">
        <f>ARRAY_CONSTRAIN(ARRAYFORMULA(_xludf.XLOOKUP(D29012,[1]order_Report_SA_ID_BB2.0!V:V,[1]order_Report_SA_ID_BB2.0!AM:AM,"")), 1, 1)</f>
        <v>#ERROR!</v>
      </c>
      <c r="T1200" s="6" t="str">
        <f t="shared" si="2"/>
        <v>Dec'25</v>
      </c>
    </row>
    <row r="1201" ht="15.75" customHeight="1">
      <c r="A1201" s="5">
        <v>46013.0</v>
      </c>
      <c r="B1201" s="6">
        <v>11184.0</v>
      </c>
      <c r="C1201" s="6">
        <v>1.859167214E9</v>
      </c>
      <c r="D1201" s="6">
        <v>1.2504015E7</v>
      </c>
      <c r="E1201" s="6" t="s">
        <v>1875</v>
      </c>
      <c r="F1201" s="6" t="s">
        <v>1876</v>
      </c>
      <c r="G1201" s="6">
        <v>9.80445027E9</v>
      </c>
      <c r="H1201" s="6">
        <v>2.0001185E7</v>
      </c>
      <c r="I1201" s="6" t="s">
        <v>627</v>
      </c>
      <c r="J1201" s="6" t="s">
        <v>21</v>
      </c>
      <c r="K1201" s="6" t="s">
        <v>22</v>
      </c>
      <c r="L1201" s="6">
        <v>39.12</v>
      </c>
      <c r="M1201" s="5">
        <v>46013.0</v>
      </c>
      <c r="N1201" s="6" t="s">
        <v>23</v>
      </c>
      <c r="O1201" s="6" t="str">
        <f>SUMIFS([1]order_sku_sales_bb2_report!P:P,[1]order_sku_sales_bb2_report!H:H,C29013,[1]order_sku_sales_bb2_report!J:J,H29013)</f>
        <v>#ERROR!</v>
      </c>
      <c r="P1201" s="6" t="str">
        <f>SUMIFS([1]order_sku_sales_bb2_report!O:O,[1]order_sku_sales_bb2_report!H:H,C29013,[1]order_sku_sales_bb2_report!J:J,H29013)</f>
        <v>#ERROR!</v>
      </c>
      <c r="Q1201" s="6" t="str">
        <f t="shared" si="1"/>
        <v>22-12-2025</v>
      </c>
      <c r="R1201" s="6" t="str">
        <f>IFERROR( VLOOKUP(C29013,[1]expressOrderReport!$S:$AZ,34,0),0)</f>
        <v>#ERROR!</v>
      </c>
      <c r="S1201" s="6" t="str">
        <f>ARRAY_CONSTRAIN(ARRAYFORMULA(_xludf.XLOOKUP(D29013,[1]order_Report_SA_ID_BB2.0!V:V,[1]order_Report_SA_ID_BB2.0!AM:AM,"")), 1, 1)</f>
        <v>#ERROR!</v>
      </c>
      <c r="T1201" s="6" t="str">
        <f t="shared" si="2"/>
        <v>Dec'25</v>
      </c>
    </row>
    <row r="1202" ht="15.75" customHeight="1">
      <c r="A1202" s="5">
        <v>46013.0</v>
      </c>
      <c r="B1202" s="6">
        <v>12066.0</v>
      </c>
      <c r="C1202" s="6">
        <v>1.859167217E9</v>
      </c>
      <c r="D1202" s="6">
        <v>247711.0</v>
      </c>
      <c r="E1202" s="6" t="s">
        <v>1877</v>
      </c>
      <c r="F1202" s="6" t="s">
        <v>1878</v>
      </c>
      <c r="G1202" s="6">
        <v>9.739048155E9</v>
      </c>
      <c r="H1202" s="6">
        <v>4.016372E7</v>
      </c>
      <c r="I1202" s="6" t="s">
        <v>72</v>
      </c>
      <c r="J1202" s="6" t="s">
        <v>21</v>
      </c>
      <c r="K1202" s="6" t="s">
        <v>22</v>
      </c>
      <c r="L1202" s="6">
        <v>119.7</v>
      </c>
      <c r="M1202" s="5">
        <v>46013.0</v>
      </c>
      <c r="N1202" s="6" t="s">
        <v>23</v>
      </c>
      <c r="O1202" s="6" t="str">
        <f>SUMIFS([1]order_sku_sales_bb2_report!P:P,[1]order_sku_sales_bb2_report!H:H,C29014,[1]order_sku_sales_bb2_report!J:J,H29014)</f>
        <v>#ERROR!</v>
      </c>
      <c r="P1202" s="6" t="str">
        <f>SUMIFS([1]order_sku_sales_bb2_report!O:O,[1]order_sku_sales_bb2_report!H:H,C29014,[1]order_sku_sales_bb2_report!J:J,H29014)</f>
        <v>#ERROR!</v>
      </c>
      <c r="Q1202" s="6" t="str">
        <f t="shared" si="1"/>
        <v>22-12-2025</v>
      </c>
      <c r="R1202" s="6" t="str">
        <f>IFERROR( VLOOKUP(C29014,[1]expressOrderReport!$S:$AZ,34,0),0)</f>
        <v>#ERROR!</v>
      </c>
      <c r="S1202" s="6" t="str">
        <f>ARRAY_CONSTRAIN(ARRAYFORMULA(_xludf.XLOOKUP(D29014,[1]order_Report_SA_ID_BB2.0!V:V,[1]order_Report_SA_ID_BB2.0!AM:AM,"")), 1, 1)</f>
        <v>#ERROR!</v>
      </c>
      <c r="T1202" s="6" t="str">
        <f t="shared" si="2"/>
        <v>Dec'25</v>
      </c>
    </row>
    <row r="1203" ht="15.75" customHeight="1">
      <c r="A1203" s="5">
        <v>46013.0</v>
      </c>
      <c r="B1203" s="6">
        <v>5194.0</v>
      </c>
      <c r="C1203" s="6">
        <v>1.85916722E9</v>
      </c>
      <c r="D1203" s="6">
        <v>4.6433602E7</v>
      </c>
      <c r="E1203" s="6" t="s">
        <v>1879</v>
      </c>
      <c r="F1203" s="6" t="s">
        <v>1880</v>
      </c>
      <c r="G1203" s="6">
        <v>8.861388332E9</v>
      </c>
      <c r="H1203" s="6">
        <v>4.0149832E7</v>
      </c>
      <c r="I1203" s="6" t="s">
        <v>26</v>
      </c>
      <c r="J1203" s="6" t="s">
        <v>21</v>
      </c>
      <c r="K1203" s="6" t="s">
        <v>22</v>
      </c>
      <c r="L1203" s="6">
        <v>24.0</v>
      </c>
      <c r="M1203" s="5">
        <v>46013.0</v>
      </c>
      <c r="N1203" s="6" t="s">
        <v>23</v>
      </c>
      <c r="O1203" s="6" t="str">
        <f>SUMIFS([1]order_sku_sales_bb2_report!P:P,[1]order_sku_sales_bb2_report!H:H,C29015,[1]order_sku_sales_bb2_report!J:J,H29015)</f>
        <v>#ERROR!</v>
      </c>
      <c r="P1203" s="6" t="str">
        <f>SUMIFS([1]order_sku_sales_bb2_report!O:O,[1]order_sku_sales_bb2_report!H:H,C29015,[1]order_sku_sales_bb2_report!J:J,H29015)</f>
        <v>#ERROR!</v>
      </c>
      <c r="Q1203" s="6" t="str">
        <f t="shared" si="1"/>
        <v>22-12-2025</v>
      </c>
      <c r="R1203" s="6" t="str">
        <f>IFERROR( VLOOKUP(C29015,[1]expressOrderReport!$S:$AZ,34,0),0)</f>
        <v>#ERROR!</v>
      </c>
      <c r="S1203" s="6" t="str">
        <f>ARRAY_CONSTRAIN(ARRAYFORMULA(_xludf.XLOOKUP(D29015,[1]order_Report_SA_ID_BB2.0!V:V,[1]order_Report_SA_ID_BB2.0!AM:AM,"")), 1, 1)</f>
        <v>#ERROR!</v>
      </c>
      <c r="T1203" s="6" t="str">
        <f t="shared" si="2"/>
        <v>Dec'25</v>
      </c>
    </row>
    <row r="1204" ht="15.75" customHeight="1">
      <c r="A1204" s="5">
        <v>46013.0</v>
      </c>
      <c r="B1204" s="6">
        <v>7844.0</v>
      </c>
      <c r="C1204" s="6">
        <v>1.859167225E9</v>
      </c>
      <c r="D1204" s="6">
        <v>1.0486631E7</v>
      </c>
      <c r="E1204" s="6" t="s">
        <v>1881</v>
      </c>
      <c r="F1204" s="6" t="s">
        <v>1882</v>
      </c>
      <c r="G1204" s="6">
        <v>8.130635362E9</v>
      </c>
      <c r="H1204" s="6">
        <v>4.0149832E7</v>
      </c>
      <c r="I1204" s="6" t="s">
        <v>26</v>
      </c>
      <c r="J1204" s="6" t="s">
        <v>21</v>
      </c>
      <c r="K1204" s="6" t="s">
        <v>22</v>
      </c>
      <c r="L1204" s="6">
        <v>48.0</v>
      </c>
      <c r="M1204" s="5">
        <v>46013.0</v>
      </c>
      <c r="N1204" s="6" t="s">
        <v>23</v>
      </c>
      <c r="O1204" s="6" t="str">
        <f>SUMIFS([1]order_sku_sales_bb2_report!P:P,[1]order_sku_sales_bb2_report!H:H,C29016,[1]order_sku_sales_bb2_report!J:J,H29016)</f>
        <v>#ERROR!</v>
      </c>
      <c r="P1204" s="6" t="str">
        <f>SUMIFS([1]order_sku_sales_bb2_report!O:O,[1]order_sku_sales_bb2_report!H:H,C29016,[1]order_sku_sales_bb2_report!J:J,H29016)</f>
        <v>#ERROR!</v>
      </c>
      <c r="Q1204" s="6" t="str">
        <f t="shared" si="1"/>
        <v>22-12-2025</v>
      </c>
      <c r="R1204" s="6" t="str">
        <f>IFERROR( VLOOKUP(C29016,[1]expressOrderReport!$S:$AZ,34,0),0)</f>
        <v>#ERROR!</v>
      </c>
      <c r="S1204" s="6" t="str">
        <f>ARRAY_CONSTRAIN(ARRAYFORMULA(_xludf.XLOOKUP(D29016,[1]order_Report_SA_ID_BB2.0!V:V,[1]order_Report_SA_ID_BB2.0!AM:AM,"")), 1, 1)</f>
        <v>#ERROR!</v>
      </c>
      <c r="T1204" s="6" t="str">
        <f t="shared" si="2"/>
        <v>Dec'25</v>
      </c>
    </row>
    <row r="1205" ht="15.75" customHeight="1">
      <c r="A1205" s="5">
        <v>46013.0</v>
      </c>
      <c r="B1205" s="6">
        <v>10132.0</v>
      </c>
      <c r="C1205" s="6">
        <v>1.859167228E9</v>
      </c>
      <c r="D1205" s="6">
        <v>4571659.0</v>
      </c>
      <c r="E1205" s="6" t="s">
        <v>1883</v>
      </c>
      <c r="F1205" s="6" t="s">
        <v>1884</v>
      </c>
      <c r="G1205" s="6">
        <v>9.619188671E9</v>
      </c>
      <c r="H1205" s="6">
        <v>4.0158264E7</v>
      </c>
      <c r="I1205" s="6" t="s">
        <v>26</v>
      </c>
      <c r="J1205" s="6" t="s">
        <v>21</v>
      </c>
      <c r="K1205" s="6" t="s">
        <v>22</v>
      </c>
      <c r="L1205" s="6">
        <v>70.0</v>
      </c>
      <c r="M1205" s="5">
        <v>46013.0</v>
      </c>
      <c r="N1205" s="6" t="s">
        <v>23</v>
      </c>
      <c r="O1205" s="6" t="str">
        <f>SUMIFS([1]order_sku_sales_bb2_report!P:P,[1]order_sku_sales_bb2_report!H:H,C29017,[1]order_sku_sales_bb2_report!J:J,H29017)</f>
        <v>#ERROR!</v>
      </c>
      <c r="P1205" s="6" t="str">
        <f>SUMIFS([1]order_sku_sales_bb2_report!O:O,[1]order_sku_sales_bb2_report!H:H,C29017,[1]order_sku_sales_bb2_report!J:J,H29017)</f>
        <v>#ERROR!</v>
      </c>
      <c r="Q1205" s="6" t="str">
        <f t="shared" si="1"/>
        <v>22-12-2025</v>
      </c>
      <c r="R1205" s="6" t="str">
        <f>IFERROR( VLOOKUP(C29017,[1]expressOrderReport!$S:$AZ,34,0),0)</f>
        <v>#ERROR!</v>
      </c>
      <c r="S1205" s="6" t="str">
        <f>ARRAY_CONSTRAIN(ARRAYFORMULA(_xludf.XLOOKUP(D29017,[1]order_Report_SA_ID_BB2.0!V:V,[1]order_Report_SA_ID_BB2.0!AM:AM,"")), 1, 1)</f>
        <v>#ERROR!</v>
      </c>
      <c r="T1205" s="6" t="str">
        <f t="shared" si="2"/>
        <v>Dec'25</v>
      </c>
    </row>
    <row r="1206" ht="15.75" customHeight="1">
      <c r="A1206" s="5">
        <v>46013.0</v>
      </c>
      <c r="B1206" s="6">
        <v>10169.0</v>
      </c>
      <c r="C1206" s="6">
        <v>1.859167228E9</v>
      </c>
      <c r="D1206" s="6">
        <v>4571659.0</v>
      </c>
      <c r="E1206" s="6" t="s">
        <v>1883</v>
      </c>
      <c r="F1206" s="6" t="s">
        <v>1884</v>
      </c>
      <c r="G1206" s="6">
        <v>9.619188671E9</v>
      </c>
      <c r="H1206" s="6">
        <v>4.0149832E7</v>
      </c>
      <c r="I1206" s="6" t="s">
        <v>26</v>
      </c>
      <c r="J1206" s="6" t="s">
        <v>21</v>
      </c>
      <c r="K1206" s="6" t="s">
        <v>22</v>
      </c>
      <c r="L1206" s="6">
        <v>70.0</v>
      </c>
      <c r="M1206" s="5">
        <v>46013.0</v>
      </c>
      <c r="N1206" s="6" t="s">
        <v>23</v>
      </c>
      <c r="O1206" s="6" t="str">
        <f>SUMIFS([1]order_sku_sales_bb2_report!P:P,[1]order_sku_sales_bb2_report!H:H,C29018,[1]order_sku_sales_bb2_report!J:J,H29018)</f>
        <v>#ERROR!</v>
      </c>
      <c r="P1206" s="6" t="str">
        <f>SUMIFS([1]order_sku_sales_bb2_report!O:O,[1]order_sku_sales_bb2_report!H:H,C29018,[1]order_sku_sales_bb2_report!J:J,H29018)</f>
        <v>#ERROR!</v>
      </c>
      <c r="Q1206" s="6" t="str">
        <f t="shared" si="1"/>
        <v>22-12-2025</v>
      </c>
      <c r="R1206" s="6" t="str">
        <f>IFERROR( VLOOKUP(C29018,[1]expressOrderReport!$S:$AZ,34,0),0)</f>
        <v>#ERROR!</v>
      </c>
      <c r="S1206" s="6" t="str">
        <f>ARRAY_CONSTRAIN(ARRAYFORMULA(_xludf.XLOOKUP(D29018,[1]order_Report_SA_ID_BB2.0!V:V,[1]order_Report_SA_ID_BB2.0!AM:AM,"")), 1, 1)</f>
        <v>#ERROR!</v>
      </c>
      <c r="T1206" s="6" t="str">
        <f t="shared" si="2"/>
        <v>Dec'25</v>
      </c>
    </row>
    <row r="1207" ht="15.75" customHeight="1">
      <c r="A1207" s="5">
        <v>46013.0</v>
      </c>
      <c r="B1207" s="6">
        <v>7943.0</v>
      </c>
      <c r="C1207" s="6">
        <v>1.859167234E9</v>
      </c>
      <c r="D1207" s="6">
        <v>3447525.0</v>
      </c>
      <c r="E1207" s="6" t="s">
        <v>1885</v>
      </c>
      <c r="F1207" s="6" t="s">
        <v>1886</v>
      </c>
      <c r="G1207" s="6">
        <v>9.986035149E9</v>
      </c>
      <c r="H1207" s="6">
        <v>4.0149831E7</v>
      </c>
      <c r="I1207" s="6" t="s">
        <v>65</v>
      </c>
      <c r="J1207" s="6" t="s">
        <v>21</v>
      </c>
      <c r="K1207" s="6" t="s">
        <v>22</v>
      </c>
      <c r="L1207" s="6">
        <v>52.0</v>
      </c>
      <c r="M1207" s="5">
        <v>46013.0</v>
      </c>
      <c r="N1207" s="6" t="s">
        <v>23</v>
      </c>
      <c r="O1207" s="6" t="str">
        <f>SUMIFS([1]order_sku_sales_bb2_report!P:P,[1]order_sku_sales_bb2_report!H:H,C29019,[1]order_sku_sales_bb2_report!J:J,H29019)</f>
        <v>#ERROR!</v>
      </c>
      <c r="P1207" s="6" t="str">
        <f>SUMIFS([1]order_sku_sales_bb2_report!O:O,[1]order_sku_sales_bb2_report!H:H,C29019,[1]order_sku_sales_bb2_report!J:J,H29019)</f>
        <v>#ERROR!</v>
      </c>
      <c r="Q1207" s="6" t="str">
        <f t="shared" si="1"/>
        <v>22-12-2025</v>
      </c>
      <c r="R1207" s="6" t="str">
        <f>IFERROR( VLOOKUP(C29019,[1]expressOrderReport!$S:$AZ,34,0),0)</f>
        <v>#ERROR!</v>
      </c>
      <c r="S1207" s="6" t="str">
        <f>ARRAY_CONSTRAIN(ARRAYFORMULA(_xludf.XLOOKUP(D29019,[1]order_Report_SA_ID_BB2.0!V:V,[1]order_Report_SA_ID_BB2.0!AM:AM,"")), 1, 1)</f>
        <v>#ERROR!</v>
      </c>
      <c r="T1207" s="6" t="str">
        <f t="shared" si="2"/>
        <v>Dec'25</v>
      </c>
    </row>
    <row r="1208" ht="15.75" customHeight="1">
      <c r="A1208" s="5">
        <v>46013.0</v>
      </c>
      <c r="B1208" s="6">
        <v>10526.0</v>
      </c>
      <c r="C1208" s="6">
        <v>1.859167239E9</v>
      </c>
      <c r="D1208" s="6">
        <v>6.0000226E7</v>
      </c>
      <c r="E1208" s="6" t="s">
        <v>1887</v>
      </c>
      <c r="F1208" s="6" t="s">
        <v>1888</v>
      </c>
      <c r="G1208" s="6">
        <v>9.404151947E9</v>
      </c>
      <c r="H1208" s="6">
        <v>4.0090893E7</v>
      </c>
      <c r="I1208" s="6" t="s">
        <v>35</v>
      </c>
      <c r="J1208" s="6" t="s">
        <v>21</v>
      </c>
      <c r="K1208" s="6" t="s">
        <v>22</v>
      </c>
      <c r="L1208" s="6">
        <v>66.0</v>
      </c>
      <c r="M1208" s="5">
        <v>46013.0</v>
      </c>
      <c r="N1208" s="6" t="s">
        <v>23</v>
      </c>
      <c r="O1208" s="6" t="str">
        <f>SUMIFS([1]order_sku_sales_bb2_report!P:P,[1]order_sku_sales_bb2_report!H:H,C29020,[1]order_sku_sales_bb2_report!J:J,H29020)</f>
        <v>#ERROR!</v>
      </c>
      <c r="P1208" s="6" t="str">
        <f>SUMIFS([1]order_sku_sales_bb2_report!O:O,[1]order_sku_sales_bb2_report!H:H,C29020,[1]order_sku_sales_bb2_report!J:J,H29020)</f>
        <v>#ERROR!</v>
      </c>
      <c r="Q1208" s="6" t="str">
        <f t="shared" si="1"/>
        <v>22-12-2025</v>
      </c>
      <c r="R1208" s="6" t="str">
        <f>IFERROR( VLOOKUP(C29020,[1]expressOrderReport!$S:$AZ,34,0),0)</f>
        <v>#ERROR!</v>
      </c>
      <c r="S1208" s="6" t="str">
        <f>ARRAY_CONSTRAIN(ARRAYFORMULA(_xludf.XLOOKUP(D29020,[1]order_Report_SA_ID_BB2.0!V:V,[1]order_Report_SA_ID_BB2.0!AM:AM,"")), 1, 1)</f>
        <v>#ERROR!</v>
      </c>
      <c r="T1208" s="6" t="str">
        <f t="shared" si="2"/>
        <v>Dec'25</v>
      </c>
    </row>
    <row r="1209" ht="15.75" customHeight="1">
      <c r="A1209" s="5">
        <v>46013.0</v>
      </c>
      <c r="B1209" s="6">
        <v>10997.0</v>
      </c>
      <c r="C1209" s="6">
        <v>1.859167242E9</v>
      </c>
      <c r="D1209" s="6">
        <v>2.1657005E7</v>
      </c>
      <c r="E1209" s="6" t="s">
        <v>1889</v>
      </c>
      <c r="F1209" s="6" t="s">
        <v>1890</v>
      </c>
      <c r="G1209" s="6">
        <v>9.84586238E9</v>
      </c>
      <c r="H1209" s="6">
        <v>4.0149831E7</v>
      </c>
      <c r="I1209" s="6" t="s">
        <v>65</v>
      </c>
      <c r="J1209" s="6" t="s">
        <v>21</v>
      </c>
      <c r="K1209" s="6" t="s">
        <v>22</v>
      </c>
      <c r="L1209" s="6">
        <v>52.0</v>
      </c>
      <c r="M1209" s="5">
        <v>46013.0</v>
      </c>
      <c r="N1209" s="6" t="s">
        <v>23</v>
      </c>
      <c r="O1209" s="6" t="str">
        <f>SUMIFS([1]order_sku_sales_bb2_report!P:P,[1]order_sku_sales_bb2_report!H:H,C29021,[1]order_sku_sales_bb2_report!J:J,H29021)</f>
        <v>#ERROR!</v>
      </c>
      <c r="P1209" s="6" t="str">
        <f>SUMIFS([1]order_sku_sales_bb2_report!O:O,[1]order_sku_sales_bb2_report!H:H,C29021,[1]order_sku_sales_bb2_report!J:J,H29021)</f>
        <v>#ERROR!</v>
      </c>
      <c r="Q1209" s="6" t="str">
        <f t="shared" si="1"/>
        <v>22-12-2025</v>
      </c>
      <c r="R1209" s="6" t="str">
        <f>IFERROR( VLOOKUP(C29021,[1]expressOrderReport!$S:$AZ,34,0),0)</f>
        <v>#ERROR!</v>
      </c>
      <c r="S1209" s="6" t="str">
        <f>ARRAY_CONSTRAIN(ARRAYFORMULA(_xludf.XLOOKUP(D29021,[1]order_Report_SA_ID_BB2.0!V:V,[1]order_Report_SA_ID_BB2.0!AM:AM,"")), 1, 1)</f>
        <v>#ERROR!</v>
      </c>
      <c r="T1209" s="6" t="str">
        <f t="shared" si="2"/>
        <v>Dec'25</v>
      </c>
    </row>
    <row r="1210" ht="15.75" customHeight="1">
      <c r="A1210" s="5">
        <v>46013.0</v>
      </c>
      <c r="B1210" s="6">
        <v>10202.0</v>
      </c>
      <c r="C1210" s="6">
        <v>1.859167247E9</v>
      </c>
      <c r="D1210" s="6">
        <v>3.8950202E7</v>
      </c>
      <c r="E1210" s="6" t="s">
        <v>1891</v>
      </c>
      <c r="F1210" s="6" t="s">
        <v>1892</v>
      </c>
      <c r="G1210" s="6">
        <v>8.317422597E9</v>
      </c>
      <c r="H1210" s="6">
        <v>1.0000204E7</v>
      </c>
      <c r="I1210" s="6" t="s">
        <v>1893</v>
      </c>
      <c r="J1210" s="6" t="s">
        <v>21</v>
      </c>
      <c r="K1210" s="6" t="s">
        <v>22</v>
      </c>
      <c r="L1210" s="6">
        <v>30.3</v>
      </c>
      <c r="M1210" s="5">
        <v>46013.0</v>
      </c>
      <c r="N1210" s="6" t="s">
        <v>23</v>
      </c>
      <c r="O1210" s="6" t="str">
        <f>SUMIFS([1]order_sku_sales_bb2_report!P:P,[1]order_sku_sales_bb2_report!H:H,C29022,[1]order_sku_sales_bb2_report!J:J,H29022)</f>
        <v>#ERROR!</v>
      </c>
      <c r="P1210" s="6" t="str">
        <f>SUMIFS([1]order_sku_sales_bb2_report!O:O,[1]order_sku_sales_bb2_report!H:H,C29022,[1]order_sku_sales_bb2_report!J:J,H29022)</f>
        <v>#ERROR!</v>
      </c>
      <c r="Q1210" s="6" t="str">
        <f t="shared" si="1"/>
        <v>22-12-2025</v>
      </c>
      <c r="R1210" s="6" t="str">
        <f>IFERROR( VLOOKUP(C29022,[1]expressOrderReport!$S:$AZ,34,0),0)</f>
        <v>#ERROR!</v>
      </c>
      <c r="S1210" s="6" t="str">
        <f>ARRAY_CONSTRAIN(ARRAYFORMULA(_xludf.XLOOKUP(D29022,[1]order_Report_SA_ID_BB2.0!V:V,[1]order_Report_SA_ID_BB2.0!AM:AM,"")), 1, 1)</f>
        <v>#ERROR!</v>
      </c>
      <c r="T1210" s="6" t="str">
        <f t="shared" si="2"/>
        <v>Dec'25</v>
      </c>
    </row>
    <row r="1211" ht="15.75" customHeight="1">
      <c r="A1211" s="5">
        <v>46013.0</v>
      </c>
      <c r="B1211" s="6">
        <v>7727.0</v>
      </c>
      <c r="C1211" s="6">
        <v>1.85916725E9</v>
      </c>
      <c r="D1211" s="6">
        <v>9468667.0</v>
      </c>
      <c r="E1211" s="6" t="s">
        <v>1894</v>
      </c>
      <c r="F1211" s="6" t="s">
        <v>1895</v>
      </c>
      <c r="G1211" s="6">
        <v>9.632026765E9</v>
      </c>
      <c r="H1211" s="6">
        <v>4.0149832E7</v>
      </c>
      <c r="I1211" s="6" t="s">
        <v>26</v>
      </c>
      <c r="J1211" s="6" t="s">
        <v>21</v>
      </c>
      <c r="K1211" s="6" t="s">
        <v>22</v>
      </c>
      <c r="L1211" s="6">
        <v>24.0</v>
      </c>
      <c r="M1211" s="5">
        <v>46013.0</v>
      </c>
      <c r="N1211" s="6" t="s">
        <v>23</v>
      </c>
      <c r="O1211" s="6" t="str">
        <f>SUMIFS([1]order_sku_sales_bb2_report!P:P,[1]order_sku_sales_bb2_report!H:H,C29023,[1]order_sku_sales_bb2_report!J:J,H29023)</f>
        <v>#ERROR!</v>
      </c>
      <c r="P1211" s="6" t="str">
        <f>SUMIFS([1]order_sku_sales_bb2_report!O:O,[1]order_sku_sales_bb2_report!H:H,C29023,[1]order_sku_sales_bb2_report!J:J,H29023)</f>
        <v>#ERROR!</v>
      </c>
      <c r="Q1211" s="6" t="str">
        <f t="shared" si="1"/>
        <v>22-12-2025</v>
      </c>
      <c r="R1211" s="6" t="str">
        <f>IFERROR( VLOOKUP(C29023,[1]expressOrderReport!$S:$AZ,34,0),0)</f>
        <v>#ERROR!</v>
      </c>
      <c r="S1211" s="6" t="str">
        <f>ARRAY_CONSTRAIN(ARRAYFORMULA(_xludf.XLOOKUP(D29023,[1]order_Report_SA_ID_BB2.0!V:V,[1]order_Report_SA_ID_BB2.0!AM:AM,"")), 1, 1)</f>
        <v>#ERROR!</v>
      </c>
      <c r="T1211" s="6" t="str">
        <f t="shared" si="2"/>
        <v>Dec'25</v>
      </c>
    </row>
    <row r="1212" ht="15.75" customHeight="1">
      <c r="A1212" s="5">
        <v>46013.0</v>
      </c>
      <c r="B1212" s="6">
        <v>10239.0</v>
      </c>
      <c r="C1212" s="6">
        <v>1.859167256E9</v>
      </c>
      <c r="D1212" s="6">
        <v>2.0708942E7</v>
      </c>
      <c r="E1212" s="6" t="s">
        <v>1896</v>
      </c>
      <c r="F1212" s="6" t="s">
        <v>1897</v>
      </c>
      <c r="G1212" s="6">
        <v>7.829704989E9</v>
      </c>
      <c r="H1212" s="6">
        <v>4.0148723E7</v>
      </c>
      <c r="I1212" s="6" t="s">
        <v>69</v>
      </c>
      <c r="J1212" s="6" t="s">
        <v>21</v>
      </c>
      <c r="K1212" s="6" t="s">
        <v>22</v>
      </c>
      <c r="L1212" s="6">
        <v>42.0</v>
      </c>
      <c r="M1212" s="5">
        <v>46013.0</v>
      </c>
      <c r="N1212" s="6" t="s">
        <v>23</v>
      </c>
      <c r="O1212" s="6" t="str">
        <f>SUMIFS([1]order_sku_sales_bb2_report!P:P,[1]order_sku_sales_bb2_report!H:H,C29024,[1]order_sku_sales_bb2_report!J:J,H29024)</f>
        <v>#ERROR!</v>
      </c>
      <c r="P1212" s="6" t="str">
        <f>SUMIFS([1]order_sku_sales_bb2_report!O:O,[1]order_sku_sales_bb2_report!H:H,C29024,[1]order_sku_sales_bb2_report!J:J,H29024)</f>
        <v>#ERROR!</v>
      </c>
      <c r="Q1212" s="6" t="str">
        <f t="shared" si="1"/>
        <v>22-12-2025</v>
      </c>
      <c r="R1212" s="6" t="str">
        <f>IFERROR( VLOOKUP(C29024,[1]expressOrderReport!$S:$AZ,34,0),0)</f>
        <v>#ERROR!</v>
      </c>
      <c r="S1212" s="6" t="str">
        <f>ARRAY_CONSTRAIN(ARRAYFORMULA(_xludf.XLOOKUP(D29024,[1]order_Report_SA_ID_BB2.0!V:V,[1]order_Report_SA_ID_BB2.0!AM:AM,"")), 1, 1)</f>
        <v>#ERROR!</v>
      </c>
      <c r="T1212" s="6" t="str">
        <f t="shared" si="2"/>
        <v>Dec'25</v>
      </c>
    </row>
    <row r="1213" ht="15.75" customHeight="1">
      <c r="A1213" s="5">
        <v>46013.0</v>
      </c>
      <c r="B1213" s="6">
        <v>8024.0</v>
      </c>
      <c r="C1213" s="6">
        <v>1.859167261E9</v>
      </c>
      <c r="D1213" s="6">
        <v>3.107334E7</v>
      </c>
      <c r="E1213" s="6" t="s">
        <v>1898</v>
      </c>
      <c r="F1213" s="6" t="s">
        <v>1899</v>
      </c>
      <c r="G1213" s="6">
        <v>9.986013128E9</v>
      </c>
      <c r="H1213" s="6">
        <v>4.0149832E7</v>
      </c>
      <c r="I1213" s="6" t="s">
        <v>26</v>
      </c>
      <c r="J1213" s="6" t="s">
        <v>21</v>
      </c>
      <c r="K1213" s="6" t="s">
        <v>22</v>
      </c>
      <c r="L1213" s="6">
        <v>24.0</v>
      </c>
      <c r="M1213" s="5">
        <v>46013.0</v>
      </c>
      <c r="N1213" s="6" t="s">
        <v>23</v>
      </c>
      <c r="O1213" s="6" t="str">
        <f>SUMIFS([1]order_sku_sales_bb2_report!P:P,[1]order_sku_sales_bb2_report!H:H,C29025,[1]order_sku_sales_bb2_report!J:J,H29025)</f>
        <v>#ERROR!</v>
      </c>
      <c r="P1213" s="6" t="str">
        <f>SUMIFS([1]order_sku_sales_bb2_report!O:O,[1]order_sku_sales_bb2_report!H:H,C29025,[1]order_sku_sales_bb2_report!J:J,H29025)</f>
        <v>#ERROR!</v>
      </c>
      <c r="Q1213" s="6" t="str">
        <f t="shared" si="1"/>
        <v>22-12-2025</v>
      </c>
      <c r="R1213" s="6" t="str">
        <f>IFERROR( VLOOKUP(C29025,[1]expressOrderReport!$S:$AZ,34,0),0)</f>
        <v>#ERROR!</v>
      </c>
      <c r="S1213" s="6" t="str">
        <f>ARRAY_CONSTRAIN(ARRAYFORMULA(_xludf.XLOOKUP(D29025,[1]order_Report_SA_ID_BB2.0!V:V,[1]order_Report_SA_ID_BB2.0!AM:AM,"")), 1, 1)</f>
        <v>#ERROR!</v>
      </c>
      <c r="T1213" s="6" t="str">
        <f t="shared" si="2"/>
        <v>Dec'25</v>
      </c>
    </row>
    <row r="1214" ht="15.75" customHeight="1">
      <c r="A1214" s="5">
        <v>46013.0</v>
      </c>
      <c r="B1214" s="6">
        <v>8157.0</v>
      </c>
      <c r="C1214" s="6">
        <v>1.859167265E9</v>
      </c>
      <c r="D1214" s="6">
        <v>2.4705384E7</v>
      </c>
      <c r="E1214" s="6" t="s">
        <v>1900</v>
      </c>
      <c r="F1214" s="6" t="s">
        <v>1901</v>
      </c>
      <c r="G1214" s="6">
        <v>9.986607464E9</v>
      </c>
      <c r="H1214" s="6">
        <v>4.0149833E7</v>
      </c>
      <c r="I1214" s="6" t="s">
        <v>40</v>
      </c>
      <c r="J1214" s="6" t="s">
        <v>21</v>
      </c>
      <c r="K1214" s="6" t="s">
        <v>22</v>
      </c>
      <c r="L1214" s="6">
        <v>27.0</v>
      </c>
      <c r="M1214" s="5">
        <v>46013.0</v>
      </c>
      <c r="N1214" s="6" t="s">
        <v>23</v>
      </c>
      <c r="O1214" s="6" t="str">
        <f>SUMIFS([1]order_sku_sales_bb2_report!P:P,[1]order_sku_sales_bb2_report!H:H,C29026,[1]order_sku_sales_bb2_report!J:J,H29026)</f>
        <v>#ERROR!</v>
      </c>
      <c r="P1214" s="6" t="str">
        <f>SUMIFS([1]order_sku_sales_bb2_report!O:O,[1]order_sku_sales_bb2_report!H:H,C29026,[1]order_sku_sales_bb2_report!J:J,H29026)</f>
        <v>#ERROR!</v>
      </c>
      <c r="Q1214" s="6" t="str">
        <f t="shared" si="1"/>
        <v>22-12-2025</v>
      </c>
      <c r="R1214" s="6" t="str">
        <f>IFERROR( VLOOKUP(C29026,[1]expressOrderReport!$S:$AZ,34,0),0)</f>
        <v>#ERROR!</v>
      </c>
      <c r="S1214" s="6" t="str">
        <f>ARRAY_CONSTRAIN(ARRAYFORMULA(_xludf.XLOOKUP(D29026,[1]order_Report_SA_ID_BB2.0!V:V,[1]order_Report_SA_ID_BB2.0!AM:AM,"")), 1, 1)</f>
        <v>#ERROR!</v>
      </c>
      <c r="T1214" s="6" t="str">
        <f t="shared" si="2"/>
        <v>Dec'25</v>
      </c>
    </row>
    <row r="1215" ht="15.75" customHeight="1">
      <c r="A1215" s="5">
        <v>46013.0</v>
      </c>
      <c r="B1215" s="6">
        <v>12030.0</v>
      </c>
      <c r="C1215" s="6">
        <v>1.859167268E9</v>
      </c>
      <c r="D1215" s="6">
        <v>2.6999952E7</v>
      </c>
      <c r="E1215" s="6" t="s">
        <v>1902</v>
      </c>
      <c r="F1215" s="6" t="s">
        <v>1903</v>
      </c>
      <c r="G1215" s="6">
        <v>7.483560483E9</v>
      </c>
      <c r="H1215" s="6">
        <v>4.0149833E7</v>
      </c>
      <c r="I1215" s="6" t="s">
        <v>40</v>
      </c>
      <c r="J1215" s="6" t="s">
        <v>21</v>
      </c>
      <c r="K1215" s="6" t="s">
        <v>22</v>
      </c>
      <c r="L1215" s="6">
        <v>27.0</v>
      </c>
      <c r="M1215" s="5">
        <v>46013.0</v>
      </c>
      <c r="N1215" s="6" t="s">
        <v>23</v>
      </c>
      <c r="O1215" s="6" t="str">
        <f>SUMIFS([1]order_sku_sales_bb2_report!P:P,[1]order_sku_sales_bb2_report!H:H,C29027,[1]order_sku_sales_bb2_report!J:J,H29027)</f>
        <v>#ERROR!</v>
      </c>
      <c r="P1215" s="6" t="str">
        <f>SUMIFS([1]order_sku_sales_bb2_report!O:O,[1]order_sku_sales_bb2_report!H:H,C29027,[1]order_sku_sales_bb2_report!J:J,H29027)</f>
        <v>#ERROR!</v>
      </c>
      <c r="Q1215" s="6" t="str">
        <f t="shared" si="1"/>
        <v>22-12-2025</v>
      </c>
      <c r="R1215" s="6" t="str">
        <f>IFERROR( VLOOKUP(C29027,[1]expressOrderReport!$S:$AZ,34,0),0)</f>
        <v>#ERROR!</v>
      </c>
      <c r="S1215" s="6" t="str">
        <f>ARRAY_CONSTRAIN(ARRAYFORMULA(_xludf.XLOOKUP(D29027,[1]order_Report_SA_ID_BB2.0!V:V,[1]order_Report_SA_ID_BB2.0!AM:AM,"")), 1, 1)</f>
        <v>#ERROR!</v>
      </c>
      <c r="T1215" s="6" t="str">
        <f t="shared" si="2"/>
        <v>Dec'25</v>
      </c>
    </row>
    <row r="1216" ht="15.75" customHeight="1">
      <c r="A1216" s="5">
        <v>46013.0</v>
      </c>
      <c r="B1216" s="6">
        <v>10962.0</v>
      </c>
      <c r="C1216" s="6">
        <v>1.859167272E9</v>
      </c>
      <c r="D1216" s="6">
        <v>2.7154356E7</v>
      </c>
      <c r="E1216" s="6" t="s">
        <v>1904</v>
      </c>
      <c r="F1216" s="6" t="s">
        <v>1905</v>
      </c>
      <c r="G1216" s="6">
        <v>9.742745628E9</v>
      </c>
      <c r="H1216" s="6">
        <v>4.0149834E7</v>
      </c>
      <c r="I1216" s="6" t="s">
        <v>40</v>
      </c>
      <c r="J1216" s="6" t="s">
        <v>21</v>
      </c>
      <c r="K1216" s="6" t="s">
        <v>22</v>
      </c>
      <c r="L1216" s="6">
        <v>52.0</v>
      </c>
      <c r="M1216" s="5">
        <v>46013.0</v>
      </c>
      <c r="N1216" s="6" t="s">
        <v>23</v>
      </c>
      <c r="O1216" s="6" t="str">
        <f>SUMIFS([1]order_sku_sales_bb2_report!P:P,[1]order_sku_sales_bb2_report!H:H,C29028,[1]order_sku_sales_bb2_report!J:J,H29028)</f>
        <v>#ERROR!</v>
      </c>
      <c r="P1216" s="6" t="str">
        <f>SUMIFS([1]order_sku_sales_bb2_report!O:O,[1]order_sku_sales_bb2_report!H:H,C29028,[1]order_sku_sales_bb2_report!J:J,H29028)</f>
        <v>#ERROR!</v>
      </c>
      <c r="Q1216" s="6" t="str">
        <f t="shared" si="1"/>
        <v>22-12-2025</v>
      </c>
      <c r="R1216" s="6" t="str">
        <f>IFERROR( VLOOKUP(C29028,[1]expressOrderReport!$S:$AZ,34,0),0)</f>
        <v>#ERROR!</v>
      </c>
      <c r="S1216" s="6" t="str">
        <f>ARRAY_CONSTRAIN(ARRAYFORMULA(_xludf.XLOOKUP(D29028,[1]order_Report_SA_ID_BB2.0!V:V,[1]order_Report_SA_ID_BB2.0!AM:AM,"")), 1, 1)</f>
        <v>#ERROR!</v>
      </c>
      <c r="T1216" s="6" t="str">
        <f t="shared" si="2"/>
        <v>Dec'25</v>
      </c>
    </row>
    <row r="1217" ht="15.75" customHeight="1">
      <c r="A1217" s="5">
        <v>46013.0</v>
      </c>
      <c r="B1217" s="6">
        <v>135.0</v>
      </c>
      <c r="C1217" s="6">
        <v>1.859167279E9</v>
      </c>
      <c r="D1217" s="6">
        <v>2.7695273E7</v>
      </c>
      <c r="E1217" s="6" t="s">
        <v>1906</v>
      </c>
      <c r="F1217" s="6" t="s">
        <v>1907</v>
      </c>
      <c r="G1217" s="6">
        <v>9.711138118E9</v>
      </c>
      <c r="H1217" s="6">
        <v>4.0158264E7</v>
      </c>
      <c r="I1217" s="6" t="s">
        <v>26</v>
      </c>
      <c r="J1217" s="6" t="s">
        <v>21</v>
      </c>
      <c r="K1217" s="6" t="s">
        <v>22</v>
      </c>
      <c r="L1217" s="6">
        <v>64.42</v>
      </c>
      <c r="M1217" s="5">
        <v>46013.0</v>
      </c>
      <c r="N1217" s="6" t="s">
        <v>23</v>
      </c>
      <c r="O1217" s="6" t="str">
        <f>SUMIFS([1]order_sku_sales_bb2_report!P:P,[1]order_sku_sales_bb2_report!H:H,C29029,[1]order_sku_sales_bb2_report!J:J,H29029)</f>
        <v>#ERROR!</v>
      </c>
      <c r="P1217" s="6" t="str">
        <f>SUMIFS([1]order_sku_sales_bb2_report!O:O,[1]order_sku_sales_bb2_report!H:H,C29029,[1]order_sku_sales_bb2_report!J:J,H29029)</f>
        <v>#ERROR!</v>
      </c>
      <c r="Q1217" s="6" t="str">
        <f t="shared" si="1"/>
        <v>22-12-2025</v>
      </c>
      <c r="R1217" s="6" t="str">
        <f>IFERROR( VLOOKUP(C29029,[1]expressOrderReport!$S:$AZ,34,0),0)</f>
        <v>#ERROR!</v>
      </c>
      <c r="S1217" s="6" t="str">
        <f>ARRAY_CONSTRAIN(ARRAYFORMULA(_xludf.XLOOKUP(D29029,[1]order_Report_SA_ID_BB2.0!V:V,[1]order_Report_SA_ID_BB2.0!AM:AM,"")), 1, 1)</f>
        <v>#ERROR!</v>
      </c>
      <c r="T1217" s="6" t="str">
        <f t="shared" si="2"/>
        <v>Dec'25</v>
      </c>
    </row>
    <row r="1218" ht="15.75" customHeight="1">
      <c r="A1218" s="5">
        <v>46013.0</v>
      </c>
      <c r="B1218" s="6">
        <v>896.0</v>
      </c>
      <c r="C1218" s="6">
        <v>1.859167279E9</v>
      </c>
      <c r="D1218" s="6">
        <v>2.7695273E7</v>
      </c>
      <c r="E1218" s="6" t="s">
        <v>1906</v>
      </c>
      <c r="F1218" s="6" t="s">
        <v>1907</v>
      </c>
      <c r="G1218" s="6">
        <v>9.711138118E9</v>
      </c>
      <c r="H1218" s="6">
        <v>4.0054183E7</v>
      </c>
      <c r="I1218" s="6" t="s">
        <v>157</v>
      </c>
      <c r="J1218" s="6" t="s">
        <v>21</v>
      </c>
      <c r="K1218" s="6" t="s">
        <v>22</v>
      </c>
      <c r="L1218" s="6">
        <v>64.42</v>
      </c>
      <c r="M1218" s="5">
        <v>46013.0</v>
      </c>
      <c r="N1218" s="6" t="s">
        <v>23</v>
      </c>
      <c r="O1218" s="6" t="str">
        <f>SUMIFS([1]order_sku_sales_bb2_report!P:P,[1]order_sku_sales_bb2_report!H:H,C29030,[1]order_sku_sales_bb2_report!J:J,H29030)</f>
        <v>#ERROR!</v>
      </c>
      <c r="P1218" s="6" t="str">
        <f>SUMIFS([1]order_sku_sales_bb2_report!O:O,[1]order_sku_sales_bb2_report!H:H,C29030,[1]order_sku_sales_bb2_report!J:J,H29030)</f>
        <v>#ERROR!</v>
      </c>
      <c r="Q1218" s="6" t="str">
        <f t="shared" si="1"/>
        <v>22-12-2025</v>
      </c>
      <c r="R1218" s="6" t="str">
        <f>IFERROR( VLOOKUP(C29030,[1]expressOrderReport!$S:$AZ,34,0),0)</f>
        <v>#ERROR!</v>
      </c>
      <c r="S1218" s="6" t="str">
        <f>ARRAY_CONSTRAIN(ARRAYFORMULA(_xludf.XLOOKUP(D29030,[1]order_Report_SA_ID_BB2.0!V:V,[1]order_Report_SA_ID_BB2.0!AM:AM,"")), 1, 1)</f>
        <v>#ERROR!</v>
      </c>
      <c r="T1218" s="6" t="str">
        <f t="shared" si="2"/>
        <v>Dec'25</v>
      </c>
    </row>
    <row r="1219" ht="15.75" customHeight="1">
      <c r="A1219" s="5">
        <v>46013.0</v>
      </c>
      <c r="B1219" s="6">
        <v>897.0</v>
      </c>
      <c r="C1219" s="6">
        <v>1.859167279E9</v>
      </c>
      <c r="D1219" s="6">
        <v>2.7695273E7</v>
      </c>
      <c r="E1219" s="6" t="s">
        <v>1906</v>
      </c>
      <c r="F1219" s="6" t="s">
        <v>1907</v>
      </c>
      <c r="G1219" s="6">
        <v>9.711138118E9</v>
      </c>
      <c r="H1219" s="6">
        <v>2.0001186E7</v>
      </c>
      <c r="I1219" s="6" t="s">
        <v>430</v>
      </c>
      <c r="J1219" s="6" t="s">
        <v>21</v>
      </c>
      <c r="K1219" s="6" t="s">
        <v>22</v>
      </c>
      <c r="L1219" s="6">
        <v>64.42</v>
      </c>
      <c r="M1219" s="5">
        <v>46013.0</v>
      </c>
      <c r="N1219" s="6" t="s">
        <v>23</v>
      </c>
      <c r="O1219" s="6" t="str">
        <f>SUMIFS([1]order_sku_sales_bb2_report!P:P,[1]order_sku_sales_bb2_report!H:H,C29031,[1]order_sku_sales_bb2_report!J:J,H29031)</f>
        <v>#ERROR!</v>
      </c>
      <c r="P1219" s="6" t="str">
        <f>SUMIFS([1]order_sku_sales_bb2_report!O:O,[1]order_sku_sales_bb2_report!H:H,C29031,[1]order_sku_sales_bb2_report!J:J,H29031)</f>
        <v>#ERROR!</v>
      </c>
      <c r="Q1219" s="6" t="str">
        <f t="shared" si="1"/>
        <v>22-12-2025</v>
      </c>
      <c r="R1219" s="6" t="str">
        <f>IFERROR( VLOOKUP(C29031,[1]expressOrderReport!$S:$AZ,34,0),0)</f>
        <v>#ERROR!</v>
      </c>
      <c r="S1219" s="6" t="str">
        <f>ARRAY_CONSTRAIN(ARRAYFORMULA(_xludf.XLOOKUP(D29031,[1]order_Report_SA_ID_BB2.0!V:V,[1]order_Report_SA_ID_BB2.0!AM:AM,"")), 1, 1)</f>
        <v>#ERROR!</v>
      </c>
      <c r="T1219" s="6" t="str">
        <f t="shared" si="2"/>
        <v>Dec'25</v>
      </c>
    </row>
    <row r="1220" ht="15.75" customHeight="1">
      <c r="A1220" s="5">
        <v>46013.0</v>
      </c>
      <c r="B1220" s="6">
        <v>3844.0</v>
      </c>
      <c r="C1220" s="6">
        <v>1.859167284E9</v>
      </c>
      <c r="D1220" s="6">
        <v>2.1233103E7</v>
      </c>
      <c r="E1220" s="6" t="s">
        <v>1908</v>
      </c>
      <c r="F1220" s="6" t="s">
        <v>1909</v>
      </c>
      <c r="G1220" s="6">
        <v>9.841290539E9</v>
      </c>
      <c r="H1220" s="6">
        <v>4.0149833E7</v>
      </c>
      <c r="I1220" s="6" t="s">
        <v>40</v>
      </c>
      <c r="J1220" s="6" t="s">
        <v>21</v>
      </c>
      <c r="K1220" s="6" t="s">
        <v>22</v>
      </c>
      <c r="L1220" s="6">
        <v>27.0</v>
      </c>
      <c r="M1220" s="5">
        <v>46013.0</v>
      </c>
      <c r="N1220" s="6" t="s">
        <v>23</v>
      </c>
      <c r="O1220" s="6" t="str">
        <f>SUMIFS([1]order_sku_sales_bb2_report!P:P,[1]order_sku_sales_bb2_report!H:H,C29032,[1]order_sku_sales_bb2_report!J:J,H29032)</f>
        <v>#ERROR!</v>
      </c>
      <c r="P1220" s="6" t="str">
        <f>SUMIFS([1]order_sku_sales_bb2_report!O:O,[1]order_sku_sales_bb2_report!H:H,C29032,[1]order_sku_sales_bb2_report!J:J,H29032)</f>
        <v>#ERROR!</v>
      </c>
      <c r="Q1220" s="6" t="str">
        <f t="shared" si="1"/>
        <v>22-12-2025</v>
      </c>
      <c r="R1220" s="6" t="str">
        <f>IFERROR( VLOOKUP(C29032,[1]expressOrderReport!$S:$AZ,34,0),0)</f>
        <v>#ERROR!</v>
      </c>
      <c r="S1220" s="6" t="str">
        <f>ARRAY_CONSTRAIN(ARRAYFORMULA(_xludf.XLOOKUP(D29032,[1]order_Report_SA_ID_BB2.0!V:V,[1]order_Report_SA_ID_BB2.0!AM:AM,"")), 1, 1)</f>
        <v>#ERROR!</v>
      </c>
      <c r="T1220" s="6" t="str">
        <f t="shared" si="2"/>
        <v>Dec'25</v>
      </c>
    </row>
    <row r="1221" ht="15.75" customHeight="1">
      <c r="A1221" s="5">
        <v>46013.0</v>
      </c>
      <c r="B1221" s="6">
        <v>838.0</v>
      </c>
      <c r="C1221" s="6">
        <v>1.859167288E9</v>
      </c>
      <c r="D1221" s="6">
        <v>3342175.0</v>
      </c>
      <c r="E1221" s="6" t="s">
        <v>1910</v>
      </c>
      <c r="F1221" s="6" t="s">
        <v>1911</v>
      </c>
      <c r="G1221" s="6">
        <v>9.619648662E9</v>
      </c>
      <c r="H1221" s="6">
        <v>4.0090893E7</v>
      </c>
      <c r="I1221" s="6" t="s">
        <v>35</v>
      </c>
      <c r="J1221" s="6" t="s">
        <v>21</v>
      </c>
      <c r="K1221" s="6" t="s">
        <v>22</v>
      </c>
      <c r="L1221" s="6">
        <v>86.0</v>
      </c>
      <c r="M1221" s="5">
        <v>46013.0</v>
      </c>
      <c r="N1221" s="6" t="s">
        <v>23</v>
      </c>
      <c r="O1221" s="6" t="str">
        <f>SUMIFS([1]order_sku_sales_bb2_report!P:P,[1]order_sku_sales_bb2_report!H:H,C29033,[1]order_sku_sales_bb2_report!J:J,H29033)</f>
        <v>#ERROR!</v>
      </c>
      <c r="P1221" s="6" t="str">
        <f>SUMIFS([1]order_sku_sales_bb2_report!O:O,[1]order_sku_sales_bb2_report!H:H,C29033,[1]order_sku_sales_bb2_report!J:J,H29033)</f>
        <v>#ERROR!</v>
      </c>
      <c r="Q1221" s="6" t="str">
        <f t="shared" si="1"/>
        <v>22-12-2025</v>
      </c>
      <c r="R1221" s="6" t="str">
        <f>IFERROR( VLOOKUP(C29033,[1]expressOrderReport!$S:$AZ,34,0),0)</f>
        <v>#ERROR!</v>
      </c>
      <c r="S1221" s="6" t="str">
        <f>ARRAY_CONSTRAIN(ARRAYFORMULA(_xludf.XLOOKUP(D29033,[1]order_Report_SA_ID_BB2.0!V:V,[1]order_Report_SA_ID_BB2.0!AM:AM,"")), 1, 1)</f>
        <v>#ERROR!</v>
      </c>
      <c r="T1221" s="6" t="str">
        <f t="shared" si="2"/>
        <v>Dec'25</v>
      </c>
    </row>
    <row r="1222" ht="15.75" customHeight="1">
      <c r="A1222" s="5">
        <v>46013.0</v>
      </c>
      <c r="B1222" s="6">
        <v>839.0</v>
      </c>
      <c r="C1222" s="6">
        <v>1.859167288E9</v>
      </c>
      <c r="D1222" s="6">
        <v>3342175.0</v>
      </c>
      <c r="E1222" s="6" t="s">
        <v>1910</v>
      </c>
      <c r="F1222" s="6" t="s">
        <v>1911</v>
      </c>
      <c r="G1222" s="6">
        <v>9.619648662E9</v>
      </c>
      <c r="H1222" s="6">
        <v>4.0148717E7</v>
      </c>
      <c r="I1222" s="6" t="s">
        <v>226</v>
      </c>
      <c r="J1222" s="6" t="s">
        <v>21</v>
      </c>
      <c r="K1222" s="6" t="s">
        <v>22</v>
      </c>
      <c r="L1222" s="6">
        <v>86.0</v>
      </c>
      <c r="M1222" s="5">
        <v>46013.0</v>
      </c>
      <c r="N1222" s="6" t="s">
        <v>23</v>
      </c>
      <c r="O1222" s="6" t="str">
        <f>SUMIFS([1]order_sku_sales_bb2_report!P:P,[1]order_sku_sales_bb2_report!H:H,C29034,[1]order_sku_sales_bb2_report!J:J,H29034)</f>
        <v>#ERROR!</v>
      </c>
      <c r="P1222" s="6" t="str">
        <f>SUMIFS([1]order_sku_sales_bb2_report!O:O,[1]order_sku_sales_bb2_report!H:H,C29034,[1]order_sku_sales_bb2_report!J:J,H29034)</f>
        <v>#ERROR!</v>
      </c>
      <c r="Q1222" s="6" t="str">
        <f t="shared" si="1"/>
        <v>22-12-2025</v>
      </c>
      <c r="R1222" s="6" t="str">
        <f>IFERROR( VLOOKUP(C29034,[1]expressOrderReport!$S:$AZ,34,0),0)</f>
        <v>#ERROR!</v>
      </c>
      <c r="S1222" s="6" t="str">
        <f>ARRAY_CONSTRAIN(ARRAYFORMULA(_xludf.XLOOKUP(D29034,[1]order_Report_SA_ID_BB2.0!V:V,[1]order_Report_SA_ID_BB2.0!AM:AM,"")), 1, 1)</f>
        <v>#ERROR!</v>
      </c>
      <c r="T1222" s="6" t="str">
        <f t="shared" si="2"/>
        <v>Dec'25</v>
      </c>
    </row>
    <row r="1223" ht="15.75" customHeight="1">
      <c r="A1223" s="5">
        <v>46013.0</v>
      </c>
      <c r="B1223" s="6">
        <v>5500.0</v>
      </c>
      <c r="C1223" s="6">
        <v>1.859167293E9</v>
      </c>
      <c r="D1223" s="6">
        <v>7012871.0</v>
      </c>
      <c r="E1223" s="6" t="s">
        <v>1912</v>
      </c>
      <c r="F1223" s="6" t="s">
        <v>1913</v>
      </c>
      <c r="G1223" s="6">
        <v>9.608241514E9</v>
      </c>
      <c r="H1223" s="6">
        <v>4.0158264E7</v>
      </c>
      <c r="I1223" s="6" t="s">
        <v>26</v>
      </c>
      <c r="J1223" s="6" t="s">
        <v>21</v>
      </c>
      <c r="K1223" s="6" t="s">
        <v>22</v>
      </c>
      <c r="L1223" s="6">
        <v>94.0</v>
      </c>
      <c r="M1223" s="5">
        <v>46013.0</v>
      </c>
      <c r="N1223" s="6" t="s">
        <v>23</v>
      </c>
      <c r="O1223" s="6" t="str">
        <f>SUMIFS([1]order_sku_sales_bb2_report!P:P,[1]order_sku_sales_bb2_report!H:H,C29035,[1]order_sku_sales_bb2_report!J:J,H29035)</f>
        <v>#ERROR!</v>
      </c>
      <c r="P1223" s="6" t="str">
        <f>SUMIFS([1]order_sku_sales_bb2_report!O:O,[1]order_sku_sales_bb2_report!H:H,C29035,[1]order_sku_sales_bb2_report!J:J,H29035)</f>
        <v>#ERROR!</v>
      </c>
      <c r="Q1223" s="6" t="str">
        <f t="shared" si="1"/>
        <v>22-12-2025</v>
      </c>
      <c r="R1223" s="6" t="str">
        <f>IFERROR( VLOOKUP(C29035,[1]expressOrderReport!$S:$AZ,34,0),0)</f>
        <v>#ERROR!</v>
      </c>
      <c r="S1223" s="6" t="str">
        <f>ARRAY_CONSTRAIN(ARRAYFORMULA(_xludf.XLOOKUP(D29035,[1]order_Report_SA_ID_BB2.0!V:V,[1]order_Report_SA_ID_BB2.0!AM:AM,"")), 1, 1)</f>
        <v>#ERROR!</v>
      </c>
      <c r="T1223" s="6" t="str">
        <f t="shared" si="2"/>
        <v>Dec'25</v>
      </c>
    </row>
    <row r="1224" ht="15.75" customHeight="1">
      <c r="A1224" s="5">
        <v>46013.0</v>
      </c>
      <c r="B1224" s="6">
        <v>5501.0</v>
      </c>
      <c r="C1224" s="6">
        <v>1.859167293E9</v>
      </c>
      <c r="D1224" s="6">
        <v>7012871.0</v>
      </c>
      <c r="E1224" s="6" t="s">
        <v>1912</v>
      </c>
      <c r="F1224" s="6" t="s">
        <v>1913</v>
      </c>
      <c r="G1224" s="6">
        <v>9.608241514E9</v>
      </c>
      <c r="H1224" s="6">
        <v>4.0149832E7</v>
      </c>
      <c r="I1224" s="6" t="s">
        <v>26</v>
      </c>
      <c r="J1224" s="6" t="s">
        <v>21</v>
      </c>
      <c r="K1224" s="6" t="s">
        <v>22</v>
      </c>
      <c r="L1224" s="6">
        <v>94.0</v>
      </c>
      <c r="M1224" s="5">
        <v>46013.0</v>
      </c>
      <c r="N1224" s="6" t="s">
        <v>23</v>
      </c>
      <c r="O1224" s="6" t="str">
        <f>SUMIFS([1]order_sku_sales_bb2_report!P:P,[1]order_sku_sales_bb2_report!H:H,C29036,[1]order_sku_sales_bb2_report!J:J,H29036)</f>
        <v>#ERROR!</v>
      </c>
      <c r="P1224" s="6" t="str">
        <f>SUMIFS([1]order_sku_sales_bb2_report!O:O,[1]order_sku_sales_bb2_report!H:H,C29036,[1]order_sku_sales_bb2_report!J:J,H29036)</f>
        <v>#ERROR!</v>
      </c>
      <c r="Q1224" s="6" t="str">
        <f t="shared" si="1"/>
        <v>22-12-2025</v>
      </c>
      <c r="R1224" s="6" t="str">
        <f>IFERROR( VLOOKUP(C29036,[1]expressOrderReport!$S:$AZ,34,0),0)</f>
        <v>#ERROR!</v>
      </c>
      <c r="S1224" s="6" t="str">
        <f>ARRAY_CONSTRAIN(ARRAYFORMULA(_xludf.XLOOKUP(D29036,[1]order_Report_SA_ID_BB2.0!V:V,[1]order_Report_SA_ID_BB2.0!AM:AM,"")), 1, 1)</f>
        <v>#ERROR!</v>
      </c>
      <c r="T1224" s="6" t="str">
        <f t="shared" si="2"/>
        <v>Dec'25</v>
      </c>
    </row>
    <row r="1225" ht="15.75" customHeight="1">
      <c r="A1225" s="5">
        <v>46013.0</v>
      </c>
      <c r="B1225" s="6">
        <v>9960.0</v>
      </c>
      <c r="C1225" s="6">
        <v>1.859167295E9</v>
      </c>
      <c r="D1225" s="6">
        <v>1542083.0</v>
      </c>
      <c r="E1225" s="6" t="s">
        <v>1914</v>
      </c>
      <c r="F1225" s="6" t="s">
        <v>1915</v>
      </c>
      <c r="G1225" s="6">
        <v>8.147296029E9</v>
      </c>
      <c r="H1225" s="6">
        <v>4.0149833E7</v>
      </c>
      <c r="I1225" s="6" t="s">
        <v>40</v>
      </c>
      <c r="J1225" s="6" t="s">
        <v>21</v>
      </c>
      <c r="K1225" s="6" t="s">
        <v>22</v>
      </c>
      <c r="L1225" s="6">
        <v>54.0</v>
      </c>
      <c r="M1225" s="5">
        <v>46013.0</v>
      </c>
      <c r="N1225" s="6" t="s">
        <v>23</v>
      </c>
      <c r="O1225" s="6" t="str">
        <f>SUMIFS([1]order_sku_sales_bb2_report!P:P,[1]order_sku_sales_bb2_report!H:H,C29037,[1]order_sku_sales_bb2_report!J:J,H29037)</f>
        <v>#ERROR!</v>
      </c>
      <c r="P1225" s="6" t="str">
        <f>SUMIFS([1]order_sku_sales_bb2_report!O:O,[1]order_sku_sales_bb2_report!H:H,C29037,[1]order_sku_sales_bb2_report!J:J,H29037)</f>
        <v>#ERROR!</v>
      </c>
      <c r="Q1225" s="6" t="str">
        <f t="shared" si="1"/>
        <v>22-12-2025</v>
      </c>
      <c r="R1225" s="6" t="str">
        <f>IFERROR( VLOOKUP(C29037,[1]expressOrderReport!$S:$AZ,34,0),0)</f>
        <v>#ERROR!</v>
      </c>
      <c r="S1225" s="6" t="str">
        <f>ARRAY_CONSTRAIN(ARRAYFORMULA(_xludf.XLOOKUP(D29037,[1]order_Report_SA_ID_BB2.0!V:V,[1]order_Report_SA_ID_BB2.0!AM:AM,"")), 1, 1)</f>
        <v>#ERROR!</v>
      </c>
      <c r="T1225" s="6" t="str">
        <f t="shared" si="2"/>
        <v>Dec'25</v>
      </c>
    </row>
    <row r="1226" ht="15.75" customHeight="1">
      <c r="A1226" s="5">
        <v>46013.0</v>
      </c>
      <c r="B1226" s="6">
        <v>5533.0</v>
      </c>
      <c r="C1226" s="6">
        <v>1.8591673E9</v>
      </c>
      <c r="D1226" s="6">
        <v>1.9859264E7</v>
      </c>
      <c r="E1226" s="6" t="s">
        <v>1916</v>
      </c>
      <c r="F1226" s="6" t="s">
        <v>1917</v>
      </c>
      <c r="G1226" s="6">
        <v>9.008791445E9</v>
      </c>
      <c r="H1226" s="6">
        <v>4.0149831E7</v>
      </c>
      <c r="I1226" s="6" t="s">
        <v>65</v>
      </c>
      <c r="J1226" s="6" t="s">
        <v>21</v>
      </c>
      <c r="K1226" s="6" t="s">
        <v>22</v>
      </c>
      <c r="L1226" s="6">
        <v>52.0</v>
      </c>
      <c r="M1226" s="5">
        <v>46013.0</v>
      </c>
      <c r="N1226" s="6" t="s">
        <v>23</v>
      </c>
      <c r="O1226" s="6" t="str">
        <f>SUMIFS([1]order_sku_sales_bb2_report!P:P,[1]order_sku_sales_bb2_report!H:H,C29038,[1]order_sku_sales_bb2_report!J:J,H29038)</f>
        <v>#ERROR!</v>
      </c>
      <c r="P1226" s="6" t="str">
        <f>SUMIFS([1]order_sku_sales_bb2_report!O:O,[1]order_sku_sales_bb2_report!H:H,C29038,[1]order_sku_sales_bb2_report!J:J,H29038)</f>
        <v>#ERROR!</v>
      </c>
      <c r="Q1226" s="6" t="str">
        <f t="shared" si="1"/>
        <v>22-12-2025</v>
      </c>
      <c r="R1226" s="6" t="str">
        <f>IFERROR( VLOOKUP(C29038,[1]expressOrderReport!$S:$AZ,34,0),0)</f>
        <v>#ERROR!</v>
      </c>
      <c r="S1226" s="6" t="str">
        <f>ARRAY_CONSTRAIN(ARRAYFORMULA(_xludf.XLOOKUP(D29038,[1]order_Report_SA_ID_BB2.0!V:V,[1]order_Report_SA_ID_BB2.0!AM:AM,"")), 1, 1)</f>
        <v>#ERROR!</v>
      </c>
      <c r="T1226" s="6" t="str">
        <f t="shared" si="2"/>
        <v>Dec'25</v>
      </c>
    </row>
    <row r="1227" ht="15.75" customHeight="1">
      <c r="A1227" s="5">
        <v>46013.0</v>
      </c>
      <c r="B1227" s="6">
        <v>2373.0</v>
      </c>
      <c r="C1227" s="6">
        <v>1.85916731E9</v>
      </c>
      <c r="D1227" s="6">
        <v>4500342.0</v>
      </c>
      <c r="E1227" s="6" t="s">
        <v>1918</v>
      </c>
      <c r="F1227" s="6" t="s">
        <v>1919</v>
      </c>
      <c r="G1227" s="6">
        <v>9.008330048E9</v>
      </c>
      <c r="H1227" s="6">
        <v>4.0212327E7</v>
      </c>
      <c r="I1227" s="6" t="s">
        <v>682</v>
      </c>
      <c r="J1227" s="6" t="s">
        <v>21</v>
      </c>
      <c r="K1227" s="6" t="s">
        <v>22</v>
      </c>
      <c r="L1227" s="6">
        <v>54.0</v>
      </c>
      <c r="M1227" s="5">
        <v>46013.0</v>
      </c>
      <c r="N1227" s="6" t="s">
        <v>23</v>
      </c>
      <c r="O1227" s="6" t="str">
        <f>SUMIFS([1]order_sku_sales_bb2_report!P:P,[1]order_sku_sales_bb2_report!H:H,C29039,[1]order_sku_sales_bb2_report!J:J,H29039)</f>
        <v>#ERROR!</v>
      </c>
      <c r="P1227" s="6" t="str">
        <f>SUMIFS([1]order_sku_sales_bb2_report!O:O,[1]order_sku_sales_bb2_report!H:H,C29039,[1]order_sku_sales_bb2_report!J:J,H29039)</f>
        <v>#ERROR!</v>
      </c>
      <c r="Q1227" s="6" t="str">
        <f t="shared" si="1"/>
        <v>22-12-2025</v>
      </c>
      <c r="R1227" s="6" t="str">
        <f>IFERROR( VLOOKUP(C29039,[1]expressOrderReport!$S:$AZ,34,0),0)</f>
        <v>#ERROR!</v>
      </c>
      <c r="S1227" s="6" t="str">
        <f>ARRAY_CONSTRAIN(ARRAYFORMULA(_xludf.XLOOKUP(D29039,[1]order_Report_SA_ID_BB2.0!V:V,[1]order_Report_SA_ID_BB2.0!AM:AM,"")), 1, 1)</f>
        <v>#ERROR!</v>
      </c>
      <c r="T1227" s="6" t="str">
        <f t="shared" si="2"/>
        <v>Dec'25</v>
      </c>
    </row>
    <row r="1228" ht="15.75" customHeight="1">
      <c r="A1228" s="5">
        <v>46013.0</v>
      </c>
      <c r="B1228" s="6">
        <v>8312.0</v>
      </c>
      <c r="C1228" s="6">
        <v>1.859167314E9</v>
      </c>
      <c r="D1228" s="6">
        <v>1781444.0</v>
      </c>
      <c r="E1228" s="6" t="s">
        <v>1920</v>
      </c>
      <c r="F1228" s="6" t="s">
        <v>1921</v>
      </c>
      <c r="G1228" s="6">
        <v>9.90166397E9</v>
      </c>
      <c r="H1228" s="6">
        <v>4.0149831E7</v>
      </c>
      <c r="I1228" s="6" t="s">
        <v>65</v>
      </c>
      <c r="J1228" s="6" t="s">
        <v>21</v>
      </c>
      <c r="K1228" s="6" t="s">
        <v>22</v>
      </c>
      <c r="L1228" s="6">
        <v>26.0</v>
      </c>
      <c r="M1228" s="5">
        <v>46013.0</v>
      </c>
      <c r="N1228" s="6" t="s">
        <v>23</v>
      </c>
      <c r="O1228" s="6" t="str">
        <f>SUMIFS([1]order_sku_sales_bb2_report!P:P,[1]order_sku_sales_bb2_report!H:H,C29040,[1]order_sku_sales_bb2_report!J:J,H29040)</f>
        <v>#ERROR!</v>
      </c>
      <c r="P1228" s="6" t="str">
        <f>SUMIFS([1]order_sku_sales_bb2_report!O:O,[1]order_sku_sales_bb2_report!H:H,C29040,[1]order_sku_sales_bb2_report!J:J,H29040)</f>
        <v>#ERROR!</v>
      </c>
      <c r="Q1228" s="6" t="str">
        <f t="shared" si="1"/>
        <v>22-12-2025</v>
      </c>
      <c r="R1228" s="6" t="str">
        <f>IFERROR( VLOOKUP(C29040,[1]expressOrderReport!$S:$AZ,34,0),0)</f>
        <v>#ERROR!</v>
      </c>
      <c r="S1228" s="6" t="str">
        <f>ARRAY_CONSTRAIN(ARRAYFORMULA(_xludf.XLOOKUP(D29040,[1]order_Report_SA_ID_BB2.0!V:V,[1]order_Report_SA_ID_BB2.0!AM:AM,"")), 1, 1)</f>
        <v>#ERROR!</v>
      </c>
      <c r="T1228" s="6" t="str">
        <f t="shared" si="2"/>
        <v>Dec'25</v>
      </c>
    </row>
    <row r="1229" ht="15.75" customHeight="1">
      <c r="A1229" s="5">
        <v>46013.0</v>
      </c>
      <c r="B1229" s="6">
        <v>4490.0</v>
      </c>
      <c r="C1229" s="6">
        <v>1.85916732E9</v>
      </c>
      <c r="D1229" s="6">
        <v>1.0707039E7</v>
      </c>
      <c r="E1229" s="6" t="s">
        <v>1922</v>
      </c>
      <c r="F1229" s="6" t="s">
        <v>1923</v>
      </c>
      <c r="G1229" s="6">
        <v>9.68673384E9</v>
      </c>
      <c r="H1229" s="6">
        <v>4.0149832E7</v>
      </c>
      <c r="I1229" s="6" t="s">
        <v>26</v>
      </c>
      <c r="J1229" s="6" t="s">
        <v>21</v>
      </c>
      <c r="K1229" s="6" t="s">
        <v>22</v>
      </c>
      <c r="L1229" s="6">
        <v>24.0</v>
      </c>
      <c r="M1229" s="5">
        <v>46013.0</v>
      </c>
      <c r="N1229" s="6" t="s">
        <v>23</v>
      </c>
      <c r="O1229" s="6" t="str">
        <f>SUMIFS([1]order_sku_sales_bb2_report!P:P,[1]order_sku_sales_bb2_report!H:H,C29041,[1]order_sku_sales_bb2_report!J:J,H29041)</f>
        <v>#ERROR!</v>
      </c>
      <c r="P1229" s="6" t="str">
        <f>SUMIFS([1]order_sku_sales_bb2_report!O:O,[1]order_sku_sales_bb2_report!H:H,C29041,[1]order_sku_sales_bb2_report!J:J,H29041)</f>
        <v>#ERROR!</v>
      </c>
      <c r="Q1229" s="6" t="str">
        <f t="shared" si="1"/>
        <v>22-12-2025</v>
      </c>
      <c r="R1229" s="6" t="str">
        <f>IFERROR( VLOOKUP(C29041,[1]expressOrderReport!$S:$AZ,34,0),0)</f>
        <v>#ERROR!</v>
      </c>
      <c r="S1229" s="6" t="str">
        <f>ARRAY_CONSTRAIN(ARRAYFORMULA(_xludf.XLOOKUP(D29041,[1]order_Report_SA_ID_BB2.0!V:V,[1]order_Report_SA_ID_BB2.0!AM:AM,"")), 1, 1)</f>
        <v>#ERROR!</v>
      </c>
      <c r="T1229" s="6" t="str">
        <f t="shared" si="2"/>
        <v>Dec'25</v>
      </c>
    </row>
    <row r="1230" ht="15.75" customHeight="1">
      <c r="A1230" s="5">
        <v>46013.0</v>
      </c>
      <c r="B1230" s="6">
        <v>1985.0</v>
      </c>
      <c r="C1230" s="6">
        <v>1.859167325E9</v>
      </c>
      <c r="D1230" s="6">
        <v>1.3463896E7</v>
      </c>
      <c r="E1230" s="6" t="s">
        <v>1924</v>
      </c>
      <c r="F1230" s="6" t="s">
        <v>1925</v>
      </c>
      <c r="G1230" s="6">
        <v>8.002226038E9</v>
      </c>
      <c r="H1230" s="6">
        <v>4.0148714E7</v>
      </c>
      <c r="I1230" s="6" t="s">
        <v>183</v>
      </c>
      <c r="J1230" s="6" t="s">
        <v>21</v>
      </c>
      <c r="K1230" s="6" t="s">
        <v>22</v>
      </c>
      <c r="L1230" s="6">
        <v>148.0</v>
      </c>
      <c r="M1230" s="5">
        <v>46013.0</v>
      </c>
      <c r="N1230" s="6" t="s">
        <v>23</v>
      </c>
      <c r="O1230" s="6" t="str">
        <f>SUMIFS([1]order_sku_sales_bb2_report!P:P,[1]order_sku_sales_bb2_report!H:H,C29042,[1]order_sku_sales_bb2_report!J:J,H29042)</f>
        <v>#ERROR!</v>
      </c>
      <c r="P1230" s="6" t="str">
        <f>SUMIFS([1]order_sku_sales_bb2_report!O:O,[1]order_sku_sales_bb2_report!H:H,C29042,[1]order_sku_sales_bb2_report!J:J,H29042)</f>
        <v>#ERROR!</v>
      </c>
      <c r="Q1230" s="6" t="str">
        <f t="shared" si="1"/>
        <v>22-12-2025</v>
      </c>
      <c r="R1230" s="6" t="str">
        <f>IFERROR( VLOOKUP(C29042,[1]expressOrderReport!$S:$AZ,34,0),0)</f>
        <v>#ERROR!</v>
      </c>
      <c r="S1230" s="6" t="str">
        <f>ARRAY_CONSTRAIN(ARRAYFORMULA(_xludf.XLOOKUP(D29042,[1]order_Report_SA_ID_BB2.0!V:V,[1]order_Report_SA_ID_BB2.0!AM:AM,"")), 1, 1)</f>
        <v>#ERROR!</v>
      </c>
      <c r="T1230" s="6" t="str">
        <f t="shared" si="2"/>
        <v>Dec'25</v>
      </c>
    </row>
    <row r="1231" ht="15.75" customHeight="1">
      <c r="A1231" s="5">
        <v>46013.0</v>
      </c>
      <c r="B1231" s="6">
        <v>1986.0</v>
      </c>
      <c r="C1231" s="6">
        <v>1.859167325E9</v>
      </c>
      <c r="D1231" s="6">
        <v>1.3463896E7</v>
      </c>
      <c r="E1231" s="6" t="s">
        <v>1924</v>
      </c>
      <c r="F1231" s="6" t="s">
        <v>1925</v>
      </c>
      <c r="G1231" s="6">
        <v>8.002226038E9</v>
      </c>
      <c r="H1231" s="6">
        <v>4.0149833E7</v>
      </c>
      <c r="I1231" s="6" t="s">
        <v>40</v>
      </c>
      <c r="J1231" s="6" t="s">
        <v>21</v>
      </c>
      <c r="K1231" s="6" t="s">
        <v>22</v>
      </c>
      <c r="L1231" s="6">
        <v>148.0</v>
      </c>
      <c r="M1231" s="5">
        <v>46013.0</v>
      </c>
      <c r="N1231" s="6" t="s">
        <v>23</v>
      </c>
      <c r="O1231" s="6" t="str">
        <f>SUMIFS([1]order_sku_sales_bb2_report!P:P,[1]order_sku_sales_bb2_report!H:H,C29043,[1]order_sku_sales_bb2_report!J:J,H29043)</f>
        <v>#ERROR!</v>
      </c>
      <c r="P1231" s="6" t="str">
        <f>SUMIFS([1]order_sku_sales_bb2_report!O:O,[1]order_sku_sales_bb2_report!H:H,C29043,[1]order_sku_sales_bb2_report!J:J,H29043)</f>
        <v>#ERROR!</v>
      </c>
      <c r="Q1231" s="6" t="str">
        <f t="shared" si="1"/>
        <v>22-12-2025</v>
      </c>
      <c r="R1231" s="6" t="str">
        <f>IFERROR( VLOOKUP(C29043,[1]expressOrderReport!$S:$AZ,34,0),0)</f>
        <v>#ERROR!</v>
      </c>
      <c r="S1231" s="6" t="str">
        <f>ARRAY_CONSTRAIN(ARRAYFORMULA(_xludf.XLOOKUP(D29043,[1]order_Report_SA_ID_BB2.0!V:V,[1]order_Report_SA_ID_BB2.0!AM:AM,"")), 1, 1)</f>
        <v>#ERROR!</v>
      </c>
      <c r="T1231" s="6" t="str">
        <f t="shared" si="2"/>
        <v>Dec'25</v>
      </c>
    </row>
    <row r="1232" ht="15.75" customHeight="1">
      <c r="A1232" s="5">
        <v>46013.0</v>
      </c>
      <c r="B1232" s="6">
        <v>2700.0</v>
      </c>
      <c r="C1232" s="6">
        <v>1.85916733E9</v>
      </c>
      <c r="D1232" s="6">
        <v>1.9834699E7</v>
      </c>
      <c r="E1232" s="6" t="s">
        <v>1926</v>
      </c>
      <c r="F1232" s="6" t="s">
        <v>1927</v>
      </c>
      <c r="G1232" s="6">
        <v>8.451922346E9</v>
      </c>
      <c r="H1232" s="6">
        <v>4.0149833E7</v>
      </c>
      <c r="I1232" s="6" t="s">
        <v>40</v>
      </c>
      <c r="J1232" s="6" t="s">
        <v>21</v>
      </c>
      <c r="K1232" s="6" t="s">
        <v>22</v>
      </c>
      <c r="L1232" s="6">
        <v>81.0</v>
      </c>
      <c r="M1232" s="5">
        <v>46013.0</v>
      </c>
      <c r="N1232" s="6" t="s">
        <v>23</v>
      </c>
      <c r="O1232" s="6" t="str">
        <f>SUMIFS([1]order_sku_sales_bb2_report!P:P,[1]order_sku_sales_bb2_report!H:H,C29044,[1]order_sku_sales_bb2_report!J:J,H29044)</f>
        <v>#ERROR!</v>
      </c>
      <c r="P1232" s="6" t="str">
        <f>SUMIFS([1]order_sku_sales_bb2_report!O:O,[1]order_sku_sales_bb2_report!H:H,C29044,[1]order_sku_sales_bb2_report!J:J,H29044)</f>
        <v>#ERROR!</v>
      </c>
      <c r="Q1232" s="6" t="str">
        <f t="shared" si="1"/>
        <v>22-12-2025</v>
      </c>
      <c r="R1232" s="6" t="str">
        <f>IFERROR( VLOOKUP(C29044,[1]expressOrderReport!$S:$AZ,34,0),0)</f>
        <v>#ERROR!</v>
      </c>
      <c r="S1232" s="6" t="str">
        <f>ARRAY_CONSTRAIN(ARRAYFORMULA(_xludf.XLOOKUP(D29044,[1]order_Report_SA_ID_BB2.0!V:V,[1]order_Report_SA_ID_BB2.0!AM:AM,"")), 1, 1)</f>
        <v>#ERROR!</v>
      </c>
      <c r="T1232" s="6" t="str">
        <f t="shared" si="2"/>
        <v>Dec'25</v>
      </c>
    </row>
    <row r="1233" ht="15.75" customHeight="1">
      <c r="A1233" s="5">
        <v>46013.0</v>
      </c>
      <c r="B1233" s="6">
        <v>5763.0</v>
      </c>
      <c r="C1233" s="6">
        <v>1.85916529E9</v>
      </c>
      <c r="D1233" s="6">
        <v>5.4460426E7</v>
      </c>
      <c r="E1233" s="6" t="s">
        <v>1928</v>
      </c>
      <c r="F1233" s="6" t="s">
        <v>1929</v>
      </c>
      <c r="G1233" s="6">
        <v>7.01706274E9</v>
      </c>
      <c r="H1233" s="6">
        <v>4.0158264E7</v>
      </c>
      <c r="I1233" s="6" t="s">
        <v>26</v>
      </c>
      <c r="J1233" s="6" t="s">
        <v>21</v>
      </c>
      <c r="K1233" s="6" t="s">
        <v>22</v>
      </c>
      <c r="L1233" s="6">
        <v>99.0</v>
      </c>
      <c r="M1233" s="5">
        <v>46013.0</v>
      </c>
      <c r="N1233" s="6" t="s">
        <v>23</v>
      </c>
      <c r="O1233" s="6" t="str">
        <f>SUMIFS([1]order_sku_sales_bb2_report!P:P,[1]order_sku_sales_bb2_report!H:H,C29045,[1]order_sku_sales_bb2_report!J:J,H29045)</f>
        <v>#ERROR!</v>
      </c>
      <c r="P1233" s="6" t="str">
        <f>SUMIFS([1]order_sku_sales_bb2_report!O:O,[1]order_sku_sales_bb2_report!H:H,C29045,[1]order_sku_sales_bb2_report!J:J,H29045)</f>
        <v>#ERROR!</v>
      </c>
      <c r="Q1233" s="6" t="str">
        <f t="shared" si="1"/>
        <v>22-12-2025</v>
      </c>
      <c r="R1233" s="6" t="str">
        <f>IFERROR( VLOOKUP(C29045,[1]expressOrderReport!$S:$AZ,34,0),0)</f>
        <v>#ERROR!</v>
      </c>
      <c r="S1233" s="6" t="str">
        <f>ARRAY_CONSTRAIN(ARRAYFORMULA(_xludf.XLOOKUP(D29045,[1]order_Report_SA_ID_BB2.0!V:V,[1]order_Report_SA_ID_BB2.0!AM:AM,"")), 1, 1)</f>
        <v>#ERROR!</v>
      </c>
      <c r="T1233" s="6" t="str">
        <f t="shared" si="2"/>
        <v>Dec'25</v>
      </c>
    </row>
    <row r="1234" ht="15.75" customHeight="1">
      <c r="A1234" s="5">
        <v>46013.0</v>
      </c>
      <c r="B1234" s="6">
        <v>5764.0</v>
      </c>
      <c r="C1234" s="6">
        <v>1.85916529E9</v>
      </c>
      <c r="D1234" s="6">
        <v>5.4460426E7</v>
      </c>
      <c r="E1234" s="6" t="s">
        <v>1928</v>
      </c>
      <c r="F1234" s="6" t="s">
        <v>1929</v>
      </c>
      <c r="G1234" s="6">
        <v>7.01706274E9</v>
      </c>
      <c r="H1234" s="6">
        <v>4.0148717E7</v>
      </c>
      <c r="I1234" s="6" t="s">
        <v>226</v>
      </c>
      <c r="J1234" s="6" t="s">
        <v>21</v>
      </c>
      <c r="K1234" s="6" t="s">
        <v>22</v>
      </c>
      <c r="L1234" s="6">
        <v>99.0</v>
      </c>
      <c r="M1234" s="5">
        <v>46013.0</v>
      </c>
      <c r="N1234" s="6" t="s">
        <v>23</v>
      </c>
      <c r="O1234" s="6" t="str">
        <f>SUMIFS([1]order_sku_sales_bb2_report!P:P,[1]order_sku_sales_bb2_report!H:H,C29046,[1]order_sku_sales_bb2_report!J:J,H29046)</f>
        <v>#ERROR!</v>
      </c>
      <c r="P1234" s="6" t="str">
        <f>SUMIFS([1]order_sku_sales_bb2_report!O:O,[1]order_sku_sales_bb2_report!H:H,C29046,[1]order_sku_sales_bb2_report!J:J,H29046)</f>
        <v>#ERROR!</v>
      </c>
      <c r="Q1234" s="6" t="str">
        <f t="shared" si="1"/>
        <v>22-12-2025</v>
      </c>
      <c r="R1234" s="6" t="str">
        <f>IFERROR( VLOOKUP(C29046,[1]expressOrderReport!$S:$AZ,34,0),0)</f>
        <v>#ERROR!</v>
      </c>
      <c r="S1234" s="6" t="str">
        <f>ARRAY_CONSTRAIN(ARRAYFORMULA(_xludf.XLOOKUP(D29046,[1]order_Report_SA_ID_BB2.0!V:V,[1]order_Report_SA_ID_BB2.0!AM:AM,"")), 1, 1)</f>
        <v>#ERROR!</v>
      </c>
      <c r="T1234" s="6" t="str">
        <f t="shared" si="2"/>
        <v>Dec'25</v>
      </c>
    </row>
    <row r="1235" ht="15.75" customHeight="1">
      <c r="A1235" s="5">
        <v>46013.0</v>
      </c>
      <c r="B1235" s="6">
        <v>2970.0</v>
      </c>
      <c r="C1235" s="6">
        <v>1.859165297E9</v>
      </c>
      <c r="D1235" s="6">
        <v>1249964.0</v>
      </c>
      <c r="E1235" s="6" t="s">
        <v>1930</v>
      </c>
      <c r="F1235" s="6" t="s">
        <v>1931</v>
      </c>
      <c r="G1235" s="6">
        <v>9.91162732E9</v>
      </c>
      <c r="H1235" s="6">
        <v>4.0090894E7</v>
      </c>
      <c r="I1235" s="6" t="s">
        <v>62</v>
      </c>
      <c r="J1235" s="6" t="s">
        <v>21</v>
      </c>
      <c r="K1235" s="6" t="s">
        <v>22</v>
      </c>
      <c r="L1235" s="6">
        <v>109.0</v>
      </c>
      <c r="M1235" s="5">
        <v>46013.0</v>
      </c>
      <c r="N1235" s="6" t="s">
        <v>23</v>
      </c>
      <c r="O1235" s="6" t="str">
        <f>SUMIFS([1]order_sku_sales_bb2_report!P:P,[1]order_sku_sales_bb2_report!H:H,C29047,[1]order_sku_sales_bb2_report!J:J,H29047)</f>
        <v>#ERROR!</v>
      </c>
      <c r="P1235" s="6" t="str">
        <f>SUMIFS([1]order_sku_sales_bb2_report!O:O,[1]order_sku_sales_bb2_report!H:H,C29047,[1]order_sku_sales_bb2_report!J:J,H29047)</f>
        <v>#ERROR!</v>
      </c>
      <c r="Q1235" s="6" t="str">
        <f t="shared" si="1"/>
        <v>22-12-2025</v>
      </c>
      <c r="R1235" s="6" t="str">
        <f>IFERROR( VLOOKUP(C29047,[1]expressOrderReport!$S:$AZ,34,0),0)</f>
        <v>#ERROR!</v>
      </c>
      <c r="S1235" s="6" t="str">
        <f>ARRAY_CONSTRAIN(ARRAYFORMULA(_xludf.XLOOKUP(D29047,[1]order_Report_SA_ID_BB2.0!V:V,[1]order_Report_SA_ID_BB2.0!AM:AM,"")), 1, 1)</f>
        <v>#ERROR!</v>
      </c>
      <c r="T1235" s="6" t="str">
        <f t="shared" si="2"/>
        <v>Dec'25</v>
      </c>
    </row>
    <row r="1236" ht="15.75" customHeight="1">
      <c r="A1236" s="5">
        <v>46013.0</v>
      </c>
      <c r="B1236" s="6">
        <v>4828.0</v>
      </c>
      <c r="C1236" s="6">
        <v>1.859165297E9</v>
      </c>
      <c r="D1236" s="6">
        <v>1249964.0</v>
      </c>
      <c r="E1236" s="6" t="s">
        <v>1930</v>
      </c>
      <c r="F1236" s="6" t="s">
        <v>1931</v>
      </c>
      <c r="G1236" s="6">
        <v>9.91162732E9</v>
      </c>
      <c r="H1236" s="6">
        <v>4.0332424E7</v>
      </c>
      <c r="I1236" s="6" t="s">
        <v>110</v>
      </c>
      <c r="J1236" s="6" t="s">
        <v>21</v>
      </c>
      <c r="K1236" s="6" t="s">
        <v>22</v>
      </c>
      <c r="L1236" s="6">
        <v>109.0</v>
      </c>
      <c r="M1236" s="5">
        <v>46013.0</v>
      </c>
      <c r="N1236" s="6" t="s">
        <v>23</v>
      </c>
      <c r="O1236" s="6" t="str">
        <f>SUMIFS([1]order_sku_sales_bb2_report!P:P,[1]order_sku_sales_bb2_report!H:H,C29048,[1]order_sku_sales_bb2_report!J:J,H29048)</f>
        <v>#ERROR!</v>
      </c>
      <c r="P1236" s="6" t="str">
        <f>SUMIFS([1]order_sku_sales_bb2_report!O:O,[1]order_sku_sales_bb2_report!H:H,C29048,[1]order_sku_sales_bb2_report!J:J,H29048)</f>
        <v>#ERROR!</v>
      </c>
      <c r="Q1236" s="6" t="str">
        <f t="shared" si="1"/>
        <v>22-12-2025</v>
      </c>
      <c r="R1236" s="6" t="str">
        <f>IFERROR( VLOOKUP(C29048,[1]expressOrderReport!$S:$AZ,34,0),0)</f>
        <v>#ERROR!</v>
      </c>
      <c r="S1236" s="6" t="str">
        <f>ARRAY_CONSTRAIN(ARRAYFORMULA(_xludf.XLOOKUP(D29048,[1]order_Report_SA_ID_BB2.0!V:V,[1]order_Report_SA_ID_BB2.0!AM:AM,"")), 1, 1)</f>
        <v>#ERROR!</v>
      </c>
      <c r="T1236" s="6" t="str">
        <f t="shared" si="2"/>
        <v>Dec'25</v>
      </c>
    </row>
    <row r="1237" ht="15.75" customHeight="1">
      <c r="A1237" s="5">
        <v>46013.0</v>
      </c>
      <c r="B1237" s="6">
        <v>2329.0</v>
      </c>
      <c r="C1237" s="6">
        <v>1.859165306E9</v>
      </c>
      <c r="D1237" s="6">
        <v>3.4359968E7</v>
      </c>
      <c r="E1237" s="6" t="s">
        <v>1932</v>
      </c>
      <c r="F1237" s="6" t="s">
        <v>1933</v>
      </c>
      <c r="G1237" s="6">
        <v>8.49983805E9</v>
      </c>
      <c r="H1237" s="6">
        <v>4.0047739E7</v>
      </c>
      <c r="I1237" s="6" t="s">
        <v>180</v>
      </c>
      <c r="J1237" s="6" t="s">
        <v>21</v>
      </c>
      <c r="K1237" s="6" t="s">
        <v>22</v>
      </c>
      <c r="L1237" s="6">
        <v>34.0</v>
      </c>
      <c r="M1237" s="5">
        <v>46013.0</v>
      </c>
      <c r="N1237" s="6" t="s">
        <v>23</v>
      </c>
      <c r="O1237" s="6" t="str">
        <f>SUMIFS([1]order_sku_sales_bb2_report!P:P,[1]order_sku_sales_bb2_report!H:H,C29049,[1]order_sku_sales_bb2_report!J:J,H29049)</f>
        <v>#ERROR!</v>
      </c>
      <c r="P1237" s="6" t="str">
        <f>SUMIFS([1]order_sku_sales_bb2_report!O:O,[1]order_sku_sales_bb2_report!H:H,C29049,[1]order_sku_sales_bb2_report!J:J,H29049)</f>
        <v>#ERROR!</v>
      </c>
      <c r="Q1237" s="6" t="str">
        <f t="shared" si="1"/>
        <v>22-12-2025</v>
      </c>
      <c r="R1237" s="6" t="str">
        <f>IFERROR( VLOOKUP(C29049,[1]expressOrderReport!$S:$AZ,34,0),0)</f>
        <v>#ERROR!</v>
      </c>
      <c r="S1237" s="6" t="str">
        <f>ARRAY_CONSTRAIN(ARRAYFORMULA(_xludf.XLOOKUP(D29049,[1]order_Report_SA_ID_BB2.0!V:V,[1]order_Report_SA_ID_BB2.0!AM:AM,"")), 1, 1)</f>
        <v>#ERROR!</v>
      </c>
      <c r="T1237" s="6" t="str">
        <f t="shared" si="2"/>
        <v>Dec'25</v>
      </c>
    </row>
    <row r="1238" ht="15.75" customHeight="1">
      <c r="A1238" s="5">
        <v>46013.0</v>
      </c>
      <c r="B1238" s="6">
        <v>11395.0</v>
      </c>
      <c r="C1238" s="6">
        <v>1.859165314E9</v>
      </c>
      <c r="D1238" s="6">
        <v>5093372.0</v>
      </c>
      <c r="E1238" s="6" t="s">
        <v>1934</v>
      </c>
      <c r="F1238" s="6" t="s">
        <v>1935</v>
      </c>
      <c r="G1238" s="6">
        <v>8.839025771E9</v>
      </c>
      <c r="H1238" s="6">
        <v>4.0147597E7</v>
      </c>
      <c r="I1238" s="6" t="s">
        <v>59</v>
      </c>
      <c r="J1238" s="6" t="s">
        <v>21</v>
      </c>
      <c r="K1238" s="6" t="s">
        <v>22</v>
      </c>
      <c r="L1238" s="6">
        <v>26.0</v>
      </c>
      <c r="M1238" s="5">
        <v>46013.0</v>
      </c>
      <c r="N1238" s="6" t="s">
        <v>23</v>
      </c>
      <c r="O1238" s="6" t="str">
        <f>SUMIFS([1]order_sku_sales_bb2_report!P:P,[1]order_sku_sales_bb2_report!H:H,C29050,[1]order_sku_sales_bb2_report!J:J,H29050)</f>
        <v>#ERROR!</v>
      </c>
      <c r="P1238" s="6" t="str">
        <f>SUMIFS([1]order_sku_sales_bb2_report!O:O,[1]order_sku_sales_bb2_report!H:H,C29050,[1]order_sku_sales_bb2_report!J:J,H29050)</f>
        <v>#ERROR!</v>
      </c>
      <c r="Q1238" s="6" t="str">
        <f t="shared" si="1"/>
        <v>22-12-2025</v>
      </c>
      <c r="R1238" s="6" t="str">
        <f>IFERROR( VLOOKUP(C29050,[1]expressOrderReport!$S:$AZ,34,0),0)</f>
        <v>#ERROR!</v>
      </c>
      <c r="S1238" s="6" t="str">
        <f>ARRAY_CONSTRAIN(ARRAYFORMULA(_xludf.XLOOKUP(D29050,[1]order_Report_SA_ID_BB2.0!V:V,[1]order_Report_SA_ID_BB2.0!AM:AM,"")), 1, 1)</f>
        <v>#ERROR!</v>
      </c>
      <c r="T1238" s="6" t="str">
        <f t="shared" si="2"/>
        <v>Dec'25</v>
      </c>
    </row>
    <row r="1239" ht="15.75" customHeight="1">
      <c r="A1239" s="5">
        <v>46013.0</v>
      </c>
      <c r="B1239" s="6">
        <v>9539.0</v>
      </c>
      <c r="C1239" s="6">
        <v>1.859165322E9</v>
      </c>
      <c r="D1239" s="6">
        <v>663719.0</v>
      </c>
      <c r="E1239" s="6" t="s">
        <v>1936</v>
      </c>
      <c r="F1239" s="6" t="s">
        <v>1937</v>
      </c>
      <c r="G1239" s="6">
        <v>9.880980415E9</v>
      </c>
      <c r="H1239" s="6">
        <v>4.0163721E7</v>
      </c>
      <c r="I1239" s="6" t="s">
        <v>445</v>
      </c>
      <c r="J1239" s="6" t="s">
        <v>21</v>
      </c>
      <c r="K1239" s="6" t="s">
        <v>22</v>
      </c>
      <c r="L1239" s="6">
        <v>136.8</v>
      </c>
      <c r="M1239" s="5">
        <v>46013.0</v>
      </c>
      <c r="N1239" s="6" t="s">
        <v>23</v>
      </c>
      <c r="O1239" s="6" t="str">
        <f>SUMIFS([1]order_sku_sales_bb2_report!P:P,[1]order_sku_sales_bb2_report!H:H,C29051,[1]order_sku_sales_bb2_report!J:J,H29051)</f>
        <v>#ERROR!</v>
      </c>
      <c r="P1239" s="6" t="str">
        <f>SUMIFS([1]order_sku_sales_bb2_report!O:O,[1]order_sku_sales_bb2_report!H:H,C29051,[1]order_sku_sales_bb2_report!J:J,H29051)</f>
        <v>#ERROR!</v>
      </c>
      <c r="Q1239" s="6" t="str">
        <f t="shared" si="1"/>
        <v>22-12-2025</v>
      </c>
      <c r="R1239" s="6" t="str">
        <f>IFERROR( VLOOKUP(C29051,[1]expressOrderReport!$S:$AZ,34,0),0)</f>
        <v>#ERROR!</v>
      </c>
      <c r="S1239" s="6" t="str">
        <f>ARRAY_CONSTRAIN(ARRAYFORMULA(_xludf.XLOOKUP(D29051,[1]order_Report_SA_ID_BB2.0!V:V,[1]order_Report_SA_ID_BB2.0!AM:AM,"")), 1, 1)</f>
        <v>#ERROR!</v>
      </c>
      <c r="T1239" s="6" t="str">
        <f t="shared" si="2"/>
        <v>Dec'25</v>
      </c>
    </row>
    <row r="1240" ht="15.75" customHeight="1">
      <c r="A1240" s="5">
        <v>46013.0</v>
      </c>
      <c r="B1240" s="6">
        <v>9542.0</v>
      </c>
      <c r="C1240" s="6">
        <v>1.859165322E9</v>
      </c>
      <c r="D1240" s="6">
        <v>663719.0</v>
      </c>
      <c r="E1240" s="6" t="s">
        <v>1936</v>
      </c>
      <c r="F1240" s="6" t="s">
        <v>1937</v>
      </c>
      <c r="G1240" s="6">
        <v>9.880980415E9</v>
      </c>
      <c r="H1240" s="6">
        <v>4.016372E7</v>
      </c>
      <c r="I1240" s="6" t="s">
        <v>72</v>
      </c>
      <c r="J1240" s="6" t="s">
        <v>21</v>
      </c>
      <c r="K1240" s="6" t="s">
        <v>22</v>
      </c>
      <c r="L1240" s="6">
        <v>136.8</v>
      </c>
      <c r="M1240" s="5">
        <v>46013.0</v>
      </c>
      <c r="N1240" s="6" t="s">
        <v>23</v>
      </c>
      <c r="O1240" s="6" t="str">
        <f>SUMIFS([1]order_sku_sales_bb2_report!P:P,[1]order_sku_sales_bb2_report!H:H,C29052,[1]order_sku_sales_bb2_report!J:J,H29052)</f>
        <v>#ERROR!</v>
      </c>
      <c r="P1240" s="6" t="str">
        <f>SUMIFS([1]order_sku_sales_bb2_report!O:O,[1]order_sku_sales_bb2_report!H:H,C29052,[1]order_sku_sales_bb2_report!J:J,H29052)</f>
        <v>#ERROR!</v>
      </c>
      <c r="Q1240" s="6" t="str">
        <f t="shared" si="1"/>
        <v>22-12-2025</v>
      </c>
      <c r="R1240" s="6" t="str">
        <f>IFERROR( VLOOKUP(C29052,[1]expressOrderReport!$S:$AZ,34,0),0)</f>
        <v>#ERROR!</v>
      </c>
      <c r="S1240" s="6" t="str">
        <f>ARRAY_CONSTRAIN(ARRAYFORMULA(_xludf.XLOOKUP(D29052,[1]order_Report_SA_ID_BB2.0!V:V,[1]order_Report_SA_ID_BB2.0!AM:AM,"")), 1, 1)</f>
        <v>#ERROR!</v>
      </c>
      <c r="T1240" s="6" t="str">
        <f t="shared" si="2"/>
        <v>Dec'25</v>
      </c>
    </row>
    <row r="1241" ht="15.75" customHeight="1">
      <c r="A1241" s="5">
        <v>46013.0</v>
      </c>
      <c r="B1241" s="6">
        <v>9658.0</v>
      </c>
      <c r="C1241" s="6">
        <v>1.859165333E9</v>
      </c>
      <c r="D1241" s="6">
        <v>1.8805975E7</v>
      </c>
      <c r="E1241" s="6" t="s">
        <v>1938</v>
      </c>
      <c r="F1241" s="6" t="s">
        <v>1939</v>
      </c>
      <c r="G1241" s="6">
        <v>9.945163644E9</v>
      </c>
      <c r="H1241" s="6">
        <v>4.0149834E7</v>
      </c>
      <c r="I1241" s="6" t="s">
        <v>40</v>
      </c>
      <c r="J1241" s="6" t="s">
        <v>21</v>
      </c>
      <c r="K1241" s="6" t="s">
        <v>22</v>
      </c>
      <c r="L1241" s="6">
        <v>52.0</v>
      </c>
      <c r="M1241" s="5">
        <v>46013.0</v>
      </c>
      <c r="N1241" s="6" t="s">
        <v>23</v>
      </c>
      <c r="O1241" s="6" t="str">
        <f>SUMIFS([1]order_sku_sales_bb2_report!P:P,[1]order_sku_sales_bb2_report!H:H,C29053,[1]order_sku_sales_bb2_report!J:J,H29053)</f>
        <v>#ERROR!</v>
      </c>
      <c r="P1241" s="6" t="str">
        <f>SUMIFS([1]order_sku_sales_bb2_report!O:O,[1]order_sku_sales_bb2_report!H:H,C29053,[1]order_sku_sales_bb2_report!J:J,H29053)</f>
        <v>#ERROR!</v>
      </c>
      <c r="Q1241" s="6" t="str">
        <f t="shared" si="1"/>
        <v>22-12-2025</v>
      </c>
      <c r="R1241" s="6" t="str">
        <f>IFERROR( VLOOKUP(C29053,[1]expressOrderReport!$S:$AZ,34,0),0)</f>
        <v>#ERROR!</v>
      </c>
      <c r="S1241" s="6" t="str">
        <f>ARRAY_CONSTRAIN(ARRAYFORMULA(_xludf.XLOOKUP(D29053,[1]order_Report_SA_ID_BB2.0!V:V,[1]order_Report_SA_ID_BB2.0!AM:AM,"")), 1, 1)</f>
        <v>#ERROR!</v>
      </c>
      <c r="T1241" s="6" t="str">
        <f t="shared" si="2"/>
        <v>Dec'25</v>
      </c>
    </row>
    <row r="1242" ht="15.75" customHeight="1">
      <c r="A1242" s="5">
        <v>46013.0</v>
      </c>
      <c r="B1242" s="6">
        <v>5560.0</v>
      </c>
      <c r="C1242" s="6">
        <v>1.859165342E9</v>
      </c>
      <c r="D1242" s="6">
        <v>7.3137014E7</v>
      </c>
      <c r="E1242" s="6" t="s">
        <v>1940</v>
      </c>
      <c r="F1242" s="6" t="s">
        <v>1941</v>
      </c>
      <c r="G1242" s="6">
        <v>9.047259664E9</v>
      </c>
      <c r="H1242" s="6">
        <v>4.0149833E7</v>
      </c>
      <c r="I1242" s="6" t="s">
        <v>40</v>
      </c>
      <c r="J1242" s="6" t="s">
        <v>21</v>
      </c>
      <c r="K1242" s="6" t="s">
        <v>22</v>
      </c>
      <c r="L1242" s="6">
        <v>27.0</v>
      </c>
      <c r="M1242" s="5">
        <v>46013.0</v>
      </c>
      <c r="N1242" s="6" t="s">
        <v>23</v>
      </c>
      <c r="O1242" s="6" t="str">
        <f>SUMIFS([1]order_sku_sales_bb2_report!P:P,[1]order_sku_sales_bb2_report!H:H,C29054,[1]order_sku_sales_bb2_report!J:J,H29054)</f>
        <v>#ERROR!</v>
      </c>
      <c r="P1242" s="6" t="str">
        <f>SUMIFS([1]order_sku_sales_bb2_report!O:O,[1]order_sku_sales_bb2_report!H:H,C29054,[1]order_sku_sales_bb2_report!J:J,H29054)</f>
        <v>#ERROR!</v>
      </c>
      <c r="Q1242" s="6" t="str">
        <f t="shared" si="1"/>
        <v>22-12-2025</v>
      </c>
      <c r="R1242" s="6" t="str">
        <f>IFERROR( VLOOKUP(C29054,[1]expressOrderReport!$S:$AZ,34,0),0)</f>
        <v>#ERROR!</v>
      </c>
      <c r="S1242" s="6" t="str">
        <f>ARRAY_CONSTRAIN(ARRAYFORMULA(_xludf.XLOOKUP(D29054,[1]order_Report_SA_ID_BB2.0!V:V,[1]order_Report_SA_ID_BB2.0!AM:AM,"")), 1, 1)</f>
        <v>#ERROR!</v>
      </c>
      <c r="T1242" s="6" t="str">
        <f t="shared" si="2"/>
        <v>Dec'25</v>
      </c>
    </row>
    <row r="1243" ht="15.75" customHeight="1">
      <c r="A1243" s="5">
        <v>46013.0</v>
      </c>
      <c r="B1243" s="6">
        <v>10633.0</v>
      </c>
      <c r="C1243" s="6">
        <v>1.859165352E9</v>
      </c>
      <c r="D1243" s="6">
        <v>7.3430647E7</v>
      </c>
      <c r="E1243" s="6" t="s">
        <v>1942</v>
      </c>
      <c r="F1243" s="6" t="s">
        <v>1943</v>
      </c>
      <c r="G1243" s="6">
        <v>7.065230616E9</v>
      </c>
      <c r="H1243" s="6">
        <v>4.0090893E7</v>
      </c>
      <c r="I1243" s="6" t="s">
        <v>35</v>
      </c>
      <c r="J1243" s="6" t="s">
        <v>21</v>
      </c>
      <c r="K1243" s="6" t="s">
        <v>22</v>
      </c>
      <c r="L1243" s="6">
        <v>132.0</v>
      </c>
      <c r="M1243" s="5">
        <v>46013.0</v>
      </c>
      <c r="N1243" s="6" t="s">
        <v>23</v>
      </c>
      <c r="O1243" s="6" t="str">
        <f>SUMIFS([1]order_sku_sales_bb2_report!P:P,[1]order_sku_sales_bb2_report!H:H,C29055,[1]order_sku_sales_bb2_report!J:J,H29055)</f>
        <v>#ERROR!</v>
      </c>
      <c r="P1243" s="6" t="str">
        <f>SUMIFS([1]order_sku_sales_bb2_report!O:O,[1]order_sku_sales_bb2_report!H:H,C29055,[1]order_sku_sales_bb2_report!J:J,H29055)</f>
        <v>#ERROR!</v>
      </c>
      <c r="Q1243" s="6" t="str">
        <f t="shared" si="1"/>
        <v>22-12-2025</v>
      </c>
      <c r="R1243" s="6" t="str">
        <f>IFERROR( VLOOKUP(C29055,[1]expressOrderReport!$S:$AZ,34,0),0)</f>
        <v>#ERROR!</v>
      </c>
      <c r="S1243" s="6" t="str">
        <f>ARRAY_CONSTRAIN(ARRAYFORMULA(_xludf.XLOOKUP(D29055,[1]order_Report_SA_ID_BB2.0!V:V,[1]order_Report_SA_ID_BB2.0!AM:AM,"")), 1, 1)</f>
        <v>#ERROR!</v>
      </c>
      <c r="T1243" s="6" t="str">
        <f t="shared" si="2"/>
        <v>Dec'25</v>
      </c>
    </row>
    <row r="1244" ht="15.75" customHeight="1">
      <c r="A1244" s="5">
        <v>46013.0</v>
      </c>
      <c r="B1244" s="6">
        <v>10765.0</v>
      </c>
      <c r="C1244" s="6">
        <v>1.859165361E9</v>
      </c>
      <c r="D1244" s="6">
        <v>1.780697E7</v>
      </c>
      <c r="E1244" s="6" t="s">
        <v>1944</v>
      </c>
      <c r="F1244" s="6" t="s">
        <v>1945</v>
      </c>
      <c r="G1244" s="6">
        <v>8.669289793E9</v>
      </c>
      <c r="H1244" s="6">
        <v>4.0149832E7</v>
      </c>
      <c r="I1244" s="6" t="s">
        <v>26</v>
      </c>
      <c r="J1244" s="6" t="s">
        <v>21</v>
      </c>
      <c r="K1244" s="6" t="s">
        <v>22</v>
      </c>
      <c r="L1244" s="6">
        <v>24.0</v>
      </c>
      <c r="M1244" s="5">
        <v>46013.0</v>
      </c>
      <c r="N1244" s="6" t="s">
        <v>23</v>
      </c>
      <c r="O1244" s="6" t="str">
        <f>SUMIFS([1]order_sku_sales_bb2_report!P:P,[1]order_sku_sales_bb2_report!H:H,C29056,[1]order_sku_sales_bb2_report!J:J,H29056)</f>
        <v>#ERROR!</v>
      </c>
      <c r="P1244" s="6" t="str">
        <f>SUMIFS([1]order_sku_sales_bb2_report!O:O,[1]order_sku_sales_bb2_report!H:H,C29056,[1]order_sku_sales_bb2_report!J:J,H29056)</f>
        <v>#ERROR!</v>
      </c>
      <c r="Q1244" s="6" t="str">
        <f t="shared" si="1"/>
        <v>22-12-2025</v>
      </c>
      <c r="R1244" s="6" t="str">
        <f>IFERROR( VLOOKUP(C29056,[1]expressOrderReport!$S:$AZ,34,0),0)</f>
        <v>#ERROR!</v>
      </c>
      <c r="S1244" s="6" t="str">
        <f>ARRAY_CONSTRAIN(ARRAYFORMULA(_xludf.XLOOKUP(D29056,[1]order_Report_SA_ID_BB2.0!V:V,[1]order_Report_SA_ID_BB2.0!AM:AM,"")), 1, 1)</f>
        <v>#ERROR!</v>
      </c>
      <c r="T1244" s="6" t="str">
        <f t="shared" si="2"/>
        <v>Dec'25</v>
      </c>
    </row>
    <row r="1245" ht="15.75" customHeight="1">
      <c r="A1245" s="5">
        <v>46013.0</v>
      </c>
      <c r="B1245" s="6">
        <v>10213.0</v>
      </c>
      <c r="C1245" s="6">
        <v>1.859166598E9</v>
      </c>
      <c r="D1245" s="6">
        <v>1.3534854E7</v>
      </c>
      <c r="E1245" s="6" t="s">
        <v>1946</v>
      </c>
      <c r="F1245" s="6" t="s">
        <v>1947</v>
      </c>
      <c r="G1245" s="6">
        <v>8.826245908E9</v>
      </c>
      <c r="H1245" s="6">
        <v>4.0148716E7</v>
      </c>
      <c r="I1245" s="6" t="s">
        <v>148</v>
      </c>
      <c r="J1245" s="6" t="s">
        <v>21</v>
      </c>
      <c r="K1245" s="6" t="s">
        <v>22</v>
      </c>
      <c r="L1245" s="6">
        <v>68.0</v>
      </c>
      <c r="M1245" s="5">
        <v>46013.0</v>
      </c>
      <c r="N1245" s="6" t="s">
        <v>23</v>
      </c>
      <c r="O1245" s="6" t="str">
        <f>SUMIFS([1]order_sku_sales_bb2_report!P:P,[1]order_sku_sales_bb2_report!H:H,C29057,[1]order_sku_sales_bb2_report!J:J,H29057)</f>
        <v>#ERROR!</v>
      </c>
      <c r="P1245" s="6" t="str">
        <f>SUMIFS([1]order_sku_sales_bb2_report!O:O,[1]order_sku_sales_bb2_report!H:H,C29057,[1]order_sku_sales_bb2_report!J:J,H29057)</f>
        <v>#ERROR!</v>
      </c>
      <c r="Q1245" s="6" t="str">
        <f t="shared" si="1"/>
        <v>22-12-2025</v>
      </c>
      <c r="R1245" s="6" t="str">
        <f>IFERROR( VLOOKUP(C29057,[1]expressOrderReport!$S:$AZ,34,0),0)</f>
        <v>#ERROR!</v>
      </c>
      <c r="S1245" s="6" t="str">
        <f>ARRAY_CONSTRAIN(ARRAYFORMULA(_xludf.XLOOKUP(D29057,[1]order_Report_SA_ID_BB2.0!V:V,[1]order_Report_SA_ID_BB2.0!AM:AM,"")), 1, 1)</f>
        <v>#ERROR!</v>
      </c>
      <c r="T1245" s="6" t="str">
        <f t="shared" si="2"/>
        <v>Dec'25</v>
      </c>
    </row>
    <row r="1246" ht="15.75" customHeight="1">
      <c r="A1246" s="5">
        <v>46013.0</v>
      </c>
      <c r="B1246" s="6">
        <v>10216.0</v>
      </c>
      <c r="C1246" s="6">
        <v>1.859166598E9</v>
      </c>
      <c r="D1246" s="6">
        <v>1.3534854E7</v>
      </c>
      <c r="E1246" s="6" t="s">
        <v>1946</v>
      </c>
      <c r="F1246" s="6" t="s">
        <v>1947</v>
      </c>
      <c r="G1246" s="6">
        <v>8.826245908E9</v>
      </c>
      <c r="H1246" s="6">
        <v>4.0148719E7</v>
      </c>
      <c r="I1246" s="6" t="s">
        <v>1948</v>
      </c>
      <c r="J1246" s="6" t="s">
        <v>21</v>
      </c>
      <c r="K1246" s="6" t="s">
        <v>22</v>
      </c>
      <c r="L1246" s="6">
        <v>68.0</v>
      </c>
      <c r="M1246" s="5">
        <v>46013.0</v>
      </c>
      <c r="N1246" s="6" t="s">
        <v>23</v>
      </c>
      <c r="O1246" s="6" t="str">
        <f>SUMIFS([1]order_sku_sales_bb2_report!P:P,[1]order_sku_sales_bb2_report!H:H,C29058,[1]order_sku_sales_bb2_report!J:J,H29058)</f>
        <v>#ERROR!</v>
      </c>
      <c r="P1246" s="6" t="str">
        <f>SUMIFS([1]order_sku_sales_bb2_report!O:O,[1]order_sku_sales_bb2_report!H:H,C29058,[1]order_sku_sales_bb2_report!J:J,H29058)</f>
        <v>#ERROR!</v>
      </c>
      <c r="Q1246" s="6" t="str">
        <f t="shared" si="1"/>
        <v>22-12-2025</v>
      </c>
      <c r="R1246" s="6" t="str">
        <f>IFERROR( VLOOKUP(C29058,[1]expressOrderReport!$S:$AZ,34,0),0)</f>
        <v>#ERROR!</v>
      </c>
      <c r="S1246" s="6" t="str">
        <f>ARRAY_CONSTRAIN(ARRAYFORMULA(_xludf.XLOOKUP(D29058,[1]order_Report_SA_ID_BB2.0!V:V,[1]order_Report_SA_ID_BB2.0!AM:AM,"")), 1, 1)</f>
        <v>#ERROR!</v>
      </c>
      <c r="T1246" s="6" t="str">
        <f t="shared" si="2"/>
        <v>Dec'25</v>
      </c>
    </row>
    <row r="1247" ht="15.75" customHeight="1">
      <c r="A1247" s="5">
        <v>46013.0</v>
      </c>
      <c r="B1247" s="6">
        <v>9623.0</v>
      </c>
      <c r="C1247" s="6">
        <v>1.859166603E9</v>
      </c>
      <c r="D1247" s="6">
        <v>1.6188134E7</v>
      </c>
      <c r="E1247" s="6" t="s">
        <v>1949</v>
      </c>
      <c r="F1247" s="6" t="s">
        <v>1950</v>
      </c>
      <c r="G1247" s="6">
        <v>8.22042654E9</v>
      </c>
      <c r="H1247" s="6">
        <v>4.0149832E7</v>
      </c>
      <c r="I1247" s="6" t="s">
        <v>26</v>
      </c>
      <c r="J1247" s="6" t="s">
        <v>21</v>
      </c>
      <c r="K1247" s="6" t="s">
        <v>22</v>
      </c>
      <c r="L1247" s="6">
        <v>48.0</v>
      </c>
      <c r="M1247" s="5">
        <v>46013.0</v>
      </c>
      <c r="N1247" s="6" t="s">
        <v>23</v>
      </c>
      <c r="O1247" s="6" t="str">
        <f>SUMIFS([1]order_sku_sales_bb2_report!P:P,[1]order_sku_sales_bb2_report!H:H,C29059,[1]order_sku_sales_bb2_report!J:J,H29059)</f>
        <v>#ERROR!</v>
      </c>
      <c r="P1247" s="6" t="str">
        <f>SUMIFS([1]order_sku_sales_bb2_report!O:O,[1]order_sku_sales_bb2_report!H:H,C29059,[1]order_sku_sales_bb2_report!J:J,H29059)</f>
        <v>#ERROR!</v>
      </c>
      <c r="Q1247" s="6" t="str">
        <f t="shared" si="1"/>
        <v>22-12-2025</v>
      </c>
      <c r="R1247" s="6" t="str">
        <f>IFERROR( VLOOKUP(C29059,[1]expressOrderReport!$S:$AZ,34,0),0)</f>
        <v>#ERROR!</v>
      </c>
      <c r="S1247" s="6" t="str">
        <f>ARRAY_CONSTRAIN(ARRAYFORMULA(_xludf.XLOOKUP(D29059,[1]order_Report_SA_ID_BB2.0!V:V,[1]order_Report_SA_ID_BB2.0!AM:AM,"")), 1, 1)</f>
        <v>#ERROR!</v>
      </c>
      <c r="T1247" s="6" t="str">
        <f t="shared" si="2"/>
        <v>Dec'25</v>
      </c>
    </row>
    <row r="1248" ht="15.75" customHeight="1">
      <c r="A1248" s="5">
        <v>46013.0</v>
      </c>
      <c r="B1248" s="6">
        <v>11471.0</v>
      </c>
      <c r="C1248" s="6">
        <v>1.859166612E9</v>
      </c>
      <c r="D1248" s="6">
        <v>1.3079946E7</v>
      </c>
      <c r="E1248" s="6" t="s">
        <v>1951</v>
      </c>
      <c r="F1248" s="6" t="s">
        <v>1952</v>
      </c>
      <c r="G1248" s="6">
        <v>9.841309956E9</v>
      </c>
      <c r="H1248" s="6">
        <v>4.0149833E7</v>
      </c>
      <c r="I1248" s="6" t="s">
        <v>40</v>
      </c>
      <c r="J1248" s="6" t="s">
        <v>21</v>
      </c>
      <c r="K1248" s="6" t="s">
        <v>22</v>
      </c>
      <c r="L1248" s="6">
        <v>51.0</v>
      </c>
      <c r="M1248" s="5">
        <v>46013.0</v>
      </c>
      <c r="N1248" s="6" t="s">
        <v>23</v>
      </c>
      <c r="O1248" s="6" t="str">
        <f>SUMIFS([1]order_sku_sales_bb2_report!P:P,[1]order_sku_sales_bb2_report!H:H,C29060,[1]order_sku_sales_bb2_report!J:J,H29060)</f>
        <v>#ERROR!</v>
      </c>
      <c r="P1248" s="6" t="str">
        <f>SUMIFS([1]order_sku_sales_bb2_report!O:O,[1]order_sku_sales_bb2_report!H:H,C29060,[1]order_sku_sales_bb2_report!J:J,H29060)</f>
        <v>#ERROR!</v>
      </c>
      <c r="Q1248" s="6" t="str">
        <f t="shared" si="1"/>
        <v>22-12-2025</v>
      </c>
      <c r="R1248" s="6" t="str">
        <f>IFERROR( VLOOKUP(C29060,[1]expressOrderReport!$S:$AZ,34,0),0)</f>
        <v>#ERROR!</v>
      </c>
      <c r="S1248" s="6" t="str">
        <f>ARRAY_CONSTRAIN(ARRAYFORMULA(_xludf.XLOOKUP(D29060,[1]order_Report_SA_ID_BB2.0!V:V,[1]order_Report_SA_ID_BB2.0!AM:AM,"")), 1, 1)</f>
        <v>#ERROR!</v>
      </c>
      <c r="T1248" s="6" t="str">
        <f t="shared" si="2"/>
        <v>Dec'25</v>
      </c>
    </row>
    <row r="1249" ht="15.75" customHeight="1">
      <c r="A1249" s="5">
        <v>46013.0</v>
      </c>
      <c r="B1249" s="6">
        <v>11473.0</v>
      </c>
      <c r="C1249" s="6">
        <v>1.859166612E9</v>
      </c>
      <c r="D1249" s="6">
        <v>1.3079946E7</v>
      </c>
      <c r="E1249" s="6" t="s">
        <v>1951</v>
      </c>
      <c r="F1249" s="6" t="s">
        <v>1952</v>
      </c>
      <c r="G1249" s="6">
        <v>9.841309956E9</v>
      </c>
      <c r="H1249" s="6">
        <v>4.0149832E7</v>
      </c>
      <c r="I1249" s="6" t="s">
        <v>26</v>
      </c>
      <c r="J1249" s="6" t="s">
        <v>21</v>
      </c>
      <c r="K1249" s="6" t="s">
        <v>22</v>
      </c>
      <c r="L1249" s="6">
        <v>51.0</v>
      </c>
      <c r="M1249" s="5">
        <v>46013.0</v>
      </c>
      <c r="N1249" s="6" t="s">
        <v>23</v>
      </c>
      <c r="O1249" s="6" t="str">
        <f>SUMIFS([1]order_sku_sales_bb2_report!P:P,[1]order_sku_sales_bb2_report!H:H,C29061,[1]order_sku_sales_bb2_report!J:J,H29061)</f>
        <v>#ERROR!</v>
      </c>
      <c r="P1249" s="6" t="str">
        <f>SUMIFS([1]order_sku_sales_bb2_report!O:O,[1]order_sku_sales_bb2_report!H:H,C29061,[1]order_sku_sales_bb2_report!J:J,H29061)</f>
        <v>#ERROR!</v>
      </c>
      <c r="Q1249" s="6" t="str">
        <f t="shared" si="1"/>
        <v>22-12-2025</v>
      </c>
      <c r="R1249" s="6" t="str">
        <f>IFERROR( VLOOKUP(C29061,[1]expressOrderReport!$S:$AZ,34,0),0)</f>
        <v>#ERROR!</v>
      </c>
      <c r="S1249" s="6" t="str">
        <f>ARRAY_CONSTRAIN(ARRAYFORMULA(_xludf.XLOOKUP(D29061,[1]order_Report_SA_ID_BB2.0!V:V,[1]order_Report_SA_ID_BB2.0!AM:AM,"")), 1, 1)</f>
        <v>#ERROR!</v>
      </c>
      <c r="T1249" s="6" t="str">
        <f t="shared" si="2"/>
        <v>Dec'25</v>
      </c>
    </row>
    <row r="1250" ht="15.75" customHeight="1">
      <c r="A1250" s="5">
        <v>46013.0</v>
      </c>
      <c r="B1250" s="6">
        <v>10293.0</v>
      </c>
      <c r="C1250" s="6">
        <v>1.85916662E9</v>
      </c>
      <c r="D1250" s="6">
        <v>4146365.0</v>
      </c>
      <c r="E1250" s="6" t="s">
        <v>1953</v>
      </c>
      <c r="F1250" s="6" t="s">
        <v>1954</v>
      </c>
      <c r="G1250" s="6">
        <v>8.802211373E9</v>
      </c>
      <c r="H1250" s="6">
        <v>4.0149832E7</v>
      </c>
      <c r="I1250" s="6" t="s">
        <v>26</v>
      </c>
      <c r="J1250" s="6" t="s">
        <v>21</v>
      </c>
      <c r="K1250" s="6" t="s">
        <v>22</v>
      </c>
      <c r="L1250" s="6">
        <v>24.0</v>
      </c>
      <c r="M1250" s="5">
        <v>46013.0</v>
      </c>
      <c r="N1250" s="6" t="s">
        <v>23</v>
      </c>
      <c r="O1250" s="6" t="str">
        <f>SUMIFS([1]order_sku_sales_bb2_report!P:P,[1]order_sku_sales_bb2_report!H:H,C29062,[1]order_sku_sales_bb2_report!J:J,H29062)</f>
        <v>#ERROR!</v>
      </c>
      <c r="P1250" s="6" t="str">
        <f>SUMIFS([1]order_sku_sales_bb2_report!O:O,[1]order_sku_sales_bb2_report!H:H,C29062,[1]order_sku_sales_bb2_report!J:J,H29062)</f>
        <v>#ERROR!</v>
      </c>
      <c r="Q1250" s="6" t="str">
        <f t="shared" si="1"/>
        <v>22-12-2025</v>
      </c>
      <c r="R1250" s="6" t="str">
        <f>IFERROR( VLOOKUP(C29062,[1]expressOrderReport!$S:$AZ,34,0),0)</f>
        <v>#ERROR!</v>
      </c>
      <c r="S1250" s="6" t="str">
        <f>ARRAY_CONSTRAIN(ARRAYFORMULA(_xludf.XLOOKUP(D29062,[1]order_Report_SA_ID_BB2.0!V:V,[1]order_Report_SA_ID_BB2.0!AM:AM,"")), 1, 1)</f>
        <v>#ERROR!</v>
      </c>
      <c r="T1250" s="6" t="str">
        <f t="shared" si="2"/>
        <v>Dec'25</v>
      </c>
    </row>
    <row r="1251" ht="15.75" customHeight="1">
      <c r="A1251" s="5">
        <v>46013.0</v>
      </c>
      <c r="B1251" s="6">
        <v>11901.0</v>
      </c>
      <c r="C1251" s="6">
        <v>1.859166624E9</v>
      </c>
      <c r="D1251" s="6">
        <v>7227842.0</v>
      </c>
      <c r="E1251" s="6" t="s">
        <v>1955</v>
      </c>
      <c r="F1251" s="6" t="s">
        <v>1956</v>
      </c>
      <c r="G1251" s="6">
        <v>7.899610907E9</v>
      </c>
      <c r="H1251" s="6">
        <v>4.0090893E7</v>
      </c>
      <c r="I1251" s="6" t="s">
        <v>35</v>
      </c>
      <c r="J1251" s="6" t="s">
        <v>21</v>
      </c>
      <c r="K1251" s="6" t="s">
        <v>27</v>
      </c>
      <c r="L1251" s="6">
        <v>66.0</v>
      </c>
      <c r="M1251" s="5">
        <v>46013.0</v>
      </c>
      <c r="N1251" s="6" t="s">
        <v>23</v>
      </c>
      <c r="O1251" s="6" t="str">
        <f>SUMIFS([1]order_sku_sales_bb2_report!P:P,[1]order_sku_sales_bb2_report!H:H,C29063,[1]order_sku_sales_bb2_report!J:J,H29063)</f>
        <v>#ERROR!</v>
      </c>
      <c r="P1251" s="6" t="str">
        <f>SUMIFS([1]order_sku_sales_bb2_report!O:O,[1]order_sku_sales_bb2_report!H:H,C29063,[1]order_sku_sales_bb2_report!J:J,H29063)</f>
        <v>#ERROR!</v>
      </c>
      <c r="Q1251" s="6" t="str">
        <f t="shared" si="1"/>
        <v>22-12-2025</v>
      </c>
      <c r="R1251" s="6" t="str">
        <f>IFERROR( VLOOKUP(C29063,[1]expressOrderReport!$S:$AZ,34,0),0)</f>
        <v>#ERROR!</v>
      </c>
      <c r="S1251" s="6" t="str">
        <f>ARRAY_CONSTRAIN(ARRAYFORMULA(_xludf.XLOOKUP(D29063,[1]order_Report_SA_ID_BB2.0!V:V,[1]order_Report_SA_ID_BB2.0!AM:AM,"")), 1, 1)</f>
        <v>#ERROR!</v>
      </c>
      <c r="T1251" s="6" t="str">
        <f t="shared" si="2"/>
        <v>Dec'25</v>
      </c>
    </row>
    <row r="1252" ht="15.75" customHeight="1">
      <c r="A1252" s="5">
        <v>46013.0</v>
      </c>
      <c r="B1252" s="6">
        <v>9574.0</v>
      </c>
      <c r="C1252" s="6">
        <v>1.859166629E9</v>
      </c>
      <c r="D1252" s="6">
        <v>8110127.0</v>
      </c>
      <c r="E1252" s="6" t="s">
        <v>1957</v>
      </c>
      <c r="F1252" s="6" t="s">
        <v>1958</v>
      </c>
      <c r="G1252" s="6">
        <v>8.500028296E9</v>
      </c>
      <c r="H1252" s="6">
        <v>4.0148716E7</v>
      </c>
      <c r="I1252" s="6" t="s">
        <v>148</v>
      </c>
      <c r="J1252" s="6" t="s">
        <v>21</v>
      </c>
      <c r="K1252" s="6" t="s">
        <v>22</v>
      </c>
      <c r="L1252" s="6">
        <v>45.0</v>
      </c>
      <c r="M1252" s="5">
        <v>46013.0</v>
      </c>
      <c r="N1252" s="6" t="s">
        <v>23</v>
      </c>
      <c r="O1252" s="6" t="str">
        <f>SUMIFS([1]order_sku_sales_bb2_report!P:P,[1]order_sku_sales_bb2_report!H:H,C29064,[1]order_sku_sales_bb2_report!J:J,H29064)</f>
        <v>#ERROR!</v>
      </c>
      <c r="P1252" s="6" t="str">
        <f>SUMIFS([1]order_sku_sales_bb2_report!O:O,[1]order_sku_sales_bb2_report!H:H,C29064,[1]order_sku_sales_bb2_report!J:J,H29064)</f>
        <v>#ERROR!</v>
      </c>
      <c r="Q1252" s="6" t="str">
        <f t="shared" si="1"/>
        <v>22-12-2025</v>
      </c>
      <c r="R1252" s="6" t="str">
        <f>IFERROR( VLOOKUP(C29064,[1]expressOrderReport!$S:$AZ,34,0),0)</f>
        <v>#ERROR!</v>
      </c>
      <c r="S1252" s="6" t="str">
        <f>ARRAY_CONSTRAIN(ARRAYFORMULA(_xludf.XLOOKUP(D29064,[1]order_Report_SA_ID_BB2.0!V:V,[1]order_Report_SA_ID_BB2.0!AM:AM,"")), 1, 1)</f>
        <v>#ERROR!</v>
      </c>
      <c r="T1252" s="6" t="str">
        <f t="shared" si="2"/>
        <v>Dec'25</v>
      </c>
    </row>
    <row r="1253" ht="15.75" customHeight="1">
      <c r="A1253" s="5">
        <v>46013.0</v>
      </c>
      <c r="B1253" s="6">
        <v>11042.0</v>
      </c>
      <c r="C1253" s="6">
        <v>1.859166638E9</v>
      </c>
      <c r="D1253" s="6">
        <v>1158999.0</v>
      </c>
      <c r="E1253" s="6" t="s">
        <v>1959</v>
      </c>
      <c r="F1253" s="6" t="s">
        <v>1960</v>
      </c>
      <c r="G1253" s="6">
        <v>7.722037704E9</v>
      </c>
      <c r="H1253" s="6">
        <v>4.0149834E7</v>
      </c>
      <c r="I1253" s="6" t="s">
        <v>40</v>
      </c>
      <c r="J1253" s="6" t="s">
        <v>21</v>
      </c>
      <c r="K1253" s="6" t="s">
        <v>22</v>
      </c>
      <c r="L1253" s="6">
        <v>79.0</v>
      </c>
      <c r="M1253" s="5">
        <v>46013.0</v>
      </c>
      <c r="N1253" s="6" t="s">
        <v>23</v>
      </c>
      <c r="O1253" s="6" t="str">
        <f>SUMIFS([1]order_sku_sales_bb2_report!P:P,[1]order_sku_sales_bb2_report!H:H,C29065,[1]order_sku_sales_bb2_report!J:J,H29065)</f>
        <v>#ERROR!</v>
      </c>
      <c r="P1253" s="6" t="str">
        <f>SUMIFS([1]order_sku_sales_bb2_report!O:O,[1]order_sku_sales_bb2_report!H:H,C29065,[1]order_sku_sales_bb2_report!J:J,H29065)</f>
        <v>#ERROR!</v>
      </c>
      <c r="Q1253" s="6" t="str">
        <f t="shared" si="1"/>
        <v>22-12-2025</v>
      </c>
      <c r="R1253" s="6" t="str">
        <f>IFERROR( VLOOKUP(C29065,[1]expressOrderReport!$S:$AZ,34,0),0)</f>
        <v>#ERROR!</v>
      </c>
      <c r="S1253" s="6" t="str">
        <f>ARRAY_CONSTRAIN(ARRAYFORMULA(_xludf.XLOOKUP(D29065,[1]order_Report_SA_ID_BB2.0!V:V,[1]order_Report_SA_ID_BB2.0!AM:AM,"")), 1, 1)</f>
        <v>#ERROR!</v>
      </c>
      <c r="T1253" s="6" t="str">
        <f t="shared" si="2"/>
        <v>Dec'25</v>
      </c>
    </row>
    <row r="1254" ht="15.75" customHeight="1">
      <c r="A1254" s="5">
        <v>46013.0</v>
      </c>
      <c r="B1254" s="6">
        <v>11947.0</v>
      </c>
      <c r="C1254" s="6">
        <v>1.859166638E9</v>
      </c>
      <c r="D1254" s="6">
        <v>1158999.0</v>
      </c>
      <c r="E1254" s="6" t="s">
        <v>1959</v>
      </c>
      <c r="F1254" s="6" t="s">
        <v>1960</v>
      </c>
      <c r="G1254" s="6">
        <v>7.722037704E9</v>
      </c>
      <c r="H1254" s="6">
        <v>4.0149833E7</v>
      </c>
      <c r="I1254" s="6" t="s">
        <v>40</v>
      </c>
      <c r="J1254" s="6" t="s">
        <v>21</v>
      </c>
      <c r="K1254" s="6" t="s">
        <v>22</v>
      </c>
      <c r="L1254" s="6">
        <v>79.0</v>
      </c>
      <c r="M1254" s="5">
        <v>46013.0</v>
      </c>
      <c r="N1254" s="6" t="s">
        <v>23</v>
      </c>
      <c r="O1254" s="6" t="str">
        <f>SUMIFS([1]order_sku_sales_bb2_report!P:P,[1]order_sku_sales_bb2_report!H:H,C29066,[1]order_sku_sales_bb2_report!J:J,H29066)</f>
        <v>#ERROR!</v>
      </c>
      <c r="P1254" s="6" t="str">
        <f>SUMIFS([1]order_sku_sales_bb2_report!O:O,[1]order_sku_sales_bb2_report!H:H,C29066,[1]order_sku_sales_bb2_report!J:J,H29066)</f>
        <v>#ERROR!</v>
      </c>
      <c r="Q1254" s="6" t="str">
        <f t="shared" si="1"/>
        <v>22-12-2025</v>
      </c>
      <c r="R1254" s="6" t="str">
        <f>IFERROR( VLOOKUP(C29066,[1]expressOrderReport!$S:$AZ,34,0),0)</f>
        <v>#ERROR!</v>
      </c>
      <c r="S1254" s="6" t="str">
        <f>ARRAY_CONSTRAIN(ARRAYFORMULA(_xludf.XLOOKUP(D29066,[1]order_Report_SA_ID_BB2.0!V:V,[1]order_Report_SA_ID_BB2.0!AM:AM,"")), 1, 1)</f>
        <v>#ERROR!</v>
      </c>
      <c r="T1254" s="6" t="str">
        <f t="shared" si="2"/>
        <v>Dec'25</v>
      </c>
    </row>
    <row r="1255" ht="15.75" customHeight="1">
      <c r="A1255" s="5">
        <v>46013.0</v>
      </c>
      <c r="B1255" s="6">
        <v>7842.0</v>
      </c>
      <c r="C1255" s="6">
        <v>1.859166643E9</v>
      </c>
      <c r="D1255" s="6">
        <v>2.7497512E7</v>
      </c>
      <c r="E1255" s="6" t="s">
        <v>1961</v>
      </c>
      <c r="F1255" s="6" t="s">
        <v>1962</v>
      </c>
      <c r="G1255" s="6">
        <v>9.738011619E9</v>
      </c>
      <c r="H1255" s="6">
        <v>4.0180961E7</v>
      </c>
      <c r="I1255" s="6" t="s">
        <v>1478</v>
      </c>
      <c r="J1255" s="6" t="s">
        <v>21</v>
      </c>
      <c r="K1255" s="6" t="s">
        <v>22</v>
      </c>
      <c r="L1255" s="6">
        <v>42.0</v>
      </c>
      <c r="M1255" s="5">
        <v>46013.0</v>
      </c>
      <c r="N1255" s="6" t="s">
        <v>54</v>
      </c>
      <c r="O1255" s="6" t="str">
        <f>SUMIFS([1]order_sku_sales_bb2_report!P:P,[1]order_sku_sales_bb2_report!H:H,C29067,[1]order_sku_sales_bb2_report!J:J,H29067)</f>
        <v>#ERROR!</v>
      </c>
      <c r="P1255" s="6" t="str">
        <f>SUMIFS([1]order_sku_sales_bb2_report!O:O,[1]order_sku_sales_bb2_report!H:H,C29067,[1]order_sku_sales_bb2_report!J:J,H29067)</f>
        <v>#ERROR!</v>
      </c>
      <c r="Q1255" s="6" t="str">
        <f t="shared" si="1"/>
        <v>22-12-2025</v>
      </c>
      <c r="R1255" s="6" t="str">
        <f>IFERROR( VLOOKUP(C29067,[1]expressOrderReport!$S:$AZ,34,0),0)</f>
        <v>#ERROR!</v>
      </c>
      <c r="S1255" s="6" t="str">
        <f>ARRAY_CONSTRAIN(ARRAYFORMULA(_xludf.XLOOKUP(D29067,[1]order_Report_SA_ID_BB2.0!V:V,[1]order_Report_SA_ID_BB2.0!AM:AM,"")), 1, 1)</f>
        <v>#ERROR!</v>
      </c>
      <c r="T1255" s="6" t="str">
        <f t="shared" si="2"/>
        <v>Dec'25</v>
      </c>
    </row>
    <row r="1256" ht="15.75" customHeight="1">
      <c r="A1256" s="5">
        <v>46013.0</v>
      </c>
      <c r="B1256" s="6">
        <v>9310.0</v>
      </c>
      <c r="C1256" s="6">
        <v>1.859165565E9</v>
      </c>
      <c r="D1256" s="6">
        <v>1.6382791E7</v>
      </c>
      <c r="E1256" s="6" t="s">
        <v>1963</v>
      </c>
      <c r="F1256" s="6" t="s">
        <v>1964</v>
      </c>
      <c r="G1256" s="6">
        <v>9.845302225E9</v>
      </c>
      <c r="H1256" s="6">
        <v>4.0149832E7</v>
      </c>
      <c r="I1256" s="6" t="s">
        <v>26</v>
      </c>
      <c r="J1256" s="6" t="s">
        <v>21</v>
      </c>
      <c r="K1256" s="6" t="s">
        <v>22</v>
      </c>
      <c r="L1256" s="6">
        <v>24.0</v>
      </c>
      <c r="M1256" s="5">
        <v>46013.0</v>
      </c>
      <c r="N1256" s="6" t="s">
        <v>23</v>
      </c>
      <c r="O1256" s="6" t="str">
        <f>SUMIFS([1]order_sku_sales_bb2_report!P:P,[1]order_sku_sales_bb2_report!H:H,C29068,[1]order_sku_sales_bb2_report!J:J,H29068)</f>
        <v>#ERROR!</v>
      </c>
      <c r="P1256" s="6" t="str">
        <f>SUMIFS([1]order_sku_sales_bb2_report!O:O,[1]order_sku_sales_bb2_report!H:H,C29068,[1]order_sku_sales_bb2_report!J:J,H29068)</f>
        <v>#ERROR!</v>
      </c>
      <c r="Q1256" s="6" t="str">
        <f t="shared" si="1"/>
        <v>22-12-2025</v>
      </c>
      <c r="R1256" s="6" t="str">
        <f>IFERROR( VLOOKUP(C29068,[1]expressOrderReport!$S:$AZ,34,0),0)</f>
        <v>#ERROR!</v>
      </c>
      <c r="S1256" s="6" t="str">
        <f>ARRAY_CONSTRAIN(ARRAYFORMULA(_xludf.XLOOKUP(D29068,[1]order_Report_SA_ID_BB2.0!V:V,[1]order_Report_SA_ID_BB2.0!AM:AM,"")), 1, 1)</f>
        <v>#ERROR!</v>
      </c>
      <c r="T1256" s="6" t="str">
        <f t="shared" si="2"/>
        <v>Dec'25</v>
      </c>
    </row>
    <row r="1257" ht="15.75" customHeight="1">
      <c r="A1257" s="5">
        <v>46013.0</v>
      </c>
      <c r="B1257" s="6">
        <v>9358.0</v>
      </c>
      <c r="C1257" s="6">
        <v>1.85916557E9</v>
      </c>
      <c r="D1257" s="6">
        <v>3.3853929E7</v>
      </c>
      <c r="E1257" s="6" t="s">
        <v>1965</v>
      </c>
      <c r="F1257" s="6" t="s">
        <v>1966</v>
      </c>
      <c r="G1257" s="6">
        <v>7.760674007E9</v>
      </c>
      <c r="H1257" s="6">
        <v>4.0054183E7</v>
      </c>
      <c r="I1257" s="6" t="s">
        <v>157</v>
      </c>
      <c r="J1257" s="6" t="s">
        <v>21</v>
      </c>
      <c r="K1257" s="6" t="s">
        <v>22</v>
      </c>
      <c r="L1257" s="6">
        <v>11.09</v>
      </c>
      <c r="M1257" s="5">
        <v>46013.0</v>
      </c>
      <c r="N1257" s="6" t="s">
        <v>23</v>
      </c>
      <c r="O1257" s="6" t="str">
        <f>SUMIFS([1]order_sku_sales_bb2_report!P:P,[1]order_sku_sales_bb2_report!H:H,C29069,[1]order_sku_sales_bb2_report!J:J,H29069)</f>
        <v>#ERROR!</v>
      </c>
      <c r="P1257" s="6" t="str">
        <f>SUMIFS([1]order_sku_sales_bb2_report!O:O,[1]order_sku_sales_bb2_report!H:H,C29069,[1]order_sku_sales_bb2_report!J:J,H29069)</f>
        <v>#ERROR!</v>
      </c>
      <c r="Q1257" s="6" t="str">
        <f t="shared" si="1"/>
        <v>22-12-2025</v>
      </c>
      <c r="R1257" s="6" t="str">
        <f>IFERROR( VLOOKUP(C29069,[1]expressOrderReport!$S:$AZ,34,0),0)</f>
        <v>#ERROR!</v>
      </c>
      <c r="S1257" s="6" t="str">
        <f>ARRAY_CONSTRAIN(ARRAYFORMULA(_xludf.XLOOKUP(D29069,[1]order_Report_SA_ID_BB2.0!V:V,[1]order_Report_SA_ID_BB2.0!AM:AM,"")), 1, 1)</f>
        <v>#ERROR!</v>
      </c>
      <c r="T1257" s="6" t="str">
        <f t="shared" si="2"/>
        <v>Dec'25</v>
      </c>
    </row>
    <row r="1258" ht="15.75" customHeight="1">
      <c r="A1258" s="5">
        <v>46013.0</v>
      </c>
      <c r="B1258" s="6">
        <v>9360.0</v>
      </c>
      <c r="C1258" s="6">
        <v>1.859165581E9</v>
      </c>
      <c r="D1258" s="6">
        <v>2251977.0</v>
      </c>
      <c r="E1258" s="6" t="s">
        <v>625</v>
      </c>
      <c r="F1258" s="6" t="s">
        <v>1967</v>
      </c>
      <c r="G1258" s="6">
        <v>9.880966137E9</v>
      </c>
      <c r="H1258" s="6">
        <v>4.0149832E7</v>
      </c>
      <c r="I1258" s="6" t="s">
        <v>26</v>
      </c>
      <c r="J1258" s="6" t="s">
        <v>21</v>
      </c>
      <c r="K1258" s="6" t="s">
        <v>22</v>
      </c>
      <c r="L1258" s="6">
        <v>24.0</v>
      </c>
      <c r="M1258" s="5">
        <v>46013.0</v>
      </c>
      <c r="N1258" s="6" t="s">
        <v>23</v>
      </c>
      <c r="O1258" s="6" t="str">
        <f>SUMIFS([1]order_sku_sales_bb2_report!P:P,[1]order_sku_sales_bb2_report!H:H,C29070,[1]order_sku_sales_bb2_report!J:J,H29070)</f>
        <v>#ERROR!</v>
      </c>
      <c r="P1258" s="6" t="str">
        <f>SUMIFS([1]order_sku_sales_bb2_report!O:O,[1]order_sku_sales_bb2_report!H:H,C29070,[1]order_sku_sales_bb2_report!J:J,H29070)</f>
        <v>#ERROR!</v>
      </c>
      <c r="Q1258" s="6" t="str">
        <f t="shared" si="1"/>
        <v>22-12-2025</v>
      </c>
      <c r="R1258" s="6" t="str">
        <f>IFERROR( VLOOKUP(C29070,[1]expressOrderReport!$S:$AZ,34,0),0)</f>
        <v>#ERROR!</v>
      </c>
      <c r="S1258" s="6" t="str">
        <f>ARRAY_CONSTRAIN(ARRAYFORMULA(_xludf.XLOOKUP(D29070,[1]order_Report_SA_ID_BB2.0!V:V,[1]order_Report_SA_ID_BB2.0!AM:AM,"")), 1, 1)</f>
        <v>#ERROR!</v>
      </c>
      <c r="T1258" s="6" t="str">
        <f t="shared" si="2"/>
        <v>Dec'25</v>
      </c>
    </row>
    <row r="1259" ht="15.75" customHeight="1">
      <c r="A1259" s="5">
        <v>46013.0</v>
      </c>
      <c r="B1259" s="6">
        <v>9379.0</v>
      </c>
      <c r="C1259" s="6">
        <v>1.859165594E9</v>
      </c>
      <c r="D1259" s="6">
        <v>2.2347977E7</v>
      </c>
      <c r="E1259" s="6" t="s">
        <v>1968</v>
      </c>
      <c r="F1259" s="6" t="s">
        <v>1969</v>
      </c>
      <c r="G1259" s="6">
        <v>9.916923814E9</v>
      </c>
      <c r="H1259" s="6">
        <v>4.0148716E7</v>
      </c>
      <c r="I1259" s="6" t="s">
        <v>148</v>
      </c>
      <c r="J1259" s="6" t="s">
        <v>21</v>
      </c>
      <c r="K1259" s="6" t="s">
        <v>22</v>
      </c>
      <c r="L1259" s="6">
        <v>90.0</v>
      </c>
      <c r="M1259" s="5">
        <v>46013.0</v>
      </c>
      <c r="N1259" s="6" t="s">
        <v>23</v>
      </c>
      <c r="O1259" s="6" t="str">
        <f>SUMIFS([1]order_sku_sales_bb2_report!P:P,[1]order_sku_sales_bb2_report!H:H,C29071,[1]order_sku_sales_bb2_report!J:J,H29071)</f>
        <v>#ERROR!</v>
      </c>
      <c r="P1259" s="6" t="str">
        <f>SUMIFS([1]order_sku_sales_bb2_report!O:O,[1]order_sku_sales_bb2_report!H:H,C29071,[1]order_sku_sales_bb2_report!J:J,H29071)</f>
        <v>#ERROR!</v>
      </c>
      <c r="Q1259" s="6" t="str">
        <f t="shared" si="1"/>
        <v>22-12-2025</v>
      </c>
      <c r="R1259" s="6" t="str">
        <f>IFERROR( VLOOKUP(C29071,[1]expressOrderReport!$S:$AZ,34,0),0)</f>
        <v>#ERROR!</v>
      </c>
      <c r="S1259" s="6" t="str">
        <f>ARRAY_CONSTRAIN(ARRAYFORMULA(_xludf.XLOOKUP(D29071,[1]order_Report_SA_ID_BB2.0!V:V,[1]order_Report_SA_ID_BB2.0!AM:AM,"")), 1, 1)</f>
        <v>#ERROR!</v>
      </c>
      <c r="T1259" s="6" t="str">
        <f t="shared" si="2"/>
        <v>Dec'25</v>
      </c>
    </row>
    <row r="1260" ht="15.75" customHeight="1">
      <c r="A1260" s="5">
        <v>46013.0</v>
      </c>
      <c r="B1260" s="6">
        <v>9412.0</v>
      </c>
      <c r="C1260" s="6">
        <v>1.859165608E9</v>
      </c>
      <c r="D1260" s="6">
        <v>1068652.0</v>
      </c>
      <c r="E1260" s="6" t="s">
        <v>1970</v>
      </c>
      <c r="F1260" s="6" t="s">
        <v>1971</v>
      </c>
      <c r="G1260" s="6">
        <v>9.972030729E9</v>
      </c>
      <c r="H1260" s="6">
        <v>4.0149833E7</v>
      </c>
      <c r="I1260" s="6" t="s">
        <v>40</v>
      </c>
      <c r="J1260" s="6" t="s">
        <v>21</v>
      </c>
      <c r="K1260" s="6" t="s">
        <v>22</v>
      </c>
      <c r="L1260" s="6">
        <v>54.0</v>
      </c>
      <c r="M1260" s="5">
        <v>46013.0</v>
      </c>
      <c r="N1260" s="6" t="s">
        <v>23</v>
      </c>
      <c r="O1260" s="6" t="str">
        <f>SUMIFS([1]order_sku_sales_bb2_report!P:P,[1]order_sku_sales_bb2_report!H:H,C29072,[1]order_sku_sales_bb2_report!J:J,H29072)</f>
        <v>#ERROR!</v>
      </c>
      <c r="P1260" s="6" t="str">
        <f>SUMIFS([1]order_sku_sales_bb2_report!O:O,[1]order_sku_sales_bb2_report!H:H,C29072,[1]order_sku_sales_bb2_report!J:J,H29072)</f>
        <v>#ERROR!</v>
      </c>
      <c r="Q1260" s="6" t="str">
        <f t="shared" si="1"/>
        <v>22-12-2025</v>
      </c>
      <c r="R1260" s="6" t="str">
        <f>IFERROR( VLOOKUP(C29072,[1]expressOrderReport!$S:$AZ,34,0),0)</f>
        <v>#ERROR!</v>
      </c>
      <c r="S1260" s="6" t="str">
        <f>ARRAY_CONSTRAIN(ARRAYFORMULA(_xludf.XLOOKUP(D29072,[1]order_Report_SA_ID_BB2.0!V:V,[1]order_Report_SA_ID_BB2.0!AM:AM,"")), 1, 1)</f>
        <v>#ERROR!</v>
      </c>
      <c r="T1260" s="6" t="str">
        <f t="shared" si="2"/>
        <v>Dec'25</v>
      </c>
    </row>
    <row r="1261" ht="15.75" customHeight="1">
      <c r="A1261" s="5">
        <v>46013.0</v>
      </c>
      <c r="B1261" s="6">
        <v>9426.0</v>
      </c>
      <c r="C1261" s="6">
        <v>1.859165625E9</v>
      </c>
      <c r="D1261" s="6">
        <v>2.8016283E7</v>
      </c>
      <c r="E1261" s="6" t="s">
        <v>625</v>
      </c>
      <c r="F1261" s="6" t="s">
        <v>1972</v>
      </c>
      <c r="G1261" s="6">
        <v>8.861125925E9</v>
      </c>
      <c r="H1261" s="6">
        <v>4.0149834E7</v>
      </c>
      <c r="I1261" s="6" t="s">
        <v>40</v>
      </c>
      <c r="J1261" s="6" t="s">
        <v>21</v>
      </c>
      <c r="K1261" s="6" t="s">
        <v>22</v>
      </c>
      <c r="L1261" s="6">
        <v>52.0</v>
      </c>
      <c r="M1261" s="5">
        <v>46013.0</v>
      </c>
      <c r="N1261" s="6" t="s">
        <v>23</v>
      </c>
      <c r="O1261" s="6" t="str">
        <f>SUMIFS([1]order_sku_sales_bb2_report!P:P,[1]order_sku_sales_bb2_report!H:H,C29073,[1]order_sku_sales_bb2_report!J:J,H29073)</f>
        <v>#ERROR!</v>
      </c>
      <c r="P1261" s="6" t="str">
        <f>SUMIFS([1]order_sku_sales_bb2_report!O:O,[1]order_sku_sales_bb2_report!H:H,C29073,[1]order_sku_sales_bb2_report!J:J,H29073)</f>
        <v>#ERROR!</v>
      </c>
      <c r="Q1261" s="6" t="str">
        <f t="shared" si="1"/>
        <v>22-12-2025</v>
      </c>
      <c r="R1261" s="6" t="str">
        <f>IFERROR( VLOOKUP(C29073,[1]expressOrderReport!$S:$AZ,34,0),0)</f>
        <v>#ERROR!</v>
      </c>
      <c r="S1261" s="6" t="str">
        <f>ARRAY_CONSTRAIN(ARRAYFORMULA(_xludf.XLOOKUP(D29073,[1]order_Report_SA_ID_BB2.0!V:V,[1]order_Report_SA_ID_BB2.0!AM:AM,"")), 1, 1)</f>
        <v>#ERROR!</v>
      </c>
      <c r="T1261" s="6" t="str">
        <f t="shared" si="2"/>
        <v>Dec'25</v>
      </c>
    </row>
    <row r="1262" ht="15.75" customHeight="1">
      <c r="A1262" s="5">
        <v>46013.0</v>
      </c>
      <c r="B1262" s="6">
        <v>9428.0</v>
      </c>
      <c r="C1262" s="6">
        <v>1.859165625E9</v>
      </c>
      <c r="D1262" s="6">
        <v>2.8016283E7</v>
      </c>
      <c r="E1262" s="6" t="s">
        <v>625</v>
      </c>
      <c r="F1262" s="6" t="s">
        <v>1972</v>
      </c>
      <c r="G1262" s="6">
        <v>8.861125925E9</v>
      </c>
      <c r="H1262" s="6">
        <v>4.0115858E7</v>
      </c>
      <c r="I1262" s="6" t="s">
        <v>1973</v>
      </c>
      <c r="J1262" s="6" t="s">
        <v>21</v>
      </c>
      <c r="K1262" s="6" t="s">
        <v>22</v>
      </c>
      <c r="L1262" s="6">
        <v>52.0</v>
      </c>
      <c r="M1262" s="5">
        <v>46013.0</v>
      </c>
      <c r="N1262" s="6" t="s">
        <v>23</v>
      </c>
      <c r="O1262" s="6" t="str">
        <f>SUMIFS([1]order_sku_sales_bb2_report!P:P,[1]order_sku_sales_bb2_report!H:H,C29074,[1]order_sku_sales_bb2_report!J:J,H29074)</f>
        <v>#ERROR!</v>
      </c>
      <c r="P1262" s="6" t="str">
        <f>SUMIFS([1]order_sku_sales_bb2_report!O:O,[1]order_sku_sales_bb2_report!H:H,C29074,[1]order_sku_sales_bb2_report!J:J,H29074)</f>
        <v>#ERROR!</v>
      </c>
      <c r="Q1262" s="6" t="str">
        <f t="shared" si="1"/>
        <v>22-12-2025</v>
      </c>
      <c r="R1262" s="6" t="str">
        <f>IFERROR( VLOOKUP(C29074,[1]expressOrderReport!$S:$AZ,34,0),0)</f>
        <v>#ERROR!</v>
      </c>
      <c r="S1262" s="6" t="str">
        <f>ARRAY_CONSTRAIN(ARRAYFORMULA(_xludf.XLOOKUP(D29074,[1]order_Report_SA_ID_BB2.0!V:V,[1]order_Report_SA_ID_BB2.0!AM:AM,"")), 1, 1)</f>
        <v>#ERROR!</v>
      </c>
      <c r="T1262" s="6" t="str">
        <f t="shared" si="2"/>
        <v>Dec'25</v>
      </c>
    </row>
    <row r="1263" ht="15.75" customHeight="1">
      <c r="A1263" s="5">
        <v>46013.0</v>
      </c>
      <c r="B1263" s="6">
        <v>9435.0</v>
      </c>
      <c r="C1263" s="6">
        <v>1.859165639E9</v>
      </c>
      <c r="D1263" s="6">
        <v>3.5728514E7</v>
      </c>
      <c r="E1263" s="6" t="s">
        <v>625</v>
      </c>
      <c r="F1263" s="6" t="s">
        <v>1974</v>
      </c>
      <c r="G1263" s="6">
        <v>9.84553523E9</v>
      </c>
      <c r="H1263" s="6">
        <v>4.0057966E7</v>
      </c>
      <c r="I1263" s="6" t="s">
        <v>173</v>
      </c>
      <c r="J1263" s="6" t="s">
        <v>21</v>
      </c>
      <c r="K1263" s="6" t="s">
        <v>22</v>
      </c>
      <c r="L1263" s="6">
        <v>53.6</v>
      </c>
      <c r="M1263" s="5">
        <v>46013.0</v>
      </c>
      <c r="N1263" s="6" t="s">
        <v>23</v>
      </c>
      <c r="O1263" s="6" t="str">
        <f>SUMIFS([1]order_sku_sales_bb2_report!P:P,[1]order_sku_sales_bb2_report!H:H,C29075,[1]order_sku_sales_bb2_report!J:J,H29075)</f>
        <v>#ERROR!</v>
      </c>
      <c r="P1263" s="6" t="str">
        <f>SUMIFS([1]order_sku_sales_bb2_report!O:O,[1]order_sku_sales_bb2_report!H:H,C29075,[1]order_sku_sales_bb2_report!J:J,H29075)</f>
        <v>#ERROR!</v>
      </c>
      <c r="Q1263" s="6" t="str">
        <f t="shared" si="1"/>
        <v>22-12-2025</v>
      </c>
      <c r="R1263" s="6" t="str">
        <f>IFERROR( VLOOKUP(C29075,[1]expressOrderReport!$S:$AZ,34,0),0)</f>
        <v>#ERROR!</v>
      </c>
      <c r="S1263" s="6" t="str">
        <f>ARRAY_CONSTRAIN(ARRAYFORMULA(_xludf.XLOOKUP(D29075,[1]order_Report_SA_ID_BB2.0!V:V,[1]order_Report_SA_ID_BB2.0!AM:AM,"")), 1, 1)</f>
        <v>#ERROR!</v>
      </c>
      <c r="T1263" s="6" t="str">
        <f t="shared" si="2"/>
        <v>Dec'25</v>
      </c>
    </row>
    <row r="1264" ht="15.75" customHeight="1">
      <c r="A1264" s="5">
        <v>46013.0</v>
      </c>
      <c r="B1264" s="6">
        <v>9442.0</v>
      </c>
      <c r="C1264" s="6">
        <v>1.859165648E9</v>
      </c>
      <c r="D1264" s="6">
        <v>4.0668296E7</v>
      </c>
      <c r="E1264" s="6" t="s">
        <v>1975</v>
      </c>
      <c r="F1264" s="6" t="s">
        <v>1976</v>
      </c>
      <c r="G1264" s="6">
        <v>8.088428665E9</v>
      </c>
      <c r="H1264" s="6">
        <v>4.014983E7</v>
      </c>
      <c r="I1264" s="6" t="s">
        <v>30</v>
      </c>
      <c r="J1264" s="6" t="s">
        <v>21</v>
      </c>
      <c r="K1264" s="6" t="s">
        <v>22</v>
      </c>
      <c r="L1264" s="6">
        <v>52.0</v>
      </c>
      <c r="M1264" s="5">
        <v>46013.0</v>
      </c>
      <c r="N1264" s="6" t="s">
        <v>23</v>
      </c>
      <c r="O1264" s="6" t="str">
        <f>SUMIFS([1]order_sku_sales_bb2_report!P:P,[1]order_sku_sales_bb2_report!H:H,C29076,[1]order_sku_sales_bb2_report!J:J,H29076)</f>
        <v>#ERROR!</v>
      </c>
      <c r="P1264" s="6" t="str">
        <f>SUMIFS([1]order_sku_sales_bb2_report!O:O,[1]order_sku_sales_bb2_report!H:H,C29076,[1]order_sku_sales_bb2_report!J:J,H29076)</f>
        <v>#ERROR!</v>
      </c>
      <c r="Q1264" s="6" t="str">
        <f t="shared" si="1"/>
        <v>22-12-2025</v>
      </c>
      <c r="R1264" s="6" t="str">
        <f>IFERROR( VLOOKUP(C29076,[1]expressOrderReport!$S:$AZ,34,0),0)</f>
        <v>#ERROR!</v>
      </c>
      <c r="S1264" s="6" t="str">
        <f>ARRAY_CONSTRAIN(ARRAYFORMULA(_xludf.XLOOKUP(D29076,[1]order_Report_SA_ID_BB2.0!V:V,[1]order_Report_SA_ID_BB2.0!AM:AM,"")), 1, 1)</f>
        <v>#ERROR!</v>
      </c>
      <c r="T1264" s="6" t="str">
        <f t="shared" si="2"/>
        <v>Dec'25</v>
      </c>
    </row>
    <row r="1265" ht="15.75" customHeight="1">
      <c r="A1265" s="5">
        <v>46013.0</v>
      </c>
      <c r="B1265" s="6">
        <v>9443.0</v>
      </c>
      <c r="C1265" s="6">
        <v>1.859165648E9</v>
      </c>
      <c r="D1265" s="6">
        <v>4.0668296E7</v>
      </c>
      <c r="E1265" s="6" t="s">
        <v>1975</v>
      </c>
      <c r="F1265" s="6" t="s">
        <v>1976</v>
      </c>
      <c r="G1265" s="6">
        <v>8.088428665E9</v>
      </c>
      <c r="H1265" s="6">
        <v>4.0149832E7</v>
      </c>
      <c r="I1265" s="6" t="s">
        <v>26</v>
      </c>
      <c r="J1265" s="6" t="s">
        <v>21</v>
      </c>
      <c r="K1265" s="6" t="s">
        <v>22</v>
      </c>
      <c r="L1265" s="6">
        <v>52.0</v>
      </c>
      <c r="M1265" s="5">
        <v>46013.0</v>
      </c>
      <c r="N1265" s="6" t="s">
        <v>23</v>
      </c>
      <c r="O1265" s="6" t="str">
        <f>SUMIFS([1]order_sku_sales_bb2_report!P:P,[1]order_sku_sales_bb2_report!H:H,C29077,[1]order_sku_sales_bb2_report!J:J,H29077)</f>
        <v>#ERROR!</v>
      </c>
      <c r="P1265" s="6" t="str">
        <f>SUMIFS([1]order_sku_sales_bb2_report!O:O,[1]order_sku_sales_bb2_report!H:H,C29077,[1]order_sku_sales_bb2_report!J:J,H29077)</f>
        <v>#ERROR!</v>
      </c>
      <c r="Q1265" s="6" t="str">
        <f t="shared" si="1"/>
        <v>22-12-2025</v>
      </c>
      <c r="R1265" s="6" t="str">
        <f>IFERROR( VLOOKUP(C29077,[1]expressOrderReport!$S:$AZ,34,0),0)</f>
        <v>#ERROR!</v>
      </c>
      <c r="S1265" s="6" t="str">
        <f>ARRAY_CONSTRAIN(ARRAYFORMULA(_xludf.XLOOKUP(D29077,[1]order_Report_SA_ID_BB2.0!V:V,[1]order_Report_SA_ID_BB2.0!AM:AM,"")), 1, 1)</f>
        <v>#ERROR!</v>
      </c>
      <c r="T1265" s="6" t="str">
        <f t="shared" si="2"/>
        <v>Dec'25</v>
      </c>
    </row>
    <row r="1266" ht="15.75" customHeight="1">
      <c r="A1266" s="5">
        <v>46013.0</v>
      </c>
      <c r="B1266" s="6">
        <v>9981.0</v>
      </c>
      <c r="C1266" s="6">
        <v>1.859165662E9</v>
      </c>
      <c r="D1266" s="6">
        <v>8970277.0</v>
      </c>
      <c r="E1266" s="6" t="s">
        <v>1977</v>
      </c>
      <c r="F1266" s="6" t="s">
        <v>1978</v>
      </c>
      <c r="G1266" s="6">
        <v>8.951629844E9</v>
      </c>
      <c r="H1266" s="6">
        <v>4.014983E7</v>
      </c>
      <c r="I1266" s="6" t="s">
        <v>30</v>
      </c>
      <c r="J1266" s="6" t="s">
        <v>21</v>
      </c>
      <c r="K1266" s="6" t="s">
        <v>22</v>
      </c>
      <c r="L1266" s="6">
        <v>54.0</v>
      </c>
      <c r="M1266" s="5">
        <v>46013.0</v>
      </c>
      <c r="N1266" s="6" t="s">
        <v>23</v>
      </c>
      <c r="O1266" s="6" t="str">
        <f>SUMIFS([1]order_sku_sales_bb2_report!P:P,[1]order_sku_sales_bb2_report!H:H,C29078,[1]order_sku_sales_bb2_report!J:J,H29078)</f>
        <v>#ERROR!</v>
      </c>
      <c r="P1266" s="6" t="str">
        <f>SUMIFS([1]order_sku_sales_bb2_report!O:O,[1]order_sku_sales_bb2_report!H:H,C29078,[1]order_sku_sales_bb2_report!J:J,H29078)</f>
        <v>#ERROR!</v>
      </c>
      <c r="Q1266" s="6" t="str">
        <f t="shared" si="1"/>
        <v>22-12-2025</v>
      </c>
      <c r="R1266" s="6" t="str">
        <f>IFERROR( VLOOKUP(C29078,[1]expressOrderReport!$S:$AZ,34,0),0)</f>
        <v>#ERROR!</v>
      </c>
      <c r="S1266" s="6" t="str">
        <f>ARRAY_CONSTRAIN(ARRAYFORMULA(_xludf.XLOOKUP(D29078,[1]order_Report_SA_ID_BB2.0!V:V,[1]order_Report_SA_ID_BB2.0!AM:AM,"")), 1, 1)</f>
        <v>#ERROR!</v>
      </c>
      <c r="T1266" s="6" t="str">
        <f t="shared" si="2"/>
        <v>Dec'25</v>
      </c>
    </row>
    <row r="1267" ht="15.75" customHeight="1">
      <c r="A1267" s="5">
        <v>46013.0</v>
      </c>
      <c r="B1267" s="6">
        <v>9982.0</v>
      </c>
      <c r="C1267" s="6">
        <v>1.859165662E9</v>
      </c>
      <c r="D1267" s="6">
        <v>8970277.0</v>
      </c>
      <c r="E1267" s="6" t="s">
        <v>1977</v>
      </c>
      <c r="F1267" s="6" t="s">
        <v>1978</v>
      </c>
      <c r="G1267" s="6">
        <v>8.951629844E9</v>
      </c>
      <c r="H1267" s="6">
        <v>4.0149831E7</v>
      </c>
      <c r="I1267" s="6" t="s">
        <v>65</v>
      </c>
      <c r="J1267" s="6" t="s">
        <v>21</v>
      </c>
      <c r="K1267" s="6" t="s">
        <v>22</v>
      </c>
      <c r="L1267" s="6">
        <v>54.0</v>
      </c>
      <c r="M1267" s="5">
        <v>46013.0</v>
      </c>
      <c r="N1267" s="6" t="s">
        <v>23</v>
      </c>
      <c r="O1267" s="6" t="str">
        <f>SUMIFS([1]order_sku_sales_bb2_report!P:P,[1]order_sku_sales_bb2_report!H:H,C29079,[1]order_sku_sales_bb2_report!J:J,H29079)</f>
        <v>#ERROR!</v>
      </c>
      <c r="P1267" s="6" t="str">
        <f>SUMIFS([1]order_sku_sales_bb2_report!O:O,[1]order_sku_sales_bb2_report!H:H,C29079,[1]order_sku_sales_bb2_report!J:J,H29079)</f>
        <v>#ERROR!</v>
      </c>
      <c r="Q1267" s="6" t="str">
        <f t="shared" si="1"/>
        <v>22-12-2025</v>
      </c>
      <c r="R1267" s="6" t="str">
        <f>IFERROR( VLOOKUP(C29079,[1]expressOrderReport!$S:$AZ,34,0),0)</f>
        <v>#ERROR!</v>
      </c>
      <c r="S1267" s="6" t="str">
        <f>ARRAY_CONSTRAIN(ARRAYFORMULA(_xludf.XLOOKUP(D29079,[1]order_Report_SA_ID_BB2.0!V:V,[1]order_Report_SA_ID_BB2.0!AM:AM,"")), 1, 1)</f>
        <v>#ERROR!</v>
      </c>
      <c r="T1267" s="6" t="str">
        <f t="shared" si="2"/>
        <v>Dec'25</v>
      </c>
    </row>
    <row r="1268" ht="15.75" customHeight="1">
      <c r="A1268" s="5">
        <v>46013.0</v>
      </c>
      <c r="B1268" s="6">
        <v>9454.0</v>
      </c>
      <c r="C1268" s="6">
        <v>1.859165675E9</v>
      </c>
      <c r="D1268" s="6">
        <v>9777442.0</v>
      </c>
      <c r="E1268" s="6" t="s">
        <v>1979</v>
      </c>
      <c r="F1268" s="6" t="s">
        <v>1980</v>
      </c>
      <c r="G1268" s="6">
        <v>9.945644004E9</v>
      </c>
      <c r="H1268" s="6">
        <v>4.0149831E7</v>
      </c>
      <c r="I1268" s="6" t="s">
        <v>65</v>
      </c>
      <c r="J1268" s="6" t="s">
        <v>21</v>
      </c>
      <c r="K1268" s="6" t="s">
        <v>22</v>
      </c>
      <c r="L1268" s="6">
        <v>52.0</v>
      </c>
      <c r="M1268" s="5">
        <v>46013.0</v>
      </c>
      <c r="N1268" s="6" t="s">
        <v>23</v>
      </c>
      <c r="O1268" s="6" t="str">
        <f>SUMIFS([1]order_sku_sales_bb2_report!P:P,[1]order_sku_sales_bb2_report!H:H,C29080,[1]order_sku_sales_bb2_report!J:J,H29080)</f>
        <v>#ERROR!</v>
      </c>
      <c r="P1268" s="6" t="str">
        <f>SUMIFS([1]order_sku_sales_bb2_report!O:O,[1]order_sku_sales_bb2_report!H:H,C29080,[1]order_sku_sales_bb2_report!J:J,H29080)</f>
        <v>#ERROR!</v>
      </c>
      <c r="Q1268" s="6" t="str">
        <f t="shared" si="1"/>
        <v>22-12-2025</v>
      </c>
      <c r="R1268" s="6" t="str">
        <f>IFERROR( VLOOKUP(C29080,[1]expressOrderReport!$S:$AZ,34,0),0)</f>
        <v>#ERROR!</v>
      </c>
      <c r="S1268" s="6" t="str">
        <f>ARRAY_CONSTRAIN(ARRAYFORMULA(_xludf.XLOOKUP(D29080,[1]order_Report_SA_ID_BB2.0!V:V,[1]order_Report_SA_ID_BB2.0!AM:AM,"")), 1, 1)</f>
        <v>#ERROR!</v>
      </c>
      <c r="T1268" s="6" t="str">
        <f t="shared" si="2"/>
        <v>Dec'25</v>
      </c>
    </row>
    <row r="1269" ht="15.75" customHeight="1">
      <c r="A1269" s="5">
        <v>46013.0</v>
      </c>
      <c r="B1269" s="6">
        <v>9462.0</v>
      </c>
      <c r="C1269" s="6">
        <v>1.859165687E9</v>
      </c>
      <c r="D1269" s="6">
        <v>1.2063931E7</v>
      </c>
      <c r="E1269" s="6" t="s">
        <v>1981</v>
      </c>
      <c r="F1269" s="6" t="s">
        <v>1982</v>
      </c>
      <c r="G1269" s="6">
        <v>9.941768983E9</v>
      </c>
      <c r="H1269" s="6">
        <v>4.0149832E7</v>
      </c>
      <c r="I1269" s="6" t="s">
        <v>26</v>
      </c>
      <c r="J1269" s="6" t="s">
        <v>21</v>
      </c>
      <c r="K1269" s="6" t="s">
        <v>22</v>
      </c>
      <c r="L1269" s="6">
        <v>72.0</v>
      </c>
      <c r="M1269" s="5">
        <v>46013.0</v>
      </c>
      <c r="N1269" s="6" t="s">
        <v>23</v>
      </c>
      <c r="O1269" s="6" t="str">
        <f>SUMIFS([1]order_sku_sales_bb2_report!P:P,[1]order_sku_sales_bb2_report!H:H,C29081,[1]order_sku_sales_bb2_report!J:J,H29081)</f>
        <v>#ERROR!</v>
      </c>
      <c r="P1269" s="6" t="str">
        <f>SUMIFS([1]order_sku_sales_bb2_report!O:O,[1]order_sku_sales_bb2_report!H:H,C29081,[1]order_sku_sales_bb2_report!J:J,H29081)</f>
        <v>#ERROR!</v>
      </c>
      <c r="Q1269" s="6" t="str">
        <f t="shared" si="1"/>
        <v>22-12-2025</v>
      </c>
      <c r="R1269" s="6" t="str">
        <f>IFERROR( VLOOKUP(C29081,[1]expressOrderReport!$S:$AZ,34,0),0)</f>
        <v>#ERROR!</v>
      </c>
      <c r="S1269" s="6" t="str">
        <f>ARRAY_CONSTRAIN(ARRAYFORMULA(_xludf.XLOOKUP(D29081,[1]order_Report_SA_ID_BB2.0!V:V,[1]order_Report_SA_ID_BB2.0!AM:AM,"")), 1, 1)</f>
        <v>#ERROR!</v>
      </c>
      <c r="T1269" s="6" t="str">
        <f t="shared" si="2"/>
        <v>Dec'25</v>
      </c>
    </row>
    <row r="1270" ht="15.75" customHeight="1">
      <c r="A1270" s="5">
        <v>46013.0</v>
      </c>
      <c r="B1270" s="6">
        <v>9500.0</v>
      </c>
      <c r="C1270" s="6">
        <v>1.859165697E9</v>
      </c>
      <c r="D1270" s="6">
        <v>970853.0</v>
      </c>
      <c r="E1270" s="6" t="s">
        <v>1983</v>
      </c>
      <c r="F1270" s="6" t="s">
        <v>1984</v>
      </c>
      <c r="G1270" s="6">
        <v>9.560087248E9</v>
      </c>
      <c r="H1270" s="6">
        <v>4.0240136E7</v>
      </c>
      <c r="I1270" s="6" t="s">
        <v>1985</v>
      </c>
      <c r="J1270" s="6" t="s">
        <v>21</v>
      </c>
      <c r="K1270" s="6" t="s">
        <v>22</v>
      </c>
      <c r="L1270" s="6">
        <v>87.0</v>
      </c>
      <c r="M1270" s="5">
        <v>46013.0</v>
      </c>
      <c r="N1270" s="6" t="s">
        <v>23</v>
      </c>
      <c r="O1270" s="6" t="str">
        <f>SUMIFS([1]order_sku_sales_bb2_report!P:P,[1]order_sku_sales_bb2_report!H:H,C29082,[1]order_sku_sales_bb2_report!J:J,H29082)</f>
        <v>#ERROR!</v>
      </c>
      <c r="P1270" s="6" t="str">
        <f>SUMIFS([1]order_sku_sales_bb2_report!O:O,[1]order_sku_sales_bb2_report!H:H,C29082,[1]order_sku_sales_bb2_report!J:J,H29082)</f>
        <v>#ERROR!</v>
      </c>
      <c r="Q1270" s="6" t="str">
        <f t="shared" si="1"/>
        <v>22-12-2025</v>
      </c>
      <c r="R1270" s="6" t="str">
        <f>IFERROR( VLOOKUP(C29082,[1]expressOrderReport!$S:$AZ,34,0),0)</f>
        <v>#ERROR!</v>
      </c>
      <c r="S1270" s="6" t="str">
        <f>ARRAY_CONSTRAIN(ARRAYFORMULA(_xludf.XLOOKUP(D29082,[1]order_Report_SA_ID_BB2.0!V:V,[1]order_Report_SA_ID_BB2.0!AM:AM,"")), 1, 1)</f>
        <v>#ERROR!</v>
      </c>
      <c r="T1270" s="6" t="str">
        <f t="shared" si="2"/>
        <v>Dec'25</v>
      </c>
    </row>
    <row r="1271" ht="15.75" customHeight="1">
      <c r="A1271" s="5">
        <v>46013.0</v>
      </c>
      <c r="B1271" s="6">
        <v>9501.0</v>
      </c>
      <c r="C1271" s="6">
        <v>1.859165697E9</v>
      </c>
      <c r="D1271" s="6">
        <v>970853.0</v>
      </c>
      <c r="E1271" s="6" t="s">
        <v>1983</v>
      </c>
      <c r="F1271" s="6" t="s">
        <v>1984</v>
      </c>
      <c r="G1271" s="6">
        <v>9.560087248E9</v>
      </c>
      <c r="H1271" s="6">
        <v>4.0090893E7</v>
      </c>
      <c r="I1271" s="6" t="s">
        <v>35</v>
      </c>
      <c r="J1271" s="6" t="s">
        <v>21</v>
      </c>
      <c r="K1271" s="6" t="s">
        <v>22</v>
      </c>
      <c r="L1271" s="6">
        <v>87.0</v>
      </c>
      <c r="M1271" s="5">
        <v>46013.0</v>
      </c>
      <c r="N1271" s="6" t="s">
        <v>23</v>
      </c>
      <c r="O1271" s="6" t="str">
        <f>SUMIFS([1]order_sku_sales_bb2_report!P:P,[1]order_sku_sales_bb2_report!H:H,C29083,[1]order_sku_sales_bb2_report!J:J,H29083)</f>
        <v>#ERROR!</v>
      </c>
      <c r="P1271" s="6" t="str">
        <f>SUMIFS([1]order_sku_sales_bb2_report!O:O,[1]order_sku_sales_bb2_report!H:H,C29083,[1]order_sku_sales_bb2_report!J:J,H29083)</f>
        <v>#ERROR!</v>
      </c>
      <c r="Q1271" s="6" t="str">
        <f t="shared" si="1"/>
        <v>22-12-2025</v>
      </c>
      <c r="R1271" s="6" t="str">
        <f>IFERROR( VLOOKUP(C29083,[1]expressOrderReport!$S:$AZ,34,0),0)</f>
        <v>#ERROR!</v>
      </c>
      <c r="S1271" s="6" t="str">
        <f>ARRAY_CONSTRAIN(ARRAYFORMULA(_xludf.XLOOKUP(D29083,[1]order_Report_SA_ID_BB2.0!V:V,[1]order_Report_SA_ID_BB2.0!AM:AM,"")), 1, 1)</f>
        <v>#ERROR!</v>
      </c>
      <c r="T1271" s="6" t="str">
        <f t="shared" si="2"/>
        <v>Dec'25</v>
      </c>
    </row>
    <row r="1272" ht="15.75" customHeight="1">
      <c r="A1272" s="5">
        <v>46013.0</v>
      </c>
      <c r="B1272" s="6">
        <v>9502.0</v>
      </c>
      <c r="C1272" s="6">
        <v>1.859165697E9</v>
      </c>
      <c r="D1272" s="6">
        <v>970853.0</v>
      </c>
      <c r="E1272" s="6" t="s">
        <v>1983</v>
      </c>
      <c r="F1272" s="6" t="s">
        <v>1984</v>
      </c>
      <c r="G1272" s="6">
        <v>9.560087248E9</v>
      </c>
      <c r="H1272" s="6">
        <v>4.0149833E7</v>
      </c>
      <c r="I1272" s="6" t="s">
        <v>40</v>
      </c>
      <c r="J1272" s="6" t="s">
        <v>21</v>
      </c>
      <c r="K1272" s="6" t="s">
        <v>22</v>
      </c>
      <c r="L1272" s="6">
        <v>87.0</v>
      </c>
      <c r="M1272" s="5">
        <v>46013.0</v>
      </c>
      <c r="N1272" s="6" t="s">
        <v>23</v>
      </c>
      <c r="O1272" s="6" t="str">
        <f>SUMIFS([1]order_sku_sales_bb2_report!P:P,[1]order_sku_sales_bb2_report!H:H,C29084,[1]order_sku_sales_bb2_report!J:J,H29084)</f>
        <v>#ERROR!</v>
      </c>
      <c r="P1272" s="6" t="str">
        <f>SUMIFS([1]order_sku_sales_bb2_report!O:O,[1]order_sku_sales_bb2_report!H:H,C29084,[1]order_sku_sales_bb2_report!J:J,H29084)</f>
        <v>#ERROR!</v>
      </c>
      <c r="Q1272" s="6" t="str">
        <f t="shared" si="1"/>
        <v>22-12-2025</v>
      </c>
      <c r="R1272" s="6" t="str">
        <f>IFERROR( VLOOKUP(C29084,[1]expressOrderReport!$S:$AZ,34,0),0)</f>
        <v>#ERROR!</v>
      </c>
      <c r="S1272" s="6" t="str">
        <f>ARRAY_CONSTRAIN(ARRAYFORMULA(_xludf.XLOOKUP(D29084,[1]order_Report_SA_ID_BB2.0!V:V,[1]order_Report_SA_ID_BB2.0!AM:AM,"")), 1, 1)</f>
        <v>#ERROR!</v>
      </c>
      <c r="T1272" s="6" t="str">
        <f t="shared" si="2"/>
        <v>Dec'25</v>
      </c>
    </row>
    <row r="1273" ht="15.75" customHeight="1">
      <c r="A1273" s="5">
        <v>46013.0</v>
      </c>
      <c r="B1273" s="6">
        <v>9514.0</v>
      </c>
      <c r="C1273" s="6">
        <v>1.859165708E9</v>
      </c>
      <c r="D1273" s="6">
        <v>3.2365364E7</v>
      </c>
      <c r="E1273" s="6" t="s">
        <v>1986</v>
      </c>
      <c r="F1273" s="6" t="s">
        <v>1987</v>
      </c>
      <c r="G1273" s="6">
        <v>9.449832483E9</v>
      </c>
      <c r="H1273" s="6">
        <v>4.0149832E7</v>
      </c>
      <c r="I1273" s="6" t="s">
        <v>26</v>
      </c>
      <c r="J1273" s="6" t="s">
        <v>21</v>
      </c>
      <c r="K1273" s="6" t="s">
        <v>22</v>
      </c>
      <c r="L1273" s="6">
        <v>24.0</v>
      </c>
      <c r="M1273" s="5">
        <v>46013.0</v>
      </c>
      <c r="N1273" s="6" t="s">
        <v>23</v>
      </c>
      <c r="O1273" s="6" t="str">
        <f>SUMIFS([1]order_sku_sales_bb2_report!P:P,[1]order_sku_sales_bb2_report!H:H,C29085,[1]order_sku_sales_bb2_report!J:J,H29085)</f>
        <v>#ERROR!</v>
      </c>
      <c r="P1273" s="6" t="str">
        <f>SUMIFS([1]order_sku_sales_bb2_report!O:O,[1]order_sku_sales_bb2_report!H:H,C29085,[1]order_sku_sales_bb2_report!J:J,H29085)</f>
        <v>#ERROR!</v>
      </c>
      <c r="Q1273" s="6" t="str">
        <f t="shared" si="1"/>
        <v>22-12-2025</v>
      </c>
      <c r="R1273" s="6" t="str">
        <f>IFERROR( VLOOKUP(C29085,[1]expressOrderReport!$S:$AZ,34,0),0)</f>
        <v>#ERROR!</v>
      </c>
      <c r="S1273" s="6" t="str">
        <f>ARRAY_CONSTRAIN(ARRAYFORMULA(_xludf.XLOOKUP(D29085,[1]order_Report_SA_ID_BB2.0!V:V,[1]order_Report_SA_ID_BB2.0!AM:AM,"")), 1, 1)</f>
        <v>#ERROR!</v>
      </c>
      <c r="T1273" s="6" t="str">
        <f t="shared" si="2"/>
        <v>Dec'25</v>
      </c>
    </row>
    <row r="1274" ht="15.75" customHeight="1">
      <c r="A1274" s="5">
        <v>46013.0</v>
      </c>
      <c r="B1274" s="6">
        <v>9548.0</v>
      </c>
      <c r="C1274" s="6">
        <v>1.859165721E9</v>
      </c>
      <c r="D1274" s="6">
        <v>8165162.0</v>
      </c>
      <c r="E1274" s="6" t="s">
        <v>1988</v>
      </c>
      <c r="F1274" s="6" t="s">
        <v>1989</v>
      </c>
      <c r="G1274" s="6">
        <v>7.204377358E9</v>
      </c>
      <c r="H1274" s="6">
        <v>4.0158264E7</v>
      </c>
      <c r="I1274" s="6" t="s">
        <v>26</v>
      </c>
      <c r="J1274" s="6" t="s">
        <v>21</v>
      </c>
      <c r="K1274" s="6" t="s">
        <v>22</v>
      </c>
      <c r="L1274" s="6">
        <v>138.0</v>
      </c>
      <c r="M1274" s="5">
        <v>46013.0</v>
      </c>
      <c r="N1274" s="6" t="s">
        <v>23</v>
      </c>
      <c r="O1274" s="6" t="str">
        <f>SUMIFS([1]order_sku_sales_bb2_report!P:P,[1]order_sku_sales_bb2_report!H:H,C29090,[1]order_sku_sales_bb2_report!J:J,H29090)</f>
        <v>#ERROR!</v>
      </c>
      <c r="P1274" s="6" t="str">
        <f>SUMIFS([1]order_sku_sales_bb2_report!O:O,[1]order_sku_sales_bb2_report!H:H,C29090,[1]order_sku_sales_bb2_report!J:J,H29090)</f>
        <v>#ERROR!</v>
      </c>
      <c r="Q1274" s="6" t="str">
        <f t="shared" si="1"/>
        <v>22-12-2025</v>
      </c>
      <c r="R1274" s="6" t="str">
        <f>IFERROR( VLOOKUP(C29090,[1]expressOrderReport!$S:$AZ,34,0),0)</f>
        <v>#ERROR!</v>
      </c>
      <c r="S1274" s="6" t="str">
        <f>ARRAY_CONSTRAIN(ARRAYFORMULA(_xludf.XLOOKUP(D29090,[1]order_Report_SA_ID_BB2.0!V:V,[1]order_Report_SA_ID_BB2.0!AM:AM,"")), 1, 1)</f>
        <v>#ERROR!</v>
      </c>
      <c r="T1274" s="6" t="str">
        <f t="shared" si="2"/>
        <v>Dec'25</v>
      </c>
    </row>
    <row r="1275" ht="15.75" customHeight="1">
      <c r="A1275" s="5">
        <v>46013.0</v>
      </c>
      <c r="B1275" s="6">
        <v>9659.0</v>
      </c>
      <c r="C1275" s="6">
        <v>1.859165726E9</v>
      </c>
      <c r="D1275" s="6">
        <v>1.6122203E7</v>
      </c>
      <c r="E1275" s="6" t="s">
        <v>1990</v>
      </c>
      <c r="F1275" s="6" t="s">
        <v>1991</v>
      </c>
      <c r="G1275" s="6">
        <v>9.591711338E9</v>
      </c>
      <c r="H1275" s="6">
        <v>4.0149832E7</v>
      </c>
      <c r="I1275" s="6" t="s">
        <v>26</v>
      </c>
      <c r="J1275" s="6" t="s">
        <v>21</v>
      </c>
      <c r="K1275" s="6" t="s">
        <v>22</v>
      </c>
      <c r="L1275" s="6">
        <v>71.0</v>
      </c>
      <c r="M1275" s="5">
        <v>46013.0</v>
      </c>
      <c r="N1275" s="6" t="s">
        <v>23</v>
      </c>
      <c r="O1275" s="6" t="str">
        <f>SUMIFS([1]order_sku_sales_bb2_report!P:P,[1]order_sku_sales_bb2_report!H:H,C29091,[1]order_sku_sales_bb2_report!J:J,H29091)</f>
        <v>#ERROR!</v>
      </c>
      <c r="P1275" s="6" t="str">
        <f>SUMIFS([1]order_sku_sales_bb2_report!O:O,[1]order_sku_sales_bb2_report!H:H,C29091,[1]order_sku_sales_bb2_report!J:J,H29091)</f>
        <v>#ERROR!</v>
      </c>
      <c r="Q1275" s="6" t="str">
        <f t="shared" si="1"/>
        <v>22-12-2025</v>
      </c>
      <c r="R1275" s="6" t="str">
        <f>IFERROR( VLOOKUP(C29091,[1]expressOrderReport!$S:$AZ,34,0),0)</f>
        <v>#ERROR!</v>
      </c>
      <c r="S1275" s="6" t="str">
        <f>ARRAY_CONSTRAIN(ARRAYFORMULA(_xludf.XLOOKUP(D29091,[1]order_Report_SA_ID_BB2.0!V:V,[1]order_Report_SA_ID_BB2.0!AM:AM,"")), 1, 1)</f>
        <v>#ERROR!</v>
      </c>
      <c r="T1275" s="6" t="str">
        <f t="shared" si="2"/>
        <v>Dec'25</v>
      </c>
    </row>
    <row r="1276" ht="15.75" customHeight="1">
      <c r="A1276" s="5">
        <v>46013.0</v>
      </c>
      <c r="B1276" s="6">
        <v>9660.0</v>
      </c>
      <c r="C1276" s="6">
        <v>1.859165726E9</v>
      </c>
      <c r="D1276" s="6">
        <v>1.6122203E7</v>
      </c>
      <c r="E1276" s="6" t="s">
        <v>1990</v>
      </c>
      <c r="F1276" s="6" t="s">
        <v>1991</v>
      </c>
      <c r="G1276" s="6">
        <v>9.591711338E9</v>
      </c>
      <c r="H1276" s="6">
        <v>4.0148714E7</v>
      </c>
      <c r="I1276" s="6" t="s">
        <v>183</v>
      </c>
      <c r="J1276" s="6" t="s">
        <v>21</v>
      </c>
      <c r="K1276" s="6" t="s">
        <v>22</v>
      </c>
      <c r="L1276" s="6">
        <v>71.0</v>
      </c>
      <c r="M1276" s="5">
        <v>46013.0</v>
      </c>
      <c r="N1276" s="6" t="s">
        <v>23</v>
      </c>
      <c r="O1276" s="6" t="str">
        <f>SUMIFS([1]order_sku_sales_bb2_report!P:P,[1]order_sku_sales_bb2_report!H:H,C29092,[1]order_sku_sales_bb2_report!J:J,H29092)</f>
        <v>#ERROR!</v>
      </c>
      <c r="P1276" s="6" t="str">
        <f>SUMIFS([1]order_sku_sales_bb2_report!O:O,[1]order_sku_sales_bb2_report!H:H,C29092,[1]order_sku_sales_bb2_report!J:J,H29092)</f>
        <v>#ERROR!</v>
      </c>
      <c r="Q1276" s="6" t="str">
        <f t="shared" si="1"/>
        <v>22-12-2025</v>
      </c>
      <c r="R1276" s="6" t="str">
        <f>IFERROR( VLOOKUP(C29092,[1]expressOrderReport!$S:$AZ,34,0),0)</f>
        <v>#ERROR!</v>
      </c>
      <c r="S1276" s="6" t="str">
        <f>ARRAY_CONSTRAIN(ARRAYFORMULA(_xludf.XLOOKUP(D29092,[1]order_Report_SA_ID_BB2.0!V:V,[1]order_Report_SA_ID_BB2.0!AM:AM,"")), 1, 1)</f>
        <v>#ERROR!</v>
      </c>
      <c r="T1276" s="6" t="str">
        <f t="shared" si="2"/>
        <v>Dec'25</v>
      </c>
    </row>
    <row r="1277" ht="15.75" customHeight="1">
      <c r="A1277" s="5">
        <v>46013.0</v>
      </c>
      <c r="B1277" s="6">
        <v>10958.0</v>
      </c>
      <c r="C1277" s="6">
        <v>1.859165738E9</v>
      </c>
      <c r="D1277" s="6">
        <v>9187271.0</v>
      </c>
      <c r="E1277" s="6" t="s">
        <v>1992</v>
      </c>
      <c r="F1277" s="6" t="s">
        <v>1993</v>
      </c>
      <c r="G1277" s="6">
        <v>9.741821506E9</v>
      </c>
      <c r="H1277" s="6">
        <v>4.0148714E7</v>
      </c>
      <c r="I1277" s="6" t="s">
        <v>183</v>
      </c>
      <c r="J1277" s="6" t="s">
        <v>21</v>
      </c>
      <c r="K1277" s="6" t="s">
        <v>22</v>
      </c>
      <c r="L1277" s="6">
        <v>141.0</v>
      </c>
      <c r="M1277" s="5">
        <v>46013.0</v>
      </c>
      <c r="N1277" s="6" t="s">
        <v>23</v>
      </c>
      <c r="O1277" s="6" t="str">
        <f>SUMIFS([1]order_sku_sales_bb2_report!P:P,[1]order_sku_sales_bb2_report!H:H,C29093,[1]order_sku_sales_bb2_report!J:J,H29093)</f>
        <v>#ERROR!</v>
      </c>
      <c r="P1277" s="6" t="str">
        <f>SUMIFS([1]order_sku_sales_bb2_report!O:O,[1]order_sku_sales_bb2_report!H:H,C29093,[1]order_sku_sales_bb2_report!J:J,H29093)</f>
        <v>#ERROR!</v>
      </c>
      <c r="Q1277" s="6" t="str">
        <f t="shared" si="1"/>
        <v>22-12-2025</v>
      </c>
      <c r="R1277" s="6" t="str">
        <f>IFERROR( VLOOKUP(C29093,[1]expressOrderReport!$S:$AZ,34,0),0)</f>
        <v>#ERROR!</v>
      </c>
      <c r="S1277" s="6" t="str">
        <f>ARRAY_CONSTRAIN(ARRAYFORMULA(_xludf.XLOOKUP(D29093,[1]order_Report_SA_ID_BB2.0!V:V,[1]order_Report_SA_ID_BB2.0!AM:AM,"")), 1, 1)</f>
        <v>#ERROR!</v>
      </c>
      <c r="T1277" s="6" t="str">
        <f t="shared" si="2"/>
        <v>Dec'25</v>
      </c>
    </row>
    <row r="1278" ht="15.75" customHeight="1">
      <c r="A1278" s="5">
        <v>46013.0</v>
      </c>
      <c r="B1278" s="6">
        <v>9791.0</v>
      </c>
      <c r="C1278" s="6">
        <v>1.859165748E9</v>
      </c>
      <c r="D1278" s="6">
        <v>767756.0</v>
      </c>
      <c r="E1278" s="6" t="s">
        <v>1994</v>
      </c>
      <c r="F1278" s="6" t="s">
        <v>1995</v>
      </c>
      <c r="G1278" s="6">
        <v>9.986013895E9</v>
      </c>
      <c r="H1278" s="6">
        <v>4.0149834E7</v>
      </c>
      <c r="I1278" s="6" t="s">
        <v>40</v>
      </c>
      <c r="J1278" s="6" t="s">
        <v>21</v>
      </c>
      <c r="K1278" s="6" t="s">
        <v>22</v>
      </c>
      <c r="L1278" s="6">
        <v>52.0</v>
      </c>
      <c r="M1278" s="5">
        <v>46013.0</v>
      </c>
      <c r="N1278" s="6" t="s">
        <v>23</v>
      </c>
      <c r="O1278" s="6" t="str">
        <f>SUMIFS([1]order_sku_sales_bb2_report!P:P,[1]order_sku_sales_bb2_report!H:H,C29094,[1]order_sku_sales_bb2_report!J:J,H29094)</f>
        <v>#ERROR!</v>
      </c>
      <c r="P1278" s="6" t="str">
        <f>SUMIFS([1]order_sku_sales_bb2_report!O:O,[1]order_sku_sales_bb2_report!H:H,C29094,[1]order_sku_sales_bb2_report!J:J,H29094)</f>
        <v>#ERROR!</v>
      </c>
      <c r="Q1278" s="6" t="str">
        <f t="shared" si="1"/>
        <v>22-12-2025</v>
      </c>
      <c r="R1278" s="6" t="str">
        <f>IFERROR( VLOOKUP(C29094,[1]expressOrderReport!$S:$AZ,34,0),0)</f>
        <v>#ERROR!</v>
      </c>
      <c r="S1278" s="6" t="str">
        <f>ARRAY_CONSTRAIN(ARRAYFORMULA(_xludf.XLOOKUP(D29094,[1]order_Report_SA_ID_BB2.0!V:V,[1]order_Report_SA_ID_BB2.0!AM:AM,"")), 1, 1)</f>
        <v>#ERROR!</v>
      </c>
      <c r="T1278" s="6" t="str">
        <f t="shared" si="2"/>
        <v>Dec'25</v>
      </c>
    </row>
    <row r="1279" ht="15.75" customHeight="1">
      <c r="A1279" s="5">
        <v>46013.0</v>
      </c>
      <c r="B1279" s="6">
        <v>9718.0</v>
      </c>
      <c r="C1279" s="6">
        <v>1.859165759E9</v>
      </c>
      <c r="D1279" s="6">
        <v>4.9385008E7</v>
      </c>
      <c r="E1279" s="6" t="s">
        <v>1996</v>
      </c>
      <c r="F1279" s="6"/>
      <c r="G1279" s="6">
        <v>9.380103197E9</v>
      </c>
      <c r="H1279" s="6">
        <v>4.0158264E7</v>
      </c>
      <c r="I1279" s="6" t="s">
        <v>26</v>
      </c>
      <c r="J1279" s="6" t="s">
        <v>21</v>
      </c>
      <c r="K1279" s="6" t="s">
        <v>22</v>
      </c>
      <c r="L1279" s="6">
        <v>92.0</v>
      </c>
      <c r="M1279" s="5">
        <v>46013.0</v>
      </c>
      <c r="N1279" s="6" t="s">
        <v>23</v>
      </c>
      <c r="O1279" s="6" t="str">
        <f>SUMIFS([1]order_sku_sales_bb2_report!P:P,[1]order_sku_sales_bb2_report!H:H,C29095,[1]order_sku_sales_bb2_report!J:J,H29095)</f>
        <v>#ERROR!</v>
      </c>
      <c r="P1279" s="6" t="str">
        <f>SUMIFS([1]order_sku_sales_bb2_report!O:O,[1]order_sku_sales_bb2_report!H:H,C29095,[1]order_sku_sales_bb2_report!J:J,H29095)</f>
        <v>#ERROR!</v>
      </c>
      <c r="Q1279" s="6" t="str">
        <f t="shared" si="1"/>
        <v>22-12-2025</v>
      </c>
      <c r="R1279" s="6" t="str">
        <f>IFERROR( VLOOKUP(C29095,[1]expressOrderReport!$S:$AZ,34,0),0)</f>
        <v>#ERROR!</v>
      </c>
      <c r="S1279" s="6" t="str">
        <f>ARRAY_CONSTRAIN(ARRAYFORMULA(_xludf.XLOOKUP(D29095,[1]order_Report_SA_ID_BB2.0!V:V,[1]order_Report_SA_ID_BB2.0!AM:AM,"")), 1, 1)</f>
        <v>#ERROR!</v>
      </c>
      <c r="T1279" s="6" t="str">
        <f t="shared" si="2"/>
        <v>Dec'25</v>
      </c>
    </row>
    <row r="1280" ht="15.75" customHeight="1">
      <c r="A1280" s="5">
        <v>46013.0</v>
      </c>
      <c r="B1280" s="6">
        <v>9668.0</v>
      </c>
      <c r="C1280" s="6">
        <v>1.859165765E9</v>
      </c>
      <c r="D1280" s="6">
        <v>1.670679E7</v>
      </c>
      <c r="E1280" s="6" t="s">
        <v>1997</v>
      </c>
      <c r="F1280" s="6" t="s">
        <v>1998</v>
      </c>
      <c r="G1280" s="6">
        <v>9.888850806E9</v>
      </c>
      <c r="H1280" s="6">
        <v>4.0149832E7</v>
      </c>
      <c r="I1280" s="6" t="s">
        <v>26</v>
      </c>
      <c r="J1280" s="6" t="s">
        <v>21</v>
      </c>
      <c r="K1280" s="6" t="s">
        <v>22</v>
      </c>
      <c r="L1280" s="6">
        <v>70.0</v>
      </c>
      <c r="M1280" s="5">
        <v>46013.0</v>
      </c>
      <c r="N1280" s="6" t="s">
        <v>23</v>
      </c>
      <c r="O1280" s="6" t="str">
        <f>SUMIFS([1]order_sku_sales_bb2_report!P:P,[1]order_sku_sales_bb2_report!H:H,C29096,[1]order_sku_sales_bb2_report!J:J,H29096)</f>
        <v>#ERROR!</v>
      </c>
      <c r="P1280" s="6" t="str">
        <f>SUMIFS([1]order_sku_sales_bb2_report!O:O,[1]order_sku_sales_bb2_report!H:H,C29096,[1]order_sku_sales_bb2_report!J:J,H29096)</f>
        <v>#ERROR!</v>
      </c>
      <c r="Q1280" s="6" t="str">
        <f t="shared" si="1"/>
        <v>22-12-2025</v>
      </c>
      <c r="R1280" s="6" t="str">
        <f>IFERROR( VLOOKUP(C29096,[1]expressOrderReport!$S:$AZ,34,0),0)</f>
        <v>#ERROR!</v>
      </c>
      <c r="S1280" s="6" t="str">
        <f>ARRAY_CONSTRAIN(ARRAYFORMULA(_xludf.XLOOKUP(D29096,[1]order_Report_SA_ID_BB2.0!V:V,[1]order_Report_SA_ID_BB2.0!AM:AM,"")), 1, 1)</f>
        <v>#ERROR!</v>
      </c>
      <c r="T1280" s="6" t="str">
        <f t="shared" si="2"/>
        <v>Dec'25</v>
      </c>
    </row>
    <row r="1281" ht="15.75" customHeight="1">
      <c r="A1281" s="5">
        <v>46013.0</v>
      </c>
      <c r="B1281" s="6">
        <v>9669.0</v>
      </c>
      <c r="C1281" s="6">
        <v>1.859165765E9</v>
      </c>
      <c r="D1281" s="6">
        <v>1.670679E7</v>
      </c>
      <c r="E1281" s="6" t="s">
        <v>1997</v>
      </c>
      <c r="F1281" s="6" t="s">
        <v>1998</v>
      </c>
      <c r="G1281" s="6">
        <v>9.888850806E9</v>
      </c>
      <c r="H1281" s="6">
        <v>4.0158264E7</v>
      </c>
      <c r="I1281" s="6" t="s">
        <v>26</v>
      </c>
      <c r="J1281" s="6" t="s">
        <v>21</v>
      </c>
      <c r="K1281" s="6" t="s">
        <v>22</v>
      </c>
      <c r="L1281" s="6">
        <v>70.0</v>
      </c>
      <c r="M1281" s="5">
        <v>46013.0</v>
      </c>
      <c r="N1281" s="6" t="s">
        <v>23</v>
      </c>
      <c r="O1281" s="6" t="str">
        <f>SUMIFS([1]order_sku_sales_bb2_report!P:P,[1]order_sku_sales_bb2_report!H:H,C29097,[1]order_sku_sales_bb2_report!J:J,H29097)</f>
        <v>#ERROR!</v>
      </c>
      <c r="P1281" s="6" t="str">
        <f>SUMIFS([1]order_sku_sales_bb2_report!O:O,[1]order_sku_sales_bb2_report!H:H,C29097,[1]order_sku_sales_bb2_report!J:J,H29097)</f>
        <v>#ERROR!</v>
      </c>
      <c r="Q1281" s="6" t="str">
        <f t="shared" si="1"/>
        <v>22-12-2025</v>
      </c>
      <c r="R1281" s="6" t="str">
        <f>IFERROR( VLOOKUP(C29097,[1]expressOrderReport!$S:$AZ,34,0),0)</f>
        <v>#ERROR!</v>
      </c>
      <c r="S1281" s="6" t="str">
        <f>ARRAY_CONSTRAIN(ARRAYFORMULA(_xludf.XLOOKUP(D29097,[1]order_Report_SA_ID_BB2.0!V:V,[1]order_Report_SA_ID_BB2.0!AM:AM,"")), 1, 1)</f>
        <v>#ERROR!</v>
      </c>
      <c r="T1281" s="6" t="str">
        <f t="shared" si="2"/>
        <v>Dec'25</v>
      </c>
    </row>
    <row r="1282" ht="15.75" customHeight="1">
      <c r="A1282" s="5">
        <v>46013.0</v>
      </c>
      <c r="B1282" s="6">
        <v>9789.0</v>
      </c>
      <c r="C1282" s="6">
        <v>1.859165778E9</v>
      </c>
      <c r="D1282" s="6">
        <v>1.6774971E7</v>
      </c>
      <c r="E1282" s="6" t="s">
        <v>625</v>
      </c>
      <c r="F1282" s="6" t="s">
        <v>1999</v>
      </c>
      <c r="G1282" s="6">
        <v>9.769000147E9</v>
      </c>
      <c r="H1282" s="6">
        <v>4.0149832E7</v>
      </c>
      <c r="I1282" s="6" t="s">
        <v>26</v>
      </c>
      <c r="J1282" s="6" t="s">
        <v>21</v>
      </c>
      <c r="K1282" s="6" t="s">
        <v>22</v>
      </c>
      <c r="L1282" s="6">
        <v>24.0</v>
      </c>
      <c r="M1282" s="5">
        <v>46013.0</v>
      </c>
      <c r="N1282" s="6" t="s">
        <v>23</v>
      </c>
      <c r="O1282" s="6" t="str">
        <f>SUMIFS([1]order_sku_sales_bb2_report!P:P,[1]order_sku_sales_bb2_report!H:H,C29098,[1]order_sku_sales_bb2_report!J:J,H29098)</f>
        <v>#ERROR!</v>
      </c>
      <c r="P1282" s="6" t="str">
        <f>SUMIFS([1]order_sku_sales_bb2_report!O:O,[1]order_sku_sales_bb2_report!H:H,C29098,[1]order_sku_sales_bb2_report!J:J,H29098)</f>
        <v>#ERROR!</v>
      </c>
      <c r="Q1282" s="6" t="str">
        <f t="shared" si="1"/>
        <v>22-12-2025</v>
      </c>
      <c r="R1282" s="6" t="str">
        <f>IFERROR( VLOOKUP(C29098,[1]expressOrderReport!$S:$AZ,34,0),0)</f>
        <v>#ERROR!</v>
      </c>
      <c r="S1282" s="6" t="str">
        <f>ARRAY_CONSTRAIN(ARRAYFORMULA(_xludf.XLOOKUP(D29098,[1]order_Report_SA_ID_BB2.0!V:V,[1]order_Report_SA_ID_BB2.0!AM:AM,"")), 1, 1)</f>
        <v>#ERROR!</v>
      </c>
      <c r="T1282" s="6" t="str">
        <f t="shared" si="2"/>
        <v>Dec'25</v>
      </c>
    </row>
    <row r="1283" ht="15.75" customHeight="1">
      <c r="A1283" s="5">
        <v>46013.0</v>
      </c>
      <c r="B1283" s="6">
        <v>12026.0</v>
      </c>
      <c r="C1283" s="6">
        <v>1.859165793E9</v>
      </c>
      <c r="D1283" s="6">
        <v>2.3888745E7</v>
      </c>
      <c r="E1283" s="6" t="s">
        <v>656</v>
      </c>
      <c r="F1283" s="6" t="s">
        <v>657</v>
      </c>
      <c r="G1283" s="6">
        <v>8.123000888E9</v>
      </c>
      <c r="H1283" s="6">
        <v>4.0353901E7</v>
      </c>
      <c r="I1283" s="6" t="s">
        <v>2000</v>
      </c>
      <c r="J1283" s="6" t="s">
        <v>21</v>
      </c>
      <c r="K1283" s="6" t="s">
        <v>22</v>
      </c>
      <c r="L1283" s="6">
        <v>190.65</v>
      </c>
      <c r="M1283" s="5">
        <v>46013.0</v>
      </c>
      <c r="N1283" s="6" t="s">
        <v>23</v>
      </c>
      <c r="O1283" s="6" t="str">
        <f>SUMIFS([1]order_sku_sales_bb2_report!P:P,[1]order_sku_sales_bb2_report!H:H,C29099,[1]order_sku_sales_bb2_report!J:J,H29099)</f>
        <v>#ERROR!</v>
      </c>
      <c r="P1283" s="6" t="str">
        <f>SUMIFS([1]order_sku_sales_bb2_report!O:O,[1]order_sku_sales_bb2_report!H:H,C29099,[1]order_sku_sales_bb2_report!J:J,H29099)</f>
        <v>#ERROR!</v>
      </c>
      <c r="Q1283" s="6" t="str">
        <f t="shared" si="1"/>
        <v>22-12-2025</v>
      </c>
      <c r="R1283" s="6" t="str">
        <f>IFERROR( VLOOKUP(C29099,[1]expressOrderReport!$S:$AZ,34,0),0)</f>
        <v>#ERROR!</v>
      </c>
      <c r="S1283" s="6" t="str">
        <f>ARRAY_CONSTRAIN(ARRAYFORMULA(_xludf.XLOOKUP(D29099,[1]order_Report_SA_ID_BB2.0!V:V,[1]order_Report_SA_ID_BB2.0!AM:AM,"")), 1, 1)</f>
        <v>#ERROR!</v>
      </c>
      <c r="T1283" s="6" t="str">
        <f t="shared" si="2"/>
        <v>Dec'25</v>
      </c>
    </row>
    <row r="1284" ht="15.75" customHeight="1">
      <c r="A1284" s="5">
        <v>46013.0</v>
      </c>
      <c r="B1284" s="6">
        <v>9818.0</v>
      </c>
      <c r="C1284" s="6">
        <v>1.859165808E9</v>
      </c>
      <c r="D1284" s="6">
        <v>1051880.0</v>
      </c>
      <c r="E1284" s="6" t="s">
        <v>1497</v>
      </c>
      <c r="F1284" s="6" t="s">
        <v>1498</v>
      </c>
      <c r="G1284" s="6">
        <v>9.004514677E9</v>
      </c>
      <c r="H1284" s="6">
        <v>4.0148717E7</v>
      </c>
      <c r="I1284" s="6" t="s">
        <v>226</v>
      </c>
      <c r="J1284" s="6" t="s">
        <v>21</v>
      </c>
      <c r="K1284" s="6" t="s">
        <v>22</v>
      </c>
      <c r="L1284" s="6">
        <v>106.0</v>
      </c>
      <c r="M1284" s="5">
        <v>46013.0</v>
      </c>
      <c r="N1284" s="6" t="s">
        <v>23</v>
      </c>
      <c r="O1284" s="6" t="str">
        <f>SUMIFS([1]order_sku_sales_bb2_report!P:P,[1]order_sku_sales_bb2_report!H:H,C29100,[1]order_sku_sales_bb2_report!J:J,H29100)</f>
        <v>#ERROR!</v>
      </c>
      <c r="P1284" s="6" t="str">
        <f>SUMIFS([1]order_sku_sales_bb2_report!O:O,[1]order_sku_sales_bb2_report!H:H,C29100,[1]order_sku_sales_bb2_report!J:J,H29100)</f>
        <v>#ERROR!</v>
      </c>
      <c r="Q1284" s="6" t="str">
        <f t="shared" si="1"/>
        <v>22-12-2025</v>
      </c>
      <c r="R1284" s="6" t="str">
        <f>IFERROR( VLOOKUP(C29100,[1]expressOrderReport!$S:$AZ,34,0),0)</f>
        <v>#ERROR!</v>
      </c>
      <c r="S1284" s="6" t="str">
        <f>ARRAY_CONSTRAIN(ARRAYFORMULA(_xludf.XLOOKUP(D29100,[1]order_Report_SA_ID_BB2.0!V:V,[1]order_Report_SA_ID_BB2.0!AM:AM,"")), 1, 1)</f>
        <v>#ERROR!</v>
      </c>
      <c r="T1284" s="6" t="str">
        <f t="shared" si="2"/>
        <v>Dec'25</v>
      </c>
    </row>
    <row r="1285" ht="15.75" customHeight="1">
      <c r="A1285" s="5">
        <v>46013.0</v>
      </c>
      <c r="B1285" s="6">
        <v>9823.0</v>
      </c>
      <c r="C1285" s="6">
        <v>1.859165822E9</v>
      </c>
      <c r="D1285" s="6">
        <v>1438801.0</v>
      </c>
      <c r="E1285" s="6" t="s">
        <v>2001</v>
      </c>
      <c r="F1285" s="6" t="s">
        <v>2002</v>
      </c>
      <c r="G1285" s="6">
        <v>9.840000814E9</v>
      </c>
      <c r="H1285" s="6">
        <v>4.0148716E7</v>
      </c>
      <c r="I1285" s="6" t="s">
        <v>148</v>
      </c>
      <c r="J1285" s="6" t="s">
        <v>21</v>
      </c>
      <c r="K1285" s="6" t="s">
        <v>22</v>
      </c>
      <c r="L1285" s="6">
        <v>73.0</v>
      </c>
      <c r="M1285" s="5">
        <v>46013.0</v>
      </c>
      <c r="N1285" s="6" t="s">
        <v>23</v>
      </c>
      <c r="O1285" s="6" t="str">
        <f>SUMIFS([1]order_sku_sales_bb2_report!P:P,[1]order_sku_sales_bb2_report!H:H,C29101,[1]order_sku_sales_bb2_report!J:J,H29101)</f>
        <v>#ERROR!</v>
      </c>
      <c r="P1285" s="6" t="str">
        <f>SUMIFS([1]order_sku_sales_bb2_report!O:O,[1]order_sku_sales_bb2_report!H:H,C29101,[1]order_sku_sales_bb2_report!J:J,H29101)</f>
        <v>#ERROR!</v>
      </c>
      <c r="Q1285" s="6" t="str">
        <f t="shared" si="1"/>
        <v>22-12-2025</v>
      </c>
      <c r="R1285" s="6" t="str">
        <f>IFERROR( VLOOKUP(C29101,[1]expressOrderReport!$S:$AZ,34,0),0)</f>
        <v>#ERROR!</v>
      </c>
      <c r="S1285" s="6" t="str">
        <f>ARRAY_CONSTRAIN(ARRAYFORMULA(_xludf.XLOOKUP(D29101,[1]order_Report_SA_ID_BB2.0!V:V,[1]order_Report_SA_ID_BB2.0!AM:AM,"")), 1, 1)</f>
        <v>#ERROR!</v>
      </c>
      <c r="T1285" s="6" t="str">
        <f t="shared" si="2"/>
        <v>Dec'25</v>
      </c>
    </row>
    <row r="1286" ht="15.75" customHeight="1">
      <c r="A1286" s="5">
        <v>46013.0</v>
      </c>
      <c r="B1286" s="6">
        <v>9824.0</v>
      </c>
      <c r="C1286" s="6">
        <v>1.859165822E9</v>
      </c>
      <c r="D1286" s="6">
        <v>1438801.0</v>
      </c>
      <c r="E1286" s="6" t="s">
        <v>2001</v>
      </c>
      <c r="F1286" s="6" t="s">
        <v>2002</v>
      </c>
      <c r="G1286" s="6">
        <v>9.840000814E9</v>
      </c>
      <c r="H1286" s="6">
        <v>4.014983E7</v>
      </c>
      <c r="I1286" s="6" t="s">
        <v>30</v>
      </c>
      <c r="J1286" s="6" t="s">
        <v>21</v>
      </c>
      <c r="K1286" s="6" t="s">
        <v>22</v>
      </c>
      <c r="L1286" s="6">
        <v>73.0</v>
      </c>
      <c r="M1286" s="5">
        <v>46013.0</v>
      </c>
      <c r="N1286" s="6" t="s">
        <v>23</v>
      </c>
      <c r="O1286" s="6" t="str">
        <f>SUMIFS([1]order_sku_sales_bb2_report!P:P,[1]order_sku_sales_bb2_report!H:H,C29102,[1]order_sku_sales_bb2_report!J:J,H29102)</f>
        <v>#ERROR!</v>
      </c>
      <c r="P1286" s="6" t="str">
        <f>SUMIFS([1]order_sku_sales_bb2_report!O:O,[1]order_sku_sales_bb2_report!H:H,C29102,[1]order_sku_sales_bb2_report!J:J,H29102)</f>
        <v>#ERROR!</v>
      </c>
      <c r="Q1286" s="6" t="str">
        <f t="shared" si="1"/>
        <v>22-12-2025</v>
      </c>
      <c r="R1286" s="6" t="str">
        <f>IFERROR( VLOOKUP(C29102,[1]expressOrderReport!$S:$AZ,34,0),0)</f>
        <v>#ERROR!</v>
      </c>
      <c r="S1286" s="6" t="str">
        <f>ARRAY_CONSTRAIN(ARRAYFORMULA(_xludf.XLOOKUP(D29102,[1]order_Report_SA_ID_BB2.0!V:V,[1]order_Report_SA_ID_BB2.0!AM:AM,"")), 1, 1)</f>
        <v>#ERROR!</v>
      </c>
      <c r="T1286" s="6" t="str">
        <f t="shared" si="2"/>
        <v>Dec'25</v>
      </c>
    </row>
    <row r="1287" ht="15.75" customHeight="1">
      <c r="A1287" s="5">
        <v>46013.0</v>
      </c>
      <c r="B1287" s="6">
        <v>9828.0</v>
      </c>
      <c r="C1287" s="6">
        <v>1.859165833E9</v>
      </c>
      <c r="D1287" s="6">
        <v>1.6240781E7</v>
      </c>
      <c r="E1287" s="6" t="s">
        <v>2003</v>
      </c>
      <c r="F1287" s="6" t="s">
        <v>2004</v>
      </c>
      <c r="G1287" s="6">
        <v>9.880635288E9</v>
      </c>
      <c r="H1287" s="6">
        <v>4.0149832E7</v>
      </c>
      <c r="I1287" s="6" t="s">
        <v>26</v>
      </c>
      <c r="J1287" s="6" t="s">
        <v>21</v>
      </c>
      <c r="K1287" s="6" t="s">
        <v>22</v>
      </c>
      <c r="L1287" s="6">
        <v>24.0</v>
      </c>
      <c r="M1287" s="5">
        <v>46013.0</v>
      </c>
      <c r="N1287" s="6" t="s">
        <v>23</v>
      </c>
      <c r="O1287" s="6" t="str">
        <f>SUMIFS([1]order_sku_sales_bb2_report!P:P,[1]order_sku_sales_bb2_report!H:H,C29103,[1]order_sku_sales_bb2_report!J:J,H29103)</f>
        <v>#ERROR!</v>
      </c>
      <c r="P1287" s="6" t="str">
        <f>SUMIFS([1]order_sku_sales_bb2_report!O:O,[1]order_sku_sales_bb2_report!H:H,C29103,[1]order_sku_sales_bb2_report!J:J,H29103)</f>
        <v>#ERROR!</v>
      </c>
      <c r="Q1287" s="6" t="str">
        <f t="shared" si="1"/>
        <v>22-12-2025</v>
      </c>
      <c r="R1287" s="6" t="str">
        <f>IFERROR( VLOOKUP(C29103,[1]expressOrderReport!$S:$AZ,34,0),0)</f>
        <v>#ERROR!</v>
      </c>
      <c r="S1287" s="6" t="str">
        <f>ARRAY_CONSTRAIN(ARRAYFORMULA(_xludf.XLOOKUP(D29103,[1]order_Report_SA_ID_BB2.0!V:V,[1]order_Report_SA_ID_BB2.0!AM:AM,"")), 1, 1)</f>
        <v>#ERROR!</v>
      </c>
      <c r="T1287" s="6" t="str">
        <f t="shared" si="2"/>
        <v>Dec'25</v>
      </c>
    </row>
    <row r="1288" ht="15.75" customHeight="1">
      <c r="A1288" s="5">
        <v>46013.0</v>
      </c>
      <c r="B1288" s="6">
        <v>9831.0</v>
      </c>
      <c r="C1288" s="6">
        <v>1.859165844E9</v>
      </c>
      <c r="D1288" s="6">
        <v>798550.0</v>
      </c>
      <c r="E1288" s="6" t="s">
        <v>2005</v>
      </c>
      <c r="F1288" s="6" t="s">
        <v>2006</v>
      </c>
      <c r="G1288" s="6">
        <v>9.884381604E9</v>
      </c>
      <c r="H1288" s="6">
        <v>4.0148714E7</v>
      </c>
      <c r="I1288" s="6" t="s">
        <v>183</v>
      </c>
      <c r="J1288" s="6" t="s">
        <v>21</v>
      </c>
      <c r="K1288" s="6" t="s">
        <v>22</v>
      </c>
      <c r="L1288" s="6">
        <v>141.0</v>
      </c>
      <c r="M1288" s="5">
        <v>46013.0</v>
      </c>
      <c r="N1288" s="6" t="s">
        <v>23</v>
      </c>
      <c r="O1288" s="6" t="str">
        <f>SUMIFS([1]order_sku_sales_bb2_report!P:P,[1]order_sku_sales_bb2_report!H:H,C29104,[1]order_sku_sales_bb2_report!J:J,H29104)</f>
        <v>#ERROR!</v>
      </c>
      <c r="P1288" s="6" t="str">
        <f>SUMIFS([1]order_sku_sales_bb2_report!O:O,[1]order_sku_sales_bb2_report!H:H,C29104,[1]order_sku_sales_bb2_report!J:J,H29104)</f>
        <v>#ERROR!</v>
      </c>
      <c r="Q1288" s="6" t="str">
        <f t="shared" si="1"/>
        <v>22-12-2025</v>
      </c>
      <c r="R1288" s="6" t="str">
        <f>IFERROR( VLOOKUP(C29104,[1]expressOrderReport!$S:$AZ,34,0),0)</f>
        <v>#ERROR!</v>
      </c>
      <c r="S1288" s="6" t="str">
        <f>ARRAY_CONSTRAIN(ARRAYFORMULA(_xludf.XLOOKUP(D29104,[1]order_Report_SA_ID_BB2.0!V:V,[1]order_Report_SA_ID_BB2.0!AM:AM,"")), 1, 1)</f>
        <v>#ERROR!</v>
      </c>
      <c r="T1288" s="6" t="str">
        <f t="shared" si="2"/>
        <v>Dec'25</v>
      </c>
    </row>
    <row r="1289" ht="15.75" customHeight="1">
      <c r="A1289" s="5">
        <v>46013.0</v>
      </c>
      <c r="B1289" s="6">
        <v>9969.0</v>
      </c>
      <c r="C1289" s="6">
        <v>1.859165853E9</v>
      </c>
      <c r="D1289" s="6">
        <v>1.3776595E7</v>
      </c>
      <c r="E1289" s="6" t="s">
        <v>2007</v>
      </c>
      <c r="F1289" s="6" t="s">
        <v>2008</v>
      </c>
      <c r="G1289" s="6">
        <v>9.629164153E9</v>
      </c>
      <c r="H1289" s="6">
        <v>4.0148684E7</v>
      </c>
      <c r="I1289" s="6" t="s">
        <v>180</v>
      </c>
      <c r="J1289" s="6" t="s">
        <v>21</v>
      </c>
      <c r="K1289" s="6" t="s">
        <v>22</v>
      </c>
      <c r="L1289" s="6">
        <v>72.0</v>
      </c>
      <c r="M1289" s="5">
        <v>46013.0</v>
      </c>
      <c r="N1289" s="6" t="s">
        <v>23</v>
      </c>
      <c r="O1289" s="6" t="str">
        <f>SUMIFS([1]order_sku_sales_bb2_report!P:P,[1]order_sku_sales_bb2_report!H:H,C29105,[1]order_sku_sales_bb2_report!J:J,H29105)</f>
        <v>#ERROR!</v>
      </c>
      <c r="P1289" s="6" t="str">
        <f>SUMIFS([1]order_sku_sales_bb2_report!O:O,[1]order_sku_sales_bb2_report!H:H,C29105,[1]order_sku_sales_bb2_report!J:J,H29105)</f>
        <v>#ERROR!</v>
      </c>
      <c r="Q1289" s="6" t="str">
        <f t="shared" si="1"/>
        <v>22-12-2025</v>
      </c>
      <c r="R1289" s="6" t="str">
        <f>IFERROR( VLOOKUP(C29105,[1]expressOrderReport!$S:$AZ,34,0),0)</f>
        <v>#ERROR!</v>
      </c>
      <c r="S1289" s="6" t="str">
        <f>ARRAY_CONSTRAIN(ARRAYFORMULA(_xludf.XLOOKUP(D29105,[1]order_Report_SA_ID_BB2.0!V:V,[1]order_Report_SA_ID_BB2.0!AM:AM,"")), 1, 1)</f>
        <v>#ERROR!</v>
      </c>
      <c r="T1289" s="6" t="str">
        <f t="shared" si="2"/>
        <v>Dec'25</v>
      </c>
    </row>
    <row r="1290" ht="15.75" customHeight="1">
      <c r="A1290" s="5">
        <v>46013.0</v>
      </c>
      <c r="B1290" s="6">
        <v>10070.0</v>
      </c>
      <c r="C1290" s="6">
        <v>1.859165869E9</v>
      </c>
      <c r="D1290" s="6">
        <v>2.148923E7</v>
      </c>
      <c r="E1290" s="6" t="s">
        <v>652</v>
      </c>
      <c r="F1290" s="6" t="s">
        <v>653</v>
      </c>
      <c r="G1290" s="6">
        <v>7.08081018E9</v>
      </c>
      <c r="H1290" s="6">
        <v>4.0158264E7</v>
      </c>
      <c r="I1290" s="6" t="s">
        <v>26</v>
      </c>
      <c r="J1290" s="6" t="s">
        <v>21</v>
      </c>
      <c r="K1290" s="6" t="s">
        <v>22</v>
      </c>
      <c r="L1290" s="6">
        <v>53.13</v>
      </c>
      <c r="M1290" s="5">
        <v>46013.0</v>
      </c>
      <c r="N1290" s="6" t="s">
        <v>23</v>
      </c>
      <c r="O1290" s="6" t="str">
        <f>SUMIFS([1]order_sku_sales_bb2_report!P:P,[1]order_sku_sales_bb2_report!H:H,C29107,[1]order_sku_sales_bb2_report!J:J,H29107)</f>
        <v>#ERROR!</v>
      </c>
      <c r="P1290" s="6" t="str">
        <f>SUMIFS([1]order_sku_sales_bb2_report!O:O,[1]order_sku_sales_bb2_report!H:H,C29107,[1]order_sku_sales_bb2_report!J:J,H29107)</f>
        <v>#ERROR!</v>
      </c>
      <c r="Q1290" s="6" t="str">
        <f t="shared" si="1"/>
        <v>22-12-2025</v>
      </c>
      <c r="R1290" s="6" t="str">
        <f>IFERROR( VLOOKUP(C29107,[1]expressOrderReport!$S:$AZ,34,0),0)</f>
        <v>#ERROR!</v>
      </c>
      <c r="S1290" s="6" t="str">
        <f>ARRAY_CONSTRAIN(ARRAYFORMULA(_xludf.XLOOKUP(D29107,[1]order_Report_SA_ID_BB2.0!V:V,[1]order_Report_SA_ID_BB2.0!AM:AM,"")), 1, 1)</f>
        <v>#ERROR!</v>
      </c>
      <c r="T1290" s="6" t="str">
        <f t="shared" si="2"/>
        <v>Dec'25</v>
      </c>
    </row>
    <row r="1291" ht="15.75" customHeight="1">
      <c r="A1291" s="5">
        <v>46013.0</v>
      </c>
      <c r="B1291" s="6">
        <v>10071.0</v>
      </c>
      <c r="C1291" s="6">
        <v>1.859165869E9</v>
      </c>
      <c r="D1291" s="6">
        <v>2.148923E7</v>
      </c>
      <c r="E1291" s="6" t="s">
        <v>652</v>
      </c>
      <c r="F1291" s="6" t="s">
        <v>653</v>
      </c>
      <c r="G1291" s="6">
        <v>7.08081018E9</v>
      </c>
      <c r="H1291" s="6">
        <v>2.0001186E7</v>
      </c>
      <c r="I1291" s="6" t="s">
        <v>430</v>
      </c>
      <c r="J1291" s="6" t="s">
        <v>21</v>
      </c>
      <c r="K1291" s="6" t="s">
        <v>22</v>
      </c>
      <c r="L1291" s="6">
        <v>53.13</v>
      </c>
      <c r="M1291" s="5">
        <v>46013.0</v>
      </c>
      <c r="N1291" s="6" t="s">
        <v>23</v>
      </c>
      <c r="O1291" s="6" t="str">
        <f>SUMIFS([1]order_sku_sales_bb2_report!P:P,[1]order_sku_sales_bb2_report!H:H,C29108,[1]order_sku_sales_bb2_report!J:J,H29108)</f>
        <v>#ERROR!</v>
      </c>
      <c r="P1291" s="6" t="str">
        <f>SUMIFS([1]order_sku_sales_bb2_report!O:O,[1]order_sku_sales_bb2_report!H:H,C29108,[1]order_sku_sales_bb2_report!J:J,H29108)</f>
        <v>#ERROR!</v>
      </c>
      <c r="Q1291" s="6" t="str">
        <f t="shared" si="1"/>
        <v>22-12-2025</v>
      </c>
      <c r="R1291" s="6" t="str">
        <f>IFERROR( VLOOKUP(C29108,[1]expressOrderReport!$S:$AZ,34,0),0)</f>
        <v>#ERROR!</v>
      </c>
      <c r="S1291" s="6" t="str">
        <f>ARRAY_CONSTRAIN(ARRAYFORMULA(_xludf.XLOOKUP(D29108,[1]order_Report_SA_ID_BB2.0!V:V,[1]order_Report_SA_ID_BB2.0!AM:AM,"")), 1, 1)</f>
        <v>#ERROR!</v>
      </c>
      <c r="T1291" s="6" t="str">
        <f t="shared" si="2"/>
        <v>Dec'25</v>
      </c>
    </row>
    <row r="1292" ht="15.75" customHeight="1">
      <c r="A1292" s="5">
        <v>46013.0</v>
      </c>
      <c r="B1292" s="6">
        <v>10137.0</v>
      </c>
      <c r="C1292" s="6">
        <v>1.859165883E9</v>
      </c>
      <c r="D1292" s="6">
        <v>5090971.0</v>
      </c>
      <c r="E1292" s="6" t="s">
        <v>2009</v>
      </c>
      <c r="F1292" s="6" t="s">
        <v>2010</v>
      </c>
      <c r="G1292" s="6">
        <v>9.566034206E9</v>
      </c>
      <c r="H1292" s="6">
        <v>4.0147633E7</v>
      </c>
      <c r="I1292" s="6" t="s">
        <v>1036</v>
      </c>
      <c r="J1292" s="6" t="s">
        <v>21</v>
      </c>
      <c r="K1292" s="6" t="s">
        <v>22</v>
      </c>
      <c r="L1292" s="6">
        <v>32.0</v>
      </c>
      <c r="M1292" s="5">
        <v>46013.0</v>
      </c>
      <c r="N1292" s="6" t="s">
        <v>23</v>
      </c>
      <c r="O1292" s="6" t="str">
        <f>SUMIFS([1]order_sku_sales_bb2_report!P:P,[1]order_sku_sales_bb2_report!H:H,C29109,[1]order_sku_sales_bb2_report!J:J,H29109)</f>
        <v>#ERROR!</v>
      </c>
      <c r="P1292" s="6" t="str">
        <f>SUMIFS([1]order_sku_sales_bb2_report!O:O,[1]order_sku_sales_bb2_report!H:H,C29109,[1]order_sku_sales_bb2_report!J:J,H29109)</f>
        <v>#ERROR!</v>
      </c>
      <c r="Q1292" s="6" t="str">
        <f t="shared" si="1"/>
        <v>22-12-2025</v>
      </c>
      <c r="R1292" s="6" t="str">
        <f>IFERROR( VLOOKUP(C29109,[1]expressOrderReport!$S:$AZ,34,0),0)</f>
        <v>#ERROR!</v>
      </c>
      <c r="S1292" s="6" t="str">
        <f>ARRAY_CONSTRAIN(ARRAYFORMULA(_xludf.XLOOKUP(D29109,[1]order_Report_SA_ID_BB2.0!V:V,[1]order_Report_SA_ID_BB2.0!AM:AM,"")), 1, 1)</f>
        <v>#ERROR!</v>
      </c>
      <c r="T1292" s="6" t="str">
        <f t="shared" si="2"/>
        <v>Dec'25</v>
      </c>
    </row>
    <row r="1293" ht="15.75" customHeight="1">
      <c r="A1293" s="5">
        <v>46013.0</v>
      </c>
      <c r="B1293" s="6">
        <v>10378.0</v>
      </c>
      <c r="C1293" s="6">
        <v>1.859165892E9</v>
      </c>
      <c r="D1293" s="6">
        <v>1.3579077E7</v>
      </c>
      <c r="E1293" s="6" t="s">
        <v>2011</v>
      </c>
      <c r="F1293" s="6" t="s">
        <v>2012</v>
      </c>
      <c r="G1293" s="6">
        <v>8.96032066E9</v>
      </c>
      <c r="H1293" s="6">
        <v>4.0149833E7</v>
      </c>
      <c r="I1293" s="6" t="s">
        <v>40</v>
      </c>
      <c r="J1293" s="6" t="s">
        <v>21</v>
      </c>
      <c r="K1293" s="6" t="s">
        <v>22</v>
      </c>
      <c r="L1293" s="6">
        <v>54.0</v>
      </c>
      <c r="M1293" s="5">
        <v>46013.0</v>
      </c>
      <c r="N1293" s="6" t="s">
        <v>23</v>
      </c>
      <c r="O1293" s="6" t="str">
        <f>SUMIFS([1]order_sku_sales_bb2_report!P:P,[1]order_sku_sales_bb2_report!H:H,C29110,[1]order_sku_sales_bb2_report!J:J,H29110)</f>
        <v>#ERROR!</v>
      </c>
      <c r="P1293" s="6" t="str">
        <f>SUMIFS([1]order_sku_sales_bb2_report!O:O,[1]order_sku_sales_bb2_report!H:H,C29110,[1]order_sku_sales_bb2_report!J:J,H29110)</f>
        <v>#ERROR!</v>
      </c>
      <c r="Q1293" s="6" t="str">
        <f t="shared" si="1"/>
        <v>22-12-2025</v>
      </c>
      <c r="R1293" s="6" t="str">
        <f>IFERROR( VLOOKUP(C29110,[1]expressOrderReport!$S:$AZ,34,0),0)</f>
        <v>#ERROR!</v>
      </c>
      <c r="S1293" s="6" t="str">
        <f>ARRAY_CONSTRAIN(ARRAYFORMULA(_xludf.XLOOKUP(D29110,[1]order_Report_SA_ID_BB2.0!V:V,[1]order_Report_SA_ID_BB2.0!AM:AM,"")), 1, 1)</f>
        <v>#ERROR!</v>
      </c>
      <c r="T1293" s="6" t="str">
        <f t="shared" si="2"/>
        <v>Dec'25</v>
      </c>
    </row>
    <row r="1294" ht="15.75" customHeight="1">
      <c r="A1294" s="5">
        <v>46013.0</v>
      </c>
      <c r="B1294" s="6">
        <v>10480.0</v>
      </c>
      <c r="C1294" s="6">
        <v>1.859165898E9</v>
      </c>
      <c r="D1294" s="6">
        <v>7408791.0</v>
      </c>
      <c r="E1294" s="6" t="s">
        <v>2013</v>
      </c>
      <c r="F1294" s="6" t="s">
        <v>2014</v>
      </c>
      <c r="G1294" s="6">
        <v>9.845450948E9</v>
      </c>
      <c r="H1294" s="6">
        <v>1.0000117E7</v>
      </c>
      <c r="I1294" s="6" t="s">
        <v>376</v>
      </c>
      <c r="J1294" s="6" t="s">
        <v>21</v>
      </c>
      <c r="K1294" s="6" t="s">
        <v>22</v>
      </c>
      <c r="L1294" s="6">
        <v>0.41</v>
      </c>
      <c r="M1294" s="5">
        <v>46013.0</v>
      </c>
      <c r="N1294" s="6" t="s">
        <v>23</v>
      </c>
      <c r="O1294" s="6" t="str">
        <f>SUMIFS([1]order_sku_sales_bb2_report!P:P,[1]order_sku_sales_bb2_report!H:H,C29111,[1]order_sku_sales_bb2_report!J:J,H29111)</f>
        <v>#ERROR!</v>
      </c>
      <c r="P1294" s="6" t="str">
        <f>SUMIFS([1]order_sku_sales_bb2_report!O:O,[1]order_sku_sales_bb2_report!H:H,C29111,[1]order_sku_sales_bb2_report!J:J,H29111)</f>
        <v>#ERROR!</v>
      </c>
      <c r="Q1294" s="6" t="str">
        <f t="shared" si="1"/>
        <v>22-12-2025</v>
      </c>
      <c r="R1294" s="6" t="str">
        <f>IFERROR( VLOOKUP(C29111,[1]expressOrderReport!$S:$AZ,34,0),0)</f>
        <v>#ERROR!</v>
      </c>
      <c r="S1294" s="6" t="str">
        <f>ARRAY_CONSTRAIN(ARRAYFORMULA(_xludf.XLOOKUP(D29111,[1]order_Report_SA_ID_BB2.0!V:V,[1]order_Report_SA_ID_BB2.0!AM:AM,"")), 1, 1)</f>
        <v>#ERROR!</v>
      </c>
      <c r="T1294" s="6" t="str">
        <f t="shared" si="2"/>
        <v>Dec'25</v>
      </c>
    </row>
    <row r="1295" ht="15.75" customHeight="1">
      <c r="A1295" s="5">
        <v>46013.0</v>
      </c>
      <c r="B1295" s="6">
        <v>11330.0</v>
      </c>
      <c r="C1295" s="6">
        <v>1.859165903E9</v>
      </c>
      <c r="D1295" s="6">
        <v>7277424.0</v>
      </c>
      <c r="E1295" s="6" t="s">
        <v>2015</v>
      </c>
      <c r="F1295" s="6" t="s">
        <v>2016</v>
      </c>
      <c r="G1295" s="6">
        <v>9.768619979E9</v>
      </c>
      <c r="H1295" s="6">
        <v>4.0090893E7</v>
      </c>
      <c r="I1295" s="6" t="s">
        <v>35</v>
      </c>
      <c r="J1295" s="6" t="s">
        <v>21</v>
      </c>
      <c r="K1295" s="6" t="s">
        <v>22</v>
      </c>
      <c r="L1295" s="6">
        <v>99.0</v>
      </c>
      <c r="M1295" s="5">
        <v>46013.0</v>
      </c>
      <c r="N1295" s="6" t="s">
        <v>23</v>
      </c>
      <c r="O1295" s="6" t="str">
        <f>SUMIFS([1]order_sku_sales_bb2_report!P:P,[1]order_sku_sales_bb2_report!H:H,C29112,[1]order_sku_sales_bb2_report!J:J,H29112)</f>
        <v>#ERROR!</v>
      </c>
      <c r="P1295" s="6" t="str">
        <f>SUMIFS([1]order_sku_sales_bb2_report!O:O,[1]order_sku_sales_bb2_report!H:H,C29112,[1]order_sku_sales_bb2_report!J:J,H29112)</f>
        <v>#ERROR!</v>
      </c>
      <c r="Q1295" s="6" t="str">
        <f t="shared" si="1"/>
        <v>22-12-2025</v>
      </c>
      <c r="R1295" s="6" t="str">
        <f>IFERROR( VLOOKUP(C29112,[1]expressOrderReport!$S:$AZ,34,0),0)</f>
        <v>#ERROR!</v>
      </c>
      <c r="S1295" s="6" t="str">
        <f>ARRAY_CONSTRAIN(ARRAYFORMULA(_xludf.XLOOKUP(D29112,[1]order_Report_SA_ID_BB2.0!V:V,[1]order_Report_SA_ID_BB2.0!AM:AM,"")), 1, 1)</f>
        <v>#ERROR!</v>
      </c>
      <c r="T1295" s="6" t="str">
        <f t="shared" si="2"/>
        <v>Dec'25</v>
      </c>
    </row>
    <row r="1296" ht="15.75" customHeight="1">
      <c r="A1296" s="5">
        <v>46013.0</v>
      </c>
      <c r="B1296" s="6">
        <v>10485.0</v>
      </c>
      <c r="C1296" s="6">
        <v>1.859165908E9</v>
      </c>
      <c r="D1296" s="6">
        <v>7758799.0</v>
      </c>
      <c r="E1296" s="6" t="s">
        <v>2017</v>
      </c>
      <c r="F1296" s="6" t="s">
        <v>2018</v>
      </c>
      <c r="G1296" s="6">
        <v>9.740174158E9</v>
      </c>
      <c r="H1296" s="6">
        <v>4.0149832E7</v>
      </c>
      <c r="I1296" s="6" t="s">
        <v>26</v>
      </c>
      <c r="J1296" s="6" t="s">
        <v>21</v>
      </c>
      <c r="K1296" s="6" t="s">
        <v>22</v>
      </c>
      <c r="L1296" s="6">
        <v>24.0</v>
      </c>
      <c r="M1296" s="5">
        <v>46013.0</v>
      </c>
      <c r="N1296" s="6" t="s">
        <v>23</v>
      </c>
      <c r="O1296" s="6" t="str">
        <f>SUMIFS([1]order_sku_sales_bb2_report!P:P,[1]order_sku_sales_bb2_report!H:H,C29113,[1]order_sku_sales_bb2_report!J:J,H29113)</f>
        <v>#ERROR!</v>
      </c>
      <c r="P1296" s="6" t="str">
        <f>SUMIFS([1]order_sku_sales_bb2_report!O:O,[1]order_sku_sales_bb2_report!H:H,C29113,[1]order_sku_sales_bb2_report!J:J,H29113)</f>
        <v>#ERROR!</v>
      </c>
      <c r="Q1296" s="6" t="str">
        <f t="shared" si="1"/>
        <v>22-12-2025</v>
      </c>
      <c r="R1296" s="6" t="str">
        <f>IFERROR( VLOOKUP(C29113,[1]expressOrderReport!$S:$AZ,34,0),0)</f>
        <v>#ERROR!</v>
      </c>
      <c r="S1296" s="6" t="str">
        <f>ARRAY_CONSTRAIN(ARRAYFORMULA(_xludf.XLOOKUP(D29113,[1]order_Report_SA_ID_BB2.0!V:V,[1]order_Report_SA_ID_BB2.0!AM:AM,"")), 1, 1)</f>
        <v>#ERROR!</v>
      </c>
      <c r="T1296" s="6" t="str">
        <f t="shared" si="2"/>
        <v>Dec'25</v>
      </c>
    </row>
    <row r="1297" ht="15.75" customHeight="1">
      <c r="A1297" s="5">
        <v>46013.0</v>
      </c>
      <c r="B1297" s="6">
        <v>10479.0</v>
      </c>
      <c r="C1297" s="6">
        <v>1.859165915E9</v>
      </c>
      <c r="D1297" s="6">
        <v>1.099102E7</v>
      </c>
      <c r="E1297" s="6" t="s">
        <v>2019</v>
      </c>
      <c r="F1297" s="6" t="s">
        <v>2020</v>
      </c>
      <c r="G1297" s="6">
        <v>7.871714191E9</v>
      </c>
      <c r="H1297" s="6">
        <v>4.0149833E7</v>
      </c>
      <c r="I1297" s="6" t="s">
        <v>40</v>
      </c>
      <c r="J1297" s="6" t="s">
        <v>21</v>
      </c>
      <c r="K1297" s="6" t="s">
        <v>22</v>
      </c>
      <c r="L1297" s="6">
        <v>27.0</v>
      </c>
      <c r="M1297" s="5">
        <v>46013.0</v>
      </c>
      <c r="N1297" s="6" t="s">
        <v>23</v>
      </c>
      <c r="O1297" s="6" t="str">
        <f>SUMIFS([1]order_sku_sales_bb2_report!P:P,[1]order_sku_sales_bb2_report!H:H,C29114,[1]order_sku_sales_bb2_report!J:J,H29114)</f>
        <v>#ERROR!</v>
      </c>
      <c r="P1297" s="6" t="str">
        <f>SUMIFS([1]order_sku_sales_bb2_report!O:O,[1]order_sku_sales_bb2_report!H:H,C29114,[1]order_sku_sales_bb2_report!J:J,H29114)</f>
        <v>#ERROR!</v>
      </c>
      <c r="Q1297" s="6" t="str">
        <f t="shared" si="1"/>
        <v>22-12-2025</v>
      </c>
      <c r="R1297" s="6" t="str">
        <f>IFERROR( VLOOKUP(C29114,[1]expressOrderReport!$S:$AZ,34,0),0)</f>
        <v>#ERROR!</v>
      </c>
      <c r="S1297" s="6" t="str">
        <f>ARRAY_CONSTRAIN(ARRAYFORMULA(_xludf.XLOOKUP(D29114,[1]order_Report_SA_ID_BB2.0!V:V,[1]order_Report_SA_ID_BB2.0!AM:AM,"")), 1, 1)</f>
        <v>#ERROR!</v>
      </c>
      <c r="T1297" s="6" t="str">
        <f t="shared" si="2"/>
        <v>Dec'25</v>
      </c>
    </row>
    <row r="1298" ht="15.75" customHeight="1">
      <c r="A1298" s="5">
        <v>46013.0</v>
      </c>
      <c r="B1298" s="6">
        <v>10524.0</v>
      </c>
      <c r="C1298" s="6">
        <v>1.859165921E9</v>
      </c>
      <c r="D1298" s="6">
        <v>9542290.0</v>
      </c>
      <c r="E1298" s="6" t="s">
        <v>2021</v>
      </c>
      <c r="F1298" s="6" t="s">
        <v>2022</v>
      </c>
      <c r="G1298" s="6">
        <v>9.98049308E9</v>
      </c>
      <c r="H1298" s="6">
        <v>4.0148717E7</v>
      </c>
      <c r="I1298" s="6" t="s">
        <v>226</v>
      </c>
      <c r="J1298" s="6" t="s">
        <v>21</v>
      </c>
      <c r="K1298" s="6" t="s">
        <v>22</v>
      </c>
      <c r="L1298" s="6">
        <v>53.0</v>
      </c>
      <c r="M1298" s="5">
        <v>46013.0</v>
      </c>
      <c r="N1298" s="6" t="s">
        <v>23</v>
      </c>
      <c r="O1298" s="6" t="str">
        <f>SUMIFS([1]order_sku_sales_bb2_report!P:P,[1]order_sku_sales_bb2_report!H:H,C29115,[1]order_sku_sales_bb2_report!J:J,H29115)</f>
        <v>#ERROR!</v>
      </c>
      <c r="P1298" s="6" t="str">
        <f>SUMIFS([1]order_sku_sales_bb2_report!O:O,[1]order_sku_sales_bb2_report!H:H,C29115,[1]order_sku_sales_bb2_report!J:J,H29115)</f>
        <v>#ERROR!</v>
      </c>
      <c r="Q1298" s="6" t="str">
        <f t="shared" si="1"/>
        <v>22-12-2025</v>
      </c>
      <c r="R1298" s="6" t="str">
        <f>IFERROR( VLOOKUP(C29115,[1]expressOrderReport!$S:$AZ,34,0),0)</f>
        <v>#ERROR!</v>
      </c>
      <c r="S1298" s="6" t="str">
        <f>ARRAY_CONSTRAIN(ARRAYFORMULA(_xludf.XLOOKUP(D29115,[1]order_Report_SA_ID_BB2.0!V:V,[1]order_Report_SA_ID_BB2.0!AM:AM,"")), 1, 1)</f>
        <v>#ERROR!</v>
      </c>
      <c r="T1298" s="6" t="str">
        <f t="shared" si="2"/>
        <v>Dec'25</v>
      </c>
    </row>
    <row r="1299" ht="15.75" customHeight="1">
      <c r="A1299" s="5">
        <v>46013.0</v>
      </c>
      <c r="B1299" s="6">
        <v>11277.0</v>
      </c>
      <c r="C1299" s="6">
        <v>1.859165928E9</v>
      </c>
      <c r="D1299" s="6">
        <v>1.4520372E7</v>
      </c>
      <c r="E1299" s="6" t="s">
        <v>2023</v>
      </c>
      <c r="F1299" s="6" t="s">
        <v>2024</v>
      </c>
      <c r="G1299" s="6">
        <v>9.900052047E9</v>
      </c>
      <c r="H1299" s="6">
        <v>4.0149833E7</v>
      </c>
      <c r="I1299" s="6" t="s">
        <v>40</v>
      </c>
      <c r="J1299" s="6" t="s">
        <v>21</v>
      </c>
      <c r="K1299" s="6" t="s">
        <v>22</v>
      </c>
      <c r="L1299" s="6">
        <v>27.0</v>
      </c>
      <c r="M1299" s="5">
        <v>46013.0</v>
      </c>
      <c r="N1299" s="6" t="s">
        <v>23</v>
      </c>
      <c r="O1299" s="6" t="str">
        <f>SUMIFS([1]order_sku_sales_bb2_report!P:P,[1]order_sku_sales_bb2_report!H:H,C29116,[1]order_sku_sales_bb2_report!J:J,H29116)</f>
        <v>#ERROR!</v>
      </c>
      <c r="P1299" s="6" t="str">
        <f>SUMIFS([1]order_sku_sales_bb2_report!O:O,[1]order_sku_sales_bb2_report!H:H,C29116,[1]order_sku_sales_bb2_report!J:J,H29116)</f>
        <v>#ERROR!</v>
      </c>
      <c r="Q1299" s="6" t="str">
        <f t="shared" si="1"/>
        <v>22-12-2025</v>
      </c>
      <c r="R1299" s="6" t="str">
        <f>IFERROR( VLOOKUP(C29116,[1]expressOrderReport!$S:$AZ,34,0),0)</f>
        <v>#ERROR!</v>
      </c>
      <c r="S1299" s="6" t="str">
        <f>ARRAY_CONSTRAIN(ARRAYFORMULA(_xludf.XLOOKUP(D29116,[1]order_Report_SA_ID_BB2.0!V:V,[1]order_Report_SA_ID_BB2.0!AM:AM,"")), 1, 1)</f>
        <v>#ERROR!</v>
      </c>
      <c r="T1299" s="6" t="str">
        <f t="shared" si="2"/>
        <v>Dec'25</v>
      </c>
    </row>
    <row r="1300" ht="15.75" customHeight="1">
      <c r="A1300" s="5">
        <v>46013.0</v>
      </c>
      <c r="B1300" s="6">
        <v>10763.0</v>
      </c>
      <c r="C1300" s="6">
        <v>1.859165933E9</v>
      </c>
      <c r="D1300" s="6">
        <v>5810962.0</v>
      </c>
      <c r="E1300" s="6" t="s">
        <v>2025</v>
      </c>
      <c r="F1300" s="6" t="s">
        <v>2026</v>
      </c>
      <c r="G1300" s="6">
        <v>8.919549455E9</v>
      </c>
      <c r="H1300" s="6">
        <v>4.0149832E7</v>
      </c>
      <c r="I1300" s="6" t="s">
        <v>26</v>
      </c>
      <c r="J1300" s="6" t="s">
        <v>21</v>
      </c>
      <c r="K1300" s="6" t="s">
        <v>22</v>
      </c>
      <c r="L1300" s="6">
        <v>48.0</v>
      </c>
      <c r="M1300" s="5">
        <v>46013.0</v>
      </c>
      <c r="N1300" s="6" t="s">
        <v>23</v>
      </c>
      <c r="O1300" s="6" t="str">
        <f>SUMIFS([1]order_sku_sales_bb2_report!P:P,[1]order_sku_sales_bb2_report!H:H,C29117,[1]order_sku_sales_bb2_report!J:J,H29117)</f>
        <v>#ERROR!</v>
      </c>
      <c r="P1300" s="6" t="str">
        <f>SUMIFS([1]order_sku_sales_bb2_report!O:O,[1]order_sku_sales_bb2_report!H:H,C29117,[1]order_sku_sales_bb2_report!J:J,H29117)</f>
        <v>#ERROR!</v>
      </c>
      <c r="Q1300" s="6" t="str">
        <f t="shared" si="1"/>
        <v>22-12-2025</v>
      </c>
      <c r="R1300" s="6" t="str">
        <f>IFERROR( VLOOKUP(C29117,[1]expressOrderReport!$S:$AZ,34,0),0)</f>
        <v>#ERROR!</v>
      </c>
      <c r="S1300" s="6" t="str">
        <f>ARRAY_CONSTRAIN(ARRAYFORMULA(_xludf.XLOOKUP(D29117,[1]order_Report_SA_ID_BB2.0!V:V,[1]order_Report_SA_ID_BB2.0!AM:AM,"")), 1, 1)</f>
        <v>#ERROR!</v>
      </c>
      <c r="T1300" s="6" t="str">
        <f t="shared" si="2"/>
        <v>Dec'25</v>
      </c>
    </row>
    <row r="1301" ht="15.75" customHeight="1">
      <c r="A1301" s="5">
        <v>46013.0</v>
      </c>
      <c r="B1301" s="6">
        <v>11033.0</v>
      </c>
      <c r="C1301" s="6">
        <v>1.859165941E9</v>
      </c>
      <c r="D1301" s="6">
        <v>2.9913936E7</v>
      </c>
      <c r="E1301" s="6" t="s">
        <v>2027</v>
      </c>
      <c r="F1301" s="6" t="s">
        <v>2028</v>
      </c>
      <c r="G1301" s="6">
        <v>8.081426162E9</v>
      </c>
      <c r="H1301" s="6">
        <v>4.0158264E7</v>
      </c>
      <c r="I1301" s="6" t="s">
        <v>26</v>
      </c>
      <c r="J1301" s="6" t="s">
        <v>21</v>
      </c>
      <c r="K1301" s="6" t="s">
        <v>22</v>
      </c>
      <c r="L1301" s="6">
        <v>46.0</v>
      </c>
      <c r="M1301" s="5">
        <v>46013.0</v>
      </c>
      <c r="N1301" s="6" t="s">
        <v>23</v>
      </c>
      <c r="O1301" s="6" t="str">
        <f>SUMIFS([1]order_sku_sales_bb2_report!P:P,[1]order_sku_sales_bb2_report!H:H,C29118,[1]order_sku_sales_bb2_report!J:J,H29118)</f>
        <v>#ERROR!</v>
      </c>
      <c r="P1301" s="6" t="str">
        <f>SUMIFS([1]order_sku_sales_bb2_report!O:O,[1]order_sku_sales_bb2_report!H:H,C29118,[1]order_sku_sales_bb2_report!J:J,H29118)</f>
        <v>#ERROR!</v>
      </c>
      <c r="Q1301" s="6" t="str">
        <f t="shared" si="1"/>
        <v>22-12-2025</v>
      </c>
      <c r="R1301" s="6" t="str">
        <f>IFERROR( VLOOKUP(C29118,[1]expressOrderReport!$S:$AZ,34,0),0)</f>
        <v>#ERROR!</v>
      </c>
      <c r="S1301" s="6" t="str">
        <f>ARRAY_CONSTRAIN(ARRAYFORMULA(_xludf.XLOOKUP(D29118,[1]order_Report_SA_ID_BB2.0!V:V,[1]order_Report_SA_ID_BB2.0!AM:AM,"")), 1, 1)</f>
        <v>#ERROR!</v>
      </c>
      <c r="T1301" s="6" t="str">
        <f t="shared" si="2"/>
        <v>Dec'25</v>
      </c>
    </row>
    <row r="1302" ht="15.75" customHeight="1">
      <c r="A1302" s="5">
        <v>46013.0</v>
      </c>
      <c r="B1302" s="6">
        <v>10978.0</v>
      </c>
      <c r="C1302" s="6">
        <v>1.859165948E9</v>
      </c>
      <c r="D1302" s="6">
        <v>9.0945326E7</v>
      </c>
      <c r="E1302" s="6" t="s">
        <v>2029</v>
      </c>
      <c r="F1302" s="6"/>
      <c r="G1302" s="6">
        <v>8.123283636E9</v>
      </c>
      <c r="H1302" s="6">
        <v>4.0161616E7</v>
      </c>
      <c r="I1302" s="6" t="s">
        <v>20</v>
      </c>
      <c r="J1302" s="6" t="s">
        <v>21</v>
      </c>
      <c r="K1302" s="6" t="s">
        <v>22</v>
      </c>
      <c r="L1302" s="6">
        <v>56.0</v>
      </c>
      <c r="M1302" s="5">
        <v>46013.0</v>
      </c>
      <c r="N1302" s="6" t="s">
        <v>23</v>
      </c>
      <c r="O1302" s="6" t="str">
        <f>SUMIFS([1]order_sku_sales_bb2_report!P:P,[1]order_sku_sales_bb2_report!H:H,C29119,[1]order_sku_sales_bb2_report!J:J,H29119)</f>
        <v>#ERROR!</v>
      </c>
      <c r="P1302" s="6" t="str">
        <f>SUMIFS([1]order_sku_sales_bb2_report!O:O,[1]order_sku_sales_bb2_report!H:H,C29119,[1]order_sku_sales_bb2_report!J:J,H29119)</f>
        <v>#ERROR!</v>
      </c>
      <c r="Q1302" s="6" t="str">
        <f t="shared" si="1"/>
        <v>22-12-2025</v>
      </c>
      <c r="R1302" s="6" t="str">
        <f>IFERROR( VLOOKUP(C29119,[1]expressOrderReport!$S:$AZ,34,0),0)</f>
        <v>#ERROR!</v>
      </c>
      <c r="S1302" s="6" t="str">
        <f>ARRAY_CONSTRAIN(ARRAYFORMULA(_xludf.XLOOKUP(D29119,[1]order_Report_SA_ID_BB2.0!V:V,[1]order_Report_SA_ID_BB2.0!AM:AM,"")), 1, 1)</f>
        <v>#ERROR!</v>
      </c>
      <c r="T1302" s="6" t="str">
        <f t="shared" si="2"/>
        <v>Dec'25</v>
      </c>
    </row>
    <row r="1303" ht="15.75" customHeight="1">
      <c r="A1303" s="5">
        <v>46013.0</v>
      </c>
      <c r="B1303" s="6">
        <v>11240.0</v>
      </c>
      <c r="C1303" s="6">
        <v>1.859165951E9</v>
      </c>
      <c r="D1303" s="6">
        <v>4.0574098E7</v>
      </c>
      <c r="E1303" s="6" t="s">
        <v>2030</v>
      </c>
      <c r="F1303" s="6" t="s">
        <v>2031</v>
      </c>
      <c r="G1303" s="6">
        <v>8.171835928E9</v>
      </c>
      <c r="H1303" s="6">
        <v>4.0149831E7</v>
      </c>
      <c r="I1303" s="6" t="s">
        <v>65</v>
      </c>
      <c r="J1303" s="6" t="s">
        <v>21</v>
      </c>
      <c r="K1303" s="6" t="s">
        <v>22</v>
      </c>
      <c r="L1303" s="6">
        <v>26.0</v>
      </c>
      <c r="M1303" s="5">
        <v>46013.0</v>
      </c>
      <c r="N1303" s="6" t="s">
        <v>23</v>
      </c>
      <c r="O1303" s="6" t="str">
        <f>SUMIFS([1]order_sku_sales_bb2_report!P:P,[1]order_sku_sales_bb2_report!H:H,C29120,[1]order_sku_sales_bb2_report!J:J,H29120)</f>
        <v>#ERROR!</v>
      </c>
      <c r="P1303" s="6" t="str">
        <f>SUMIFS([1]order_sku_sales_bb2_report!O:O,[1]order_sku_sales_bb2_report!H:H,C29120,[1]order_sku_sales_bb2_report!J:J,H29120)</f>
        <v>#ERROR!</v>
      </c>
      <c r="Q1303" s="6" t="str">
        <f t="shared" si="1"/>
        <v>22-12-2025</v>
      </c>
      <c r="R1303" s="6" t="str">
        <f>IFERROR( VLOOKUP(C29120,[1]expressOrderReport!$S:$AZ,34,0),0)</f>
        <v>#ERROR!</v>
      </c>
      <c r="S1303" s="6" t="str">
        <f>ARRAY_CONSTRAIN(ARRAYFORMULA(_xludf.XLOOKUP(D29120,[1]order_Report_SA_ID_BB2.0!V:V,[1]order_Report_SA_ID_BB2.0!AM:AM,"")), 1, 1)</f>
        <v>#ERROR!</v>
      </c>
      <c r="T1303" s="6" t="str">
        <f t="shared" si="2"/>
        <v>Dec'25</v>
      </c>
    </row>
    <row r="1304" ht="15.75" customHeight="1">
      <c r="A1304" s="5">
        <v>46013.0</v>
      </c>
      <c r="B1304" s="6">
        <v>11222.0</v>
      </c>
      <c r="C1304" s="6">
        <v>1.859165958E9</v>
      </c>
      <c r="D1304" s="6">
        <v>1011097.0</v>
      </c>
      <c r="E1304" s="6" t="s">
        <v>2032</v>
      </c>
      <c r="F1304" s="6" t="s">
        <v>2033</v>
      </c>
      <c r="G1304" s="6">
        <v>9.902155757E9</v>
      </c>
      <c r="H1304" s="6">
        <v>4.0148717E7</v>
      </c>
      <c r="I1304" s="6" t="s">
        <v>226</v>
      </c>
      <c r="J1304" s="6" t="s">
        <v>21</v>
      </c>
      <c r="K1304" s="6" t="s">
        <v>22</v>
      </c>
      <c r="L1304" s="6">
        <v>159.0</v>
      </c>
      <c r="M1304" s="5">
        <v>46013.0</v>
      </c>
      <c r="N1304" s="6" t="s">
        <v>23</v>
      </c>
      <c r="O1304" s="6" t="str">
        <f>SUMIFS([1]order_sku_sales_bb2_report!P:P,[1]order_sku_sales_bb2_report!H:H,C29121,[1]order_sku_sales_bb2_report!J:J,H29121)</f>
        <v>#ERROR!</v>
      </c>
      <c r="P1304" s="6" t="str">
        <f>SUMIFS([1]order_sku_sales_bb2_report!O:O,[1]order_sku_sales_bb2_report!H:H,C29121,[1]order_sku_sales_bb2_report!J:J,H29121)</f>
        <v>#ERROR!</v>
      </c>
      <c r="Q1304" s="6" t="str">
        <f t="shared" si="1"/>
        <v>22-12-2025</v>
      </c>
      <c r="R1304" s="6" t="str">
        <f>IFERROR( VLOOKUP(C29121,[1]expressOrderReport!$S:$AZ,34,0),0)</f>
        <v>#ERROR!</v>
      </c>
      <c r="S1304" s="6" t="str">
        <f>ARRAY_CONSTRAIN(ARRAYFORMULA(_xludf.XLOOKUP(D29121,[1]order_Report_SA_ID_BB2.0!V:V,[1]order_Report_SA_ID_BB2.0!AM:AM,"")), 1, 1)</f>
        <v>#ERROR!</v>
      </c>
      <c r="T1304" s="6" t="str">
        <f t="shared" si="2"/>
        <v>Dec'25</v>
      </c>
    </row>
    <row r="1305" ht="15.75" customHeight="1">
      <c r="A1305" s="5">
        <v>46013.0</v>
      </c>
      <c r="B1305" s="6">
        <v>11991.0</v>
      </c>
      <c r="C1305" s="6">
        <v>1.859165968E9</v>
      </c>
      <c r="D1305" s="6">
        <v>326383.0</v>
      </c>
      <c r="E1305" s="6" t="s">
        <v>1167</v>
      </c>
      <c r="F1305" s="6" t="s">
        <v>1168</v>
      </c>
      <c r="G1305" s="6">
        <v>9.90174199E9</v>
      </c>
      <c r="H1305" s="6">
        <v>4.0161616E7</v>
      </c>
      <c r="I1305" s="6" t="s">
        <v>20</v>
      </c>
      <c r="J1305" s="6" t="s">
        <v>21</v>
      </c>
      <c r="K1305" s="6" t="s">
        <v>22</v>
      </c>
      <c r="L1305" s="6">
        <v>56.0</v>
      </c>
      <c r="M1305" s="5">
        <v>46013.0</v>
      </c>
      <c r="N1305" s="6" t="s">
        <v>23</v>
      </c>
      <c r="O1305" s="6" t="str">
        <f>SUMIFS([1]order_sku_sales_bb2_report!P:P,[1]order_sku_sales_bb2_report!H:H,C29122,[1]order_sku_sales_bb2_report!J:J,H29122)</f>
        <v>#ERROR!</v>
      </c>
      <c r="P1305" s="6" t="str">
        <f>SUMIFS([1]order_sku_sales_bb2_report!O:O,[1]order_sku_sales_bb2_report!H:H,C29122,[1]order_sku_sales_bb2_report!J:J,H29122)</f>
        <v>#ERROR!</v>
      </c>
      <c r="Q1305" s="6" t="str">
        <f t="shared" si="1"/>
        <v>22-12-2025</v>
      </c>
      <c r="R1305" s="6" t="str">
        <f>IFERROR( VLOOKUP(C29122,[1]expressOrderReport!$S:$AZ,34,0),0)</f>
        <v>#ERROR!</v>
      </c>
      <c r="S1305" s="6" t="str">
        <f>ARRAY_CONSTRAIN(ARRAYFORMULA(_xludf.XLOOKUP(D29122,[1]order_Report_SA_ID_BB2.0!V:V,[1]order_Report_SA_ID_BB2.0!AM:AM,"")), 1, 1)</f>
        <v>#ERROR!</v>
      </c>
      <c r="T1305" s="6" t="str">
        <f t="shared" si="2"/>
        <v>Dec'25</v>
      </c>
    </row>
    <row r="1306" ht="15.75" customHeight="1">
      <c r="A1306" s="5">
        <v>46013.0</v>
      </c>
      <c r="B1306" s="6">
        <v>11391.0</v>
      </c>
      <c r="C1306" s="6">
        <v>1.859165976E9</v>
      </c>
      <c r="D1306" s="6">
        <v>396426.0</v>
      </c>
      <c r="E1306" s="6" t="s">
        <v>2034</v>
      </c>
      <c r="F1306" s="6" t="s">
        <v>2035</v>
      </c>
      <c r="G1306" s="6">
        <v>9.535012984E9</v>
      </c>
      <c r="H1306" s="6">
        <v>4.0149834E7</v>
      </c>
      <c r="I1306" s="6" t="s">
        <v>40</v>
      </c>
      <c r="J1306" s="6" t="s">
        <v>21</v>
      </c>
      <c r="K1306" s="6" t="s">
        <v>22</v>
      </c>
      <c r="L1306" s="6">
        <v>104.0</v>
      </c>
      <c r="M1306" s="5">
        <v>46013.0</v>
      </c>
      <c r="N1306" s="6" t="s">
        <v>23</v>
      </c>
      <c r="O1306" s="6" t="str">
        <f>SUMIFS([1]order_sku_sales_bb2_report!P:P,[1]order_sku_sales_bb2_report!H:H,C29123,[1]order_sku_sales_bb2_report!J:J,H29123)</f>
        <v>#ERROR!</v>
      </c>
      <c r="P1306" s="6" t="str">
        <f>SUMIFS([1]order_sku_sales_bb2_report!O:O,[1]order_sku_sales_bb2_report!H:H,C29123,[1]order_sku_sales_bb2_report!J:J,H29123)</f>
        <v>#ERROR!</v>
      </c>
      <c r="Q1306" s="6" t="str">
        <f t="shared" si="1"/>
        <v>22-12-2025</v>
      </c>
      <c r="R1306" s="6" t="str">
        <f>IFERROR( VLOOKUP(C29123,[1]expressOrderReport!$S:$AZ,34,0),0)</f>
        <v>#ERROR!</v>
      </c>
      <c r="S1306" s="6" t="str">
        <f>ARRAY_CONSTRAIN(ARRAYFORMULA(_xludf.XLOOKUP(D29123,[1]order_Report_SA_ID_BB2.0!V:V,[1]order_Report_SA_ID_BB2.0!AM:AM,"")), 1, 1)</f>
        <v>#ERROR!</v>
      </c>
      <c r="T1306" s="6" t="str">
        <f t="shared" si="2"/>
        <v>Dec'25</v>
      </c>
    </row>
    <row r="1307" ht="15.75" customHeight="1">
      <c r="A1307" s="5">
        <v>46013.0</v>
      </c>
      <c r="B1307" s="6">
        <v>11416.0</v>
      </c>
      <c r="C1307" s="6">
        <v>1.859166374E9</v>
      </c>
      <c r="D1307" s="6">
        <v>1532155.0</v>
      </c>
      <c r="E1307" s="6" t="s">
        <v>2036</v>
      </c>
      <c r="F1307" s="6" t="s">
        <v>2037</v>
      </c>
      <c r="G1307" s="6">
        <v>9.620991666E9</v>
      </c>
      <c r="H1307" s="6">
        <v>4.0149832E7</v>
      </c>
      <c r="I1307" s="6" t="s">
        <v>26</v>
      </c>
      <c r="J1307" s="6" t="s">
        <v>21</v>
      </c>
      <c r="K1307" s="6" t="s">
        <v>22</v>
      </c>
      <c r="L1307" s="6">
        <v>78.0</v>
      </c>
      <c r="M1307" s="5">
        <v>46013.0</v>
      </c>
      <c r="N1307" s="6" t="s">
        <v>23</v>
      </c>
      <c r="O1307" s="6" t="str">
        <f>SUMIFS([1]order_sku_sales_bb2_report!P:P,[1]order_sku_sales_bb2_report!H:H,C29124,[1]order_sku_sales_bb2_report!J:J,H29124)</f>
        <v>#ERROR!</v>
      </c>
      <c r="P1307" s="6" t="str">
        <f>SUMIFS([1]order_sku_sales_bb2_report!O:O,[1]order_sku_sales_bb2_report!H:H,C29124,[1]order_sku_sales_bb2_report!J:J,H29124)</f>
        <v>#ERROR!</v>
      </c>
      <c r="Q1307" s="6" t="str">
        <f t="shared" si="1"/>
        <v>22-12-2025</v>
      </c>
      <c r="R1307" s="6" t="str">
        <f>IFERROR( VLOOKUP(C29124,[1]expressOrderReport!$S:$AZ,34,0),0)</f>
        <v>#ERROR!</v>
      </c>
      <c r="S1307" s="6" t="str">
        <f>ARRAY_CONSTRAIN(ARRAYFORMULA(_xludf.XLOOKUP(D29124,[1]order_Report_SA_ID_BB2.0!V:V,[1]order_Report_SA_ID_BB2.0!AM:AM,"")), 1, 1)</f>
        <v>#ERROR!</v>
      </c>
      <c r="T1307" s="6" t="str">
        <f t="shared" si="2"/>
        <v>Dec'25</v>
      </c>
    </row>
    <row r="1308" ht="15.75" customHeight="1">
      <c r="A1308" s="5">
        <v>46013.0</v>
      </c>
      <c r="B1308" s="6">
        <v>11417.0</v>
      </c>
      <c r="C1308" s="6">
        <v>1.859166374E9</v>
      </c>
      <c r="D1308" s="6">
        <v>1532155.0</v>
      </c>
      <c r="E1308" s="6" t="s">
        <v>2036</v>
      </c>
      <c r="F1308" s="6" t="s">
        <v>2037</v>
      </c>
      <c r="G1308" s="6">
        <v>9.620991666E9</v>
      </c>
      <c r="H1308" s="6">
        <v>4.0149833E7</v>
      </c>
      <c r="I1308" s="6" t="s">
        <v>40</v>
      </c>
      <c r="J1308" s="6" t="s">
        <v>21</v>
      </c>
      <c r="K1308" s="6" t="s">
        <v>22</v>
      </c>
      <c r="L1308" s="6">
        <v>78.0</v>
      </c>
      <c r="M1308" s="5">
        <v>46013.0</v>
      </c>
      <c r="N1308" s="6" t="s">
        <v>23</v>
      </c>
      <c r="O1308" s="6" t="str">
        <f>SUMIFS([1]order_sku_sales_bb2_report!P:P,[1]order_sku_sales_bb2_report!H:H,C29125,[1]order_sku_sales_bb2_report!J:J,H29125)</f>
        <v>#ERROR!</v>
      </c>
      <c r="P1308" s="6" t="str">
        <f>SUMIFS([1]order_sku_sales_bb2_report!O:O,[1]order_sku_sales_bb2_report!H:H,C29125,[1]order_sku_sales_bb2_report!J:J,H29125)</f>
        <v>#ERROR!</v>
      </c>
      <c r="Q1308" s="6" t="str">
        <f t="shared" si="1"/>
        <v>22-12-2025</v>
      </c>
      <c r="R1308" s="6" t="str">
        <f>IFERROR( VLOOKUP(C29125,[1]expressOrderReport!$S:$AZ,34,0),0)</f>
        <v>#ERROR!</v>
      </c>
      <c r="S1308" s="6" t="str">
        <f>ARRAY_CONSTRAIN(ARRAYFORMULA(_xludf.XLOOKUP(D29125,[1]order_Report_SA_ID_BB2.0!V:V,[1]order_Report_SA_ID_BB2.0!AM:AM,"")), 1, 1)</f>
        <v>#ERROR!</v>
      </c>
      <c r="T1308" s="6" t="str">
        <f t="shared" si="2"/>
        <v>Dec'25</v>
      </c>
    </row>
    <row r="1309" ht="15.75" customHeight="1">
      <c r="A1309" s="5">
        <v>46013.0</v>
      </c>
      <c r="B1309" s="6">
        <v>11426.0</v>
      </c>
      <c r="C1309" s="6">
        <v>1.859166382E9</v>
      </c>
      <c r="D1309" s="6">
        <v>3.5839843E7</v>
      </c>
      <c r="E1309" s="6" t="s">
        <v>2038</v>
      </c>
      <c r="F1309" s="6" t="s">
        <v>2039</v>
      </c>
      <c r="G1309" s="6">
        <v>6.282426819E9</v>
      </c>
      <c r="H1309" s="6">
        <v>4.0149832E7</v>
      </c>
      <c r="I1309" s="6" t="s">
        <v>26</v>
      </c>
      <c r="J1309" s="6" t="s">
        <v>21</v>
      </c>
      <c r="K1309" s="6" t="s">
        <v>22</v>
      </c>
      <c r="L1309" s="6">
        <v>48.0</v>
      </c>
      <c r="M1309" s="5">
        <v>46013.0</v>
      </c>
      <c r="N1309" s="6" t="s">
        <v>23</v>
      </c>
      <c r="O1309" s="6" t="str">
        <f>SUMIFS([1]order_sku_sales_bb2_report!P:P,[1]order_sku_sales_bb2_report!H:H,C29126,[1]order_sku_sales_bb2_report!J:J,H29126)</f>
        <v>#ERROR!</v>
      </c>
      <c r="P1309" s="6" t="str">
        <f>SUMIFS([1]order_sku_sales_bb2_report!O:O,[1]order_sku_sales_bb2_report!H:H,C29126,[1]order_sku_sales_bb2_report!J:J,H29126)</f>
        <v>#ERROR!</v>
      </c>
      <c r="Q1309" s="6" t="str">
        <f t="shared" si="1"/>
        <v>22-12-2025</v>
      </c>
      <c r="R1309" s="6" t="str">
        <f>IFERROR( VLOOKUP(C29126,[1]expressOrderReport!$S:$AZ,34,0),0)</f>
        <v>#ERROR!</v>
      </c>
      <c r="S1309" s="6" t="str">
        <f>ARRAY_CONSTRAIN(ARRAYFORMULA(_xludf.XLOOKUP(D29126,[1]order_Report_SA_ID_BB2.0!V:V,[1]order_Report_SA_ID_BB2.0!AM:AM,"")), 1, 1)</f>
        <v>#ERROR!</v>
      </c>
      <c r="T1309" s="6" t="str">
        <f t="shared" si="2"/>
        <v>Dec'25</v>
      </c>
    </row>
    <row r="1310" ht="15.75" customHeight="1">
      <c r="A1310" s="5">
        <v>46013.0</v>
      </c>
      <c r="B1310" s="6">
        <v>11432.0</v>
      </c>
      <c r="C1310" s="6">
        <v>1.859165366E9</v>
      </c>
      <c r="D1310" s="6">
        <v>5814718.0</v>
      </c>
      <c r="E1310" s="6" t="s">
        <v>2040</v>
      </c>
      <c r="F1310" s="6" t="s">
        <v>2041</v>
      </c>
      <c r="G1310" s="6">
        <v>8.147635076E9</v>
      </c>
      <c r="H1310" s="6">
        <v>2.0001186E7</v>
      </c>
      <c r="I1310" s="6" t="s">
        <v>430</v>
      </c>
      <c r="J1310" s="6" t="s">
        <v>21</v>
      </c>
      <c r="K1310" s="6" t="s">
        <v>22</v>
      </c>
      <c r="L1310" s="6">
        <v>7.7</v>
      </c>
      <c r="M1310" s="5">
        <v>46013.0</v>
      </c>
      <c r="N1310" s="6" t="s">
        <v>23</v>
      </c>
      <c r="O1310" s="6" t="str">
        <f>SUMIFS([1]order_sku_sales_bb2_report!P:P,[1]order_sku_sales_bb2_report!H:H,C29127,[1]order_sku_sales_bb2_report!J:J,H29127)</f>
        <v>#ERROR!</v>
      </c>
      <c r="P1310" s="6" t="str">
        <f>SUMIFS([1]order_sku_sales_bb2_report!O:O,[1]order_sku_sales_bb2_report!H:H,C29127,[1]order_sku_sales_bb2_report!J:J,H29127)</f>
        <v>#ERROR!</v>
      </c>
      <c r="Q1310" s="6" t="str">
        <f t="shared" si="1"/>
        <v>22-12-2025</v>
      </c>
      <c r="R1310" s="6" t="str">
        <f>IFERROR( VLOOKUP(C29127,[1]expressOrderReport!$S:$AZ,34,0),0)</f>
        <v>#ERROR!</v>
      </c>
      <c r="S1310" s="6" t="str">
        <f>ARRAY_CONSTRAIN(ARRAYFORMULA(_xludf.XLOOKUP(D29127,[1]order_Report_SA_ID_BB2.0!V:V,[1]order_Report_SA_ID_BB2.0!AM:AM,"")), 1, 1)</f>
        <v>#ERROR!</v>
      </c>
      <c r="T1310" s="6" t="str">
        <f t="shared" si="2"/>
        <v>Dec'25</v>
      </c>
    </row>
    <row r="1311" ht="15.75" customHeight="1">
      <c r="A1311" s="5">
        <v>46013.0</v>
      </c>
      <c r="B1311" s="6">
        <v>11443.0</v>
      </c>
      <c r="C1311" s="6">
        <v>1.859165373E9</v>
      </c>
      <c r="D1311" s="6">
        <v>3001902.0</v>
      </c>
      <c r="E1311" s="6" t="s">
        <v>2042</v>
      </c>
      <c r="F1311" s="6" t="s">
        <v>2043</v>
      </c>
      <c r="G1311" s="6">
        <v>9.88832019E9</v>
      </c>
      <c r="H1311" s="6">
        <v>4.0149832E7</v>
      </c>
      <c r="I1311" s="6" t="s">
        <v>26</v>
      </c>
      <c r="J1311" s="6" t="s">
        <v>21</v>
      </c>
      <c r="K1311" s="6" t="s">
        <v>22</v>
      </c>
      <c r="L1311" s="6">
        <v>96.0</v>
      </c>
      <c r="M1311" s="5">
        <v>46013.0</v>
      </c>
      <c r="N1311" s="6" t="s">
        <v>23</v>
      </c>
      <c r="O1311" s="6" t="str">
        <f>SUMIFS([1]order_sku_sales_bb2_report!P:P,[1]order_sku_sales_bb2_report!H:H,C29128,[1]order_sku_sales_bb2_report!J:J,H29128)</f>
        <v>#ERROR!</v>
      </c>
      <c r="P1311" s="6" t="str">
        <f>SUMIFS([1]order_sku_sales_bb2_report!O:O,[1]order_sku_sales_bb2_report!H:H,C29128,[1]order_sku_sales_bb2_report!J:J,H29128)</f>
        <v>#ERROR!</v>
      </c>
      <c r="Q1311" s="6" t="str">
        <f t="shared" si="1"/>
        <v>22-12-2025</v>
      </c>
      <c r="R1311" s="6" t="str">
        <f>IFERROR( VLOOKUP(C29128,[1]expressOrderReport!$S:$AZ,34,0),0)</f>
        <v>#ERROR!</v>
      </c>
      <c r="S1311" s="6" t="str">
        <f>ARRAY_CONSTRAIN(ARRAYFORMULA(_xludf.XLOOKUP(D29128,[1]order_Report_SA_ID_BB2.0!V:V,[1]order_Report_SA_ID_BB2.0!AM:AM,"")), 1, 1)</f>
        <v>#ERROR!</v>
      </c>
      <c r="T1311" s="6" t="str">
        <f t="shared" si="2"/>
        <v>Dec'25</v>
      </c>
    </row>
    <row r="1312" ht="15.75" customHeight="1">
      <c r="A1312" s="5">
        <v>46013.0</v>
      </c>
      <c r="B1312" s="6">
        <v>11446.0</v>
      </c>
      <c r="C1312" s="6">
        <v>1.859165391E9</v>
      </c>
      <c r="D1312" s="6">
        <v>104356.0</v>
      </c>
      <c r="E1312" s="6" t="s">
        <v>2044</v>
      </c>
      <c r="F1312" s="6" t="s">
        <v>2045</v>
      </c>
      <c r="G1312" s="6">
        <v>9.739594966E9</v>
      </c>
      <c r="H1312" s="6">
        <v>4.0148716E7</v>
      </c>
      <c r="I1312" s="6" t="s">
        <v>148</v>
      </c>
      <c r="J1312" s="6" t="s">
        <v>21</v>
      </c>
      <c r="K1312" s="6" t="s">
        <v>22</v>
      </c>
      <c r="L1312" s="6">
        <v>69.0</v>
      </c>
      <c r="M1312" s="5">
        <v>46013.0</v>
      </c>
      <c r="N1312" s="6" t="s">
        <v>23</v>
      </c>
      <c r="O1312" s="6" t="str">
        <f>SUMIFS([1]order_sku_sales_bb2_report!P:P,[1]order_sku_sales_bb2_report!H:H,C29129,[1]order_sku_sales_bb2_report!J:J,H29129)</f>
        <v>#ERROR!</v>
      </c>
      <c r="P1312" s="6" t="str">
        <f>SUMIFS([1]order_sku_sales_bb2_report!O:O,[1]order_sku_sales_bb2_report!H:H,C29129,[1]order_sku_sales_bb2_report!J:J,H29129)</f>
        <v>#ERROR!</v>
      </c>
      <c r="Q1312" s="6" t="str">
        <f t="shared" si="1"/>
        <v>22-12-2025</v>
      </c>
      <c r="R1312" s="6" t="str">
        <f>IFERROR( VLOOKUP(C29129,[1]expressOrderReport!$S:$AZ,34,0),0)</f>
        <v>#ERROR!</v>
      </c>
      <c r="S1312" s="6" t="str">
        <f>ARRAY_CONSTRAIN(ARRAYFORMULA(_xludf.XLOOKUP(D29129,[1]order_Report_SA_ID_BB2.0!V:V,[1]order_Report_SA_ID_BB2.0!AM:AM,"")), 1, 1)</f>
        <v>#ERROR!</v>
      </c>
      <c r="T1312" s="6" t="str">
        <f t="shared" si="2"/>
        <v>Dec'25</v>
      </c>
    </row>
    <row r="1313" ht="15.75" customHeight="1">
      <c r="A1313" s="5">
        <v>46013.0</v>
      </c>
      <c r="B1313" s="6">
        <v>11447.0</v>
      </c>
      <c r="C1313" s="6">
        <v>1.859165391E9</v>
      </c>
      <c r="D1313" s="6">
        <v>104356.0</v>
      </c>
      <c r="E1313" s="6" t="s">
        <v>2044</v>
      </c>
      <c r="F1313" s="6" t="s">
        <v>2045</v>
      </c>
      <c r="G1313" s="6">
        <v>9.739594966E9</v>
      </c>
      <c r="H1313" s="6">
        <v>4.0149832E7</v>
      </c>
      <c r="I1313" s="6" t="s">
        <v>26</v>
      </c>
      <c r="J1313" s="6" t="s">
        <v>21</v>
      </c>
      <c r="K1313" s="6" t="s">
        <v>22</v>
      </c>
      <c r="L1313" s="6">
        <v>69.0</v>
      </c>
      <c r="M1313" s="5">
        <v>46013.0</v>
      </c>
      <c r="N1313" s="6" t="s">
        <v>23</v>
      </c>
      <c r="O1313" s="6" t="str">
        <f>SUMIFS([1]order_sku_sales_bb2_report!P:P,[1]order_sku_sales_bb2_report!H:H,C29130,[1]order_sku_sales_bb2_report!J:J,H29130)</f>
        <v>#ERROR!</v>
      </c>
      <c r="P1313" s="6" t="str">
        <f>SUMIFS([1]order_sku_sales_bb2_report!O:O,[1]order_sku_sales_bb2_report!H:H,C29130,[1]order_sku_sales_bb2_report!J:J,H29130)</f>
        <v>#ERROR!</v>
      </c>
      <c r="Q1313" s="6" t="str">
        <f t="shared" si="1"/>
        <v>22-12-2025</v>
      </c>
      <c r="R1313" s="6" t="str">
        <f>IFERROR( VLOOKUP(C29130,[1]expressOrderReport!$S:$AZ,34,0),0)</f>
        <v>#ERROR!</v>
      </c>
      <c r="S1313" s="6" t="str">
        <f>ARRAY_CONSTRAIN(ARRAYFORMULA(_xludf.XLOOKUP(D29130,[1]order_Report_SA_ID_BB2.0!V:V,[1]order_Report_SA_ID_BB2.0!AM:AM,"")), 1, 1)</f>
        <v>#ERROR!</v>
      </c>
      <c r="T1313" s="6" t="str">
        <f t="shared" si="2"/>
        <v>Dec'25</v>
      </c>
    </row>
    <row r="1314" ht="15.75" customHeight="1">
      <c r="A1314" s="5">
        <v>46013.0</v>
      </c>
      <c r="B1314" s="6">
        <v>11462.0</v>
      </c>
      <c r="C1314" s="6">
        <v>1.859165402E9</v>
      </c>
      <c r="D1314" s="6">
        <v>1676064.0</v>
      </c>
      <c r="E1314" s="6" t="s">
        <v>2046</v>
      </c>
      <c r="F1314" s="6" t="s">
        <v>2047</v>
      </c>
      <c r="G1314" s="6">
        <v>9.886821507E9</v>
      </c>
      <c r="H1314" s="6">
        <v>4.0149832E7</v>
      </c>
      <c r="I1314" s="6" t="s">
        <v>26</v>
      </c>
      <c r="J1314" s="6" t="s">
        <v>21</v>
      </c>
      <c r="K1314" s="6" t="s">
        <v>22</v>
      </c>
      <c r="L1314" s="6">
        <v>24.0</v>
      </c>
      <c r="M1314" s="5">
        <v>46013.0</v>
      </c>
      <c r="N1314" s="6" t="s">
        <v>23</v>
      </c>
      <c r="O1314" s="6" t="str">
        <f>SUMIFS([1]order_sku_sales_bb2_report!P:P,[1]order_sku_sales_bb2_report!H:H,C29131,[1]order_sku_sales_bb2_report!J:J,H29131)</f>
        <v>#ERROR!</v>
      </c>
      <c r="P1314" s="6" t="str">
        <f>SUMIFS([1]order_sku_sales_bb2_report!O:O,[1]order_sku_sales_bb2_report!H:H,C29131,[1]order_sku_sales_bb2_report!J:J,H29131)</f>
        <v>#ERROR!</v>
      </c>
      <c r="Q1314" s="6" t="str">
        <f t="shared" si="1"/>
        <v>22-12-2025</v>
      </c>
      <c r="R1314" s="6" t="str">
        <f>IFERROR( VLOOKUP(C29131,[1]expressOrderReport!$S:$AZ,34,0),0)</f>
        <v>#ERROR!</v>
      </c>
      <c r="S1314" s="6" t="str">
        <f>ARRAY_CONSTRAIN(ARRAYFORMULA(_xludf.XLOOKUP(D29131,[1]order_Report_SA_ID_BB2.0!V:V,[1]order_Report_SA_ID_BB2.0!AM:AM,"")), 1, 1)</f>
        <v>#ERROR!</v>
      </c>
      <c r="T1314" s="6" t="str">
        <f t="shared" si="2"/>
        <v>Dec'25</v>
      </c>
    </row>
    <row r="1315" ht="15.75" customHeight="1">
      <c r="A1315" s="5">
        <v>46013.0</v>
      </c>
      <c r="B1315" s="6">
        <v>11479.0</v>
      </c>
      <c r="C1315" s="6">
        <v>1.859165415E9</v>
      </c>
      <c r="D1315" s="6">
        <v>143417.0</v>
      </c>
      <c r="E1315" s="6" t="s">
        <v>2048</v>
      </c>
      <c r="F1315" s="6" t="s">
        <v>2049</v>
      </c>
      <c r="G1315" s="6">
        <v>9.740626996E9</v>
      </c>
      <c r="H1315" s="6">
        <v>4.014983E7</v>
      </c>
      <c r="I1315" s="6" t="s">
        <v>30</v>
      </c>
      <c r="J1315" s="6" t="s">
        <v>21</v>
      </c>
      <c r="K1315" s="6" t="s">
        <v>22</v>
      </c>
      <c r="L1315" s="6">
        <v>79.0</v>
      </c>
      <c r="M1315" s="5">
        <v>46013.0</v>
      </c>
      <c r="N1315" s="6" t="s">
        <v>23</v>
      </c>
      <c r="O1315" s="6" t="str">
        <f>SUMIFS([1]order_sku_sales_bb2_report!P:P,[1]order_sku_sales_bb2_report!H:H,C29132,[1]order_sku_sales_bb2_report!J:J,H29132)</f>
        <v>#ERROR!</v>
      </c>
      <c r="P1315" s="6" t="str">
        <f>SUMIFS([1]order_sku_sales_bb2_report!O:O,[1]order_sku_sales_bb2_report!H:H,C29132,[1]order_sku_sales_bb2_report!J:J,H29132)</f>
        <v>#ERROR!</v>
      </c>
      <c r="Q1315" s="6" t="str">
        <f t="shared" si="1"/>
        <v>22-12-2025</v>
      </c>
      <c r="R1315" s="6" t="str">
        <f>IFERROR( VLOOKUP(C29132,[1]expressOrderReport!$S:$AZ,34,0),0)</f>
        <v>#ERROR!</v>
      </c>
      <c r="S1315" s="6" t="str">
        <f>ARRAY_CONSTRAIN(ARRAYFORMULA(_xludf.XLOOKUP(D29132,[1]order_Report_SA_ID_BB2.0!V:V,[1]order_Report_SA_ID_BB2.0!AM:AM,"")), 1, 1)</f>
        <v>#ERROR!</v>
      </c>
      <c r="T1315" s="6" t="str">
        <f t="shared" si="2"/>
        <v>Dec'25</v>
      </c>
    </row>
    <row r="1316" ht="15.75" customHeight="1">
      <c r="A1316" s="5">
        <v>46013.0</v>
      </c>
      <c r="B1316" s="6">
        <v>11480.0</v>
      </c>
      <c r="C1316" s="6">
        <v>1.859165415E9</v>
      </c>
      <c r="D1316" s="6">
        <v>143417.0</v>
      </c>
      <c r="E1316" s="6" t="s">
        <v>2048</v>
      </c>
      <c r="F1316" s="6" t="s">
        <v>2049</v>
      </c>
      <c r="G1316" s="6">
        <v>9.740626996E9</v>
      </c>
      <c r="H1316" s="6">
        <v>4.0149833E7</v>
      </c>
      <c r="I1316" s="6" t="s">
        <v>40</v>
      </c>
      <c r="J1316" s="6" t="s">
        <v>21</v>
      </c>
      <c r="K1316" s="6" t="s">
        <v>22</v>
      </c>
      <c r="L1316" s="6">
        <v>79.0</v>
      </c>
      <c r="M1316" s="5">
        <v>46013.0</v>
      </c>
      <c r="N1316" s="6" t="s">
        <v>23</v>
      </c>
      <c r="O1316" s="6" t="str">
        <f>SUMIFS([1]order_sku_sales_bb2_report!P:P,[1]order_sku_sales_bb2_report!H:H,C29133,[1]order_sku_sales_bb2_report!J:J,H29133)</f>
        <v>#ERROR!</v>
      </c>
      <c r="P1316" s="6" t="str">
        <f>SUMIFS([1]order_sku_sales_bb2_report!O:O,[1]order_sku_sales_bb2_report!H:H,C29133,[1]order_sku_sales_bb2_report!J:J,H29133)</f>
        <v>#ERROR!</v>
      </c>
      <c r="Q1316" s="6" t="str">
        <f t="shared" si="1"/>
        <v>22-12-2025</v>
      </c>
      <c r="R1316" s="6" t="str">
        <f>IFERROR( VLOOKUP(C29133,[1]expressOrderReport!$S:$AZ,34,0),0)</f>
        <v>#ERROR!</v>
      </c>
      <c r="S1316" s="6" t="str">
        <f>ARRAY_CONSTRAIN(ARRAYFORMULA(_xludf.XLOOKUP(D29133,[1]order_Report_SA_ID_BB2.0!V:V,[1]order_Report_SA_ID_BB2.0!AM:AM,"")), 1, 1)</f>
        <v>#ERROR!</v>
      </c>
      <c r="T1316" s="6" t="str">
        <f t="shared" si="2"/>
        <v>Dec'25</v>
      </c>
    </row>
    <row r="1317" ht="15.75" customHeight="1">
      <c r="A1317" s="5">
        <v>46013.0</v>
      </c>
      <c r="B1317" s="6">
        <v>11481.0</v>
      </c>
      <c r="C1317" s="6">
        <v>1.859165415E9</v>
      </c>
      <c r="D1317" s="6">
        <v>143417.0</v>
      </c>
      <c r="E1317" s="6" t="s">
        <v>2048</v>
      </c>
      <c r="F1317" s="6" t="s">
        <v>2049</v>
      </c>
      <c r="G1317" s="6">
        <v>9.740626996E9</v>
      </c>
      <c r="H1317" s="6">
        <v>4.0149832E7</v>
      </c>
      <c r="I1317" s="6" t="s">
        <v>26</v>
      </c>
      <c r="J1317" s="6" t="s">
        <v>21</v>
      </c>
      <c r="K1317" s="6" t="s">
        <v>22</v>
      </c>
      <c r="L1317" s="6">
        <v>79.0</v>
      </c>
      <c r="M1317" s="5">
        <v>46013.0</v>
      </c>
      <c r="N1317" s="6" t="s">
        <v>23</v>
      </c>
      <c r="O1317" s="6" t="str">
        <f>SUMIFS([1]order_sku_sales_bb2_report!P:P,[1]order_sku_sales_bb2_report!H:H,C29134,[1]order_sku_sales_bb2_report!J:J,H29134)</f>
        <v>#ERROR!</v>
      </c>
      <c r="P1317" s="6" t="str">
        <f>SUMIFS([1]order_sku_sales_bb2_report!O:O,[1]order_sku_sales_bb2_report!H:H,C29134,[1]order_sku_sales_bb2_report!J:J,H29134)</f>
        <v>#ERROR!</v>
      </c>
      <c r="Q1317" s="6" t="str">
        <f t="shared" si="1"/>
        <v>22-12-2025</v>
      </c>
      <c r="R1317" s="6" t="str">
        <f>IFERROR( VLOOKUP(C29134,[1]expressOrderReport!$S:$AZ,34,0),0)</f>
        <v>#ERROR!</v>
      </c>
      <c r="S1317" s="6" t="str">
        <f>ARRAY_CONSTRAIN(ARRAYFORMULA(_xludf.XLOOKUP(D29134,[1]order_Report_SA_ID_BB2.0!V:V,[1]order_Report_SA_ID_BB2.0!AM:AM,"")), 1, 1)</f>
        <v>#ERROR!</v>
      </c>
      <c r="T1317" s="6" t="str">
        <f t="shared" si="2"/>
        <v>Dec'25</v>
      </c>
    </row>
    <row r="1318" ht="15.75" customHeight="1">
      <c r="A1318" s="5">
        <v>46013.0</v>
      </c>
      <c r="B1318" s="6">
        <v>11486.0</v>
      </c>
      <c r="C1318" s="6">
        <v>1.859165425E9</v>
      </c>
      <c r="D1318" s="6">
        <v>1898891.0</v>
      </c>
      <c r="E1318" s="6" t="s">
        <v>2050</v>
      </c>
      <c r="F1318" s="6" t="s">
        <v>2051</v>
      </c>
      <c r="G1318" s="6">
        <v>8.447923702E9</v>
      </c>
      <c r="H1318" s="6">
        <v>4.0149834E7</v>
      </c>
      <c r="I1318" s="6" t="s">
        <v>40</v>
      </c>
      <c r="J1318" s="6" t="s">
        <v>21</v>
      </c>
      <c r="K1318" s="6" t="s">
        <v>22</v>
      </c>
      <c r="L1318" s="6">
        <v>104.0</v>
      </c>
      <c r="M1318" s="5">
        <v>46013.0</v>
      </c>
      <c r="N1318" s="6" t="s">
        <v>23</v>
      </c>
      <c r="O1318" s="6" t="str">
        <f>SUMIFS([1]order_sku_sales_bb2_report!P:P,[1]order_sku_sales_bb2_report!H:H,C29135,[1]order_sku_sales_bb2_report!J:J,H29135)</f>
        <v>#ERROR!</v>
      </c>
      <c r="P1318" s="6" t="str">
        <f>SUMIFS([1]order_sku_sales_bb2_report!O:O,[1]order_sku_sales_bb2_report!H:H,C29135,[1]order_sku_sales_bb2_report!J:J,H29135)</f>
        <v>#ERROR!</v>
      </c>
      <c r="Q1318" s="6" t="str">
        <f t="shared" si="1"/>
        <v>22-12-2025</v>
      </c>
      <c r="R1318" s="6" t="str">
        <f>IFERROR( VLOOKUP(C29135,[1]expressOrderReport!$S:$AZ,34,0),0)</f>
        <v>#ERROR!</v>
      </c>
      <c r="S1318" s="6" t="str">
        <f>ARRAY_CONSTRAIN(ARRAYFORMULA(_xludf.XLOOKUP(D29135,[1]order_Report_SA_ID_BB2.0!V:V,[1]order_Report_SA_ID_BB2.0!AM:AM,"")), 1, 1)</f>
        <v>#ERROR!</v>
      </c>
      <c r="T1318" s="6" t="str">
        <f t="shared" si="2"/>
        <v>Dec'25</v>
      </c>
    </row>
    <row r="1319" ht="15.75" customHeight="1">
      <c r="A1319" s="5">
        <v>46013.0</v>
      </c>
      <c r="B1319" s="6">
        <v>11523.0</v>
      </c>
      <c r="C1319" s="6">
        <v>1.859165438E9</v>
      </c>
      <c r="D1319" s="6">
        <v>6.8238255E7</v>
      </c>
      <c r="E1319" s="6" t="s">
        <v>2052</v>
      </c>
      <c r="F1319" s="6" t="s">
        <v>2053</v>
      </c>
      <c r="G1319" s="6">
        <v>9.335999548E9</v>
      </c>
      <c r="H1319" s="6">
        <v>4.0149832E7</v>
      </c>
      <c r="I1319" s="6" t="s">
        <v>26</v>
      </c>
      <c r="J1319" s="6" t="s">
        <v>21</v>
      </c>
      <c r="K1319" s="6" t="s">
        <v>22</v>
      </c>
      <c r="L1319" s="6">
        <v>72.0</v>
      </c>
      <c r="M1319" s="5">
        <v>46013.0</v>
      </c>
      <c r="N1319" s="6" t="s">
        <v>23</v>
      </c>
      <c r="O1319" s="6" t="str">
        <f>SUMIFS([1]order_sku_sales_bb2_report!P:P,[1]order_sku_sales_bb2_report!H:H,C29137,[1]order_sku_sales_bb2_report!J:J,H29137)</f>
        <v>#ERROR!</v>
      </c>
      <c r="P1319" s="6" t="str">
        <f>SUMIFS([1]order_sku_sales_bb2_report!O:O,[1]order_sku_sales_bb2_report!H:H,C29137,[1]order_sku_sales_bb2_report!J:J,H29137)</f>
        <v>#ERROR!</v>
      </c>
      <c r="Q1319" s="6" t="str">
        <f t="shared" si="1"/>
        <v>22-12-2025</v>
      </c>
      <c r="R1319" s="6" t="str">
        <f>IFERROR( VLOOKUP(C29137,[1]expressOrderReport!$S:$AZ,34,0),0)</f>
        <v>#ERROR!</v>
      </c>
      <c r="S1319" s="6" t="str">
        <f>ARRAY_CONSTRAIN(ARRAYFORMULA(_xludf.XLOOKUP(D29137,[1]order_Report_SA_ID_BB2.0!V:V,[1]order_Report_SA_ID_BB2.0!AM:AM,"")), 1, 1)</f>
        <v>#ERROR!</v>
      </c>
      <c r="T1319" s="6" t="str">
        <f t="shared" si="2"/>
        <v>Dec'25</v>
      </c>
    </row>
    <row r="1320" ht="15.75" customHeight="1">
      <c r="A1320" s="5">
        <v>46013.0</v>
      </c>
      <c r="B1320" s="6">
        <v>11525.0</v>
      </c>
      <c r="C1320" s="6">
        <v>1.859165445E9</v>
      </c>
      <c r="D1320" s="6">
        <v>421224.0</v>
      </c>
      <c r="E1320" s="6" t="s">
        <v>2054</v>
      </c>
      <c r="F1320" s="6" t="s">
        <v>2055</v>
      </c>
      <c r="G1320" s="6">
        <v>9.66399944E9</v>
      </c>
      <c r="H1320" s="6">
        <v>4.0149832E7</v>
      </c>
      <c r="I1320" s="6" t="s">
        <v>26</v>
      </c>
      <c r="J1320" s="6" t="s">
        <v>21</v>
      </c>
      <c r="K1320" s="6" t="s">
        <v>22</v>
      </c>
      <c r="L1320" s="6">
        <v>115.76</v>
      </c>
      <c r="M1320" s="5">
        <v>46013.0</v>
      </c>
      <c r="N1320" s="6" t="s">
        <v>23</v>
      </c>
      <c r="O1320" s="6" t="str">
        <f>SUMIFS([1]order_sku_sales_bb2_report!P:P,[1]order_sku_sales_bb2_report!H:H,C29138,[1]order_sku_sales_bb2_report!J:J,H29138)</f>
        <v>#ERROR!</v>
      </c>
      <c r="P1320" s="6" t="str">
        <f>SUMIFS([1]order_sku_sales_bb2_report!O:O,[1]order_sku_sales_bb2_report!H:H,C29138,[1]order_sku_sales_bb2_report!J:J,H29138)</f>
        <v>#ERROR!</v>
      </c>
      <c r="Q1320" s="6" t="str">
        <f t="shared" si="1"/>
        <v>22-12-2025</v>
      </c>
      <c r="R1320" s="6" t="str">
        <f>IFERROR( VLOOKUP(C29138,[1]expressOrderReport!$S:$AZ,34,0),0)</f>
        <v>#ERROR!</v>
      </c>
      <c r="S1320" s="6" t="str">
        <f>ARRAY_CONSTRAIN(ARRAYFORMULA(_xludf.XLOOKUP(D29138,[1]order_Report_SA_ID_BB2.0!V:V,[1]order_Report_SA_ID_BB2.0!AM:AM,"")), 1, 1)</f>
        <v>#ERROR!</v>
      </c>
      <c r="T1320" s="6" t="str">
        <f t="shared" si="2"/>
        <v>Dec'25</v>
      </c>
    </row>
    <row r="1321" ht="15.75" customHeight="1">
      <c r="A1321" s="5">
        <v>46013.0</v>
      </c>
      <c r="B1321" s="6">
        <v>11526.0</v>
      </c>
      <c r="C1321" s="6">
        <v>1.859165445E9</v>
      </c>
      <c r="D1321" s="6">
        <v>421224.0</v>
      </c>
      <c r="E1321" s="6" t="s">
        <v>2054</v>
      </c>
      <c r="F1321" s="6" t="s">
        <v>2055</v>
      </c>
      <c r="G1321" s="6">
        <v>9.66399944E9</v>
      </c>
      <c r="H1321" s="6">
        <v>4.0232542E7</v>
      </c>
      <c r="I1321" s="6" t="s">
        <v>2056</v>
      </c>
      <c r="J1321" s="6" t="s">
        <v>21</v>
      </c>
      <c r="K1321" s="6" t="s">
        <v>22</v>
      </c>
      <c r="L1321" s="6">
        <v>115.76</v>
      </c>
      <c r="M1321" s="5">
        <v>46013.0</v>
      </c>
      <c r="N1321" s="6" t="s">
        <v>23</v>
      </c>
      <c r="O1321" s="6" t="str">
        <f>SUMIFS([1]order_sku_sales_bb2_report!P:P,[1]order_sku_sales_bb2_report!H:H,C29139,[1]order_sku_sales_bb2_report!J:J,H29139)</f>
        <v>#ERROR!</v>
      </c>
      <c r="P1321" s="6" t="str">
        <f>SUMIFS([1]order_sku_sales_bb2_report!O:O,[1]order_sku_sales_bb2_report!H:H,C29139,[1]order_sku_sales_bb2_report!J:J,H29139)</f>
        <v>#ERROR!</v>
      </c>
      <c r="Q1321" s="6" t="str">
        <f t="shared" si="1"/>
        <v>22-12-2025</v>
      </c>
      <c r="R1321" s="6" t="str">
        <f>IFERROR( VLOOKUP(C29139,[1]expressOrderReport!$S:$AZ,34,0),0)</f>
        <v>#ERROR!</v>
      </c>
      <c r="S1321" s="6" t="str">
        <f>ARRAY_CONSTRAIN(ARRAYFORMULA(_xludf.XLOOKUP(D29139,[1]order_Report_SA_ID_BB2.0!V:V,[1]order_Report_SA_ID_BB2.0!AM:AM,"")), 1, 1)</f>
        <v>#ERROR!</v>
      </c>
      <c r="T1321" s="6" t="str">
        <f t="shared" si="2"/>
        <v>Dec'25</v>
      </c>
    </row>
    <row r="1322" ht="15.75" customHeight="1">
      <c r="A1322" s="5">
        <v>46013.0</v>
      </c>
      <c r="B1322" s="6">
        <v>11527.0</v>
      </c>
      <c r="C1322" s="6">
        <v>1.859165456E9</v>
      </c>
      <c r="D1322" s="6">
        <v>7107851.0</v>
      </c>
      <c r="E1322" s="6" t="s">
        <v>2057</v>
      </c>
      <c r="F1322" s="6" t="s">
        <v>2058</v>
      </c>
      <c r="G1322" s="6">
        <v>9.91665474E9</v>
      </c>
      <c r="H1322" s="6">
        <v>4.0149828E7</v>
      </c>
      <c r="I1322" s="6" t="s">
        <v>276</v>
      </c>
      <c r="J1322" s="6" t="s">
        <v>21</v>
      </c>
      <c r="K1322" s="6" t="s">
        <v>22</v>
      </c>
      <c r="L1322" s="6">
        <v>25.0</v>
      </c>
      <c r="M1322" s="5">
        <v>46013.0</v>
      </c>
      <c r="N1322" s="6" t="s">
        <v>54</v>
      </c>
      <c r="O1322" s="6" t="str">
        <f>SUMIFS([1]order_sku_sales_bb2_report!P:P,[1]order_sku_sales_bb2_report!H:H,C29140,[1]order_sku_sales_bb2_report!J:J,H29140)</f>
        <v>#ERROR!</v>
      </c>
      <c r="P1322" s="6" t="str">
        <f>SUMIFS([1]order_sku_sales_bb2_report!O:O,[1]order_sku_sales_bb2_report!H:H,C29140,[1]order_sku_sales_bb2_report!J:J,H29140)</f>
        <v>#ERROR!</v>
      </c>
      <c r="Q1322" s="6" t="str">
        <f t="shared" si="1"/>
        <v>22-12-2025</v>
      </c>
      <c r="R1322" s="6" t="str">
        <f>IFERROR( VLOOKUP(C29140,[1]expressOrderReport!$S:$AZ,34,0),0)</f>
        <v>#ERROR!</v>
      </c>
      <c r="S1322" s="6" t="str">
        <f>ARRAY_CONSTRAIN(ARRAYFORMULA(_xludf.XLOOKUP(D29140,[1]order_Report_SA_ID_BB2.0!V:V,[1]order_Report_SA_ID_BB2.0!AM:AM,"")), 1, 1)</f>
        <v>#ERROR!</v>
      </c>
      <c r="T1322" s="6" t="str">
        <f t="shared" si="2"/>
        <v>Dec'25</v>
      </c>
    </row>
    <row r="1323" ht="15.75" customHeight="1">
      <c r="A1323" s="5">
        <v>46013.0</v>
      </c>
      <c r="B1323" s="6">
        <v>11540.0</v>
      </c>
      <c r="C1323" s="6">
        <v>1.859165468E9</v>
      </c>
      <c r="D1323" s="6">
        <v>3732237.0</v>
      </c>
      <c r="E1323" s="6" t="s">
        <v>2059</v>
      </c>
      <c r="F1323" s="6" t="s">
        <v>2060</v>
      </c>
      <c r="G1323" s="6">
        <v>9.657668665E9</v>
      </c>
      <c r="H1323" s="6">
        <v>4.0158264E7</v>
      </c>
      <c r="I1323" s="6" t="s">
        <v>26</v>
      </c>
      <c r="J1323" s="6" t="s">
        <v>21</v>
      </c>
      <c r="K1323" s="6" t="s">
        <v>22</v>
      </c>
      <c r="L1323" s="6">
        <v>46.0</v>
      </c>
      <c r="M1323" s="5">
        <v>46013.0</v>
      </c>
      <c r="N1323" s="6" t="s">
        <v>23</v>
      </c>
      <c r="O1323" s="6" t="str">
        <f>SUMIFS([1]order_sku_sales_bb2_report!P:P,[1]order_sku_sales_bb2_report!H:H,C29142,[1]order_sku_sales_bb2_report!J:J,H29142)</f>
        <v>#ERROR!</v>
      </c>
      <c r="P1323" s="6" t="str">
        <f>SUMIFS([1]order_sku_sales_bb2_report!O:O,[1]order_sku_sales_bb2_report!H:H,C29142,[1]order_sku_sales_bb2_report!J:J,H29142)</f>
        <v>#ERROR!</v>
      </c>
      <c r="Q1323" s="6" t="str">
        <f t="shared" si="1"/>
        <v>22-12-2025</v>
      </c>
      <c r="R1323" s="6" t="str">
        <f>IFERROR( VLOOKUP(C29142,[1]expressOrderReport!$S:$AZ,34,0),0)</f>
        <v>#ERROR!</v>
      </c>
      <c r="S1323" s="6" t="str">
        <f>ARRAY_CONSTRAIN(ARRAYFORMULA(_xludf.XLOOKUP(D29142,[1]order_Report_SA_ID_BB2.0!V:V,[1]order_Report_SA_ID_BB2.0!AM:AM,"")), 1, 1)</f>
        <v>#ERROR!</v>
      </c>
      <c r="T1323" s="6" t="str">
        <f t="shared" si="2"/>
        <v>Dec'25</v>
      </c>
    </row>
    <row r="1324" ht="15.75" customHeight="1">
      <c r="A1324" s="5">
        <v>46013.0</v>
      </c>
      <c r="B1324" s="6">
        <v>11565.0</v>
      </c>
      <c r="C1324" s="6">
        <v>1.859165482E9</v>
      </c>
      <c r="D1324" s="6">
        <v>1.3976096E7</v>
      </c>
      <c r="E1324" s="6" t="s">
        <v>2061</v>
      </c>
      <c r="F1324" s="6" t="s">
        <v>2062</v>
      </c>
      <c r="G1324" s="6">
        <v>9.845949607E9</v>
      </c>
      <c r="H1324" s="6">
        <v>4.0149833E7</v>
      </c>
      <c r="I1324" s="6" t="s">
        <v>40</v>
      </c>
      <c r="J1324" s="6" t="s">
        <v>21</v>
      </c>
      <c r="K1324" s="6" t="s">
        <v>22</v>
      </c>
      <c r="L1324" s="6">
        <v>54.0</v>
      </c>
      <c r="M1324" s="5">
        <v>46013.0</v>
      </c>
      <c r="N1324" s="6" t="s">
        <v>23</v>
      </c>
      <c r="O1324" s="6" t="str">
        <f>SUMIFS([1]order_sku_sales_bb2_report!P:P,[1]order_sku_sales_bb2_report!H:H,C29143,[1]order_sku_sales_bb2_report!J:J,H29143)</f>
        <v>#ERROR!</v>
      </c>
      <c r="P1324" s="6" t="str">
        <f>SUMIFS([1]order_sku_sales_bb2_report!O:O,[1]order_sku_sales_bb2_report!H:H,C29143,[1]order_sku_sales_bb2_report!J:J,H29143)</f>
        <v>#ERROR!</v>
      </c>
      <c r="Q1324" s="6" t="str">
        <f t="shared" si="1"/>
        <v>22-12-2025</v>
      </c>
      <c r="R1324" s="6" t="str">
        <f>IFERROR( VLOOKUP(C29143,[1]expressOrderReport!$S:$AZ,34,0),0)</f>
        <v>#ERROR!</v>
      </c>
      <c r="S1324" s="6" t="str">
        <f>ARRAY_CONSTRAIN(ARRAYFORMULA(_xludf.XLOOKUP(D29143,[1]order_Report_SA_ID_BB2.0!V:V,[1]order_Report_SA_ID_BB2.0!AM:AM,"")), 1, 1)</f>
        <v>#ERROR!</v>
      </c>
      <c r="T1324" s="6" t="str">
        <f t="shared" si="2"/>
        <v>Dec'25</v>
      </c>
    </row>
    <row r="1325" ht="15.75" customHeight="1">
      <c r="A1325" s="5">
        <v>46013.0</v>
      </c>
      <c r="B1325" s="6">
        <v>11574.0</v>
      </c>
      <c r="C1325" s="6">
        <v>1.85916549E9</v>
      </c>
      <c r="D1325" s="6">
        <v>2.9814234E7</v>
      </c>
      <c r="E1325" s="6" t="s">
        <v>2063</v>
      </c>
      <c r="F1325" s="6" t="s">
        <v>2064</v>
      </c>
      <c r="G1325" s="6">
        <v>9.738402704E9</v>
      </c>
      <c r="H1325" s="6">
        <v>4.0212327E7</v>
      </c>
      <c r="I1325" s="6" t="s">
        <v>682</v>
      </c>
      <c r="J1325" s="6" t="s">
        <v>21</v>
      </c>
      <c r="K1325" s="6" t="s">
        <v>22</v>
      </c>
      <c r="L1325" s="6">
        <v>54.0</v>
      </c>
      <c r="M1325" s="5">
        <v>46013.0</v>
      </c>
      <c r="N1325" s="6" t="s">
        <v>23</v>
      </c>
      <c r="O1325" s="6" t="str">
        <f>SUMIFS([1]order_sku_sales_bb2_report!P:P,[1]order_sku_sales_bb2_report!H:H,C29144,[1]order_sku_sales_bb2_report!J:J,H29144)</f>
        <v>#ERROR!</v>
      </c>
      <c r="P1325" s="6" t="str">
        <f>SUMIFS([1]order_sku_sales_bb2_report!O:O,[1]order_sku_sales_bb2_report!H:H,C29144,[1]order_sku_sales_bb2_report!J:J,H29144)</f>
        <v>#ERROR!</v>
      </c>
      <c r="Q1325" s="6" t="str">
        <f t="shared" si="1"/>
        <v>22-12-2025</v>
      </c>
      <c r="R1325" s="6" t="str">
        <f>IFERROR( VLOOKUP(C29144,[1]expressOrderReport!$S:$AZ,34,0),0)</f>
        <v>#ERROR!</v>
      </c>
      <c r="S1325" s="6" t="str">
        <f>ARRAY_CONSTRAIN(ARRAYFORMULA(_xludf.XLOOKUP(D29144,[1]order_Report_SA_ID_BB2.0!V:V,[1]order_Report_SA_ID_BB2.0!AM:AM,"")), 1, 1)</f>
        <v>#ERROR!</v>
      </c>
      <c r="T1325" s="6" t="str">
        <f t="shared" si="2"/>
        <v>Dec'25</v>
      </c>
    </row>
    <row r="1326" ht="15.75" customHeight="1">
      <c r="A1326" s="5">
        <v>46013.0</v>
      </c>
      <c r="B1326" s="6">
        <v>11591.0</v>
      </c>
      <c r="C1326" s="6">
        <v>1.859165501E9</v>
      </c>
      <c r="D1326" s="6">
        <v>3.5077321E7</v>
      </c>
      <c r="E1326" s="6" t="s">
        <v>625</v>
      </c>
      <c r="F1326" s="6" t="s">
        <v>2065</v>
      </c>
      <c r="G1326" s="6">
        <v>7.019227799E9</v>
      </c>
      <c r="H1326" s="6">
        <v>4.0148717E7</v>
      </c>
      <c r="I1326" s="6" t="s">
        <v>226</v>
      </c>
      <c r="J1326" s="6" t="s">
        <v>21</v>
      </c>
      <c r="K1326" s="6" t="s">
        <v>22</v>
      </c>
      <c r="L1326" s="6">
        <v>129.0</v>
      </c>
      <c r="M1326" s="5">
        <v>46013.0</v>
      </c>
      <c r="N1326" s="6" t="s">
        <v>23</v>
      </c>
      <c r="O1326" s="6" t="str">
        <f>SUMIFS([1]order_sku_sales_bb2_report!P:P,[1]order_sku_sales_bb2_report!H:H,C29146,[1]order_sku_sales_bb2_report!J:J,H29146)</f>
        <v>#ERROR!</v>
      </c>
      <c r="P1326" s="6" t="str">
        <f>SUMIFS([1]order_sku_sales_bb2_report!O:O,[1]order_sku_sales_bb2_report!H:H,C29146,[1]order_sku_sales_bb2_report!J:J,H29146)</f>
        <v>#ERROR!</v>
      </c>
      <c r="Q1326" s="6" t="str">
        <f t="shared" si="1"/>
        <v>22-12-2025</v>
      </c>
      <c r="R1326" s="6" t="str">
        <f>IFERROR( VLOOKUP(C29146,[1]expressOrderReport!$S:$AZ,34,0),0)</f>
        <v>#ERROR!</v>
      </c>
      <c r="S1326" s="6" t="str">
        <f>ARRAY_CONSTRAIN(ARRAYFORMULA(_xludf.XLOOKUP(D29146,[1]order_Report_SA_ID_BB2.0!V:V,[1]order_Report_SA_ID_BB2.0!AM:AM,"")), 1, 1)</f>
        <v>#ERROR!</v>
      </c>
      <c r="T1326" s="6" t="str">
        <f t="shared" si="2"/>
        <v>Dec'25</v>
      </c>
    </row>
    <row r="1327" ht="15.75" customHeight="1">
      <c r="A1327" s="5">
        <v>46013.0</v>
      </c>
      <c r="B1327" s="6">
        <v>11592.0</v>
      </c>
      <c r="C1327" s="6">
        <v>1.859165501E9</v>
      </c>
      <c r="D1327" s="6">
        <v>3.5077321E7</v>
      </c>
      <c r="E1327" s="6" t="s">
        <v>625</v>
      </c>
      <c r="F1327" s="6" t="s">
        <v>2065</v>
      </c>
      <c r="G1327" s="6">
        <v>7.019227799E9</v>
      </c>
      <c r="H1327" s="6">
        <v>4.0149832E7</v>
      </c>
      <c r="I1327" s="6" t="s">
        <v>26</v>
      </c>
      <c r="J1327" s="6" t="s">
        <v>21</v>
      </c>
      <c r="K1327" s="6" t="s">
        <v>22</v>
      </c>
      <c r="L1327" s="6">
        <v>129.0</v>
      </c>
      <c r="M1327" s="5">
        <v>46013.0</v>
      </c>
      <c r="N1327" s="6" t="s">
        <v>23</v>
      </c>
      <c r="O1327" s="6" t="str">
        <f>SUMIFS([1]order_sku_sales_bb2_report!P:P,[1]order_sku_sales_bb2_report!H:H,C29147,[1]order_sku_sales_bb2_report!J:J,H29147)</f>
        <v>#ERROR!</v>
      </c>
      <c r="P1327" s="6" t="str">
        <f>SUMIFS([1]order_sku_sales_bb2_report!O:O,[1]order_sku_sales_bb2_report!H:H,C29147,[1]order_sku_sales_bb2_report!J:J,H29147)</f>
        <v>#ERROR!</v>
      </c>
      <c r="Q1327" s="6" t="str">
        <f t="shared" si="1"/>
        <v>22-12-2025</v>
      </c>
      <c r="R1327" s="6" t="str">
        <f>IFERROR( VLOOKUP(C29147,[1]expressOrderReport!$S:$AZ,34,0),0)</f>
        <v>#ERROR!</v>
      </c>
      <c r="S1327" s="6" t="str">
        <f>ARRAY_CONSTRAIN(ARRAYFORMULA(_xludf.XLOOKUP(D29147,[1]order_Report_SA_ID_BB2.0!V:V,[1]order_Report_SA_ID_BB2.0!AM:AM,"")), 1, 1)</f>
        <v>#ERROR!</v>
      </c>
      <c r="T1327" s="6" t="str">
        <f t="shared" si="2"/>
        <v>Dec'25</v>
      </c>
    </row>
    <row r="1328" ht="15.75" customHeight="1">
      <c r="A1328" s="5">
        <v>46013.0</v>
      </c>
      <c r="B1328" s="6">
        <v>11593.0</v>
      </c>
      <c r="C1328" s="6">
        <v>1.859165501E9</v>
      </c>
      <c r="D1328" s="6">
        <v>3.5077321E7</v>
      </c>
      <c r="E1328" s="6" t="s">
        <v>625</v>
      </c>
      <c r="F1328" s="6" t="s">
        <v>2065</v>
      </c>
      <c r="G1328" s="6">
        <v>7.019227799E9</v>
      </c>
      <c r="H1328" s="6">
        <v>4.0149834E7</v>
      </c>
      <c r="I1328" s="6" t="s">
        <v>40</v>
      </c>
      <c r="J1328" s="6" t="s">
        <v>21</v>
      </c>
      <c r="K1328" s="6" t="s">
        <v>22</v>
      </c>
      <c r="L1328" s="6">
        <v>129.0</v>
      </c>
      <c r="M1328" s="5">
        <v>46013.0</v>
      </c>
      <c r="N1328" s="6" t="s">
        <v>23</v>
      </c>
      <c r="O1328" s="6" t="str">
        <f>SUMIFS([1]order_sku_sales_bb2_report!P:P,[1]order_sku_sales_bb2_report!H:H,C29148,[1]order_sku_sales_bb2_report!J:J,H29148)</f>
        <v>#ERROR!</v>
      </c>
      <c r="P1328" s="6" t="str">
        <f>SUMIFS([1]order_sku_sales_bb2_report!O:O,[1]order_sku_sales_bb2_report!H:H,C29148,[1]order_sku_sales_bb2_report!J:J,H29148)</f>
        <v>#ERROR!</v>
      </c>
      <c r="Q1328" s="6" t="str">
        <f t="shared" si="1"/>
        <v>22-12-2025</v>
      </c>
      <c r="R1328" s="6" t="str">
        <f>IFERROR( VLOOKUP(C29148,[1]expressOrderReport!$S:$AZ,34,0),0)</f>
        <v>#ERROR!</v>
      </c>
      <c r="S1328" s="6" t="str">
        <f>ARRAY_CONSTRAIN(ARRAYFORMULA(_xludf.XLOOKUP(D29148,[1]order_Report_SA_ID_BB2.0!V:V,[1]order_Report_SA_ID_BB2.0!AM:AM,"")), 1, 1)</f>
        <v>#ERROR!</v>
      </c>
      <c r="T1328" s="6" t="str">
        <f t="shared" si="2"/>
        <v>Dec'25</v>
      </c>
    </row>
    <row r="1329" ht="15.75" customHeight="1">
      <c r="A1329" s="5">
        <v>46013.0</v>
      </c>
      <c r="B1329" s="6">
        <v>11749.0</v>
      </c>
      <c r="C1329" s="6">
        <v>1.859165511E9</v>
      </c>
      <c r="D1329" s="6">
        <v>1.9515829E7</v>
      </c>
      <c r="E1329" s="6" t="s">
        <v>2066</v>
      </c>
      <c r="F1329" s="6" t="s">
        <v>2067</v>
      </c>
      <c r="G1329" s="6">
        <v>9.903955279E9</v>
      </c>
      <c r="H1329" s="6">
        <v>4.0149828E7</v>
      </c>
      <c r="I1329" s="6" t="s">
        <v>276</v>
      </c>
      <c r="J1329" s="6" t="s">
        <v>21</v>
      </c>
      <c r="K1329" s="6" t="s">
        <v>22</v>
      </c>
      <c r="L1329" s="6">
        <v>78.0</v>
      </c>
      <c r="M1329" s="5">
        <v>46013.0</v>
      </c>
      <c r="N1329" s="6" t="s">
        <v>23</v>
      </c>
      <c r="O1329" s="6" t="str">
        <f>SUMIFS([1]order_sku_sales_bb2_report!P:P,[1]order_sku_sales_bb2_report!H:H,C29150,[1]order_sku_sales_bb2_report!J:J,H29150)</f>
        <v>#ERROR!</v>
      </c>
      <c r="P1329" s="6" t="str">
        <f>SUMIFS([1]order_sku_sales_bb2_report!O:O,[1]order_sku_sales_bb2_report!H:H,C29150,[1]order_sku_sales_bb2_report!J:J,H29150)</f>
        <v>#ERROR!</v>
      </c>
      <c r="Q1329" s="6" t="str">
        <f t="shared" si="1"/>
        <v>22-12-2025</v>
      </c>
      <c r="R1329" s="6" t="str">
        <f>IFERROR( VLOOKUP(C29150,[1]expressOrderReport!$S:$AZ,34,0),0)</f>
        <v>#ERROR!</v>
      </c>
      <c r="S1329" s="6" t="str">
        <f>ARRAY_CONSTRAIN(ARRAYFORMULA(_xludf.XLOOKUP(D29150,[1]order_Report_SA_ID_BB2.0!V:V,[1]order_Report_SA_ID_BB2.0!AM:AM,"")), 1, 1)</f>
        <v>#ERROR!</v>
      </c>
      <c r="T1329" s="6" t="str">
        <f t="shared" si="2"/>
        <v>Dec'25</v>
      </c>
    </row>
    <row r="1330" ht="15.75" customHeight="1">
      <c r="A1330" s="5">
        <v>46013.0</v>
      </c>
      <c r="B1330" s="6">
        <v>11750.0</v>
      </c>
      <c r="C1330" s="6">
        <v>1.859165511E9</v>
      </c>
      <c r="D1330" s="6">
        <v>1.9515829E7</v>
      </c>
      <c r="E1330" s="6" t="s">
        <v>2066</v>
      </c>
      <c r="F1330" s="6" t="s">
        <v>2067</v>
      </c>
      <c r="G1330" s="6">
        <v>9.903955279E9</v>
      </c>
      <c r="H1330" s="6">
        <v>4.0147597E7</v>
      </c>
      <c r="I1330" s="6" t="s">
        <v>59</v>
      </c>
      <c r="J1330" s="6" t="s">
        <v>21</v>
      </c>
      <c r="K1330" s="6" t="s">
        <v>22</v>
      </c>
      <c r="L1330" s="6">
        <v>78.0</v>
      </c>
      <c r="M1330" s="5">
        <v>46013.0</v>
      </c>
      <c r="N1330" s="6" t="s">
        <v>23</v>
      </c>
      <c r="O1330" s="6" t="str">
        <f>SUMIFS([1]order_sku_sales_bb2_report!P:P,[1]order_sku_sales_bb2_report!H:H,C29151,[1]order_sku_sales_bb2_report!J:J,H29151)</f>
        <v>#ERROR!</v>
      </c>
      <c r="P1330" s="6" t="str">
        <f>SUMIFS([1]order_sku_sales_bb2_report!O:O,[1]order_sku_sales_bb2_report!H:H,C29151,[1]order_sku_sales_bb2_report!J:J,H29151)</f>
        <v>#ERROR!</v>
      </c>
      <c r="Q1330" s="6" t="str">
        <f t="shared" si="1"/>
        <v>22-12-2025</v>
      </c>
      <c r="R1330" s="6" t="str">
        <f>IFERROR( VLOOKUP(C29151,[1]expressOrderReport!$S:$AZ,34,0),0)</f>
        <v>#ERROR!</v>
      </c>
      <c r="S1330" s="6" t="str">
        <f>ARRAY_CONSTRAIN(ARRAYFORMULA(_xludf.XLOOKUP(D29151,[1]order_Report_SA_ID_BB2.0!V:V,[1]order_Report_SA_ID_BB2.0!AM:AM,"")), 1, 1)</f>
        <v>#ERROR!</v>
      </c>
      <c r="T1330" s="6" t="str">
        <f t="shared" si="2"/>
        <v>Dec'25</v>
      </c>
    </row>
    <row r="1331" ht="15.75" customHeight="1">
      <c r="A1331" s="5">
        <v>46013.0</v>
      </c>
      <c r="B1331" s="6">
        <v>11752.0</v>
      </c>
      <c r="C1331" s="6">
        <v>1.859165522E9</v>
      </c>
      <c r="D1331" s="6">
        <v>790646.0</v>
      </c>
      <c r="E1331" s="6" t="s">
        <v>2068</v>
      </c>
      <c r="F1331" s="6" t="s">
        <v>2069</v>
      </c>
      <c r="G1331" s="6">
        <v>9.902444448E9</v>
      </c>
      <c r="H1331" s="6">
        <v>4.0222179E7</v>
      </c>
      <c r="I1331" s="6" t="s">
        <v>1256</v>
      </c>
      <c r="J1331" s="6" t="s">
        <v>21</v>
      </c>
      <c r="K1331" s="6" t="s">
        <v>22</v>
      </c>
      <c r="L1331" s="6">
        <v>39.0</v>
      </c>
      <c r="M1331" s="5">
        <v>46013.0</v>
      </c>
      <c r="N1331" s="6" t="s">
        <v>23</v>
      </c>
      <c r="O1331" s="6" t="str">
        <f>SUMIFS([1]order_sku_sales_bb2_report!P:P,[1]order_sku_sales_bb2_report!H:H,C29152,[1]order_sku_sales_bb2_report!J:J,H29152)</f>
        <v>#ERROR!</v>
      </c>
      <c r="P1331" s="6" t="str">
        <f>SUMIFS([1]order_sku_sales_bb2_report!O:O,[1]order_sku_sales_bb2_report!H:H,C29152,[1]order_sku_sales_bb2_report!J:J,H29152)</f>
        <v>#ERROR!</v>
      </c>
      <c r="Q1331" s="6" t="str">
        <f t="shared" si="1"/>
        <v>22-12-2025</v>
      </c>
      <c r="R1331" s="6" t="str">
        <f>IFERROR( VLOOKUP(C29152,[1]expressOrderReport!$S:$AZ,34,0),0)</f>
        <v>#ERROR!</v>
      </c>
      <c r="S1331" s="6" t="str">
        <f>ARRAY_CONSTRAIN(ARRAYFORMULA(_xludf.XLOOKUP(D29152,[1]order_Report_SA_ID_BB2.0!V:V,[1]order_Report_SA_ID_BB2.0!AM:AM,"")), 1, 1)</f>
        <v>#ERROR!</v>
      </c>
      <c r="T1331" s="6" t="str">
        <f t="shared" si="2"/>
        <v>Dec'25</v>
      </c>
    </row>
    <row r="1332" ht="15.75" customHeight="1">
      <c r="A1332" s="5">
        <v>46013.0</v>
      </c>
      <c r="B1332" s="6">
        <v>11753.0</v>
      </c>
      <c r="C1332" s="6">
        <v>1.859165522E9</v>
      </c>
      <c r="D1332" s="6">
        <v>790646.0</v>
      </c>
      <c r="E1332" s="6" t="s">
        <v>2068</v>
      </c>
      <c r="F1332" s="6" t="s">
        <v>2069</v>
      </c>
      <c r="G1332" s="6">
        <v>9.902444448E9</v>
      </c>
      <c r="H1332" s="6">
        <v>4.0276324E7</v>
      </c>
      <c r="I1332" s="6" t="s">
        <v>30</v>
      </c>
      <c r="J1332" s="6" t="s">
        <v>21</v>
      </c>
      <c r="K1332" s="6" t="s">
        <v>22</v>
      </c>
      <c r="L1332" s="6">
        <v>39.0</v>
      </c>
      <c r="M1332" s="5">
        <v>46013.0</v>
      </c>
      <c r="N1332" s="6" t="s">
        <v>23</v>
      </c>
      <c r="O1332" s="6" t="str">
        <f>SUMIFS([1]order_sku_sales_bb2_report!P:P,[1]order_sku_sales_bb2_report!H:H,C29153,[1]order_sku_sales_bb2_report!J:J,H29153)</f>
        <v>#ERROR!</v>
      </c>
      <c r="P1332" s="6" t="str">
        <f>SUMIFS([1]order_sku_sales_bb2_report!O:O,[1]order_sku_sales_bb2_report!H:H,C29153,[1]order_sku_sales_bb2_report!J:J,H29153)</f>
        <v>#ERROR!</v>
      </c>
      <c r="Q1332" s="6" t="str">
        <f t="shared" si="1"/>
        <v>22-12-2025</v>
      </c>
      <c r="R1332" s="6" t="str">
        <f>IFERROR( VLOOKUP(C29153,[1]expressOrderReport!$S:$AZ,34,0),0)</f>
        <v>#ERROR!</v>
      </c>
      <c r="S1332" s="6" t="str">
        <f>ARRAY_CONSTRAIN(ARRAYFORMULA(_xludf.XLOOKUP(D29153,[1]order_Report_SA_ID_BB2.0!V:V,[1]order_Report_SA_ID_BB2.0!AM:AM,"")), 1, 1)</f>
        <v>#ERROR!</v>
      </c>
      <c r="T1332" s="6" t="str">
        <f t="shared" si="2"/>
        <v>Dec'25</v>
      </c>
    </row>
    <row r="1333" ht="15.75" customHeight="1">
      <c r="A1333" s="5">
        <v>46013.0</v>
      </c>
      <c r="B1333" s="6">
        <v>11758.0</v>
      </c>
      <c r="C1333" s="6">
        <v>1.859165536E9</v>
      </c>
      <c r="D1333" s="6">
        <v>50858.0</v>
      </c>
      <c r="E1333" s="6" t="s">
        <v>2070</v>
      </c>
      <c r="F1333" s="6" t="s">
        <v>2071</v>
      </c>
      <c r="G1333" s="6">
        <v>9.663368286E9</v>
      </c>
      <c r="H1333" s="6">
        <v>4.0161616E7</v>
      </c>
      <c r="I1333" s="6" t="s">
        <v>20</v>
      </c>
      <c r="J1333" s="6" t="s">
        <v>21</v>
      </c>
      <c r="K1333" s="6" t="s">
        <v>22</v>
      </c>
      <c r="L1333" s="6">
        <v>84.0</v>
      </c>
      <c r="M1333" s="5">
        <v>46013.0</v>
      </c>
      <c r="N1333" s="6" t="s">
        <v>23</v>
      </c>
      <c r="O1333" s="6" t="str">
        <f>SUMIFS([1]order_sku_sales_bb2_report!P:P,[1]order_sku_sales_bb2_report!H:H,C29154,[1]order_sku_sales_bb2_report!J:J,H29154)</f>
        <v>#ERROR!</v>
      </c>
      <c r="P1333" s="6" t="str">
        <f>SUMIFS([1]order_sku_sales_bb2_report!O:O,[1]order_sku_sales_bb2_report!H:H,C29154,[1]order_sku_sales_bb2_report!J:J,H29154)</f>
        <v>#ERROR!</v>
      </c>
      <c r="Q1333" s="6" t="str">
        <f t="shared" si="1"/>
        <v>22-12-2025</v>
      </c>
      <c r="R1333" s="6" t="str">
        <f>IFERROR( VLOOKUP(C29154,[1]expressOrderReport!$S:$AZ,34,0),0)</f>
        <v>#ERROR!</v>
      </c>
      <c r="S1333" s="6" t="str">
        <f>ARRAY_CONSTRAIN(ARRAYFORMULA(_xludf.XLOOKUP(D29154,[1]order_Report_SA_ID_BB2.0!V:V,[1]order_Report_SA_ID_BB2.0!AM:AM,"")), 1, 1)</f>
        <v>#ERROR!</v>
      </c>
      <c r="T1333" s="6" t="str">
        <f t="shared" si="2"/>
        <v>Dec'25</v>
      </c>
    </row>
    <row r="1334" ht="15.75" customHeight="1">
      <c r="A1334" s="5">
        <v>46013.0</v>
      </c>
      <c r="B1334" s="6">
        <v>11772.0</v>
      </c>
      <c r="C1334" s="6">
        <v>1.859165549E9</v>
      </c>
      <c r="D1334" s="6">
        <v>4950665.0</v>
      </c>
      <c r="E1334" s="6" t="s">
        <v>2072</v>
      </c>
      <c r="F1334" s="6" t="s">
        <v>2073</v>
      </c>
      <c r="G1334" s="6">
        <v>9.916673591E9</v>
      </c>
      <c r="H1334" s="6">
        <v>4.0149832E7</v>
      </c>
      <c r="I1334" s="6" t="s">
        <v>26</v>
      </c>
      <c r="J1334" s="6" t="s">
        <v>21</v>
      </c>
      <c r="K1334" s="6" t="s">
        <v>22</v>
      </c>
      <c r="L1334" s="6">
        <v>48.0</v>
      </c>
      <c r="M1334" s="5">
        <v>46013.0</v>
      </c>
      <c r="N1334" s="6" t="s">
        <v>23</v>
      </c>
      <c r="O1334" s="6" t="str">
        <f>SUMIFS([1]order_sku_sales_bb2_report!P:P,[1]order_sku_sales_bb2_report!H:H,C29155,[1]order_sku_sales_bb2_report!J:J,H29155)</f>
        <v>#ERROR!</v>
      </c>
      <c r="P1334" s="6" t="str">
        <f>SUMIFS([1]order_sku_sales_bb2_report!O:O,[1]order_sku_sales_bb2_report!H:H,C29155,[1]order_sku_sales_bb2_report!J:J,H29155)</f>
        <v>#ERROR!</v>
      </c>
      <c r="Q1334" s="6" t="str">
        <f t="shared" si="1"/>
        <v>22-12-2025</v>
      </c>
      <c r="R1334" s="6" t="str">
        <f>IFERROR( VLOOKUP(C29155,[1]expressOrderReport!$S:$AZ,34,0),0)</f>
        <v>#ERROR!</v>
      </c>
      <c r="S1334" s="6" t="str">
        <f>ARRAY_CONSTRAIN(ARRAYFORMULA(_xludf.XLOOKUP(D29155,[1]order_Report_SA_ID_BB2.0!V:V,[1]order_Report_SA_ID_BB2.0!AM:AM,"")), 1, 1)</f>
        <v>#ERROR!</v>
      </c>
      <c r="T1334" s="6" t="str">
        <f t="shared" si="2"/>
        <v>Dec'25</v>
      </c>
    </row>
    <row r="1335" ht="15.75" customHeight="1">
      <c r="A1335" s="5">
        <v>46013.0</v>
      </c>
      <c r="B1335" s="6">
        <v>11773.0</v>
      </c>
      <c r="C1335" s="6">
        <v>1.859165557E9</v>
      </c>
      <c r="D1335" s="6">
        <v>7.1267448E7</v>
      </c>
      <c r="E1335" s="6" t="s">
        <v>2074</v>
      </c>
      <c r="F1335" s="6" t="s">
        <v>2075</v>
      </c>
      <c r="G1335" s="6">
        <v>9.952889321E9</v>
      </c>
      <c r="H1335" s="6">
        <v>4.0149832E7</v>
      </c>
      <c r="I1335" s="6" t="s">
        <v>26</v>
      </c>
      <c r="J1335" s="6" t="s">
        <v>21</v>
      </c>
      <c r="K1335" s="6" t="s">
        <v>22</v>
      </c>
      <c r="L1335" s="6">
        <v>48.0</v>
      </c>
      <c r="M1335" s="5">
        <v>46013.0</v>
      </c>
      <c r="N1335" s="6" t="s">
        <v>23</v>
      </c>
      <c r="O1335" s="6" t="str">
        <f>SUMIFS([1]order_sku_sales_bb2_report!P:P,[1]order_sku_sales_bb2_report!H:H,C29156,[1]order_sku_sales_bb2_report!J:J,H29156)</f>
        <v>#ERROR!</v>
      </c>
      <c r="P1335" s="6" t="str">
        <f>SUMIFS([1]order_sku_sales_bb2_report!O:O,[1]order_sku_sales_bb2_report!H:H,C29156,[1]order_sku_sales_bb2_report!J:J,H29156)</f>
        <v>#ERROR!</v>
      </c>
      <c r="Q1335" s="6" t="str">
        <f t="shared" si="1"/>
        <v>22-12-2025</v>
      </c>
      <c r="R1335" s="6" t="str">
        <f>IFERROR( VLOOKUP(C29156,[1]expressOrderReport!$S:$AZ,34,0),0)</f>
        <v>#ERROR!</v>
      </c>
      <c r="S1335" s="6" t="str">
        <f>ARRAY_CONSTRAIN(ARRAYFORMULA(_xludf.XLOOKUP(D29156,[1]order_Report_SA_ID_BB2.0!V:V,[1]order_Report_SA_ID_BB2.0!AM:AM,"")), 1, 1)</f>
        <v>#ERROR!</v>
      </c>
      <c r="T1335" s="6" t="str">
        <f t="shared" si="2"/>
        <v>Dec'25</v>
      </c>
    </row>
    <row r="1336" ht="15.75" customHeight="1">
      <c r="A1336" s="5">
        <v>46013.0</v>
      </c>
      <c r="B1336" s="6">
        <v>11823.0</v>
      </c>
      <c r="C1336" s="6">
        <v>1.859167336E9</v>
      </c>
      <c r="D1336" s="6">
        <v>6.0090218E7</v>
      </c>
      <c r="E1336" s="6" t="s">
        <v>625</v>
      </c>
      <c r="F1336" s="6" t="s">
        <v>2076</v>
      </c>
      <c r="G1336" s="6">
        <v>8.356962657E9</v>
      </c>
      <c r="H1336" s="6">
        <v>4.0148717E7</v>
      </c>
      <c r="I1336" s="6" t="s">
        <v>226</v>
      </c>
      <c r="J1336" s="6" t="s">
        <v>21</v>
      </c>
      <c r="K1336" s="6" t="s">
        <v>22</v>
      </c>
      <c r="L1336" s="6">
        <v>53.0</v>
      </c>
      <c r="M1336" s="5">
        <v>46013.0</v>
      </c>
      <c r="N1336" s="6" t="s">
        <v>23</v>
      </c>
      <c r="O1336" s="6" t="str">
        <f>SUMIFS([1]order_sku_sales_bb2_report!P:P,[1]order_sku_sales_bb2_report!H:H,C29157,[1]order_sku_sales_bb2_report!J:J,H29157)</f>
        <v>#ERROR!</v>
      </c>
      <c r="P1336" s="6" t="str">
        <f>SUMIFS([1]order_sku_sales_bb2_report!O:O,[1]order_sku_sales_bb2_report!H:H,C29157,[1]order_sku_sales_bb2_report!J:J,H29157)</f>
        <v>#ERROR!</v>
      </c>
      <c r="Q1336" s="6" t="str">
        <f t="shared" si="1"/>
        <v>22-12-2025</v>
      </c>
      <c r="R1336" s="6" t="str">
        <f>IFERROR( VLOOKUP(C29157,[1]expressOrderReport!$S:$AZ,34,0),0)</f>
        <v>#ERROR!</v>
      </c>
      <c r="S1336" s="6" t="str">
        <f>ARRAY_CONSTRAIN(ARRAYFORMULA(_xludf.XLOOKUP(D29157,[1]order_Report_SA_ID_BB2.0!V:V,[1]order_Report_SA_ID_BB2.0!AM:AM,"")), 1, 1)</f>
        <v>#ERROR!</v>
      </c>
      <c r="T1336" s="6" t="str">
        <f t="shared" si="2"/>
        <v>Dec'25</v>
      </c>
    </row>
    <row r="1337" ht="15.75" customHeight="1">
      <c r="A1337" s="5">
        <v>46013.0</v>
      </c>
      <c r="B1337" s="6">
        <v>11860.0</v>
      </c>
      <c r="C1337" s="6">
        <v>1.859167342E9</v>
      </c>
      <c r="D1337" s="6">
        <v>5.5666828E7</v>
      </c>
      <c r="E1337" s="6" t="s">
        <v>625</v>
      </c>
      <c r="F1337" s="6" t="s">
        <v>2077</v>
      </c>
      <c r="G1337" s="6">
        <v>9.902901414E9</v>
      </c>
      <c r="H1337" s="6">
        <v>4.0149831E7</v>
      </c>
      <c r="I1337" s="6" t="s">
        <v>65</v>
      </c>
      <c r="J1337" s="6" t="s">
        <v>21</v>
      </c>
      <c r="K1337" s="6" t="s">
        <v>22</v>
      </c>
      <c r="L1337" s="6">
        <v>26.0</v>
      </c>
      <c r="M1337" s="5">
        <v>46013.0</v>
      </c>
      <c r="N1337" s="6" t="s">
        <v>23</v>
      </c>
      <c r="O1337" s="6" t="str">
        <f>SUMIFS([1]order_sku_sales_bb2_report!P:P,[1]order_sku_sales_bb2_report!H:H,C29158,[1]order_sku_sales_bb2_report!J:J,H29158)</f>
        <v>#ERROR!</v>
      </c>
      <c r="P1337" s="6" t="str">
        <f>SUMIFS([1]order_sku_sales_bb2_report!O:O,[1]order_sku_sales_bb2_report!H:H,C29158,[1]order_sku_sales_bb2_report!J:J,H29158)</f>
        <v>#ERROR!</v>
      </c>
      <c r="Q1337" s="6" t="str">
        <f t="shared" si="1"/>
        <v>22-12-2025</v>
      </c>
      <c r="R1337" s="6" t="str">
        <f>IFERROR( VLOOKUP(C29158,[1]expressOrderReport!$S:$AZ,34,0),0)</f>
        <v>#ERROR!</v>
      </c>
      <c r="S1337" s="6" t="str">
        <f>ARRAY_CONSTRAIN(ARRAYFORMULA(_xludf.XLOOKUP(D29158,[1]order_Report_SA_ID_BB2.0!V:V,[1]order_Report_SA_ID_BB2.0!AM:AM,"")), 1, 1)</f>
        <v>#ERROR!</v>
      </c>
      <c r="T1337" s="6" t="str">
        <f t="shared" si="2"/>
        <v>Dec'25</v>
      </c>
    </row>
    <row r="1338" ht="15.75" customHeight="1">
      <c r="A1338" s="5">
        <v>46013.0</v>
      </c>
      <c r="B1338" s="6">
        <v>11865.0</v>
      </c>
      <c r="C1338" s="6">
        <v>1.859167348E9</v>
      </c>
      <c r="D1338" s="6">
        <v>1.6304817E7</v>
      </c>
      <c r="E1338" s="6" t="s">
        <v>2078</v>
      </c>
      <c r="F1338" s="6" t="s">
        <v>2079</v>
      </c>
      <c r="G1338" s="6">
        <v>9.166611038E9</v>
      </c>
      <c r="H1338" s="6">
        <v>4.0149833E7</v>
      </c>
      <c r="I1338" s="6" t="s">
        <v>40</v>
      </c>
      <c r="J1338" s="6" t="s">
        <v>21</v>
      </c>
      <c r="K1338" s="6" t="s">
        <v>22</v>
      </c>
      <c r="L1338" s="6">
        <v>82.0</v>
      </c>
      <c r="M1338" s="5">
        <v>46013.0</v>
      </c>
      <c r="N1338" s="6" t="s">
        <v>23</v>
      </c>
      <c r="O1338" s="6" t="str">
        <f>SUMIFS([1]order_sku_sales_bb2_report!P:P,[1]order_sku_sales_bb2_report!H:H,C29159,[1]order_sku_sales_bb2_report!J:J,H29159)</f>
        <v>#ERROR!</v>
      </c>
      <c r="P1338" s="6" t="str">
        <f>SUMIFS([1]order_sku_sales_bb2_report!O:O,[1]order_sku_sales_bb2_report!H:H,C29159,[1]order_sku_sales_bb2_report!J:J,H29159)</f>
        <v>#ERROR!</v>
      </c>
      <c r="Q1338" s="6" t="str">
        <f t="shared" si="1"/>
        <v>22-12-2025</v>
      </c>
      <c r="R1338" s="6" t="str">
        <f>IFERROR( VLOOKUP(C29159,[1]expressOrderReport!$S:$AZ,34,0),0)</f>
        <v>#ERROR!</v>
      </c>
      <c r="S1338" s="6" t="str">
        <f>ARRAY_CONSTRAIN(ARRAYFORMULA(_xludf.XLOOKUP(D29159,[1]order_Report_SA_ID_BB2.0!V:V,[1]order_Report_SA_ID_BB2.0!AM:AM,"")), 1, 1)</f>
        <v>#ERROR!</v>
      </c>
      <c r="T1338" s="6" t="str">
        <f t="shared" si="2"/>
        <v>Dec'25</v>
      </c>
    </row>
    <row r="1339" ht="15.75" customHeight="1">
      <c r="A1339" s="5">
        <v>46013.0</v>
      </c>
      <c r="B1339" s="6">
        <v>11866.0</v>
      </c>
      <c r="C1339" s="6">
        <v>1.859167348E9</v>
      </c>
      <c r="D1339" s="6">
        <v>1.6304817E7</v>
      </c>
      <c r="E1339" s="6" t="s">
        <v>2078</v>
      </c>
      <c r="F1339" s="6" t="s">
        <v>2079</v>
      </c>
      <c r="G1339" s="6">
        <v>9.166611038E9</v>
      </c>
      <c r="H1339" s="6">
        <v>4.014983E7</v>
      </c>
      <c r="I1339" s="6" t="s">
        <v>30</v>
      </c>
      <c r="J1339" s="6" t="s">
        <v>21</v>
      </c>
      <c r="K1339" s="6" t="s">
        <v>22</v>
      </c>
      <c r="L1339" s="6">
        <v>82.0</v>
      </c>
      <c r="M1339" s="5">
        <v>46013.0</v>
      </c>
      <c r="N1339" s="6" t="s">
        <v>23</v>
      </c>
      <c r="O1339" s="6" t="str">
        <f>SUMIFS([1]order_sku_sales_bb2_report!P:P,[1]order_sku_sales_bb2_report!H:H,C29160,[1]order_sku_sales_bb2_report!J:J,H29160)</f>
        <v>#ERROR!</v>
      </c>
      <c r="P1339" s="6" t="str">
        <f>SUMIFS([1]order_sku_sales_bb2_report!O:O,[1]order_sku_sales_bb2_report!H:H,C29160,[1]order_sku_sales_bb2_report!J:J,H29160)</f>
        <v>#ERROR!</v>
      </c>
      <c r="Q1339" s="6" t="str">
        <f t="shared" si="1"/>
        <v>22-12-2025</v>
      </c>
      <c r="R1339" s="6" t="str">
        <f>IFERROR( VLOOKUP(C29160,[1]expressOrderReport!$S:$AZ,34,0),0)</f>
        <v>#ERROR!</v>
      </c>
      <c r="S1339" s="6" t="str">
        <f>ARRAY_CONSTRAIN(ARRAYFORMULA(_xludf.XLOOKUP(D29160,[1]order_Report_SA_ID_BB2.0!V:V,[1]order_Report_SA_ID_BB2.0!AM:AM,"")), 1, 1)</f>
        <v>#ERROR!</v>
      </c>
      <c r="T1339" s="6" t="str">
        <f t="shared" si="2"/>
        <v>Dec'25</v>
      </c>
    </row>
    <row r="1340" ht="15.75" customHeight="1">
      <c r="A1340" s="5">
        <v>46013.0</v>
      </c>
      <c r="B1340" s="6">
        <v>11867.0</v>
      </c>
      <c r="C1340" s="6">
        <v>1.859167357E9</v>
      </c>
      <c r="D1340" s="6">
        <v>2.1196478E7</v>
      </c>
      <c r="E1340" s="6" t="s">
        <v>2080</v>
      </c>
      <c r="F1340" s="6" t="s">
        <v>2081</v>
      </c>
      <c r="G1340" s="6">
        <v>9.043831383E9</v>
      </c>
      <c r="H1340" s="6">
        <v>4.0149834E7</v>
      </c>
      <c r="I1340" s="6" t="s">
        <v>40</v>
      </c>
      <c r="J1340" s="6" t="s">
        <v>21</v>
      </c>
      <c r="K1340" s="6" t="s">
        <v>22</v>
      </c>
      <c r="L1340" s="6">
        <v>131.0</v>
      </c>
      <c r="M1340" s="5">
        <v>46013.0</v>
      </c>
      <c r="N1340" s="6" t="s">
        <v>23</v>
      </c>
      <c r="O1340" s="6" t="str">
        <f>SUMIFS([1]order_sku_sales_bb2_report!P:P,[1]order_sku_sales_bb2_report!H:H,C29161,[1]order_sku_sales_bb2_report!J:J,H29161)</f>
        <v>#ERROR!</v>
      </c>
      <c r="P1340" s="6" t="str">
        <f>SUMIFS([1]order_sku_sales_bb2_report!O:O,[1]order_sku_sales_bb2_report!H:H,C29161,[1]order_sku_sales_bb2_report!J:J,H29161)</f>
        <v>#ERROR!</v>
      </c>
      <c r="Q1340" s="6" t="str">
        <f t="shared" si="1"/>
        <v>22-12-2025</v>
      </c>
      <c r="R1340" s="6" t="str">
        <f>IFERROR( VLOOKUP(C29161,[1]expressOrderReport!$S:$AZ,34,0),0)</f>
        <v>#ERROR!</v>
      </c>
      <c r="S1340" s="6" t="str">
        <f>ARRAY_CONSTRAIN(ARRAYFORMULA(_xludf.XLOOKUP(D29161,[1]order_Report_SA_ID_BB2.0!V:V,[1]order_Report_SA_ID_BB2.0!AM:AM,"")), 1, 1)</f>
        <v>#ERROR!</v>
      </c>
      <c r="T1340" s="6" t="str">
        <f t="shared" si="2"/>
        <v>Dec'25</v>
      </c>
    </row>
    <row r="1341" ht="15.75" customHeight="1">
      <c r="A1341" s="5">
        <v>46013.0</v>
      </c>
      <c r="B1341" s="6">
        <v>11869.0</v>
      </c>
      <c r="C1341" s="6">
        <v>1.859167357E9</v>
      </c>
      <c r="D1341" s="6">
        <v>2.1196478E7</v>
      </c>
      <c r="E1341" s="6" t="s">
        <v>2080</v>
      </c>
      <c r="F1341" s="6" t="s">
        <v>2081</v>
      </c>
      <c r="G1341" s="6">
        <v>9.043831383E9</v>
      </c>
      <c r="H1341" s="6">
        <v>4.0149833E7</v>
      </c>
      <c r="I1341" s="6" t="s">
        <v>40</v>
      </c>
      <c r="J1341" s="6" t="s">
        <v>21</v>
      </c>
      <c r="K1341" s="6" t="s">
        <v>22</v>
      </c>
      <c r="L1341" s="6">
        <v>131.0</v>
      </c>
      <c r="M1341" s="5">
        <v>46013.0</v>
      </c>
      <c r="N1341" s="6" t="s">
        <v>23</v>
      </c>
      <c r="O1341" s="6" t="str">
        <f>SUMIFS([1]order_sku_sales_bb2_report!P:P,[1]order_sku_sales_bb2_report!H:H,C29162,[1]order_sku_sales_bb2_report!J:J,H29162)</f>
        <v>#ERROR!</v>
      </c>
      <c r="P1341" s="6" t="str">
        <f>SUMIFS([1]order_sku_sales_bb2_report!O:O,[1]order_sku_sales_bb2_report!H:H,C29162,[1]order_sku_sales_bb2_report!J:J,H29162)</f>
        <v>#ERROR!</v>
      </c>
      <c r="Q1341" s="6" t="str">
        <f t="shared" si="1"/>
        <v>22-12-2025</v>
      </c>
      <c r="R1341" s="6" t="str">
        <f>IFERROR( VLOOKUP(C29162,[1]expressOrderReport!$S:$AZ,34,0),0)</f>
        <v>#ERROR!</v>
      </c>
      <c r="S1341" s="6" t="str">
        <f>ARRAY_CONSTRAIN(ARRAYFORMULA(_xludf.XLOOKUP(D29162,[1]order_Report_SA_ID_BB2.0!V:V,[1]order_Report_SA_ID_BB2.0!AM:AM,"")), 1, 1)</f>
        <v>#ERROR!</v>
      </c>
      <c r="T1341" s="6" t="str">
        <f t="shared" si="2"/>
        <v>Dec'25</v>
      </c>
    </row>
    <row r="1342" ht="15.75" customHeight="1">
      <c r="A1342" s="5">
        <v>46013.0</v>
      </c>
      <c r="B1342" s="6">
        <v>11871.0</v>
      </c>
      <c r="C1342" s="6">
        <v>1.859167364E9</v>
      </c>
      <c r="D1342" s="6">
        <v>4.8406382E7</v>
      </c>
      <c r="E1342" s="6" t="s">
        <v>625</v>
      </c>
      <c r="F1342" s="6" t="s">
        <v>2082</v>
      </c>
      <c r="G1342" s="6">
        <v>8.107887777E9</v>
      </c>
      <c r="H1342" s="6">
        <v>4.014983E7</v>
      </c>
      <c r="I1342" s="6" t="s">
        <v>30</v>
      </c>
      <c r="J1342" s="6" t="s">
        <v>21</v>
      </c>
      <c r="K1342" s="6" t="s">
        <v>22</v>
      </c>
      <c r="L1342" s="6">
        <v>107.0</v>
      </c>
      <c r="M1342" s="5">
        <v>46013.0</v>
      </c>
      <c r="N1342" s="6" t="s">
        <v>23</v>
      </c>
      <c r="O1342" s="6" t="str">
        <f>SUMIFS([1]order_sku_sales_bb2_report!P:P,[1]order_sku_sales_bb2_report!H:H,C29163,[1]order_sku_sales_bb2_report!J:J,H29163)</f>
        <v>#ERROR!</v>
      </c>
      <c r="P1342" s="6" t="str">
        <f>SUMIFS([1]order_sku_sales_bb2_report!O:O,[1]order_sku_sales_bb2_report!H:H,C29163,[1]order_sku_sales_bb2_report!J:J,H29163)</f>
        <v>#ERROR!</v>
      </c>
      <c r="Q1342" s="6" t="str">
        <f t="shared" si="1"/>
        <v>22-12-2025</v>
      </c>
      <c r="R1342" s="6" t="str">
        <f>IFERROR( VLOOKUP(C29163,[1]expressOrderReport!$S:$AZ,34,0),0)</f>
        <v>#ERROR!</v>
      </c>
      <c r="S1342" s="6" t="str">
        <f>ARRAY_CONSTRAIN(ARRAYFORMULA(_xludf.XLOOKUP(D29163,[1]order_Report_SA_ID_BB2.0!V:V,[1]order_Report_SA_ID_BB2.0!AM:AM,"")), 1, 1)</f>
        <v>#ERROR!</v>
      </c>
      <c r="T1342" s="6" t="str">
        <f t="shared" si="2"/>
        <v>Dec'25</v>
      </c>
    </row>
    <row r="1343" ht="15.75" customHeight="1">
      <c r="A1343" s="5">
        <v>46013.0</v>
      </c>
      <c r="B1343" s="6">
        <v>11872.0</v>
      </c>
      <c r="C1343" s="6">
        <v>1.859167364E9</v>
      </c>
      <c r="D1343" s="6">
        <v>4.8406382E7</v>
      </c>
      <c r="E1343" s="6" t="s">
        <v>625</v>
      </c>
      <c r="F1343" s="6" t="s">
        <v>2082</v>
      </c>
      <c r="G1343" s="6">
        <v>8.107887777E9</v>
      </c>
      <c r="H1343" s="6">
        <v>4.0149834E7</v>
      </c>
      <c r="I1343" s="6" t="s">
        <v>40</v>
      </c>
      <c r="J1343" s="6" t="s">
        <v>21</v>
      </c>
      <c r="K1343" s="6" t="s">
        <v>22</v>
      </c>
      <c r="L1343" s="6">
        <v>107.0</v>
      </c>
      <c r="M1343" s="5">
        <v>46013.0</v>
      </c>
      <c r="N1343" s="6" t="s">
        <v>23</v>
      </c>
      <c r="O1343" s="6" t="str">
        <f>SUMIFS([1]order_sku_sales_bb2_report!P:P,[1]order_sku_sales_bb2_report!H:H,C29164,[1]order_sku_sales_bb2_report!J:J,H29164)</f>
        <v>#ERROR!</v>
      </c>
      <c r="P1343" s="6" t="str">
        <f>SUMIFS([1]order_sku_sales_bb2_report!O:O,[1]order_sku_sales_bb2_report!H:H,C29164,[1]order_sku_sales_bb2_report!J:J,H29164)</f>
        <v>#ERROR!</v>
      </c>
      <c r="Q1343" s="6" t="str">
        <f t="shared" si="1"/>
        <v>22-12-2025</v>
      </c>
      <c r="R1343" s="6" t="str">
        <f>IFERROR( VLOOKUP(C29164,[1]expressOrderReport!$S:$AZ,34,0),0)</f>
        <v>#ERROR!</v>
      </c>
      <c r="S1343" s="6" t="str">
        <f>ARRAY_CONSTRAIN(ARRAYFORMULA(_xludf.XLOOKUP(D29164,[1]order_Report_SA_ID_BB2.0!V:V,[1]order_Report_SA_ID_BB2.0!AM:AM,"")), 1, 1)</f>
        <v>#ERROR!</v>
      </c>
      <c r="T1343" s="6" t="str">
        <f t="shared" si="2"/>
        <v>Dec'25</v>
      </c>
    </row>
    <row r="1344" ht="15.75" customHeight="1">
      <c r="A1344" s="5">
        <v>46013.0</v>
      </c>
      <c r="B1344" s="6">
        <v>11874.0</v>
      </c>
      <c r="C1344" s="6">
        <v>1.859167364E9</v>
      </c>
      <c r="D1344" s="6">
        <v>4.8406382E7</v>
      </c>
      <c r="E1344" s="6" t="s">
        <v>625</v>
      </c>
      <c r="F1344" s="6" t="s">
        <v>2082</v>
      </c>
      <c r="G1344" s="6">
        <v>8.107887777E9</v>
      </c>
      <c r="H1344" s="6">
        <v>4.0149833E7</v>
      </c>
      <c r="I1344" s="6" t="s">
        <v>40</v>
      </c>
      <c r="J1344" s="6" t="s">
        <v>21</v>
      </c>
      <c r="K1344" s="6" t="s">
        <v>22</v>
      </c>
      <c r="L1344" s="6">
        <v>107.0</v>
      </c>
      <c r="M1344" s="5">
        <v>46013.0</v>
      </c>
      <c r="N1344" s="6" t="s">
        <v>23</v>
      </c>
      <c r="O1344" s="6" t="str">
        <f>SUMIFS([1]order_sku_sales_bb2_report!P:P,[1]order_sku_sales_bb2_report!H:H,C29165,[1]order_sku_sales_bb2_report!J:J,H29165)</f>
        <v>#ERROR!</v>
      </c>
      <c r="P1344" s="6" t="str">
        <f>SUMIFS([1]order_sku_sales_bb2_report!O:O,[1]order_sku_sales_bb2_report!H:H,C29165,[1]order_sku_sales_bb2_report!J:J,H29165)</f>
        <v>#ERROR!</v>
      </c>
      <c r="Q1344" s="6" t="str">
        <f t="shared" si="1"/>
        <v>22-12-2025</v>
      </c>
      <c r="R1344" s="6" t="str">
        <f>IFERROR( VLOOKUP(C29165,[1]expressOrderReport!$S:$AZ,34,0),0)</f>
        <v>#ERROR!</v>
      </c>
      <c r="S1344" s="6" t="str">
        <f>ARRAY_CONSTRAIN(ARRAYFORMULA(_xludf.XLOOKUP(D29165,[1]order_Report_SA_ID_BB2.0!V:V,[1]order_Report_SA_ID_BB2.0!AM:AM,"")), 1, 1)</f>
        <v>#ERROR!</v>
      </c>
      <c r="T1344" s="6" t="str">
        <f t="shared" si="2"/>
        <v>Dec'25</v>
      </c>
    </row>
    <row r="1345" ht="15.75" customHeight="1">
      <c r="A1345" s="5">
        <v>46013.0</v>
      </c>
      <c r="B1345" s="6">
        <v>11899.0</v>
      </c>
      <c r="C1345" s="6">
        <v>1.85916737E9</v>
      </c>
      <c r="D1345" s="6">
        <v>6.6798133E7</v>
      </c>
      <c r="E1345" s="6" t="s">
        <v>625</v>
      </c>
      <c r="F1345" s="6" t="s">
        <v>2083</v>
      </c>
      <c r="G1345" s="6">
        <v>9.353949596E9</v>
      </c>
      <c r="H1345" s="6">
        <v>4.0147618E7</v>
      </c>
      <c r="I1345" s="6" t="s">
        <v>180</v>
      </c>
      <c r="J1345" s="6" t="s">
        <v>21</v>
      </c>
      <c r="K1345" s="6" t="s">
        <v>22</v>
      </c>
      <c r="L1345" s="6">
        <v>68.0</v>
      </c>
      <c r="M1345" s="5">
        <v>46013.0</v>
      </c>
      <c r="N1345" s="6" t="s">
        <v>23</v>
      </c>
      <c r="O1345" s="6" t="str">
        <f>SUMIFS([1]order_sku_sales_bb2_report!P:P,[1]order_sku_sales_bb2_report!H:H,C29166,[1]order_sku_sales_bb2_report!J:J,H29166)</f>
        <v>#ERROR!</v>
      </c>
      <c r="P1345" s="6" t="str">
        <f>SUMIFS([1]order_sku_sales_bb2_report!O:O,[1]order_sku_sales_bb2_report!H:H,C29166,[1]order_sku_sales_bb2_report!J:J,H29166)</f>
        <v>#ERROR!</v>
      </c>
      <c r="Q1345" s="6" t="str">
        <f t="shared" si="1"/>
        <v>22-12-2025</v>
      </c>
      <c r="R1345" s="6" t="str">
        <f>IFERROR( VLOOKUP(C29166,[1]expressOrderReport!$S:$AZ,34,0),0)</f>
        <v>#ERROR!</v>
      </c>
      <c r="S1345" s="6" t="str">
        <f>ARRAY_CONSTRAIN(ARRAYFORMULA(_xludf.XLOOKUP(D29166,[1]order_Report_SA_ID_BB2.0!V:V,[1]order_Report_SA_ID_BB2.0!AM:AM,"")), 1, 1)</f>
        <v>#ERROR!</v>
      </c>
      <c r="T1345" s="6" t="str">
        <f t="shared" si="2"/>
        <v>Dec'25</v>
      </c>
    </row>
    <row r="1346" ht="15.75" customHeight="1">
      <c r="A1346" s="5">
        <v>46013.0</v>
      </c>
      <c r="B1346" s="6">
        <v>11903.0</v>
      </c>
      <c r="C1346" s="6">
        <v>1.859167375E9</v>
      </c>
      <c r="D1346" s="6">
        <v>1.0073579E7</v>
      </c>
      <c r="E1346" s="6" t="s">
        <v>2084</v>
      </c>
      <c r="F1346" s="6" t="s">
        <v>2085</v>
      </c>
      <c r="G1346" s="6">
        <v>7.001590955E9</v>
      </c>
      <c r="H1346" s="6">
        <v>4.0149833E7</v>
      </c>
      <c r="I1346" s="6" t="s">
        <v>40</v>
      </c>
      <c r="J1346" s="6" t="s">
        <v>21</v>
      </c>
      <c r="K1346" s="6" t="s">
        <v>22</v>
      </c>
      <c r="L1346" s="6">
        <v>27.0</v>
      </c>
      <c r="M1346" s="5">
        <v>46013.0</v>
      </c>
      <c r="N1346" s="6" t="s">
        <v>23</v>
      </c>
      <c r="O1346" s="6" t="str">
        <f>SUMIFS([1]order_sku_sales_bb2_report!P:P,[1]order_sku_sales_bb2_report!H:H,C29167,[1]order_sku_sales_bb2_report!J:J,H29167)</f>
        <v>#ERROR!</v>
      </c>
      <c r="P1346" s="6" t="str">
        <f>SUMIFS([1]order_sku_sales_bb2_report!O:O,[1]order_sku_sales_bb2_report!H:H,C29167,[1]order_sku_sales_bb2_report!J:J,H29167)</f>
        <v>#ERROR!</v>
      </c>
      <c r="Q1346" s="6" t="str">
        <f t="shared" si="1"/>
        <v>22-12-2025</v>
      </c>
      <c r="R1346" s="6" t="str">
        <f>IFERROR( VLOOKUP(C29167,[1]expressOrderReport!$S:$AZ,34,0),0)</f>
        <v>#ERROR!</v>
      </c>
      <c r="S1346" s="6" t="str">
        <f>ARRAY_CONSTRAIN(ARRAYFORMULA(_xludf.XLOOKUP(D29167,[1]order_Report_SA_ID_BB2.0!V:V,[1]order_Report_SA_ID_BB2.0!AM:AM,"")), 1, 1)</f>
        <v>#ERROR!</v>
      </c>
      <c r="T1346" s="6" t="str">
        <f t="shared" si="2"/>
        <v>Dec'25</v>
      </c>
    </row>
    <row r="1347" ht="15.75" customHeight="1">
      <c r="A1347" s="5">
        <v>46013.0</v>
      </c>
      <c r="B1347" s="6">
        <v>11904.0</v>
      </c>
      <c r="C1347" s="6">
        <v>1.859167381E9</v>
      </c>
      <c r="D1347" s="6">
        <v>4432613.0</v>
      </c>
      <c r="E1347" s="6" t="s">
        <v>2086</v>
      </c>
      <c r="F1347" s="6" t="s">
        <v>2087</v>
      </c>
      <c r="G1347" s="6">
        <v>8.851687815E9</v>
      </c>
      <c r="H1347" s="6">
        <v>4.0149833E7</v>
      </c>
      <c r="I1347" s="6" t="s">
        <v>40</v>
      </c>
      <c r="J1347" s="6" t="s">
        <v>21</v>
      </c>
      <c r="K1347" s="6" t="s">
        <v>22</v>
      </c>
      <c r="L1347" s="6">
        <v>46.19</v>
      </c>
      <c r="M1347" s="5">
        <v>46013.0</v>
      </c>
      <c r="N1347" s="6" t="s">
        <v>23</v>
      </c>
      <c r="O1347" s="6" t="str">
        <f>SUMIFS([1]order_sku_sales_bb2_report!P:P,[1]order_sku_sales_bb2_report!H:H,C29168,[1]order_sku_sales_bb2_report!J:J,H29168)</f>
        <v>#ERROR!</v>
      </c>
      <c r="P1347" s="6" t="str">
        <f>SUMIFS([1]order_sku_sales_bb2_report!O:O,[1]order_sku_sales_bb2_report!H:H,C29168,[1]order_sku_sales_bb2_report!J:J,H29168)</f>
        <v>#ERROR!</v>
      </c>
      <c r="Q1347" s="6" t="str">
        <f t="shared" si="1"/>
        <v>22-12-2025</v>
      </c>
      <c r="R1347" s="6" t="str">
        <f>IFERROR( VLOOKUP(C29168,[1]expressOrderReport!$S:$AZ,34,0),0)</f>
        <v>#ERROR!</v>
      </c>
      <c r="S1347" s="6" t="str">
        <f>ARRAY_CONSTRAIN(ARRAYFORMULA(_xludf.XLOOKUP(D29168,[1]order_Report_SA_ID_BB2.0!V:V,[1]order_Report_SA_ID_BB2.0!AM:AM,"")), 1, 1)</f>
        <v>#ERROR!</v>
      </c>
      <c r="T1347" s="6" t="str">
        <f t="shared" si="2"/>
        <v>Dec'25</v>
      </c>
    </row>
    <row r="1348" ht="15.75" customHeight="1">
      <c r="A1348" s="5">
        <v>46013.0</v>
      </c>
      <c r="B1348" s="6">
        <v>12074.0</v>
      </c>
      <c r="C1348" s="6">
        <v>1.859167381E9</v>
      </c>
      <c r="D1348" s="6">
        <v>4432613.0</v>
      </c>
      <c r="E1348" s="6" t="s">
        <v>2086</v>
      </c>
      <c r="F1348" s="6" t="s">
        <v>2087</v>
      </c>
      <c r="G1348" s="6">
        <v>8.851687815E9</v>
      </c>
      <c r="H1348" s="6">
        <v>1.0000027E7</v>
      </c>
      <c r="I1348" s="6" t="s">
        <v>2088</v>
      </c>
      <c r="J1348" s="6" t="s">
        <v>21</v>
      </c>
      <c r="K1348" s="6" t="s">
        <v>27</v>
      </c>
      <c r="L1348" s="6">
        <v>46.19</v>
      </c>
      <c r="M1348" s="5">
        <v>46013.0</v>
      </c>
      <c r="N1348" s="6" t="s">
        <v>23</v>
      </c>
      <c r="O1348" s="6" t="str">
        <f>SUMIFS([1]order_sku_sales_bb2_report!P:P,[1]order_sku_sales_bb2_report!H:H,C29169,[1]order_sku_sales_bb2_report!J:J,H29169)</f>
        <v>#ERROR!</v>
      </c>
      <c r="P1348" s="6" t="str">
        <f>SUMIFS([1]order_sku_sales_bb2_report!O:O,[1]order_sku_sales_bb2_report!H:H,C29169,[1]order_sku_sales_bb2_report!J:J,H29169)</f>
        <v>#ERROR!</v>
      </c>
      <c r="Q1348" s="6" t="str">
        <f t="shared" si="1"/>
        <v>22-12-2025</v>
      </c>
      <c r="R1348" s="6" t="str">
        <f>IFERROR( VLOOKUP(C29169,[1]expressOrderReport!$S:$AZ,34,0),0)</f>
        <v>#ERROR!</v>
      </c>
      <c r="S1348" s="6" t="str">
        <f>ARRAY_CONSTRAIN(ARRAYFORMULA(_xludf.XLOOKUP(D29169,[1]order_Report_SA_ID_BB2.0!V:V,[1]order_Report_SA_ID_BB2.0!AM:AM,"")), 1, 1)</f>
        <v>#ERROR!</v>
      </c>
      <c r="T1348" s="6" t="str">
        <f t="shared" si="2"/>
        <v>Dec'25</v>
      </c>
    </row>
    <row r="1349" ht="15.75" customHeight="1">
      <c r="A1349" s="5">
        <v>46013.0</v>
      </c>
      <c r="B1349" s="6">
        <v>11905.0</v>
      </c>
      <c r="C1349" s="6">
        <v>1.859167384E9</v>
      </c>
      <c r="D1349" s="6">
        <v>6.6875664E7</v>
      </c>
      <c r="E1349" s="6" t="s">
        <v>2089</v>
      </c>
      <c r="F1349" s="6" t="s">
        <v>2090</v>
      </c>
      <c r="G1349" s="6">
        <v>8.669064911E9</v>
      </c>
      <c r="H1349" s="6">
        <v>4.0149833E7</v>
      </c>
      <c r="I1349" s="6" t="s">
        <v>40</v>
      </c>
      <c r="J1349" s="6" t="s">
        <v>21</v>
      </c>
      <c r="K1349" s="6" t="s">
        <v>22</v>
      </c>
      <c r="L1349" s="6">
        <v>54.0</v>
      </c>
      <c r="M1349" s="5">
        <v>46013.0</v>
      </c>
      <c r="N1349" s="6" t="s">
        <v>23</v>
      </c>
      <c r="O1349" s="6" t="str">
        <f>SUMIFS([1]order_sku_sales_bb2_report!P:P,[1]order_sku_sales_bb2_report!H:H,C29170,[1]order_sku_sales_bb2_report!J:J,H29170)</f>
        <v>#ERROR!</v>
      </c>
      <c r="P1349" s="6" t="str">
        <f>SUMIFS([1]order_sku_sales_bb2_report!O:O,[1]order_sku_sales_bb2_report!H:H,C29170,[1]order_sku_sales_bb2_report!J:J,H29170)</f>
        <v>#ERROR!</v>
      </c>
      <c r="Q1349" s="6" t="str">
        <f t="shared" si="1"/>
        <v>22-12-2025</v>
      </c>
      <c r="R1349" s="6" t="str">
        <f>IFERROR( VLOOKUP(C29170,[1]expressOrderReport!$S:$AZ,34,0),0)</f>
        <v>#ERROR!</v>
      </c>
      <c r="S1349" s="6" t="str">
        <f>ARRAY_CONSTRAIN(ARRAYFORMULA(_xludf.XLOOKUP(D29170,[1]order_Report_SA_ID_BB2.0!V:V,[1]order_Report_SA_ID_BB2.0!AM:AM,"")), 1, 1)</f>
        <v>#ERROR!</v>
      </c>
      <c r="T1349" s="6" t="str">
        <f t="shared" si="2"/>
        <v>Dec'25</v>
      </c>
    </row>
    <row r="1350" ht="15.75" customHeight="1">
      <c r="A1350" s="5">
        <v>46013.0</v>
      </c>
      <c r="B1350" s="6">
        <v>253.0</v>
      </c>
      <c r="C1350" s="6">
        <v>1.859165985E9</v>
      </c>
      <c r="D1350" s="6">
        <v>1.8892518E7</v>
      </c>
      <c r="E1350" s="6" t="s">
        <v>2091</v>
      </c>
      <c r="F1350" s="6" t="s">
        <v>2092</v>
      </c>
      <c r="G1350" s="6">
        <v>9.916688033E9</v>
      </c>
      <c r="H1350" s="6">
        <v>4.0158264E7</v>
      </c>
      <c r="I1350" s="6" t="s">
        <v>26</v>
      </c>
      <c r="J1350" s="6" t="s">
        <v>21</v>
      </c>
      <c r="K1350" s="6" t="s">
        <v>22</v>
      </c>
      <c r="L1350" s="6">
        <v>46.0</v>
      </c>
      <c r="M1350" s="5">
        <v>46013.0</v>
      </c>
      <c r="N1350" s="6" t="s">
        <v>23</v>
      </c>
      <c r="O1350" s="6" t="str">
        <f>SUMIFS([1]order_sku_sales_bb2_report!P:P,[1]order_sku_sales_bb2_report!H:H,C29171,[1]order_sku_sales_bb2_report!J:J,H29171)</f>
        <v>#ERROR!</v>
      </c>
      <c r="P1350" s="6" t="str">
        <f>SUMIFS([1]order_sku_sales_bb2_report!O:O,[1]order_sku_sales_bb2_report!H:H,C29171,[1]order_sku_sales_bb2_report!J:J,H29171)</f>
        <v>#ERROR!</v>
      </c>
      <c r="Q1350" s="6" t="str">
        <f t="shared" si="1"/>
        <v>22-12-2025</v>
      </c>
      <c r="R1350" s="6" t="str">
        <f>IFERROR( VLOOKUP(C29171,[1]expressOrderReport!$S:$AZ,34,0),0)</f>
        <v>#ERROR!</v>
      </c>
      <c r="S1350" s="6" t="str">
        <f>ARRAY_CONSTRAIN(ARRAYFORMULA(_xludf.XLOOKUP(D29171,[1]order_Report_SA_ID_BB2.0!V:V,[1]order_Report_SA_ID_BB2.0!AM:AM,"")), 1, 1)</f>
        <v>#ERROR!</v>
      </c>
      <c r="T1350" s="6" t="str">
        <f t="shared" si="2"/>
        <v>Dec'25</v>
      </c>
    </row>
    <row r="1351" ht="15.75" customHeight="1">
      <c r="A1351" s="5">
        <v>46013.0</v>
      </c>
      <c r="B1351" s="6">
        <v>6463.0</v>
      </c>
      <c r="C1351" s="6">
        <v>1.859165997E9</v>
      </c>
      <c r="D1351" s="6">
        <v>2.0681634E7</v>
      </c>
      <c r="E1351" s="6" t="s">
        <v>2093</v>
      </c>
      <c r="F1351" s="6" t="s">
        <v>2094</v>
      </c>
      <c r="G1351" s="6">
        <v>9.790757145E9</v>
      </c>
      <c r="H1351" s="6">
        <v>4.0147618E7</v>
      </c>
      <c r="I1351" s="6" t="s">
        <v>180</v>
      </c>
      <c r="J1351" s="6" t="s">
        <v>21</v>
      </c>
      <c r="K1351" s="6" t="s">
        <v>22</v>
      </c>
      <c r="L1351" s="6">
        <v>96.0</v>
      </c>
      <c r="M1351" s="5">
        <v>46013.0</v>
      </c>
      <c r="N1351" s="6" t="s">
        <v>23</v>
      </c>
      <c r="O1351" s="6" t="str">
        <f>SUMIFS([1]order_sku_sales_bb2_report!P:P,[1]order_sku_sales_bb2_report!H:H,C29172,[1]order_sku_sales_bb2_report!J:J,H29172)</f>
        <v>#ERROR!</v>
      </c>
      <c r="P1351" s="6" t="str">
        <f>SUMIFS([1]order_sku_sales_bb2_report!O:O,[1]order_sku_sales_bb2_report!H:H,C29172,[1]order_sku_sales_bb2_report!J:J,H29172)</f>
        <v>#ERROR!</v>
      </c>
      <c r="Q1351" s="6" t="str">
        <f t="shared" si="1"/>
        <v>22-12-2025</v>
      </c>
      <c r="R1351" s="6" t="str">
        <f>IFERROR( VLOOKUP(C29172,[1]expressOrderReport!$S:$AZ,34,0),0)</f>
        <v>#ERROR!</v>
      </c>
      <c r="S1351" s="6" t="str">
        <f>ARRAY_CONSTRAIN(ARRAYFORMULA(_xludf.XLOOKUP(D29172,[1]order_Report_SA_ID_BB2.0!V:V,[1]order_Report_SA_ID_BB2.0!AM:AM,"")), 1, 1)</f>
        <v>#ERROR!</v>
      </c>
      <c r="T1351" s="6" t="str">
        <f t="shared" si="2"/>
        <v>Dec'25</v>
      </c>
    </row>
    <row r="1352" ht="15.75" customHeight="1">
      <c r="A1352" s="5">
        <v>46013.0</v>
      </c>
      <c r="B1352" s="6">
        <v>6632.0</v>
      </c>
      <c r="C1352" s="6">
        <v>1.859165997E9</v>
      </c>
      <c r="D1352" s="6">
        <v>2.0681634E7</v>
      </c>
      <c r="E1352" s="6" t="s">
        <v>2093</v>
      </c>
      <c r="F1352" s="6" t="s">
        <v>2094</v>
      </c>
      <c r="G1352" s="6">
        <v>9.790757145E9</v>
      </c>
      <c r="H1352" s="6">
        <v>4.014983E7</v>
      </c>
      <c r="I1352" s="6" t="s">
        <v>30</v>
      </c>
      <c r="J1352" s="6" t="s">
        <v>21</v>
      </c>
      <c r="K1352" s="6" t="s">
        <v>22</v>
      </c>
      <c r="L1352" s="6">
        <v>96.0</v>
      </c>
      <c r="M1352" s="5">
        <v>46013.0</v>
      </c>
      <c r="N1352" s="6" t="s">
        <v>23</v>
      </c>
      <c r="O1352" s="6" t="str">
        <f>SUMIFS([1]order_sku_sales_bb2_report!P:P,[1]order_sku_sales_bb2_report!H:H,C29173,[1]order_sku_sales_bb2_report!J:J,H29173)</f>
        <v>#ERROR!</v>
      </c>
      <c r="P1352" s="6" t="str">
        <f>SUMIFS([1]order_sku_sales_bb2_report!O:O,[1]order_sku_sales_bb2_report!H:H,C29173,[1]order_sku_sales_bb2_report!J:J,H29173)</f>
        <v>#ERROR!</v>
      </c>
      <c r="Q1352" s="6" t="str">
        <f t="shared" si="1"/>
        <v>22-12-2025</v>
      </c>
      <c r="R1352" s="6" t="str">
        <f>IFERROR( VLOOKUP(C29173,[1]expressOrderReport!$S:$AZ,34,0),0)</f>
        <v>#ERROR!</v>
      </c>
      <c r="S1352" s="6" t="str">
        <f>ARRAY_CONSTRAIN(ARRAYFORMULA(_xludf.XLOOKUP(D29173,[1]order_Report_SA_ID_BB2.0!V:V,[1]order_Report_SA_ID_BB2.0!AM:AM,"")), 1, 1)</f>
        <v>#ERROR!</v>
      </c>
      <c r="T1352" s="6" t="str">
        <f t="shared" si="2"/>
        <v>Dec'25</v>
      </c>
    </row>
    <row r="1353" ht="15.75" customHeight="1">
      <c r="A1353" s="5">
        <v>46013.0</v>
      </c>
      <c r="B1353" s="6">
        <v>3901.0</v>
      </c>
      <c r="C1353" s="6">
        <v>1.859166005E9</v>
      </c>
      <c r="D1353" s="6">
        <v>3.1867115E7</v>
      </c>
      <c r="E1353" s="6" t="s">
        <v>2095</v>
      </c>
      <c r="F1353" s="6" t="s">
        <v>2096</v>
      </c>
      <c r="G1353" s="6">
        <v>7.411453435E9</v>
      </c>
      <c r="H1353" s="6">
        <v>4.0161616E7</v>
      </c>
      <c r="I1353" s="6" t="s">
        <v>20</v>
      </c>
      <c r="J1353" s="6" t="s">
        <v>21</v>
      </c>
      <c r="K1353" s="6" t="s">
        <v>22</v>
      </c>
      <c r="L1353" s="6">
        <v>112.0</v>
      </c>
      <c r="M1353" s="5">
        <v>46013.0</v>
      </c>
      <c r="N1353" s="6" t="s">
        <v>23</v>
      </c>
      <c r="O1353" s="6" t="str">
        <f>SUMIFS([1]order_sku_sales_bb2_report!P:P,[1]order_sku_sales_bb2_report!H:H,C29174,[1]order_sku_sales_bb2_report!J:J,H29174)</f>
        <v>#ERROR!</v>
      </c>
      <c r="P1353" s="6" t="str">
        <f>SUMIFS([1]order_sku_sales_bb2_report!O:O,[1]order_sku_sales_bb2_report!H:H,C29174,[1]order_sku_sales_bb2_report!J:J,H29174)</f>
        <v>#ERROR!</v>
      </c>
      <c r="Q1353" s="6" t="str">
        <f t="shared" si="1"/>
        <v>22-12-2025</v>
      </c>
      <c r="R1353" s="6" t="str">
        <f>IFERROR( VLOOKUP(C29174,[1]expressOrderReport!$S:$AZ,34,0),0)</f>
        <v>#ERROR!</v>
      </c>
      <c r="S1353" s="6" t="str">
        <f>ARRAY_CONSTRAIN(ARRAYFORMULA(_xludf.XLOOKUP(D29174,[1]order_Report_SA_ID_BB2.0!V:V,[1]order_Report_SA_ID_BB2.0!AM:AM,"")), 1, 1)</f>
        <v>#ERROR!</v>
      </c>
      <c r="T1353" s="6" t="str">
        <f t="shared" si="2"/>
        <v>Dec'25</v>
      </c>
    </row>
    <row r="1354" ht="15.75" customHeight="1">
      <c r="A1354" s="5">
        <v>46013.0</v>
      </c>
      <c r="B1354" s="6">
        <v>5549.0</v>
      </c>
      <c r="C1354" s="6">
        <v>1.859166014E9</v>
      </c>
      <c r="D1354" s="6">
        <v>22682.0</v>
      </c>
      <c r="E1354" s="6" t="s">
        <v>2097</v>
      </c>
      <c r="F1354" s="6" t="s">
        <v>2098</v>
      </c>
      <c r="G1354" s="6">
        <v>9.566021005E9</v>
      </c>
      <c r="H1354" s="6">
        <v>4.0149832E7</v>
      </c>
      <c r="I1354" s="6" t="s">
        <v>26</v>
      </c>
      <c r="J1354" s="6" t="s">
        <v>21</v>
      </c>
      <c r="K1354" s="6" t="s">
        <v>22</v>
      </c>
      <c r="L1354" s="6">
        <v>72.0</v>
      </c>
      <c r="M1354" s="5">
        <v>46013.0</v>
      </c>
      <c r="N1354" s="6" t="s">
        <v>23</v>
      </c>
      <c r="O1354" s="6" t="str">
        <f>SUMIFS([1]order_sku_sales_bb2_report!P:P,[1]order_sku_sales_bb2_report!H:H,C29175,[1]order_sku_sales_bb2_report!J:J,H29175)</f>
        <v>#ERROR!</v>
      </c>
      <c r="P1354" s="6" t="str">
        <f>SUMIFS([1]order_sku_sales_bb2_report!O:O,[1]order_sku_sales_bb2_report!H:H,C29175,[1]order_sku_sales_bb2_report!J:J,H29175)</f>
        <v>#ERROR!</v>
      </c>
      <c r="Q1354" s="6" t="str">
        <f t="shared" si="1"/>
        <v>22-12-2025</v>
      </c>
      <c r="R1354" s="6" t="str">
        <f>IFERROR( VLOOKUP(C29175,[1]expressOrderReport!$S:$AZ,34,0),0)</f>
        <v>#ERROR!</v>
      </c>
      <c r="S1354" s="6" t="str">
        <f>ARRAY_CONSTRAIN(ARRAYFORMULA(_xludf.XLOOKUP(D29175,[1]order_Report_SA_ID_BB2.0!V:V,[1]order_Report_SA_ID_BB2.0!AM:AM,"")), 1, 1)</f>
        <v>#ERROR!</v>
      </c>
      <c r="T1354" s="6" t="str">
        <f t="shared" si="2"/>
        <v>Dec'25</v>
      </c>
    </row>
    <row r="1355" ht="15.75" customHeight="1">
      <c r="A1355" s="5">
        <v>46013.0</v>
      </c>
      <c r="B1355" s="6">
        <v>2328.0</v>
      </c>
      <c r="C1355" s="6">
        <v>1.859166022E9</v>
      </c>
      <c r="D1355" s="6">
        <v>3.1284304E7</v>
      </c>
      <c r="E1355" s="6" t="s">
        <v>2099</v>
      </c>
      <c r="F1355" s="6" t="s">
        <v>2100</v>
      </c>
      <c r="G1355" s="6">
        <v>8.982204228E9</v>
      </c>
      <c r="H1355" s="6">
        <v>4.0090893E7</v>
      </c>
      <c r="I1355" s="6" t="s">
        <v>35</v>
      </c>
      <c r="J1355" s="6" t="s">
        <v>21</v>
      </c>
      <c r="K1355" s="6" t="s">
        <v>22</v>
      </c>
      <c r="L1355" s="6">
        <v>99.0</v>
      </c>
      <c r="M1355" s="5">
        <v>46013.0</v>
      </c>
      <c r="N1355" s="6" t="s">
        <v>23</v>
      </c>
      <c r="O1355" s="6" t="str">
        <f>SUMIFS([1]order_sku_sales_bb2_report!P:P,[1]order_sku_sales_bb2_report!H:H,C29177,[1]order_sku_sales_bb2_report!J:J,H29177)</f>
        <v>#ERROR!</v>
      </c>
      <c r="P1355" s="6" t="str">
        <f>SUMIFS([1]order_sku_sales_bb2_report!O:O,[1]order_sku_sales_bb2_report!H:H,C29177,[1]order_sku_sales_bb2_report!J:J,H29177)</f>
        <v>#ERROR!</v>
      </c>
      <c r="Q1355" s="6" t="str">
        <f t="shared" si="1"/>
        <v>22-12-2025</v>
      </c>
      <c r="R1355" s="6" t="str">
        <f>IFERROR( VLOOKUP(C29177,[1]expressOrderReport!$S:$AZ,34,0),0)</f>
        <v>#ERROR!</v>
      </c>
      <c r="S1355" s="6" t="str">
        <f>ARRAY_CONSTRAIN(ARRAYFORMULA(_xludf.XLOOKUP(D29177,[1]order_Report_SA_ID_BB2.0!V:V,[1]order_Report_SA_ID_BB2.0!AM:AM,"")), 1, 1)</f>
        <v>#ERROR!</v>
      </c>
      <c r="T1355" s="6" t="str">
        <f t="shared" si="2"/>
        <v>Dec'25</v>
      </c>
    </row>
    <row r="1356" ht="15.75" customHeight="1">
      <c r="A1356" s="5">
        <v>46013.0</v>
      </c>
      <c r="B1356" s="6">
        <v>7104.0</v>
      </c>
      <c r="C1356" s="6">
        <v>1.859166028E9</v>
      </c>
      <c r="D1356" s="6">
        <v>1.209177E7</v>
      </c>
      <c r="E1356" s="6" t="s">
        <v>1856</v>
      </c>
      <c r="F1356" s="6" t="s">
        <v>1857</v>
      </c>
      <c r="G1356" s="6">
        <v>9.74134034E9</v>
      </c>
      <c r="H1356" s="6">
        <v>4.0149831E7</v>
      </c>
      <c r="I1356" s="6" t="s">
        <v>65</v>
      </c>
      <c r="J1356" s="6" t="s">
        <v>21</v>
      </c>
      <c r="K1356" s="6" t="s">
        <v>22</v>
      </c>
      <c r="L1356" s="6">
        <v>52.0</v>
      </c>
      <c r="M1356" s="5">
        <v>46013.0</v>
      </c>
      <c r="N1356" s="6" t="s">
        <v>23</v>
      </c>
      <c r="O1356" s="6" t="str">
        <f>SUMIFS([1]order_sku_sales_bb2_report!P:P,[1]order_sku_sales_bb2_report!H:H,C29178,[1]order_sku_sales_bb2_report!J:J,H29178)</f>
        <v>#ERROR!</v>
      </c>
      <c r="P1356" s="6" t="str">
        <f>SUMIFS([1]order_sku_sales_bb2_report!O:O,[1]order_sku_sales_bb2_report!H:H,C29178,[1]order_sku_sales_bb2_report!J:J,H29178)</f>
        <v>#ERROR!</v>
      </c>
      <c r="Q1356" s="6" t="str">
        <f t="shared" si="1"/>
        <v>22-12-2025</v>
      </c>
      <c r="R1356" s="6" t="str">
        <f>IFERROR( VLOOKUP(C29178,[1]expressOrderReport!$S:$AZ,34,0),0)</f>
        <v>#ERROR!</v>
      </c>
      <c r="S1356" s="6" t="str">
        <f>ARRAY_CONSTRAIN(ARRAYFORMULA(_xludf.XLOOKUP(D29178,[1]order_Report_SA_ID_BB2.0!V:V,[1]order_Report_SA_ID_BB2.0!AM:AM,"")), 1, 1)</f>
        <v>#ERROR!</v>
      </c>
      <c r="T1356" s="6" t="str">
        <f t="shared" si="2"/>
        <v>Dec'25</v>
      </c>
    </row>
    <row r="1357" ht="15.75" customHeight="1">
      <c r="A1357" s="5">
        <v>46013.0</v>
      </c>
      <c r="B1357" s="6">
        <v>9584.0</v>
      </c>
      <c r="C1357" s="6">
        <v>1.859166036E9</v>
      </c>
      <c r="D1357" s="6">
        <v>3742461.0</v>
      </c>
      <c r="E1357" s="6" t="s">
        <v>2101</v>
      </c>
      <c r="F1357" s="6" t="s">
        <v>2102</v>
      </c>
      <c r="G1357" s="6">
        <v>8.342817312E9</v>
      </c>
      <c r="H1357" s="6">
        <v>4.0149834E7</v>
      </c>
      <c r="I1357" s="6" t="s">
        <v>40</v>
      </c>
      <c r="J1357" s="6" t="s">
        <v>21</v>
      </c>
      <c r="K1357" s="6" t="s">
        <v>22</v>
      </c>
      <c r="L1357" s="6">
        <v>98.0</v>
      </c>
      <c r="M1357" s="5">
        <v>46013.0</v>
      </c>
      <c r="N1357" s="6" t="s">
        <v>23</v>
      </c>
      <c r="O1357" s="6" t="str">
        <f>SUMIFS([1]order_sku_sales_bb2_report!P:P,[1]order_sku_sales_bb2_report!H:H,C29179,[1]order_sku_sales_bb2_report!J:J,H29179)</f>
        <v>#ERROR!</v>
      </c>
      <c r="P1357" s="6" t="str">
        <f>SUMIFS([1]order_sku_sales_bb2_report!O:O,[1]order_sku_sales_bb2_report!H:H,C29179,[1]order_sku_sales_bb2_report!J:J,H29179)</f>
        <v>#ERROR!</v>
      </c>
      <c r="Q1357" s="6" t="str">
        <f t="shared" si="1"/>
        <v>22-12-2025</v>
      </c>
      <c r="R1357" s="6" t="str">
        <f>IFERROR( VLOOKUP(C29179,[1]expressOrderReport!$S:$AZ,34,0),0)</f>
        <v>#ERROR!</v>
      </c>
      <c r="S1357" s="6" t="str">
        <f>ARRAY_CONSTRAIN(ARRAYFORMULA(_xludf.XLOOKUP(D29179,[1]order_Report_SA_ID_BB2.0!V:V,[1]order_Report_SA_ID_BB2.0!AM:AM,"")), 1, 1)</f>
        <v>#ERROR!</v>
      </c>
      <c r="T1357" s="6" t="str">
        <f t="shared" si="2"/>
        <v>Dec'25</v>
      </c>
    </row>
    <row r="1358" ht="15.75" customHeight="1">
      <c r="A1358" s="5">
        <v>46013.0</v>
      </c>
      <c r="B1358" s="6">
        <v>9585.0</v>
      </c>
      <c r="C1358" s="6">
        <v>1.859166036E9</v>
      </c>
      <c r="D1358" s="6">
        <v>3742461.0</v>
      </c>
      <c r="E1358" s="6" t="s">
        <v>2101</v>
      </c>
      <c r="F1358" s="6" t="s">
        <v>2102</v>
      </c>
      <c r="G1358" s="6">
        <v>8.342817312E9</v>
      </c>
      <c r="H1358" s="6">
        <v>4.0158264E7</v>
      </c>
      <c r="I1358" s="6" t="s">
        <v>26</v>
      </c>
      <c r="J1358" s="6" t="s">
        <v>21</v>
      </c>
      <c r="K1358" s="6" t="s">
        <v>22</v>
      </c>
      <c r="L1358" s="6">
        <v>98.0</v>
      </c>
      <c r="M1358" s="5">
        <v>46013.0</v>
      </c>
      <c r="N1358" s="6" t="s">
        <v>23</v>
      </c>
      <c r="O1358" s="6" t="str">
        <f>SUMIFS([1]order_sku_sales_bb2_report!P:P,[1]order_sku_sales_bb2_report!H:H,C29180,[1]order_sku_sales_bb2_report!J:J,H29180)</f>
        <v>#ERROR!</v>
      </c>
      <c r="P1358" s="6" t="str">
        <f>SUMIFS([1]order_sku_sales_bb2_report!O:O,[1]order_sku_sales_bb2_report!H:H,C29180,[1]order_sku_sales_bb2_report!J:J,H29180)</f>
        <v>#ERROR!</v>
      </c>
      <c r="Q1358" s="6" t="str">
        <f t="shared" si="1"/>
        <v>22-12-2025</v>
      </c>
      <c r="R1358" s="6" t="str">
        <f>IFERROR( VLOOKUP(C29180,[1]expressOrderReport!$S:$AZ,34,0),0)</f>
        <v>#ERROR!</v>
      </c>
      <c r="S1358" s="6" t="str">
        <f>ARRAY_CONSTRAIN(ARRAYFORMULA(_xludf.XLOOKUP(D29180,[1]order_Report_SA_ID_BB2.0!V:V,[1]order_Report_SA_ID_BB2.0!AM:AM,"")), 1, 1)</f>
        <v>#ERROR!</v>
      </c>
      <c r="T1358" s="6" t="str">
        <f t="shared" si="2"/>
        <v>Dec'25</v>
      </c>
    </row>
    <row r="1359" ht="15.75" customHeight="1">
      <c r="A1359" s="5">
        <v>46013.0</v>
      </c>
      <c r="B1359" s="6">
        <v>1623.0</v>
      </c>
      <c r="C1359" s="6">
        <v>1.859166041E9</v>
      </c>
      <c r="D1359" s="6">
        <v>2.533448E7</v>
      </c>
      <c r="E1359" s="6" t="s">
        <v>2103</v>
      </c>
      <c r="F1359" s="6" t="s">
        <v>2104</v>
      </c>
      <c r="G1359" s="6">
        <v>8.857075329E9</v>
      </c>
      <c r="H1359" s="6">
        <v>4.0149833E7</v>
      </c>
      <c r="I1359" s="6" t="s">
        <v>40</v>
      </c>
      <c r="J1359" s="6" t="s">
        <v>21</v>
      </c>
      <c r="K1359" s="6" t="s">
        <v>22</v>
      </c>
      <c r="L1359" s="6">
        <v>27.0</v>
      </c>
      <c r="M1359" s="5">
        <v>46013.0</v>
      </c>
      <c r="N1359" s="6" t="s">
        <v>23</v>
      </c>
      <c r="O1359" s="6" t="str">
        <f>SUMIFS([1]order_sku_sales_bb2_report!P:P,[1]order_sku_sales_bb2_report!H:H,C29181,[1]order_sku_sales_bb2_report!J:J,H29181)</f>
        <v>#ERROR!</v>
      </c>
      <c r="P1359" s="6" t="str">
        <f>SUMIFS([1]order_sku_sales_bb2_report!O:O,[1]order_sku_sales_bb2_report!H:H,C29181,[1]order_sku_sales_bb2_report!J:J,H29181)</f>
        <v>#ERROR!</v>
      </c>
      <c r="Q1359" s="6" t="str">
        <f t="shared" si="1"/>
        <v>22-12-2025</v>
      </c>
      <c r="R1359" s="6" t="str">
        <f>IFERROR( VLOOKUP(C29181,[1]expressOrderReport!$S:$AZ,34,0),0)</f>
        <v>#ERROR!</v>
      </c>
      <c r="S1359" s="6" t="str">
        <f>ARRAY_CONSTRAIN(ARRAYFORMULA(_xludf.XLOOKUP(D29181,[1]order_Report_SA_ID_BB2.0!V:V,[1]order_Report_SA_ID_BB2.0!AM:AM,"")), 1, 1)</f>
        <v>#ERROR!</v>
      </c>
      <c r="T1359" s="6" t="str">
        <f t="shared" si="2"/>
        <v>Dec'25</v>
      </c>
    </row>
    <row r="1360" ht="15.75" customHeight="1">
      <c r="A1360" s="5">
        <v>46013.0</v>
      </c>
      <c r="B1360" s="6">
        <v>9438.0</v>
      </c>
      <c r="C1360" s="6">
        <v>1.859166052E9</v>
      </c>
      <c r="D1360" s="6">
        <v>3.272986E7</v>
      </c>
      <c r="E1360" s="6" t="s">
        <v>2105</v>
      </c>
      <c r="F1360" s="6" t="s">
        <v>2106</v>
      </c>
      <c r="G1360" s="6">
        <v>8.553537392E9</v>
      </c>
      <c r="H1360" s="6">
        <v>4.0158264E7</v>
      </c>
      <c r="I1360" s="6" t="s">
        <v>26</v>
      </c>
      <c r="J1360" s="6" t="s">
        <v>21</v>
      </c>
      <c r="K1360" s="6" t="s">
        <v>22</v>
      </c>
      <c r="L1360" s="6">
        <v>73.0</v>
      </c>
      <c r="M1360" s="5">
        <v>46013.0</v>
      </c>
      <c r="N1360" s="6" t="s">
        <v>23</v>
      </c>
      <c r="O1360" s="6" t="str">
        <f>SUMIFS([1]order_sku_sales_bb2_report!P:P,[1]order_sku_sales_bb2_report!H:H,C29182,[1]order_sku_sales_bb2_report!J:J,H29182)</f>
        <v>#ERROR!</v>
      </c>
      <c r="P1360" s="6" t="str">
        <f>SUMIFS([1]order_sku_sales_bb2_report!O:O,[1]order_sku_sales_bb2_report!H:H,C29182,[1]order_sku_sales_bb2_report!J:J,H29182)</f>
        <v>#ERROR!</v>
      </c>
      <c r="Q1360" s="6" t="str">
        <f t="shared" si="1"/>
        <v>22-12-2025</v>
      </c>
      <c r="R1360" s="6" t="str">
        <f>IFERROR( VLOOKUP(C29182,[1]expressOrderReport!$S:$AZ,34,0),0)</f>
        <v>#ERROR!</v>
      </c>
      <c r="S1360" s="6" t="str">
        <f>ARRAY_CONSTRAIN(ARRAYFORMULA(_xludf.XLOOKUP(D29182,[1]order_Report_SA_ID_BB2.0!V:V,[1]order_Report_SA_ID_BB2.0!AM:AM,"")), 1, 1)</f>
        <v>#ERROR!</v>
      </c>
      <c r="T1360" s="6" t="str">
        <f t="shared" si="2"/>
        <v>Dec'25</v>
      </c>
    </row>
    <row r="1361" ht="15.75" customHeight="1">
      <c r="A1361" s="5">
        <v>46013.0</v>
      </c>
      <c r="B1361" s="6">
        <v>9439.0</v>
      </c>
      <c r="C1361" s="6">
        <v>1.859166052E9</v>
      </c>
      <c r="D1361" s="6">
        <v>3.272986E7</v>
      </c>
      <c r="E1361" s="6" t="s">
        <v>2105</v>
      </c>
      <c r="F1361" s="6" t="s">
        <v>2106</v>
      </c>
      <c r="G1361" s="6">
        <v>8.553537392E9</v>
      </c>
      <c r="H1361" s="6">
        <v>4.0149833E7</v>
      </c>
      <c r="I1361" s="6" t="s">
        <v>40</v>
      </c>
      <c r="J1361" s="6" t="s">
        <v>21</v>
      </c>
      <c r="K1361" s="6" t="s">
        <v>22</v>
      </c>
      <c r="L1361" s="6">
        <v>73.0</v>
      </c>
      <c r="M1361" s="5">
        <v>46013.0</v>
      </c>
      <c r="N1361" s="6" t="s">
        <v>23</v>
      </c>
      <c r="O1361" s="6" t="str">
        <f>SUMIFS([1]order_sku_sales_bb2_report!P:P,[1]order_sku_sales_bb2_report!H:H,C29183,[1]order_sku_sales_bb2_report!J:J,H29183)</f>
        <v>#ERROR!</v>
      </c>
      <c r="P1361" s="6" t="str">
        <f>SUMIFS([1]order_sku_sales_bb2_report!O:O,[1]order_sku_sales_bb2_report!H:H,C29183,[1]order_sku_sales_bb2_report!J:J,H29183)</f>
        <v>#ERROR!</v>
      </c>
      <c r="Q1361" s="6" t="str">
        <f t="shared" si="1"/>
        <v>22-12-2025</v>
      </c>
      <c r="R1361" s="6" t="str">
        <f>IFERROR( VLOOKUP(C29183,[1]expressOrderReport!$S:$AZ,34,0),0)</f>
        <v>#ERROR!</v>
      </c>
      <c r="S1361" s="6" t="str">
        <f>ARRAY_CONSTRAIN(ARRAYFORMULA(_xludf.XLOOKUP(D29183,[1]order_Report_SA_ID_BB2.0!V:V,[1]order_Report_SA_ID_BB2.0!AM:AM,"")), 1, 1)</f>
        <v>#ERROR!</v>
      </c>
      <c r="T1361" s="6" t="str">
        <f t="shared" si="2"/>
        <v>Dec'25</v>
      </c>
    </row>
    <row r="1362" ht="15.75" customHeight="1">
      <c r="A1362" s="5">
        <v>46013.0</v>
      </c>
      <c r="B1362" s="6">
        <v>8730.0</v>
      </c>
      <c r="C1362" s="6">
        <v>1.859166064E9</v>
      </c>
      <c r="D1362" s="6">
        <v>1.6503254E7</v>
      </c>
      <c r="E1362" s="6" t="s">
        <v>2107</v>
      </c>
      <c r="F1362" s="6" t="s">
        <v>2108</v>
      </c>
      <c r="G1362" s="6">
        <v>9.886751818E9</v>
      </c>
      <c r="H1362" s="6">
        <v>4.0149832E7</v>
      </c>
      <c r="I1362" s="6" t="s">
        <v>26</v>
      </c>
      <c r="J1362" s="6" t="s">
        <v>21</v>
      </c>
      <c r="K1362" s="6" t="s">
        <v>22</v>
      </c>
      <c r="L1362" s="6">
        <v>151.34</v>
      </c>
      <c r="M1362" s="5">
        <v>46013.0</v>
      </c>
      <c r="N1362" s="6" t="s">
        <v>23</v>
      </c>
      <c r="O1362" s="6" t="str">
        <f>SUMIFS([1]order_sku_sales_bb2_report!P:P,[1]order_sku_sales_bb2_report!H:H,C29184,[1]order_sku_sales_bb2_report!J:J,H29184)</f>
        <v>#ERROR!</v>
      </c>
      <c r="P1362" s="6" t="str">
        <f>SUMIFS([1]order_sku_sales_bb2_report!O:O,[1]order_sku_sales_bb2_report!H:H,C29184,[1]order_sku_sales_bb2_report!J:J,H29184)</f>
        <v>#ERROR!</v>
      </c>
      <c r="Q1362" s="6" t="str">
        <f t="shared" si="1"/>
        <v>22-12-2025</v>
      </c>
      <c r="R1362" s="6" t="str">
        <f>IFERROR( VLOOKUP(C29184,[1]expressOrderReport!$S:$AZ,34,0),0)</f>
        <v>#ERROR!</v>
      </c>
      <c r="S1362" s="6" t="str">
        <f>ARRAY_CONSTRAIN(ARRAYFORMULA(_xludf.XLOOKUP(D29184,[1]order_Report_SA_ID_BB2.0!V:V,[1]order_Report_SA_ID_BB2.0!AM:AM,"")), 1, 1)</f>
        <v>#ERROR!</v>
      </c>
      <c r="T1362" s="6" t="str">
        <f t="shared" si="2"/>
        <v>Dec'25</v>
      </c>
    </row>
    <row r="1363" ht="15.75" customHeight="1">
      <c r="A1363" s="5">
        <v>46013.0</v>
      </c>
      <c r="B1363" s="6">
        <v>8731.0</v>
      </c>
      <c r="C1363" s="6">
        <v>1.859166064E9</v>
      </c>
      <c r="D1363" s="6">
        <v>1.6503254E7</v>
      </c>
      <c r="E1363" s="6" t="s">
        <v>2107</v>
      </c>
      <c r="F1363" s="6" t="s">
        <v>2108</v>
      </c>
      <c r="G1363" s="6">
        <v>9.886751818E9</v>
      </c>
      <c r="H1363" s="6">
        <v>4.0149833E7</v>
      </c>
      <c r="I1363" s="6" t="s">
        <v>40</v>
      </c>
      <c r="J1363" s="6" t="s">
        <v>21</v>
      </c>
      <c r="K1363" s="6" t="s">
        <v>22</v>
      </c>
      <c r="L1363" s="6">
        <v>151.34</v>
      </c>
      <c r="M1363" s="5">
        <v>46013.0</v>
      </c>
      <c r="N1363" s="6" t="s">
        <v>23</v>
      </c>
      <c r="O1363" s="6" t="str">
        <f>SUMIFS([1]order_sku_sales_bb2_report!P:P,[1]order_sku_sales_bb2_report!H:H,C29185,[1]order_sku_sales_bb2_report!J:J,H29185)</f>
        <v>#ERROR!</v>
      </c>
      <c r="P1363" s="6" t="str">
        <f>SUMIFS([1]order_sku_sales_bb2_report!O:O,[1]order_sku_sales_bb2_report!H:H,C29185,[1]order_sku_sales_bb2_report!J:J,H29185)</f>
        <v>#ERROR!</v>
      </c>
      <c r="Q1363" s="6" t="str">
        <f t="shared" si="1"/>
        <v>22-12-2025</v>
      </c>
      <c r="R1363" s="6" t="str">
        <f>IFERROR( VLOOKUP(C29185,[1]expressOrderReport!$S:$AZ,34,0),0)</f>
        <v>#ERROR!</v>
      </c>
      <c r="S1363" s="6" t="str">
        <f>ARRAY_CONSTRAIN(ARRAYFORMULA(_xludf.XLOOKUP(D29185,[1]order_Report_SA_ID_BB2.0!V:V,[1]order_Report_SA_ID_BB2.0!AM:AM,"")), 1, 1)</f>
        <v>#ERROR!</v>
      </c>
      <c r="T1363" s="6" t="str">
        <f t="shared" si="2"/>
        <v>Dec'25</v>
      </c>
    </row>
    <row r="1364" ht="15.75" customHeight="1">
      <c r="A1364" s="5">
        <v>46013.0</v>
      </c>
      <c r="B1364" s="6">
        <v>8732.0</v>
      </c>
      <c r="C1364" s="6">
        <v>1.859166064E9</v>
      </c>
      <c r="D1364" s="6">
        <v>1.6503254E7</v>
      </c>
      <c r="E1364" s="6" t="s">
        <v>2107</v>
      </c>
      <c r="F1364" s="6" t="s">
        <v>2108</v>
      </c>
      <c r="G1364" s="6">
        <v>9.886751818E9</v>
      </c>
      <c r="H1364" s="6">
        <v>4.014983E7</v>
      </c>
      <c r="I1364" s="6" t="s">
        <v>30</v>
      </c>
      <c r="J1364" s="6" t="s">
        <v>21</v>
      </c>
      <c r="K1364" s="6" t="s">
        <v>22</v>
      </c>
      <c r="L1364" s="6">
        <v>151.34</v>
      </c>
      <c r="M1364" s="5">
        <v>46013.0</v>
      </c>
      <c r="N1364" s="6" t="s">
        <v>23</v>
      </c>
      <c r="O1364" s="6" t="str">
        <f>SUMIFS([1]order_sku_sales_bb2_report!P:P,[1]order_sku_sales_bb2_report!H:H,C29186,[1]order_sku_sales_bb2_report!J:J,H29186)</f>
        <v>#ERROR!</v>
      </c>
      <c r="P1364" s="6" t="str">
        <f>SUMIFS([1]order_sku_sales_bb2_report!O:O,[1]order_sku_sales_bb2_report!H:H,C29186,[1]order_sku_sales_bb2_report!J:J,H29186)</f>
        <v>#ERROR!</v>
      </c>
      <c r="Q1364" s="6" t="str">
        <f t="shared" si="1"/>
        <v>22-12-2025</v>
      </c>
      <c r="R1364" s="6" t="str">
        <f>IFERROR( VLOOKUP(C29186,[1]expressOrderReport!$S:$AZ,34,0),0)</f>
        <v>#ERROR!</v>
      </c>
      <c r="S1364" s="6" t="str">
        <f>ARRAY_CONSTRAIN(ARRAYFORMULA(_xludf.XLOOKUP(D29186,[1]order_Report_SA_ID_BB2.0!V:V,[1]order_Report_SA_ID_BB2.0!AM:AM,"")), 1, 1)</f>
        <v>#ERROR!</v>
      </c>
      <c r="T1364" s="6" t="str">
        <f t="shared" si="2"/>
        <v>Dec'25</v>
      </c>
    </row>
    <row r="1365" ht="15.75" customHeight="1">
      <c r="A1365" s="5">
        <v>46013.0</v>
      </c>
      <c r="B1365" s="6">
        <v>9607.0</v>
      </c>
      <c r="C1365" s="6">
        <v>1.859166064E9</v>
      </c>
      <c r="D1365" s="6">
        <v>1.6503254E7</v>
      </c>
      <c r="E1365" s="6" t="s">
        <v>2107</v>
      </c>
      <c r="F1365" s="6" t="s">
        <v>2108</v>
      </c>
      <c r="G1365" s="6">
        <v>9.886751818E9</v>
      </c>
      <c r="H1365" s="6">
        <v>4.0147597E7</v>
      </c>
      <c r="I1365" s="6" t="s">
        <v>59</v>
      </c>
      <c r="J1365" s="6" t="s">
        <v>21</v>
      </c>
      <c r="K1365" s="6" t="s">
        <v>22</v>
      </c>
      <c r="L1365" s="6">
        <v>151.34</v>
      </c>
      <c r="M1365" s="5">
        <v>46013.0</v>
      </c>
      <c r="N1365" s="6" t="s">
        <v>23</v>
      </c>
      <c r="O1365" s="6" t="str">
        <f>SUMIFS([1]order_sku_sales_bb2_report!P:P,[1]order_sku_sales_bb2_report!H:H,C29187,[1]order_sku_sales_bb2_report!J:J,H29187)</f>
        <v>#ERROR!</v>
      </c>
      <c r="P1365" s="6" t="str">
        <f>SUMIFS([1]order_sku_sales_bb2_report!O:O,[1]order_sku_sales_bb2_report!H:H,C29187,[1]order_sku_sales_bb2_report!J:J,H29187)</f>
        <v>#ERROR!</v>
      </c>
      <c r="Q1365" s="6" t="str">
        <f t="shared" si="1"/>
        <v>22-12-2025</v>
      </c>
      <c r="R1365" s="6" t="str">
        <f>IFERROR( VLOOKUP(C29187,[1]expressOrderReport!$S:$AZ,34,0),0)</f>
        <v>#ERROR!</v>
      </c>
      <c r="S1365" s="6" t="str">
        <f>ARRAY_CONSTRAIN(ARRAYFORMULA(_xludf.XLOOKUP(D29187,[1]order_Report_SA_ID_BB2.0!V:V,[1]order_Report_SA_ID_BB2.0!AM:AM,"")), 1, 1)</f>
        <v>#ERROR!</v>
      </c>
      <c r="T1365" s="6" t="str">
        <f t="shared" si="2"/>
        <v>Dec'25</v>
      </c>
    </row>
    <row r="1366" ht="15.75" customHeight="1">
      <c r="A1366" s="5">
        <v>46013.0</v>
      </c>
      <c r="B1366" s="6">
        <v>10002.0</v>
      </c>
      <c r="C1366" s="6">
        <v>1.859166064E9</v>
      </c>
      <c r="D1366" s="6">
        <v>1.6503254E7</v>
      </c>
      <c r="E1366" s="6" t="s">
        <v>2107</v>
      </c>
      <c r="F1366" s="6" t="s">
        <v>2108</v>
      </c>
      <c r="G1366" s="6">
        <v>9.886751818E9</v>
      </c>
      <c r="H1366" s="6">
        <v>1.0000166E7</v>
      </c>
      <c r="I1366" s="6" t="s">
        <v>2109</v>
      </c>
      <c r="J1366" s="6" t="s">
        <v>21</v>
      </c>
      <c r="K1366" s="6" t="s">
        <v>22</v>
      </c>
      <c r="L1366" s="6">
        <v>151.34</v>
      </c>
      <c r="M1366" s="5">
        <v>46013.0</v>
      </c>
      <c r="N1366" s="6" t="s">
        <v>23</v>
      </c>
      <c r="O1366" s="6" t="str">
        <f>SUMIFS([1]order_sku_sales_bb2_report!P:P,[1]order_sku_sales_bb2_report!H:H,C29188,[1]order_sku_sales_bb2_report!J:J,H29188)</f>
        <v>#ERROR!</v>
      </c>
      <c r="P1366" s="6" t="str">
        <f>SUMIFS([1]order_sku_sales_bb2_report!O:O,[1]order_sku_sales_bb2_report!H:H,C29188,[1]order_sku_sales_bb2_report!J:J,H29188)</f>
        <v>#ERROR!</v>
      </c>
      <c r="Q1366" s="6" t="str">
        <f t="shared" si="1"/>
        <v>22-12-2025</v>
      </c>
      <c r="R1366" s="6" t="str">
        <f>IFERROR( VLOOKUP(C29188,[1]expressOrderReport!$S:$AZ,34,0),0)</f>
        <v>#ERROR!</v>
      </c>
      <c r="S1366" s="6" t="str">
        <f>ARRAY_CONSTRAIN(ARRAYFORMULA(_xludf.XLOOKUP(D29188,[1]order_Report_SA_ID_BB2.0!V:V,[1]order_Report_SA_ID_BB2.0!AM:AM,"")), 1, 1)</f>
        <v>#ERROR!</v>
      </c>
      <c r="T1366" s="6" t="str">
        <f t="shared" si="2"/>
        <v>Dec'25</v>
      </c>
    </row>
    <row r="1367" ht="15.75" customHeight="1">
      <c r="A1367" s="5">
        <v>46013.0</v>
      </c>
      <c r="B1367" s="6">
        <v>11282.0</v>
      </c>
      <c r="C1367" s="6">
        <v>1.859166064E9</v>
      </c>
      <c r="D1367" s="6">
        <v>1.6503254E7</v>
      </c>
      <c r="E1367" s="6" t="s">
        <v>2107</v>
      </c>
      <c r="F1367" s="6" t="s">
        <v>2108</v>
      </c>
      <c r="G1367" s="6">
        <v>9.886751818E9</v>
      </c>
      <c r="H1367" s="6">
        <v>1.0000274E7</v>
      </c>
      <c r="I1367" s="6" t="s">
        <v>2110</v>
      </c>
      <c r="J1367" s="6" t="s">
        <v>21</v>
      </c>
      <c r="K1367" s="6" t="s">
        <v>22</v>
      </c>
      <c r="L1367" s="6">
        <v>151.34</v>
      </c>
      <c r="M1367" s="5">
        <v>46013.0</v>
      </c>
      <c r="N1367" s="6" t="s">
        <v>23</v>
      </c>
      <c r="O1367" s="6" t="str">
        <f>SUMIFS([1]order_sku_sales_bb2_report!P:P,[1]order_sku_sales_bb2_report!H:H,C29189,[1]order_sku_sales_bb2_report!J:J,H29189)</f>
        <v>#ERROR!</v>
      </c>
      <c r="P1367" s="6" t="str">
        <f>SUMIFS([1]order_sku_sales_bb2_report!O:O,[1]order_sku_sales_bb2_report!H:H,C29189,[1]order_sku_sales_bb2_report!J:J,H29189)</f>
        <v>#ERROR!</v>
      </c>
      <c r="Q1367" s="6" t="str">
        <f t="shared" si="1"/>
        <v>22-12-2025</v>
      </c>
      <c r="R1367" s="6" t="str">
        <f>IFERROR( VLOOKUP(C29189,[1]expressOrderReport!$S:$AZ,34,0),0)</f>
        <v>#ERROR!</v>
      </c>
      <c r="S1367" s="6" t="str">
        <f>ARRAY_CONSTRAIN(ARRAYFORMULA(_xludf.XLOOKUP(D29189,[1]order_Report_SA_ID_BB2.0!V:V,[1]order_Report_SA_ID_BB2.0!AM:AM,"")), 1, 1)</f>
        <v>#ERROR!</v>
      </c>
      <c r="T1367" s="6" t="str">
        <f t="shared" si="2"/>
        <v>Dec'25</v>
      </c>
    </row>
    <row r="1368" ht="15.75" customHeight="1">
      <c r="A1368" s="5">
        <v>46013.0</v>
      </c>
      <c r="B1368" s="6">
        <v>5205.0</v>
      </c>
      <c r="C1368" s="6">
        <v>1.859166073E9</v>
      </c>
      <c r="D1368" s="6">
        <v>2102768.0</v>
      </c>
      <c r="E1368" s="6" t="s">
        <v>2111</v>
      </c>
      <c r="F1368" s="6" t="s">
        <v>2112</v>
      </c>
      <c r="G1368" s="6">
        <v>8.105284688E9</v>
      </c>
      <c r="H1368" s="6">
        <v>4.0149832E7</v>
      </c>
      <c r="I1368" s="6" t="s">
        <v>26</v>
      </c>
      <c r="J1368" s="6" t="s">
        <v>21</v>
      </c>
      <c r="K1368" s="6" t="s">
        <v>22</v>
      </c>
      <c r="L1368" s="6">
        <v>24.0</v>
      </c>
      <c r="M1368" s="5">
        <v>46013.0</v>
      </c>
      <c r="N1368" s="6" t="s">
        <v>23</v>
      </c>
      <c r="O1368" s="6" t="str">
        <f>SUMIFS([1]order_sku_sales_bb2_report!P:P,[1]order_sku_sales_bb2_report!H:H,C29190,[1]order_sku_sales_bb2_report!J:J,H29190)</f>
        <v>#ERROR!</v>
      </c>
      <c r="P1368" s="6" t="str">
        <f>SUMIFS([1]order_sku_sales_bb2_report!O:O,[1]order_sku_sales_bb2_report!H:H,C29190,[1]order_sku_sales_bb2_report!J:J,H29190)</f>
        <v>#ERROR!</v>
      </c>
      <c r="Q1368" s="6" t="str">
        <f t="shared" si="1"/>
        <v>22-12-2025</v>
      </c>
      <c r="R1368" s="6" t="str">
        <f>IFERROR( VLOOKUP(C29190,[1]expressOrderReport!$S:$AZ,34,0),0)</f>
        <v>#ERROR!</v>
      </c>
      <c r="S1368" s="6" t="str">
        <f>ARRAY_CONSTRAIN(ARRAYFORMULA(_xludf.XLOOKUP(D29190,[1]order_Report_SA_ID_BB2.0!V:V,[1]order_Report_SA_ID_BB2.0!AM:AM,"")), 1, 1)</f>
        <v>#ERROR!</v>
      </c>
      <c r="T1368" s="6" t="str">
        <f t="shared" si="2"/>
        <v>Dec'25</v>
      </c>
    </row>
    <row r="1369" ht="15.75" customHeight="1">
      <c r="A1369" s="5">
        <v>46013.0</v>
      </c>
      <c r="B1369" s="6">
        <v>12053.0</v>
      </c>
      <c r="C1369" s="6">
        <v>1.859166079E9</v>
      </c>
      <c r="D1369" s="6">
        <v>1409375.0</v>
      </c>
      <c r="E1369" s="6" t="s">
        <v>851</v>
      </c>
      <c r="F1369" s="6" t="s">
        <v>2113</v>
      </c>
      <c r="G1369" s="6">
        <v>9.728735806E9</v>
      </c>
      <c r="H1369" s="6">
        <v>4.0149834E7</v>
      </c>
      <c r="I1369" s="6" t="s">
        <v>40</v>
      </c>
      <c r="J1369" s="6" t="s">
        <v>21</v>
      </c>
      <c r="K1369" s="6" t="s">
        <v>22</v>
      </c>
      <c r="L1369" s="6">
        <v>52.0</v>
      </c>
      <c r="M1369" s="5">
        <v>46013.0</v>
      </c>
      <c r="N1369" s="6" t="s">
        <v>23</v>
      </c>
      <c r="O1369" s="6" t="str">
        <f>SUMIFS([1]order_sku_sales_bb2_report!P:P,[1]order_sku_sales_bb2_report!H:H,C29191,[1]order_sku_sales_bb2_report!J:J,H29191)</f>
        <v>#ERROR!</v>
      </c>
      <c r="P1369" s="6" t="str">
        <f>SUMIFS([1]order_sku_sales_bb2_report!O:O,[1]order_sku_sales_bb2_report!H:H,C29191,[1]order_sku_sales_bb2_report!J:J,H29191)</f>
        <v>#ERROR!</v>
      </c>
      <c r="Q1369" s="6" t="str">
        <f t="shared" si="1"/>
        <v>22-12-2025</v>
      </c>
      <c r="R1369" s="6" t="str">
        <f>IFERROR( VLOOKUP(C29191,[1]expressOrderReport!$S:$AZ,34,0),0)</f>
        <v>#ERROR!</v>
      </c>
      <c r="S1369" s="6" t="str">
        <f>ARRAY_CONSTRAIN(ARRAYFORMULA(_xludf.XLOOKUP(D29191,[1]order_Report_SA_ID_BB2.0!V:V,[1]order_Report_SA_ID_BB2.0!AM:AM,"")), 1, 1)</f>
        <v>#ERROR!</v>
      </c>
      <c r="T1369" s="6" t="str">
        <f t="shared" si="2"/>
        <v>Dec'25</v>
      </c>
    </row>
    <row r="1370" ht="15.75" customHeight="1">
      <c r="A1370" s="5">
        <v>46013.0</v>
      </c>
      <c r="B1370" s="6">
        <v>1973.0</v>
      </c>
      <c r="C1370" s="6">
        <v>1.859166086E9</v>
      </c>
      <c r="D1370" s="6">
        <v>117879.0</v>
      </c>
      <c r="E1370" s="6" t="s">
        <v>2114</v>
      </c>
      <c r="F1370" s="6" t="s">
        <v>2115</v>
      </c>
      <c r="G1370" s="6">
        <v>8.867211901E9</v>
      </c>
      <c r="H1370" s="6">
        <v>4.0158264E7</v>
      </c>
      <c r="I1370" s="6" t="s">
        <v>26</v>
      </c>
      <c r="J1370" s="6" t="s">
        <v>21</v>
      </c>
      <c r="K1370" s="6" t="s">
        <v>22</v>
      </c>
      <c r="L1370" s="6">
        <v>46.0</v>
      </c>
      <c r="M1370" s="5">
        <v>46013.0</v>
      </c>
      <c r="N1370" s="6" t="s">
        <v>23</v>
      </c>
      <c r="O1370" s="6" t="str">
        <f>SUMIFS([1]order_sku_sales_bb2_report!P:P,[1]order_sku_sales_bb2_report!H:H,C29192,[1]order_sku_sales_bb2_report!J:J,H29192)</f>
        <v>#ERROR!</v>
      </c>
      <c r="P1370" s="6" t="str">
        <f>SUMIFS([1]order_sku_sales_bb2_report!O:O,[1]order_sku_sales_bb2_report!H:H,C29192,[1]order_sku_sales_bb2_report!J:J,H29192)</f>
        <v>#ERROR!</v>
      </c>
      <c r="Q1370" s="6" t="str">
        <f t="shared" si="1"/>
        <v>22-12-2025</v>
      </c>
      <c r="R1370" s="6" t="str">
        <f>IFERROR( VLOOKUP(C29192,[1]expressOrderReport!$S:$AZ,34,0),0)</f>
        <v>#ERROR!</v>
      </c>
      <c r="S1370" s="6" t="str">
        <f>ARRAY_CONSTRAIN(ARRAYFORMULA(_xludf.XLOOKUP(D29192,[1]order_Report_SA_ID_BB2.0!V:V,[1]order_Report_SA_ID_BB2.0!AM:AM,"")), 1, 1)</f>
        <v>#ERROR!</v>
      </c>
      <c r="T1370" s="6" t="str">
        <f t="shared" si="2"/>
        <v>Dec'25</v>
      </c>
    </row>
    <row r="1371" ht="15.75" customHeight="1">
      <c r="A1371" s="5">
        <v>46013.0</v>
      </c>
      <c r="B1371" s="6">
        <v>1302.0</v>
      </c>
      <c r="C1371" s="6">
        <v>1.859166094E9</v>
      </c>
      <c r="D1371" s="6">
        <v>716654.0</v>
      </c>
      <c r="E1371" s="6" t="s">
        <v>2116</v>
      </c>
      <c r="F1371" s="6" t="s">
        <v>2117</v>
      </c>
      <c r="G1371" s="6">
        <v>8.754448397E9</v>
      </c>
      <c r="H1371" s="6">
        <v>4.0149832E7</v>
      </c>
      <c r="I1371" s="6" t="s">
        <v>26</v>
      </c>
      <c r="J1371" s="6" t="s">
        <v>21</v>
      </c>
      <c r="K1371" s="6" t="s">
        <v>22</v>
      </c>
      <c r="L1371" s="6">
        <v>120.0</v>
      </c>
      <c r="M1371" s="5">
        <v>46013.0</v>
      </c>
      <c r="N1371" s="6" t="s">
        <v>23</v>
      </c>
      <c r="O1371" s="6" t="str">
        <f>SUMIFS([1]order_sku_sales_bb2_report!P:P,[1]order_sku_sales_bb2_report!H:H,C29193,[1]order_sku_sales_bb2_report!J:J,H29193)</f>
        <v>#ERROR!</v>
      </c>
      <c r="P1371" s="6" t="str">
        <f>SUMIFS([1]order_sku_sales_bb2_report!O:O,[1]order_sku_sales_bb2_report!H:H,C29193,[1]order_sku_sales_bb2_report!J:J,H29193)</f>
        <v>#ERROR!</v>
      </c>
      <c r="Q1371" s="6" t="str">
        <f t="shared" si="1"/>
        <v>22-12-2025</v>
      </c>
      <c r="R1371" s="6" t="str">
        <f>IFERROR( VLOOKUP(C29193,[1]expressOrderReport!$S:$AZ,34,0),0)</f>
        <v>#ERROR!</v>
      </c>
      <c r="S1371" s="6" t="str">
        <f>ARRAY_CONSTRAIN(ARRAYFORMULA(_xludf.XLOOKUP(D29193,[1]order_Report_SA_ID_BB2.0!V:V,[1]order_Report_SA_ID_BB2.0!AM:AM,"")), 1, 1)</f>
        <v>#ERROR!</v>
      </c>
      <c r="T1371" s="6" t="str">
        <f t="shared" si="2"/>
        <v>Dec'25</v>
      </c>
    </row>
    <row r="1372" ht="15.75" customHeight="1">
      <c r="A1372" s="5">
        <v>46013.0</v>
      </c>
      <c r="B1372" s="6">
        <v>8656.0</v>
      </c>
      <c r="C1372" s="6">
        <v>1.8591661E9</v>
      </c>
      <c r="D1372" s="6">
        <v>3.34167E7</v>
      </c>
      <c r="E1372" s="6" t="s">
        <v>2118</v>
      </c>
      <c r="F1372" s="6" t="s">
        <v>2119</v>
      </c>
      <c r="G1372" s="6">
        <v>8.000355832E9</v>
      </c>
      <c r="H1372" s="6">
        <v>4.0090893E7</v>
      </c>
      <c r="I1372" s="6" t="s">
        <v>35</v>
      </c>
      <c r="J1372" s="6" t="s">
        <v>21</v>
      </c>
      <c r="K1372" s="6" t="s">
        <v>22</v>
      </c>
      <c r="L1372" s="6">
        <v>66.0</v>
      </c>
      <c r="M1372" s="5">
        <v>46013.0</v>
      </c>
      <c r="N1372" s="6" t="s">
        <v>23</v>
      </c>
      <c r="O1372" s="6" t="str">
        <f>SUMIFS([1]order_sku_sales_bb2_report!P:P,[1]order_sku_sales_bb2_report!H:H,C29194,[1]order_sku_sales_bb2_report!J:J,H29194)</f>
        <v>#ERROR!</v>
      </c>
      <c r="P1372" s="6" t="str">
        <f>SUMIFS([1]order_sku_sales_bb2_report!O:O,[1]order_sku_sales_bb2_report!H:H,C29194,[1]order_sku_sales_bb2_report!J:J,H29194)</f>
        <v>#ERROR!</v>
      </c>
      <c r="Q1372" s="6" t="str">
        <f t="shared" si="1"/>
        <v>22-12-2025</v>
      </c>
      <c r="R1372" s="6" t="str">
        <f>IFERROR( VLOOKUP(C29194,[1]expressOrderReport!$S:$AZ,34,0),0)</f>
        <v>#ERROR!</v>
      </c>
      <c r="S1372" s="6" t="str">
        <f>ARRAY_CONSTRAIN(ARRAYFORMULA(_xludf.XLOOKUP(D29194,[1]order_Report_SA_ID_BB2.0!V:V,[1]order_Report_SA_ID_BB2.0!AM:AM,"")), 1, 1)</f>
        <v>#ERROR!</v>
      </c>
      <c r="T1372" s="6" t="str">
        <f t="shared" si="2"/>
        <v>Dec'25</v>
      </c>
    </row>
    <row r="1373" ht="15.75" customHeight="1">
      <c r="A1373" s="5">
        <v>46013.0</v>
      </c>
      <c r="B1373" s="6">
        <v>2621.0</v>
      </c>
      <c r="C1373" s="6">
        <v>1.859166109E9</v>
      </c>
      <c r="D1373" s="6">
        <v>1.742223E7</v>
      </c>
      <c r="E1373" s="6" t="s">
        <v>2120</v>
      </c>
      <c r="F1373" s="6" t="s">
        <v>2121</v>
      </c>
      <c r="G1373" s="6">
        <v>9.986917991E9</v>
      </c>
      <c r="H1373" s="6">
        <v>4.0149833E7</v>
      </c>
      <c r="I1373" s="6" t="s">
        <v>40</v>
      </c>
      <c r="J1373" s="6" t="s">
        <v>21</v>
      </c>
      <c r="K1373" s="6" t="s">
        <v>22</v>
      </c>
      <c r="L1373" s="6">
        <v>54.0</v>
      </c>
      <c r="M1373" s="5">
        <v>46013.0</v>
      </c>
      <c r="N1373" s="6" t="s">
        <v>23</v>
      </c>
      <c r="O1373" s="6" t="str">
        <f>SUMIFS([1]order_sku_sales_bb2_report!P:P,[1]order_sku_sales_bb2_report!H:H,C29195,[1]order_sku_sales_bb2_report!J:J,H29195)</f>
        <v>#ERROR!</v>
      </c>
      <c r="P1373" s="6" t="str">
        <f>SUMIFS([1]order_sku_sales_bb2_report!O:O,[1]order_sku_sales_bb2_report!H:H,C29195,[1]order_sku_sales_bb2_report!J:J,H29195)</f>
        <v>#ERROR!</v>
      </c>
      <c r="Q1373" s="6" t="str">
        <f t="shared" si="1"/>
        <v>22-12-2025</v>
      </c>
      <c r="R1373" s="6" t="str">
        <f>IFERROR( VLOOKUP(C29195,[1]expressOrderReport!$S:$AZ,34,0),0)</f>
        <v>#ERROR!</v>
      </c>
      <c r="S1373" s="6" t="str">
        <f>ARRAY_CONSTRAIN(ARRAYFORMULA(_xludf.XLOOKUP(D29195,[1]order_Report_SA_ID_BB2.0!V:V,[1]order_Report_SA_ID_BB2.0!AM:AM,"")), 1, 1)</f>
        <v>#ERROR!</v>
      </c>
      <c r="T1373" s="6" t="str">
        <f t="shared" si="2"/>
        <v>Dec'25</v>
      </c>
    </row>
    <row r="1374" ht="15.75" customHeight="1">
      <c r="A1374" s="5">
        <v>46013.0</v>
      </c>
      <c r="B1374" s="6">
        <v>2626.0</v>
      </c>
      <c r="C1374" s="6">
        <v>1.859166109E9</v>
      </c>
      <c r="D1374" s="6">
        <v>1.742223E7</v>
      </c>
      <c r="E1374" s="6" t="s">
        <v>2120</v>
      </c>
      <c r="F1374" s="6" t="s">
        <v>2121</v>
      </c>
      <c r="G1374" s="6">
        <v>9.986917991E9</v>
      </c>
      <c r="H1374" s="6">
        <v>4.014983E7</v>
      </c>
      <c r="I1374" s="6" t="s">
        <v>30</v>
      </c>
      <c r="J1374" s="6" t="s">
        <v>21</v>
      </c>
      <c r="K1374" s="6" t="s">
        <v>22</v>
      </c>
      <c r="L1374" s="6">
        <v>54.0</v>
      </c>
      <c r="M1374" s="5">
        <v>46013.0</v>
      </c>
      <c r="N1374" s="6" t="s">
        <v>23</v>
      </c>
      <c r="O1374" s="6" t="str">
        <f>SUMIFS([1]order_sku_sales_bb2_report!P:P,[1]order_sku_sales_bb2_report!H:H,C29196,[1]order_sku_sales_bb2_report!J:J,H29196)</f>
        <v>#ERROR!</v>
      </c>
      <c r="P1374" s="6" t="str">
        <f>SUMIFS([1]order_sku_sales_bb2_report!O:O,[1]order_sku_sales_bb2_report!H:H,C29196,[1]order_sku_sales_bb2_report!J:J,H29196)</f>
        <v>#ERROR!</v>
      </c>
      <c r="Q1374" s="6" t="str">
        <f t="shared" si="1"/>
        <v>22-12-2025</v>
      </c>
      <c r="R1374" s="6" t="str">
        <f>IFERROR( VLOOKUP(C29196,[1]expressOrderReport!$S:$AZ,34,0),0)</f>
        <v>#ERROR!</v>
      </c>
      <c r="S1374" s="6" t="str">
        <f>ARRAY_CONSTRAIN(ARRAYFORMULA(_xludf.XLOOKUP(D29196,[1]order_Report_SA_ID_BB2.0!V:V,[1]order_Report_SA_ID_BB2.0!AM:AM,"")), 1, 1)</f>
        <v>#ERROR!</v>
      </c>
      <c r="T1374" s="6" t="str">
        <f t="shared" si="2"/>
        <v>Dec'25</v>
      </c>
    </row>
    <row r="1375" ht="15.75" customHeight="1">
      <c r="A1375" s="5">
        <v>46013.0</v>
      </c>
      <c r="B1375" s="6">
        <v>8671.0</v>
      </c>
      <c r="C1375" s="6">
        <v>1.859166118E9</v>
      </c>
      <c r="D1375" s="6">
        <v>1.6550423E7</v>
      </c>
      <c r="E1375" s="6" t="s">
        <v>2122</v>
      </c>
      <c r="F1375" s="6" t="s">
        <v>2123</v>
      </c>
      <c r="G1375" s="6">
        <v>9.481934577E9</v>
      </c>
      <c r="H1375" s="6">
        <v>4.014983E7</v>
      </c>
      <c r="I1375" s="6" t="s">
        <v>30</v>
      </c>
      <c r="J1375" s="6" t="s">
        <v>21</v>
      </c>
      <c r="K1375" s="6" t="s">
        <v>22</v>
      </c>
      <c r="L1375" s="6">
        <v>145.0</v>
      </c>
      <c r="M1375" s="5">
        <v>46013.0</v>
      </c>
      <c r="N1375" s="6" t="s">
        <v>23</v>
      </c>
      <c r="O1375" s="6" t="str">
        <f>SUMIFS([1]order_sku_sales_bb2_report!P:P,[1]order_sku_sales_bb2_report!H:H,C29197,[1]order_sku_sales_bb2_report!J:J,H29197)</f>
        <v>#ERROR!</v>
      </c>
      <c r="P1375" s="6" t="str">
        <f>SUMIFS([1]order_sku_sales_bb2_report!O:O,[1]order_sku_sales_bb2_report!H:H,C29197,[1]order_sku_sales_bb2_report!J:J,H29197)</f>
        <v>#ERROR!</v>
      </c>
      <c r="Q1375" s="6" t="str">
        <f t="shared" si="1"/>
        <v>22-12-2025</v>
      </c>
      <c r="R1375" s="6" t="str">
        <f>IFERROR( VLOOKUP(C29197,[1]expressOrderReport!$S:$AZ,34,0),0)</f>
        <v>#ERROR!</v>
      </c>
      <c r="S1375" s="6" t="str">
        <f>ARRAY_CONSTRAIN(ARRAYFORMULA(_xludf.XLOOKUP(D29197,[1]order_Report_SA_ID_BB2.0!V:V,[1]order_Report_SA_ID_BB2.0!AM:AM,"")), 1, 1)</f>
        <v>#ERROR!</v>
      </c>
      <c r="T1375" s="6" t="str">
        <f t="shared" si="2"/>
        <v>Dec'25</v>
      </c>
    </row>
    <row r="1376" ht="15.75" customHeight="1">
      <c r="A1376" s="5">
        <v>46013.0</v>
      </c>
      <c r="B1376" s="6">
        <v>8672.0</v>
      </c>
      <c r="C1376" s="6">
        <v>1.859166118E9</v>
      </c>
      <c r="D1376" s="6">
        <v>1.6550423E7</v>
      </c>
      <c r="E1376" s="6" t="s">
        <v>2122</v>
      </c>
      <c r="F1376" s="6" t="s">
        <v>2123</v>
      </c>
      <c r="G1376" s="6">
        <v>9.481934577E9</v>
      </c>
      <c r="H1376" s="6">
        <v>4.0148716E7</v>
      </c>
      <c r="I1376" s="6" t="s">
        <v>148</v>
      </c>
      <c r="J1376" s="6" t="s">
        <v>21</v>
      </c>
      <c r="K1376" s="6" t="s">
        <v>22</v>
      </c>
      <c r="L1376" s="6">
        <v>145.0</v>
      </c>
      <c r="M1376" s="5">
        <v>46013.0</v>
      </c>
      <c r="N1376" s="6" t="s">
        <v>23</v>
      </c>
      <c r="O1376" s="6" t="str">
        <f>SUMIFS([1]order_sku_sales_bb2_report!P:P,[1]order_sku_sales_bb2_report!H:H,C29198,[1]order_sku_sales_bb2_report!J:J,H29198)</f>
        <v>#ERROR!</v>
      </c>
      <c r="P1376" s="6" t="str">
        <f>SUMIFS([1]order_sku_sales_bb2_report!O:O,[1]order_sku_sales_bb2_report!H:H,C29198,[1]order_sku_sales_bb2_report!J:J,H29198)</f>
        <v>#ERROR!</v>
      </c>
      <c r="Q1376" s="6" t="str">
        <f t="shared" si="1"/>
        <v>22-12-2025</v>
      </c>
      <c r="R1376" s="6" t="str">
        <f>IFERROR( VLOOKUP(C29198,[1]expressOrderReport!$S:$AZ,34,0),0)</f>
        <v>#ERROR!</v>
      </c>
      <c r="S1376" s="6" t="str">
        <f>ARRAY_CONSTRAIN(ARRAYFORMULA(_xludf.XLOOKUP(D29198,[1]order_Report_SA_ID_BB2.0!V:V,[1]order_Report_SA_ID_BB2.0!AM:AM,"")), 1, 1)</f>
        <v>#ERROR!</v>
      </c>
      <c r="T1376" s="6" t="str">
        <f t="shared" si="2"/>
        <v>Dec'25</v>
      </c>
    </row>
    <row r="1377" ht="15.75" customHeight="1">
      <c r="A1377" s="5">
        <v>46013.0</v>
      </c>
      <c r="B1377" s="6">
        <v>10877.0</v>
      </c>
      <c r="C1377" s="6">
        <v>1.859166118E9</v>
      </c>
      <c r="D1377" s="6">
        <v>1.6550423E7</v>
      </c>
      <c r="E1377" s="6" t="s">
        <v>2122</v>
      </c>
      <c r="F1377" s="6" t="s">
        <v>2123</v>
      </c>
      <c r="G1377" s="6">
        <v>9.481934577E9</v>
      </c>
      <c r="H1377" s="6">
        <v>4.0149833E7</v>
      </c>
      <c r="I1377" s="6" t="s">
        <v>40</v>
      </c>
      <c r="J1377" s="6" t="s">
        <v>21</v>
      </c>
      <c r="K1377" s="6" t="s">
        <v>22</v>
      </c>
      <c r="L1377" s="6">
        <v>145.0</v>
      </c>
      <c r="M1377" s="5">
        <v>46013.0</v>
      </c>
      <c r="N1377" s="6" t="s">
        <v>23</v>
      </c>
      <c r="O1377" s="6" t="str">
        <f>SUMIFS([1]order_sku_sales_bb2_report!P:P,[1]order_sku_sales_bb2_report!H:H,C29199,[1]order_sku_sales_bb2_report!J:J,H29199)</f>
        <v>#ERROR!</v>
      </c>
      <c r="P1377" s="6" t="str">
        <f>SUMIFS([1]order_sku_sales_bb2_report!O:O,[1]order_sku_sales_bb2_report!H:H,C29199,[1]order_sku_sales_bb2_report!J:J,H29199)</f>
        <v>#ERROR!</v>
      </c>
      <c r="Q1377" s="6" t="str">
        <f t="shared" si="1"/>
        <v>22-12-2025</v>
      </c>
      <c r="R1377" s="6" t="str">
        <f>IFERROR( VLOOKUP(C29199,[1]expressOrderReport!$S:$AZ,34,0),0)</f>
        <v>#ERROR!</v>
      </c>
      <c r="S1377" s="6" t="str">
        <f>ARRAY_CONSTRAIN(ARRAYFORMULA(_xludf.XLOOKUP(D29199,[1]order_Report_SA_ID_BB2.0!V:V,[1]order_Report_SA_ID_BB2.0!AM:AM,"")), 1, 1)</f>
        <v>#ERROR!</v>
      </c>
      <c r="T1377" s="6" t="str">
        <f t="shared" si="2"/>
        <v>Dec'25</v>
      </c>
    </row>
    <row r="1378" ht="15.75" customHeight="1">
      <c r="A1378" s="5">
        <v>46013.0</v>
      </c>
      <c r="B1378" s="6">
        <v>7713.0</v>
      </c>
      <c r="C1378" s="6">
        <v>1.859166128E9</v>
      </c>
      <c r="D1378" s="6">
        <v>522884.0</v>
      </c>
      <c r="E1378" s="6" t="s">
        <v>2124</v>
      </c>
      <c r="F1378" s="6" t="s">
        <v>2125</v>
      </c>
      <c r="G1378" s="6">
        <v>9.820202472E9</v>
      </c>
      <c r="H1378" s="6">
        <v>1.0000109E7</v>
      </c>
      <c r="I1378" s="6" t="s">
        <v>2126</v>
      </c>
      <c r="J1378" s="6" t="s">
        <v>21</v>
      </c>
      <c r="K1378" s="6" t="s">
        <v>22</v>
      </c>
      <c r="L1378" s="6">
        <v>137.43</v>
      </c>
      <c r="M1378" s="5">
        <v>46013.0</v>
      </c>
      <c r="N1378" s="6" t="s">
        <v>23</v>
      </c>
      <c r="O1378" s="6" t="str">
        <f>SUMIFS([1]order_sku_sales_bb2_report!P:P,[1]order_sku_sales_bb2_report!H:H,C29200,[1]order_sku_sales_bb2_report!J:J,H29200)</f>
        <v>#ERROR!</v>
      </c>
      <c r="P1378" s="6" t="str">
        <f>SUMIFS([1]order_sku_sales_bb2_report!O:O,[1]order_sku_sales_bb2_report!H:H,C29200,[1]order_sku_sales_bb2_report!J:J,H29200)</f>
        <v>#ERROR!</v>
      </c>
      <c r="Q1378" s="6" t="str">
        <f t="shared" si="1"/>
        <v>22-12-2025</v>
      </c>
      <c r="R1378" s="6" t="str">
        <f>IFERROR( VLOOKUP(C29200,[1]expressOrderReport!$S:$AZ,34,0),0)</f>
        <v>#ERROR!</v>
      </c>
      <c r="S1378" s="6" t="str">
        <f>ARRAY_CONSTRAIN(ARRAYFORMULA(_xludf.XLOOKUP(D29200,[1]order_Report_SA_ID_BB2.0!V:V,[1]order_Report_SA_ID_BB2.0!AM:AM,"")), 1, 1)</f>
        <v>#ERROR!</v>
      </c>
      <c r="T1378" s="6" t="str">
        <f t="shared" si="2"/>
        <v>Dec'25</v>
      </c>
    </row>
    <row r="1379" ht="15.75" customHeight="1">
      <c r="A1379" s="5">
        <v>46013.0</v>
      </c>
      <c r="B1379" s="6">
        <v>7715.0</v>
      </c>
      <c r="C1379" s="6">
        <v>1.859166128E9</v>
      </c>
      <c r="D1379" s="6">
        <v>522884.0</v>
      </c>
      <c r="E1379" s="6" t="s">
        <v>2124</v>
      </c>
      <c r="F1379" s="6" t="s">
        <v>2125</v>
      </c>
      <c r="G1379" s="6">
        <v>9.820202472E9</v>
      </c>
      <c r="H1379" s="6">
        <v>1.0000103E7</v>
      </c>
      <c r="I1379" s="6" t="s">
        <v>741</v>
      </c>
      <c r="J1379" s="6" t="s">
        <v>21</v>
      </c>
      <c r="K1379" s="6" t="s">
        <v>22</v>
      </c>
      <c r="L1379" s="6">
        <v>137.43</v>
      </c>
      <c r="M1379" s="5">
        <v>46013.0</v>
      </c>
      <c r="N1379" s="6" t="s">
        <v>23</v>
      </c>
      <c r="O1379" s="6" t="str">
        <f>SUMIFS([1]order_sku_sales_bb2_report!P:P,[1]order_sku_sales_bb2_report!H:H,C29201,[1]order_sku_sales_bb2_report!J:J,H29201)</f>
        <v>#ERROR!</v>
      </c>
      <c r="P1379" s="6" t="str">
        <f>SUMIFS([1]order_sku_sales_bb2_report!O:O,[1]order_sku_sales_bb2_report!H:H,C29201,[1]order_sku_sales_bb2_report!J:J,H29201)</f>
        <v>#ERROR!</v>
      </c>
      <c r="Q1379" s="6" t="str">
        <f t="shared" si="1"/>
        <v>22-12-2025</v>
      </c>
      <c r="R1379" s="6" t="str">
        <f>IFERROR( VLOOKUP(C29201,[1]expressOrderReport!$S:$AZ,34,0),0)</f>
        <v>#ERROR!</v>
      </c>
      <c r="S1379" s="6" t="str">
        <f>ARRAY_CONSTRAIN(ARRAYFORMULA(_xludf.XLOOKUP(D29201,[1]order_Report_SA_ID_BB2.0!V:V,[1]order_Report_SA_ID_BB2.0!AM:AM,"")), 1, 1)</f>
        <v>#ERROR!</v>
      </c>
      <c r="T1379" s="6" t="str">
        <f t="shared" si="2"/>
        <v>Dec'25</v>
      </c>
    </row>
    <row r="1380" ht="15.75" customHeight="1">
      <c r="A1380" s="5">
        <v>46013.0</v>
      </c>
      <c r="B1380" s="6">
        <v>2625.0</v>
      </c>
      <c r="C1380" s="6">
        <v>1.859166141E9</v>
      </c>
      <c r="D1380" s="6">
        <v>2.8995538E7</v>
      </c>
      <c r="E1380" s="6" t="s">
        <v>2127</v>
      </c>
      <c r="F1380" s="6" t="s">
        <v>2128</v>
      </c>
      <c r="G1380" s="6">
        <v>6.363982322E9</v>
      </c>
      <c r="H1380" s="6">
        <v>4.0149832E7</v>
      </c>
      <c r="I1380" s="6" t="s">
        <v>26</v>
      </c>
      <c r="J1380" s="6" t="s">
        <v>21</v>
      </c>
      <c r="K1380" s="6" t="s">
        <v>22</v>
      </c>
      <c r="L1380" s="6">
        <v>143.5</v>
      </c>
      <c r="M1380" s="5">
        <v>46013.0</v>
      </c>
      <c r="N1380" s="6" t="s">
        <v>23</v>
      </c>
      <c r="O1380" s="6" t="str">
        <f>SUMIFS([1]order_sku_sales_bb2_report!P:P,[1]order_sku_sales_bb2_report!H:H,C29203,[1]order_sku_sales_bb2_report!J:J,H29203)</f>
        <v>#ERROR!</v>
      </c>
      <c r="P1380" s="6" t="str">
        <f>SUMIFS([1]order_sku_sales_bb2_report!O:O,[1]order_sku_sales_bb2_report!H:H,C29203,[1]order_sku_sales_bb2_report!J:J,H29203)</f>
        <v>#ERROR!</v>
      </c>
      <c r="Q1380" s="6" t="str">
        <f t="shared" si="1"/>
        <v>22-12-2025</v>
      </c>
      <c r="R1380" s="6" t="str">
        <f>IFERROR( VLOOKUP(C29203,[1]expressOrderReport!$S:$AZ,34,0),0)</f>
        <v>#ERROR!</v>
      </c>
      <c r="S1380" s="6" t="str">
        <f>ARRAY_CONSTRAIN(ARRAYFORMULA(_xludf.XLOOKUP(D29203,[1]order_Report_SA_ID_BB2.0!V:V,[1]order_Report_SA_ID_BB2.0!AM:AM,"")), 1, 1)</f>
        <v>#ERROR!</v>
      </c>
      <c r="T1380" s="6" t="str">
        <f t="shared" si="2"/>
        <v>Dec'25</v>
      </c>
    </row>
    <row r="1381" ht="15.75" customHeight="1">
      <c r="A1381" s="5">
        <v>46013.0</v>
      </c>
      <c r="B1381" s="6">
        <v>12073.0</v>
      </c>
      <c r="C1381" s="6">
        <v>1.859166141E9</v>
      </c>
      <c r="D1381" s="6">
        <v>2.8995538E7</v>
      </c>
      <c r="E1381" s="6" t="s">
        <v>2127</v>
      </c>
      <c r="F1381" s="6" t="s">
        <v>2128</v>
      </c>
      <c r="G1381" s="6">
        <v>6.363982322E9</v>
      </c>
      <c r="H1381" s="6">
        <v>4.0094202E7</v>
      </c>
      <c r="I1381" s="6" t="s">
        <v>2129</v>
      </c>
      <c r="J1381" s="6" t="s">
        <v>21</v>
      </c>
      <c r="K1381" s="6" t="s">
        <v>22</v>
      </c>
      <c r="L1381" s="6">
        <v>143.5</v>
      </c>
      <c r="M1381" s="5">
        <v>46013.0</v>
      </c>
      <c r="N1381" s="6" t="s">
        <v>23</v>
      </c>
      <c r="O1381" s="6" t="str">
        <f>SUMIFS([1]order_sku_sales_bb2_report!P:P,[1]order_sku_sales_bb2_report!H:H,C29204,[1]order_sku_sales_bb2_report!J:J,H29204)</f>
        <v>#ERROR!</v>
      </c>
      <c r="P1381" s="6" t="str">
        <f>SUMIFS([1]order_sku_sales_bb2_report!O:O,[1]order_sku_sales_bb2_report!H:H,C29204,[1]order_sku_sales_bb2_report!J:J,H29204)</f>
        <v>#ERROR!</v>
      </c>
      <c r="Q1381" s="6" t="str">
        <f t="shared" si="1"/>
        <v>22-12-2025</v>
      </c>
      <c r="R1381" s="6" t="str">
        <f>IFERROR( VLOOKUP(C29204,[1]expressOrderReport!$S:$AZ,34,0),0)</f>
        <v>#ERROR!</v>
      </c>
      <c r="S1381" s="6" t="str">
        <f>ARRAY_CONSTRAIN(ARRAYFORMULA(_xludf.XLOOKUP(D29204,[1]order_Report_SA_ID_BB2.0!V:V,[1]order_Report_SA_ID_BB2.0!AM:AM,"")), 1, 1)</f>
        <v>#ERROR!</v>
      </c>
      <c r="T1381" s="6" t="str">
        <f t="shared" si="2"/>
        <v>Dec'25</v>
      </c>
    </row>
    <row r="1382" ht="15.75" customHeight="1">
      <c r="A1382" s="5">
        <v>46013.0</v>
      </c>
      <c r="B1382" s="6">
        <v>4518.0</v>
      </c>
      <c r="C1382" s="6">
        <v>1.859166149E9</v>
      </c>
      <c r="D1382" s="6">
        <v>698375.0</v>
      </c>
      <c r="E1382" s="6" t="s">
        <v>2130</v>
      </c>
      <c r="F1382" s="6" t="s">
        <v>2131</v>
      </c>
      <c r="G1382" s="6">
        <v>9.619049725E9</v>
      </c>
      <c r="H1382" s="6">
        <v>4.0148717E7</v>
      </c>
      <c r="I1382" s="6" t="s">
        <v>226</v>
      </c>
      <c r="J1382" s="6" t="s">
        <v>21</v>
      </c>
      <c r="K1382" s="6" t="s">
        <v>22</v>
      </c>
      <c r="L1382" s="6">
        <v>80.0</v>
      </c>
      <c r="M1382" s="5">
        <v>46013.0</v>
      </c>
      <c r="N1382" s="6" t="s">
        <v>23</v>
      </c>
      <c r="O1382" s="6" t="str">
        <f>SUMIFS([1]order_sku_sales_bb2_report!P:P,[1]order_sku_sales_bb2_report!H:H,C29206,[1]order_sku_sales_bb2_report!J:J,H29206)</f>
        <v>#ERROR!</v>
      </c>
      <c r="P1382" s="6" t="str">
        <f>SUMIFS([1]order_sku_sales_bb2_report!O:O,[1]order_sku_sales_bb2_report!H:H,C29206,[1]order_sku_sales_bb2_report!J:J,H29206)</f>
        <v>#ERROR!</v>
      </c>
      <c r="Q1382" s="6" t="str">
        <f t="shared" si="1"/>
        <v>22-12-2025</v>
      </c>
      <c r="R1382" s="6" t="str">
        <f>IFERROR( VLOOKUP(C29206,[1]expressOrderReport!$S:$AZ,34,0),0)</f>
        <v>#ERROR!</v>
      </c>
      <c r="S1382" s="6" t="str">
        <f>ARRAY_CONSTRAIN(ARRAYFORMULA(_xludf.XLOOKUP(D29206,[1]order_Report_SA_ID_BB2.0!V:V,[1]order_Report_SA_ID_BB2.0!AM:AM,"")), 1, 1)</f>
        <v>#ERROR!</v>
      </c>
      <c r="T1382" s="6" t="str">
        <f t="shared" si="2"/>
        <v>Dec'25</v>
      </c>
    </row>
    <row r="1383" ht="15.75" customHeight="1">
      <c r="A1383" s="5">
        <v>46013.0</v>
      </c>
      <c r="B1383" s="6">
        <v>4520.0</v>
      </c>
      <c r="C1383" s="6">
        <v>1.859166149E9</v>
      </c>
      <c r="D1383" s="6">
        <v>698375.0</v>
      </c>
      <c r="E1383" s="6" t="s">
        <v>2130</v>
      </c>
      <c r="F1383" s="6" t="s">
        <v>2131</v>
      </c>
      <c r="G1383" s="6">
        <v>9.619049725E9</v>
      </c>
      <c r="H1383" s="6">
        <v>4.0212327E7</v>
      </c>
      <c r="I1383" s="6" t="s">
        <v>682</v>
      </c>
      <c r="J1383" s="6" t="s">
        <v>21</v>
      </c>
      <c r="K1383" s="6" t="s">
        <v>22</v>
      </c>
      <c r="L1383" s="6">
        <v>80.0</v>
      </c>
      <c r="M1383" s="5">
        <v>46013.0</v>
      </c>
      <c r="N1383" s="6" t="s">
        <v>23</v>
      </c>
      <c r="O1383" s="6" t="str">
        <f>SUMIFS([1]order_sku_sales_bb2_report!P:P,[1]order_sku_sales_bb2_report!H:H,C29207,[1]order_sku_sales_bb2_report!J:J,H29207)</f>
        <v>#ERROR!</v>
      </c>
      <c r="P1383" s="6" t="str">
        <f>SUMIFS([1]order_sku_sales_bb2_report!O:O,[1]order_sku_sales_bb2_report!H:H,C29207,[1]order_sku_sales_bb2_report!J:J,H29207)</f>
        <v>#ERROR!</v>
      </c>
      <c r="Q1383" s="6" t="str">
        <f t="shared" si="1"/>
        <v>22-12-2025</v>
      </c>
      <c r="R1383" s="6" t="str">
        <f>IFERROR( VLOOKUP(C29207,[1]expressOrderReport!$S:$AZ,34,0),0)</f>
        <v>#ERROR!</v>
      </c>
      <c r="S1383" s="6" t="str">
        <f>ARRAY_CONSTRAIN(ARRAYFORMULA(_xludf.XLOOKUP(D29207,[1]order_Report_SA_ID_BB2.0!V:V,[1]order_Report_SA_ID_BB2.0!AM:AM,"")), 1, 1)</f>
        <v>#ERROR!</v>
      </c>
      <c r="T1383" s="6" t="str">
        <f t="shared" si="2"/>
        <v>Dec'25</v>
      </c>
    </row>
    <row r="1384" ht="15.75" customHeight="1">
      <c r="A1384" s="5">
        <v>46013.0</v>
      </c>
      <c r="B1384" s="6">
        <v>9138.0</v>
      </c>
      <c r="C1384" s="6">
        <v>1.859166156E9</v>
      </c>
      <c r="D1384" s="6">
        <v>1.7583176E7</v>
      </c>
      <c r="E1384" s="6" t="s">
        <v>2132</v>
      </c>
      <c r="F1384" s="6" t="s">
        <v>2133</v>
      </c>
      <c r="G1384" s="6">
        <v>9.980000558E9</v>
      </c>
      <c r="H1384" s="6">
        <v>4.0149832E7</v>
      </c>
      <c r="I1384" s="6" t="s">
        <v>26</v>
      </c>
      <c r="J1384" s="6" t="s">
        <v>21</v>
      </c>
      <c r="K1384" s="6" t="s">
        <v>22</v>
      </c>
      <c r="L1384" s="6">
        <v>96.0</v>
      </c>
      <c r="M1384" s="5">
        <v>46013.0</v>
      </c>
      <c r="N1384" s="6" t="s">
        <v>23</v>
      </c>
      <c r="O1384" s="6" t="str">
        <f>SUMIFS([1]order_sku_sales_bb2_report!P:P,[1]order_sku_sales_bb2_report!H:H,C29208,[1]order_sku_sales_bb2_report!J:J,H29208)</f>
        <v>#ERROR!</v>
      </c>
      <c r="P1384" s="6" t="str">
        <f>SUMIFS([1]order_sku_sales_bb2_report!O:O,[1]order_sku_sales_bb2_report!H:H,C29208,[1]order_sku_sales_bb2_report!J:J,H29208)</f>
        <v>#ERROR!</v>
      </c>
      <c r="Q1384" s="6" t="str">
        <f t="shared" si="1"/>
        <v>22-12-2025</v>
      </c>
      <c r="R1384" s="6" t="str">
        <f>IFERROR( VLOOKUP(C29208,[1]expressOrderReport!$S:$AZ,34,0),0)</f>
        <v>#ERROR!</v>
      </c>
      <c r="S1384" s="6" t="str">
        <f>ARRAY_CONSTRAIN(ARRAYFORMULA(_xludf.XLOOKUP(D29208,[1]order_Report_SA_ID_BB2.0!V:V,[1]order_Report_SA_ID_BB2.0!AM:AM,"")), 1, 1)</f>
        <v>#ERROR!</v>
      </c>
      <c r="T1384" s="6" t="str">
        <f t="shared" si="2"/>
        <v>Dec'25</v>
      </c>
    </row>
    <row r="1385" ht="15.75" customHeight="1">
      <c r="A1385" s="5">
        <v>46013.0</v>
      </c>
      <c r="B1385" s="6">
        <v>7597.0</v>
      </c>
      <c r="C1385" s="6">
        <v>1.859166161E9</v>
      </c>
      <c r="D1385" s="6">
        <v>10010.0</v>
      </c>
      <c r="E1385" s="6" t="s">
        <v>2134</v>
      </c>
      <c r="F1385" s="6" t="s">
        <v>2135</v>
      </c>
      <c r="G1385" s="6">
        <v>9.980004672E9</v>
      </c>
      <c r="H1385" s="6">
        <v>4.0158264E7</v>
      </c>
      <c r="I1385" s="6" t="s">
        <v>26</v>
      </c>
      <c r="J1385" s="6" t="s">
        <v>21</v>
      </c>
      <c r="K1385" s="6" t="s">
        <v>22</v>
      </c>
      <c r="L1385" s="6">
        <v>46.0</v>
      </c>
      <c r="M1385" s="5">
        <v>46013.0</v>
      </c>
      <c r="N1385" s="6" t="s">
        <v>23</v>
      </c>
      <c r="O1385" s="6" t="str">
        <f>SUMIFS([1]order_sku_sales_bb2_report!P:P,[1]order_sku_sales_bb2_report!H:H,C29209,[1]order_sku_sales_bb2_report!J:J,H29209)</f>
        <v>#ERROR!</v>
      </c>
      <c r="P1385" s="6" t="str">
        <f>SUMIFS([1]order_sku_sales_bb2_report!O:O,[1]order_sku_sales_bb2_report!H:H,C29209,[1]order_sku_sales_bb2_report!J:J,H29209)</f>
        <v>#ERROR!</v>
      </c>
      <c r="Q1385" s="6" t="str">
        <f t="shared" si="1"/>
        <v>22-12-2025</v>
      </c>
      <c r="R1385" s="6" t="str">
        <f>IFERROR( VLOOKUP(C29209,[1]expressOrderReport!$S:$AZ,34,0),0)</f>
        <v>#ERROR!</v>
      </c>
      <c r="S1385" s="6" t="str">
        <f>ARRAY_CONSTRAIN(ARRAYFORMULA(_xludf.XLOOKUP(D29209,[1]order_Report_SA_ID_BB2.0!V:V,[1]order_Report_SA_ID_BB2.0!AM:AM,"")), 1, 1)</f>
        <v>#ERROR!</v>
      </c>
      <c r="T1385" s="6" t="str">
        <f t="shared" si="2"/>
        <v>Dec'25</v>
      </c>
    </row>
    <row r="1386" ht="15.75" customHeight="1">
      <c r="A1386" s="5">
        <v>46013.0</v>
      </c>
      <c r="B1386" s="6">
        <v>3127.0</v>
      </c>
      <c r="C1386" s="6">
        <v>1.859166171E9</v>
      </c>
      <c r="D1386" s="6">
        <v>478774.0</v>
      </c>
      <c r="E1386" s="6" t="s">
        <v>2136</v>
      </c>
      <c r="F1386" s="6" t="s">
        <v>2137</v>
      </c>
      <c r="G1386" s="6">
        <v>9.886631402E9</v>
      </c>
      <c r="H1386" s="6">
        <v>4.0158264E7</v>
      </c>
      <c r="I1386" s="6" t="s">
        <v>26</v>
      </c>
      <c r="J1386" s="6" t="s">
        <v>21</v>
      </c>
      <c r="K1386" s="6" t="s">
        <v>22</v>
      </c>
      <c r="L1386" s="6">
        <v>105.85</v>
      </c>
      <c r="M1386" s="5">
        <v>46013.0</v>
      </c>
      <c r="N1386" s="6" t="s">
        <v>23</v>
      </c>
      <c r="O1386" s="6" t="str">
        <f>SUMIFS([1]order_sku_sales_bb2_report!P:P,[1]order_sku_sales_bb2_report!H:H,C29210,[1]order_sku_sales_bb2_report!J:J,H29210)</f>
        <v>#ERROR!</v>
      </c>
      <c r="P1386" s="6" t="str">
        <f>SUMIFS([1]order_sku_sales_bb2_report!O:O,[1]order_sku_sales_bb2_report!H:H,C29210,[1]order_sku_sales_bb2_report!J:J,H29210)</f>
        <v>#ERROR!</v>
      </c>
      <c r="Q1386" s="6" t="str">
        <f t="shared" si="1"/>
        <v>22-12-2025</v>
      </c>
      <c r="R1386" s="6" t="str">
        <f>IFERROR( VLOOKUP(C29210,[1]expressOrderReport!$S:$AZ,34,0),0)</f>
        <v>#ERROR!</v>
      </c>
      <c r="S1386" s="6" t="str">
        <f>ARRAY_CONSTRAIN(ARRAYFORMULA(_xludf.XLOOKUP(D29210,[1]order_Report_SA_ID_BB2.0!V:V,[1]order_Report_SA_ID_BB2.0!AM:AM,"")), 1, 1)</f>
        <v>#ERROR!</v>
      </c>
      <c r="T1386" s="6" t="str">
        <f t="shared" si="2"/>
        <v>Dec'25</v>
      </c>
    </row>
    <row r="1387" ht="15.75" customHeight="1">
      <c r="A1387" s="5">
        <v>46013.0</v>
      </c>
      <c r="B1387" s="6">
        <v>3128.0</v>
      </c>
      <c r="C1387" s="6">
        <v>1.859166171E9</v>
      </c>
      <c r="D1387" s="6">
        <v>478774.0</v>
      </c>
      <c r="E1387" s="6" t="s">
        <v>2136</v>
      </c>
      <c r="F1387" s="6" t="s">
        <v>2137</v>
      </c>
      <c r="G1387" s="6">
        <v>9.886631402E9</v>
      </c>
      <c r="H1387" s="6">
        <v>4.014983E7</v>
      </c>
      <c r="I1387" s="6" t="s">
        <v>30</v>
      </c>
      <c r="J1387" s="6" t="s">
        <v>21</v>
      </c>
      <c r="K1387" s="6" t="s">
        <v>22</v>
      </c>
      <c r="L1387" s="6">
        <v>105.85</v>
      </c>
      <c r="M1387" s="5">
        <v>46013.0</v>
      </c>
      <c r="N1387" s="6" t="s">
        <v>23</v>
      </c>
      <c r="O1387" s="6" t="str">
        <f>SUMIFS([1]order_sku_sales_bb2_report!P:P,[1]order_sku_sales_bb2_report!H:H,C29211,[1]order_sku_sales_bb2_report!J:J,H29211)</f>
        <v>#ERROR!</v>
      </c>
      <c r="P1387" s="6" t="str">
        <f>SUMIFS([1]order_sku_sales_bb2_report!O:O,[1]order_sku_sales_bb2_report!H:H,C29211,[1]order_sku_sales_bb2_report!J:J,H29211)</f>
        <v>#ERROR!</v>
      </c>
      <c r="Q1387" s="6" t="str">
        <f t="shared" si="1"/>
        <v>22-12-2025</v>
      </c>
      <c r="R1387" s="6" t="str">
        <f>IFERROR( VLOOKUP(C29211,[1]expressOrderReport!$S:$AZ,34,0),0)</f>
        <v>#ERROR!</v>
      </c>
      <c r="S1387" s="6" t="str">
        <f>ARRAY_CONSTRAIN(ARRAYFORMULA(_xludf.XLOOKUP(D29211,[1]order_Report_SA_ID_BB2.0!V:V,[1]order_Report_SA_ID_BB2.0!AM:AM,"")), 1, 1)</f>
        <v>#ERROR!</v>
      </c>
      <c r="T1387" s="6" t="str">
        <f t="shared" si="2"/>
        <v>Dec'25</v>
      </c>
    </row>
    <row r="1388" ht="15.75" customHeight="1">
      <c r="A1388" s="5">
        <v>46013.0</v>
      </c>
      <c r="B1388" s="6">
        <v>3131.0</v>
      </c>
      <c r="C1388" s="6">
        <v>1.859166171E9</v>
      </c>
      <c r="D1388" s="6">
        <v>478774.0</v>
      </c>
      <c r="E1388" s="6" t="s">
        <v>2136</v>
      </c>
      <c r="F1388" s="6" t="s">
        <v>2137</v>
      </c>
      <c r="G1388" s="6">
        <v>9.886631402E9</v>
      </c>
      <c r="H1388" s="6">
        <v>4.0149832E7</v>
      </c>
      <c r="I1388" s="6" t="s">
        <v>26</v>
      </c>
      <c r="J1388" s="6" t="s">
        <v>21</v>
      </c>
      <c r="K1388" s="6" t="s">
        <v>22</v>
      </c>
      <c r="L1388" s="6">
        <v>105.85</v>
      </c>
      <c r="M1388" s="5">
        <v>46013.0</v>
      </c>
      <c r="N1388" s="6" t="s">
        <v>23</v>
      </c>
      <c r="O1388" s="6" t="str">
        <f>SUMIFS([1]order_sku_sales_bb2_report!P:P,[1]order_sku_sales_bb2_report!H:H,C29212,[1]order_sku_sales_bb2_report!J:J,H29212)</f>
        <v>#ERROR!</v>
      </c>
      <c r="P1388" s="6" t="str">
        <f>SUMIFS([1]order_sku_sales_bb2_report!O:O,[1]order_sku_sales_bb2_report!H:H,C29212,[1]order_sku_sales_bb2_report!J:J,H29212)</f>
        <v>#ERROR!</v>
      </c>
      <c r="Q1388" s="6" t="str">
        <f t="shared" si="1"/>
        <v>22-12-2025</v>
      </c>
      <c r="R1388" s="6" t="str">
        <f>IFERROR( VLOOKUP(C29212,[1]expressOrderReport!$S:$AZ,34,0),0)</f>
        <v>#ERROR!</v>
      </c>
      <c r="S1388" s="6" t="str">
        <f>ARRAY_CONSTRAIN(ARRAYFORMULA(_xludf.XLOOKUP(D29212,[1]order_Report_SA_ID_BB2.0!V:V,[1]order_Report_SA_ID_BB2.0!AM:AM,"")), 1, 1)</f>
        <v>#ERROR!</v>
      </c>
      <c r="T1388" s="6" t="str">
        <f t="shared" si="2"/>
        <v>Dec'25</v>
      </c>
    </row>
    <row r="1389" ht="15.75" customHeight="1">
      <c r="A1389" s="5">
        <v>46013.0</v>
      </c>
      <c r="B1389" s="6">
        <v>10476.0</v>
      </c>
      <c r="C1389" s="6">
        <v>1.859166171E9</v>
      </c>
      <c r="D1389" s="6">
        <v>478774.0</v>
      </c>
      <c r="E1389" s="6" t="s">
        <v>2136</v>
      </c>
      <c r="F1389" s="6" t="s">
        <v>2137</v>
      </c>
      <c r="G1389" s="6">
        <v>9.886631402E9</v>
      </c>
      <c r="H1389" s="6">
        <v>2.0001186E7</v>
      </c>
      <c r="I1389" s="6" t="s">
        <v>430</v>
      </c>
      <c r="J1389" s="6" t="s">
        <v>21</v>
      </c>
      <c r="K1389" s="6" t="s">
        <v>22</v>
      </c>
      <c r="L1389" s="6">
        <v>105.85</v>
      </c>
      <c r="M1389" s="5">
        <v>46013.0</v>
      </c>
      <c r="N1389" s="6" t="s">
        <v>23</v>
      </c>
      <c r="O1389" s="6" t="str">
        <f>SUMIFS([1]order_sku_sales_bb2_report!P:P,[1]order_sku_sales_bb2_report!H:H,C29213,[1]order_sku_sales_bb2_report!J:J,H29213)</f>
        <v>#ERROR!</v>
      </c>
      <c r="P1389" s="6" t="str">
        <f>SUMIFS([1]order_sku_sales_bb2_report!O:O,[1]order_sku_sales_bb2_report!H:H,C29213,[1]order_sku_sales_bb2_report!J:J,H29213)</f>
        <v>#ERROR!</v>
      </c>
      <c r="Q1389" s="6" t="str">
        <f t="shared" si="1"/>
        <v>22-12-2025</v>
      </c>
      <c r="R1389" s="6" t="str">
        <f>IFERROR( VLOOKUP(C29213,[1]expressOrderReport!$S:$AZ,34,0),0)</f>
        <v>#ERROR!</v>
      </c>
      <c r="S1389" s="6" t="str">
        <f>ARRAY_CONSTRAIN(ARRAYFORMULA(_xludf.XLOOKUP(D29213,[1]order_Report_SA_ID_BB2.0!V:V,[1]order_Report_SA_ID_BB2.0!AM:AM,"")), 1, 1)</f>
        <v>#ERROR!</v>
      </c>
      <c r="T1389" s="6" t="str">
        <f t="shared" si="2"/>
        <v>Dec'25</v>
      </c>
    </row>
    <row r="1390" ht="15.75" customHeight="1">
      <c r="A1390" s="5">
        <v>46013.0</v>
      </c>
      <c r="B1390" s="6">
        <v>7215.0</v>
      </c>
      <c r="C1390" s="6">
        <v>1.859166182E9</v>
      </c>
      <c r="D1390" s="6">
        <v>5542346.0</v>
      </c>
      <c r="E1390" s="6" t="s">
        <v>2138</v>
      </c>
      <c r="F1390" s="6" t="s">
        <v>2139</v>
      </c>
      <c r="G1390" s="6">
        <v>9.964406067E9</v>
      </c>
      <c r="H1390" s="6">
        <v>4.0149833E7</v>
      </c>
      <c r="I1390" s="6" t="s">
        <v>40</v>
      </c>
      <c r="J1390" s="6" t="s">
        <v>21</v>
      </c>
      <c r="K1390" s="6" t="s">
        <v>22</v>
      </c>
      <c r="L1390" s="6">
        <v>55.0</v>
      </c>
      <c r="M1390" s="5">
        <v>46013.0</v>
      </c>
      <c r="N1390" s="6" t="s">
        <v>23</v>
      </c>
      <c r="O1390" s="6" t="str">
        <f>SUMIFS([1]order_sku_sales_bb2_report!P:P,[1]order_sku_sales_bb2_report!H:H,C29214,[1]order_sku_sales_bb2_report!J:J,H29214)</f>
        <v>#ERROR!</v>
      </c>
      <c r="P1390" s="6" t="str">
        <f>SUMIFS([1]order_sku_sales_bb2_report!O:O,[1]order_sku_sales_bb2_report!H:H,C29214,[1]order_sku_sales_bb2_report!J:J,H29214)</f>
        <v>#ERROR!</v>
      </c>
      <c r="Q1390" s="6" t="str">
        <f t="shared" si="1"/>
        <v>22-12-2025</v>
      </c>
      <c r="R1390" s="6" t="str">
        <f>IFERROR( VLOOKUP(C29214,[1]expressOrderReport!$S:$AZ,34,0),0)</f>
        <v>#ERROR!</v>
      </c>
      <c r="S1390" s="6" t="str">
        <f>ARRAY_CONSTRAIN(ARRAYFORMULA(_xludf.XLOOKUP(D29214,[1]order_Report_SA_ID_BB2.0!V:V,[1]order_Report_SA_ID_BB2.0!AM:AM,"")), 1, 1)</f>
        <v>#ERROR!</v>
      </c>
      <c r="T1390" s="6" t="str">
        <f t="shared" si="2"/>
        <v>Dec'25</v>
      </c>
    </row>
    <row r="1391" ht="15.75" customHeight="1">
      <c r="A1391" s="5">
        <v>46013.0</v>
      </c>
      <c r="B1391" s="6">
        <v>7216.0</v>
      </c>
      <c r="C1391" s="6">
        <v>1.859166182E9</v>
      </c>
      <c r="D1391" s="6">
        <v>5542346.0</v>
      </c>
      <c r="E1391" s="6" t="s">
        <v>2138</v>
      </c>
      <c r="F1391" s="6" t="s">
        <v>2139</v>
      </c>
      <c r="G1391" s="6">
        <v>9.964406067E9</v>
      </c>
      <c r="H1391" s="6">
        <v>4.014983E7</v>
      </c>
      <c r="I1391" s="6" t="s">
        <v>30</v>
      </c>
      <c r="J1391" s="6" t="s">
        <v>21</v>
      </c>
      <c r="K1391" s="6" t="s">
        <v>22</v>
      </c>
      <c r="L1391" s="6">
        <v>55.0</v>
      </c>
      <c r="M1391" s="5">
        <v>46013.0</v>
      </c>
      <c r="N1391" s="6" t="s">
        <v>23</v>
      </c>
      <c r="O1391" s="6" t="str">
        <f>SUMIFS([1]order_sku_sales_bb2_report!P:P,[1]order_sku_sales_bb2_report!H:H,C29215,[1]order_sku_sales_bb2_report!J:J,H29215)</f>
        <v>#ERROR!</v>
      </c>
      <c r="P1391" s="6" t="str">
        <f>SUMIFS([1]order_sku_sales_bb2_report!O:O,[1]order_sku_sales_bb2_report!H:H,C29215,[1]order_sku_sales_bb2_report!J:J,H29215)</f>
        <v>#ERROR!</v>
      </c>
      <c r="Q1391" s="6" t="str">
        <f t="shared" si="1"/>
        <v>22-12-2025</v>
      </c>
      <c r="R1391" s="6" t="str">
        <f>IFERROR( VLOOKUP(C29215,[1]expressOrderReport!$S:$AZ,34,0),0)</f>
        <v>#ERROR!</v>
      </c>
      <c r="S1391" s="6" t="str">
        <f>ARRAY_CONSTRAIN(ARRAYFORMULA(_xludf.XLOOKUP(D29215,[1]order_Report_SA_ID_BB2.0!V:V,[1]order_Report_SA_ID_BB2.0!AM:AM,"")), 1, 1)</f>
        <v>#ERROR!</v>
      </c>
      <c r="T1391" s="6" t="str">
        <f t="shared" si="2"/>
        <v>Dec'25</v>
      </c>
    </row>
    <row r="1392" ht="15.75" customHeight="1">
      <c r="A1392" s="5">
        <v>46013.0</v>
      </c>
      <c r="B1392" s="6">
        <v>7394.0</v>
      </c>
      <c r="C1392" s="6">
        <v>1.859166189E9</v>
      </c>
      <c r="D1392" s="6">
        <v>8009795.0</v>
      </c>
      <c r="E1392" s="6" t="s">
        <v>2140</v>
      </c>
      <c r="F1392" s="6" t="s">
        <v>2141</v>
      </c>
      <c r="G1392" s="6">
        <v>9.483005906E9</v>
      </c>
      <c r="H1392" s="6">
        <v>4.0149833E7</v>
      </c>
      <c r="I1392" s="6" t="s">
        <v>40</v>
      </c>
      <c r="J1392" s="6" t="s">
        <v>21</v>
      </c>
      <c r="K1392" s="6" t="s">
        <v>22</v>
      </c>
      <c r="L1392" s="6">
        <v>54.0</v>
      </c>
      <c r="M1392" s="5">
        <v>46013.0</v>
      </c>
      <c r="N1392" s="6" t="s">
        <v>23</v>
      </c>
      <c r="O1392" s="6" t="str">
        <f>SUMIFS([1]order_sku_sales_bb2_report!P:P,[1]order_sku_sales_bb2_report!H:H,C29216,[1]order_sku_sales_bb2_report!J:J,H29216)</f>
        <v>#ERROR!</v>
      </c>
      <c r="P1392" s="6" t="str">
        <f>SUMIFS([1]order_sku_sales_bb2_report!O:O,[1]order_sku_sales_bb2_report!H:H,C29216,[1]order_sku_sales_bb2_report!J:J,H29216)</f>
        <v>#ERROR!</v>
      </c>
      <c r="Q1392" s="6" t="str">
        <f t="shared" si="1"/>
        <v>22-12-2025</v>
      </c>
      <c r="R1392" s="6" t="str">
        <f>IFERROR( VLOOKUP(C29216,[1]expressOrderReport!$S:$AZ,34,0),0)</f>
        <v>#ERROR!</v>
      </c>
      <c r="S1392" s="6" t="str">
        <f>ARRAY_CONSTRAIN(ARRAYFORMULA(_xludf.XLOOKUP(D29216,[1]order_Report_SA_ID_BB2.0!V:V,[1]order_Report_SA_ID_BB2.0!AM:AM,"")), 1, 1)</f>
        <v>#ERROR!</v>
      </c>
      <c r="T1392" s="6" t="str">
        <f t="shared" si="2"/>
        <v>Dec'25</v>
      </c>
    </row>
    <row r="1393" ht="15.75" customHeight="1">
      <c r="A1393" s="5">
        <v>46013.0</v>
      </c>
      <c r="B1393" s="6">
        <v>5467.0</v>
      </c>
      <c r="C1393" s="6">
        <v>1.859166194E9</v>
      </c>
      <c r="D1393" s="6">
        <v>527240.0</v>
      </c>
      <c r="E1393" s="6" t="s">
        <v>2142</v>
      </c>
      <c r="F1393" s="6" t="s">
        <v>2143</v>
      </c>
      <c r="G1393" s="6">
        <v>9.158972889E9</v>
      </c>
      <c r="H1393" s="6">
        <v>4.0149833E7</v>
      </c>
      <c r="I1393" s="6" t="s">
        <v>40</v>
      </c>
      <c r="J1393" s="6" t="s">
        <v>21</v>
      </c>
      <c r="K1393" s="6" t="s">
        <v>22</v>
      </c>
      <c r="L1393" s="6">
        <v>54.0</v>
      </c>
      <c r="M1393" s="5">
        <v>46013.0</v>
      </c>
      <c r="N1393" s="6" t="s">
        <v>23</v>
      </c>
      <c r="O1393" s="6" t="str">
        <f>SUMIFS([1]order_sku_sales_bb2_report!P:P,[1]order_sku_sales_bb2_report!H:H,C29217,[1]order_sku_sales_bb2_report!J:J,H29217)</f>
        <v>#ERROR!</v>
      </c>
      <c r="P1393" s="6" t="str">
        <f>SUMIFS([1]order_sku_sales_bb2_report!O:O,[1]order_sku_sales_bb2_report!H:H,C29217,[1]order_sku_sales_bb2_report!J:J,H29217)</f>
        <v>#ERROR!</v>
      </c>
      <c r="Q1393" s="6" t="str">
        <f t="shared" si="1"/>
        <v>22-12-2025</v>
      </c>
      <c r="R1393" s="6" t="str">
        <f>IFERROR( VLOOKUP(C29217,[1]expressOrderReport!$S:$AZ,34,0),0)</f>
        <v>#ERROR!</v>
      </c>
      <c r="S1393" s="6" t="str">
        <f>ARRAY_CONSTRAIN(ARRAYFORMULA(_xludf.XLOOKUP(D29217,[1]order_Report_SA_ID_BB2.0!V:V,[1]order_Report_SA_ID_BB2.0!AM:AM,"")), 1, 1)</f>
        <v>#ERROR!</v>
      </c>
      <c r="T1393" s="6" t="str">
        <f t="shared" si="2"/>
        <v>Dec'25</v>
      </c>
    </row>
    <row r="1394" ht="15.75" customHeight="1">
      <c r="A1394" s="5">
        <v>46013.0</v>
      </c>
      <c r="B1394" s="6">
        <v>5307.0</v>
      </c>
      <c r="C1394" s="6">
        <v>1.859166206E9</v>
      </c>
      <c r="D1394" s="6">
        <v>1.6836414E7</v>
      </c>
      <c r="E1394" s="6" t="s">
        <v>2144</v>
      </c>
      <c r="F1394" s="6" t="s">
        <v>2145</v>
      </c>
      <c r="G1394" s="6">
        <v>9.590177715E9</v>
      </c>
      <c r="H1394" s="6">
        <v>4.0149834E7</v>
      </c>
      <c r="I1394" s="6" t="s">
        <v>40</v>
      </c>
      <c r="J1394" s="6" t="s">
        <v>21</v>
      </c>
      <c r="K1394" s="6" t="s">
        <v>22</v>
      </c>
      <c r="L1394" s="6">
        <v>52.0</v>
      </c>
      <c r="M1394" s="5">
        <v>46013.0</v>
      </c>
      <c r="N1394" s="6" t="s">
        <v>23</v>
      </c>
      <c r="O1394" s="6" t="str">
        <f>SUMIFS([1]order_sku_sales_bb2_report!P:P,[1]order_sku_sales_bb2_report!H:H,C29218,[1]order_sku_sales_bb2_report!J:J,H29218)</f>
        <v>#ERROR!</v>
      </c>
      <c r="P1394" s="6" t="str">
        <f>SUMIFS([1]order_sku_sales_bb2_report!O:O,[1]order_sku_sales_bb2_report!H:H,C29218,[1]order_sku_sales_bb2_report!J:J,H29218)</f>
        <v>#ERROR!</v>
      </c>
      <c r="Q1394" s="6" t="str">
        <f t="shared" si="1"/>
        <v>22-12-2025</v>
      </c>
      <c r="R1394" s="6" t="str">
        <f>IFERROR( VLOOKUP(C29218,[1]expressOrderReport!$S:$AZ,34,0),0)</f>
        <v>#ERROR!</v>
      </c>
      <c r="S1394" s="6" t="str">
        <f>ARRAY_CONSTRAIN(ARRAYFORMULA(_xludf.XLOOKUP(D29218,[1]order_Report_SA_ID_BB2.0!V:V,[1]order_Report_SA_ID_BB2.0!AM:AM,"")), 1, 1)</f>
        <v>#ERROR!</v>
      </c>
      <c r="T1394" s="6" t="str">
        <f t="shared" si="2"/>
        <v>Dec'25</v>
      </c>
    </row>
    <row r="1395" ht="15.75" customHeight="1">
      <c r="A1395" s="5">
        <v>46013.0</v>
      </c>
      <c r="B1395" s="6">
        <v>11241.0</v>
      </c>
      <c r="C1395" s="6">
        <v>1.859166214E9</v>
      </c>
      <c r="D1395" s="6">
        <v>3.5434676E7</v>
      </c>
      <c r="E1395" s="6" t="s">
        <v>2146</v>
      </c>
      <c r="F1395" s="6" t="s">
        <v>2147</v>
      </c>
      <c r="G1395" s="6">
        <v>9.742241847E9</v>
      </c>
      <c r="H1395" s="6">
        <v>4.0147618E7</v>
      </c>
      <c r="I1395" s="6" t="s">
        <v>180</v>
      </c>
      <c r="J1395" s="6" t="s">
        <v>21</v>
      </c>
      <c r="K1395" s="6" t="s">
        <v>22</v>
      </c>
      <c r="L1395" s="6">
        <v>68.0</v>
      </c>
      <c r="M1395" s="5">
        <v>46013.0</v>
      </c>
      <c r="N1395" s="6" t="s">
        <v>23</v>
      </c>
      <c r="O1395" s="6" t="str">
        <f>SUMIFS([1]order_sku_sales_bb2_report!P:P,[1]order_sku_sales_bb2_report!H:H,C29219,[1]order_sku_sales_bb2_report!J:J,H29219)</f>
        <v>#ERROR!</v>
      </c>
      <c r="P1395" s="6" t="str">
        <f>SUMIFS([1]order_sku_sales_bb2_report!O:O,[1]order_sku_sales_bb2_report!H:H,C29219,[1]order_sku_sales_bb2_report!J:J,H29219)</f>
        <v>#ERROR!</v>
      </c>
      <c r="Q1395" s="6" t="str">
        <f t="shared" si="1"/>
        <v>22-12-2025</v>
      </c>
      <c r="R1395" s="6" t="str">
        <f>IFERROR( VLOOKUP(C29219,[1]expressOrderReport!$S:$AZ,34,0),0)</f>
        <v>#ERROR!</v>
      </c>
      <c r="S1395" s="6" t="str">
        <f>ARRAY_CONSTRAIN(ARRAYFORMULA(_xludf.XLOOKUP(D29219,[1]order_Report_SA_ID_BB2.0!V:V,[1]order_Report_SA_ID_BB2.0!AM:AM,"")), 1, 1)</f>
        <v>#ERROR!</v>
      </c>
      <c r="T1395" s="6" t="str">
        <f t="shared" si="2"/>
        <v>Dec'25</v>
      </c>
    </row>
    <row r="1396" ht="15.75" customHeight="1">
      <c r="A1396" s="5">
        <v>46013.0</v>
      </c>
      <c r="B1396" s="6">
        <v>275.0</v>
      </c>
      <c r="C1396" s="6">
        <v>1.859166218E9</v>
      </c>
      <c r="D1396" s="6">
        <v>1687922.0</v>
      </c>
      <c r="E1396" s="6" t="s">
        <v>2148</v>
      </c>
      <c r="F1396" s="6" t="s">
        <v>2149</v>
      </c>
      <c r="G1396" s="6">
        <v>8.79721352E9</v>
      </c>
      <c r="H1396" s="6">
        <v>4.0149833E7</v>
      </c>
      <c r="I1396" s="6" t="s">
        <v>40</v>
      </c>
      <c r="J1396" s="6" t="s">
        <v>21</v>
      </c>
      <c r="K1396" s="6" t="s">
        <v>22</v>
      </c>
      <c r="L1396" s="6">
        <v>27.0</v>
      </c>
      <c r="M1396" s="5">
        <v>46013.0</v>
      </c>
      <c r="N1396" s="6" t="s">
        <v>23</v>
      </c>
      <c r="O1396" s="6" t="str">
        <f>SUMIFS([1]order_sku_sales_bb2_report!P:P,[1]order_sku_sales_bb2_report!H:H,C29220,[1]order_sku_sales_bb2_report!J:J,H29220)</f>
        <v>#ERROR!</v>
      </c>
      <c r="P1396" s="6" t="str">
        <f>SUMIFS([1]order_sku_sales_bb2_report!O:O,[1]order_sku_sales_bb2_report!H:H,C29220,[1]order_sku_sales_bb2_report!J:J,H29220)</f>
        <v>#ERROR!</v>
      </c>
      <c r="Q1396" s="6" t="str">
        <f t="shared" si="1"/>
        <v>22-12-2025</v>
      </c>
      <c r="R1396" s="6" t="str">
        <f>IFERROR( VLOOKUP(C29220,[1]expressOrderReport!$S:$AZ,34,0),0)</f>
        <v>#ERROR!</v>
      </c>
      <c r="S1396" s="6" t="str">
        <f>ARRAY_CONSTRAIN(ARRAYFORMULA(_xludf.XLOOKUP(D29220,[1]order_Report_SA_ID_BB2.0!V:V,[1]order_Report_SA_ID_BB2.0!AM:AM,"")), 1, 1)</f>
        <v>#ERROR!</v>
      </c>
      <c r="T1396" s="6" t="str">
        <f t="shared" si="2"/>
        <v>Dec'25</v>
      </c>
    </row>
    <row r="1397" ht="15.75" customHeight="1">
      <c r="A1397" s="5">
        <v>46013.0</v>
      </c>
      <c r="B1397" s="6">
        <v>1421.0</v>
      </c>
      <c r="C1397" s="6">
        <v>1.859166224E9</v>
      </c>
      <c r="D1397" s="6">
        <v>3.5528324E7</v>
      </c>
      <c r="E1397" s="6" t="s">
        <v>2150</v>
      </c>
      <c r="F1397" s="6" t="s">
        <v>2151</v>
      </c>
      <c r="G1397" s="6">
        <v>8.147732898E9</v>
      </c>
      <c r="H1397" s="6">
        <v>4.0149832E7</v>
      </c>
      <c r="I1397" s="6" t="s">
        <v>26</v>
      </c>
      <c r="J1397" s="6" t="s">
        <v>21</v>
      </c>
      <c r="K1397" s="6" t="s">
        <v>22</v>
      </c>
      <c r="L1397" s="6">
        <v>69.0</v>
      </c>
      <c r="M1397" s="5">
        <v>46013.0</v>
      </c>
      <c r="N1397" s="6" t="s">
        <v>23</v>
      </c>
      <c r="O1397" s="6" t="str">
        <f>SUMIFS([1]order_sku_sales_bb2_report!P:P,[1]order_sku_sales_bb2_report!H:H,C29221,[1]order_sku_sales_bb2_report!J:J,H29221)</f>
        <v>#ERROR!</v>
      </c>
      <c r="P1397" s="6" t="str">
        <f>SUMIFS([1]order_sku_sales_bb2_report!O:O,[1]order_sku_sales_bb2_report!H:H,C29221,[1]order_sku_sales_bb2_report!J:J,H29221)</f>
        <v>#ERROR!</v>
      </c>
      <c r="Q1397" s="6" t="str">
        <f t="shared" si="1"/>
        <v>22-12-2025</v>
      </c>
      <c r="R1397" s="6" t="str">
        <f>IFERROR( VLOOKUP(C29221,[1]expressOrderReport!$S:$AZ,34,0),0)</f>
        <v>#ERROR!</v>
      </c>
      <c r="S1397" s="6" t="str">
        <f>ARRAY_CONSTRAIN(ARRAYFORMULA(_xludf.XLOOKUP(D29221,[1]order_Report_SA_ID_BB2.0!V:V,[1]order_Report_SA_ID_BB2.0!AM:AM,"")), 1, 1)</f>
        <v>#ERROR!</v>
      </c>
      <c r="T1397" s="6" t="str">
        <f t="shared" si="2"/>
        <v>Dec'25</v>
      </c>
    </row>
    <row r="1398" ht="15.75" customHeight="1">
      <c r="A1398" s="5">
        <v>46013.0</v>
      </c>
      <c r="B1398" s="6">
        <v>1426.0</v>
      </c>
      <c r="C1398" s="6">
        <v>1.859166224E9</v>
      </c>
      <c r="D1398" s="6">
        <v>3.5528324E7</v>
      </c>
      <c r="E1398" s="6" t="s">
        <v>2150</v>
      </c>
      <c r="F1398" s="6" t="s">
        <v>2151</v>
      </c>
      <c r="G1398" s="6">
        <v>8.147732898E9</v>
      </c>
      <c r="H1398" s="6">
        <v>4.0148716E7</v>
      </c>
      <c r="I1398" s="6" t="s">
        <v>148</v>
      </c>
      <c r="J1398" s="6" t="s">
        <v>21</v>
      </c>
      <c r="K1398" s="6" t="s">
        <v>22</v>
      </c>
      <c r="L1398" s="6">
        <v>69.0</v>
      </c>
      <c r="M1398" s="5">
        <v>46013.0</v>
      </c>
      <c r="N1398" s="6" t="s">
        <v>23</v>
      </c>
      <c r="O1398" s="6" t="str">
        <f>SUMIFS([1]order_sku_sales_bb2_report!P:P,[1]order_sku_sales_bb2_report!H:H,C29222,[1]order_sku_sales_bb2_report!J:J,H29222)</f>
        <v>#ERROR!</v>
      </c>
      <c r="P1398" s="6" t="str">
        <f>SUMIFS([1]order_sku_sales_bb2_report!O:O,[1]order_sku_sales_bb2_report!H:H,C29222,[1]order_sku_sales_bb2_report!J:J,H29222)</f>
        <v>#ERROR!</v>
      </c>
      <c r="Q1398" s="6" t="str">
        <f t="shared" si="1"/>
        <v>22-12-2025</v>
      </c>
      <c r="R1398" s="6" t="str">
        <f>IFERROR( VLOOKUP(C29222,[1]expressOrderReport!$S:$AZ,34,0),0)</f>
        <v>#ERROR!</v>
      </c>
      <c r="S1398" s="6" t="str">
        <f>ARRAY_CONSTRAIN(ARRAYFORMULA(_xludf.XLOOKUP(D29222,[1]order_Report_SA_ID_BB2.0!V:V,[1]order_Report_SA_ID_BB2.0!AM:AM,"")), 1, 1)</f>
        <v>#ERROR!</v>
      </c>
      <c r="T1398" s="6" t="str">
        <f t="shared" si="2"/>
        <v>Dec'25</v>
      </c>
    </row>
    <row r="1399" ht="15.75" customHeight="1">
      <c r="A1399" s="5">
        <v>46013.0</v>
      </c>
      <c r="B1399" s="6">
        <v>6340.0</v>
      </c>
      <c r="C1399" s="6">
        <v>1.859166233E9</v>
      </c>
      <c r="D1399" s="6">
        <v>3175848.0</v>
      </c>
      <c r="E1399" s="6" t="s">
        <v>2152</v>
      </c>
      <c r="F1399" s="6" t="s">
        <v>2153</v>
      </c>
      <c r="G1399" s="6">
        <v>8.19779931E9</v>
      </c>
      <c r="H1399" s="6">
        <v>4.0158264E7</v>
      </c>
      <c r="I1399" s="6" t="s">
        <v>26</v>
      </c>
      <c r="J1399" s="6" t="s">
        <v>21</v>
      </c>
      <c r="K1399" s="6" t="s">
        <v>22</v>
      </c>
      <c r="L1399" s="6">
        <v>46.0</v>
      </c>
      <c r="M1399" s="5">
        <v>46013.0</v>
      </c>
      <c r="N1399" s="6" t="s">
        <v>23</v>
      </c>
      <c r="O1399" s="6" t="str">
        <f>SUMIFS([1]order_sku_sales_bb2_report!P:P,[1]order_sku_sales_bb2_report!H:H,C29223,[1]order_sku_sales_bb2_report!J:J,H29223)</f>
        <v>#ERROR!</v>
      </c>
      <c r="P1399" s="6" t="str">
        <f>SUMIFS([1]order_sku_sales_bb2_report!O:O,[1]order_sku_sales_bb2_report!H:H,C29223,[1]order_sku_sales_bb2_report!J:J,H29223)</f>
        <v>#ERROR!</v>
      </c>
      <c r="Q1399" s="6" t="str">
        <f t="shared" si="1"/>
        <v>22-12-2025</v>
      </c>
      <c r="R1399" s="6" t="str">
        <f>IFERROR( VLOOKUP(C29223,[1]expressOrderReport!$S:$AZ,34,0),0)</f>
        <v>#ERROR!</v>
      </c>
      <c r="S1399" s="6" t="str">
        <f>ARRAY_CONSTRAIN(ARRAYFORMULA(_xludf.XLOOKUP(D29223,[1]order_Report_SA_ID_BB2.0!V:V,[1]order_Report_SA_ID_BB2.0!AM:AM,"")), 1, 1)</f>
        <v>#ERROR!</v>
      </c>
      <c r="T1399" s="6" t="str">
        <f t="shared" si="2"/>
        <v>Dec'25</v>
      </c>
    </row>
    <row r="1400" ht="15.75" customHeight="1">
      <c r="A1400" s="5">
        <v>46013.0</v>
      </c>
      <c r="B1400" s="6">
        <v>7298.0</v>
      </c>
      <c r="C1400" s="6">
        <v>1.859166241E9</v>
      </c>
      <c r="D1400" s="6">
        <v>6169731.0</v>
      </c>
      <c r="E1400" s="6" t="s">
        <v>2154</v>
      </c>
      <c r="F1400" s="6" t="s">
        <v>2155</v>
      </c>
      <c r="G1400" s="6">
        <v>9.739707086E9</v>
      </c>
      <c r="H1400" s="6">
        <v>4.0149832E7</v>
      </c>
      <c r="I1400" s="6" t="s">
        <v>26</v>
      </c>
      <c r="J1400" s="6" t="s">
        <v>21</v>
      </c>
      <c r="K1400" s="6" t="s">
        <v>22</v>
      </c>
      <c r="L1400" s="6">
        <v>24.0</v>
      </c>
      <c r="M1400" s="5">
        <v>46013.0</v>
      </c>
      <c r="N1400" s="6" t="s">
        <v>23</v>
      </c>
      <c r="O1400" s="6" t="str">
        <f>SUMIFS([1]order_sku_sales_bb2_report!P:P,[1]order_sku_sales_bb2_report!H:H,C29224,[1]order_sku_sales_bb2_report!J:J,H29224)</f>
        <v>#ERROR!</v>
      </c>
      <c r="P1400" s="6" t="str">
        <f>SUMIFS([1]order_sku_sales_bb2_report!O:O,[1]order_sku_sales_bb2_report!H:H,C29224,[1]order_sku_sales_bb2_report!J:J,H29224)</f>
        <v>#ERROR!</v>
      </c>
      <c r="Q1400" s="6" t="str">
        <f t="shared" si="1"/>
        <v>22-12-2025</v>
      </c>
      <c r="R1400" s="6" t="str">
        <f>IFERROR( VLOOKUP(C29224,[1]expressOrderReport!$S:$AZ,34,0),0)</f>
        <v>#ERROR!</v>
      </c>
      <c r="S1400" s="6" t="str">
        <f>ARRAY_CONSTRAIN(ARRAYFORMULA(_xludf.XLOOKUP(D29224,[1]order_Report_SA_ID_BB2.0!V:V,[1]order_Report_SA_ID_BB2.0!AM:AM,"")), 1, 1)</f>
        <v>#ERROR!</v>
      </c>
      <c r="T1400" s="6" t="str">
        <f t="shared" si="2"/>
        <v>Dec'25</v>
      </c>
    </row>
    <row r="1401" ht="15.75" customHeight="1">
      <c r="A1401" s="5">
        <v>46013.0</v>
      </c>
      <c r="B1401" s="6">
        <v>7829.0</v>
      </c>
      <c r="C1401" s="6">
        <v>1.859166249E9</v>
      </c>
      <c r="D1401" s="6">
        <v>114376.0</v>
      </c>
      <c r="E1401" s="6" t="s">
        <v>2156</v>
      </c>
      <c r="F1401" s="6" t="s">
        <v>2157</v>
      </c>
      <c r="G1401" s="6">
        <v>9.538162111E9</v>
      </c>
      <c r="H1401" s="6">
        <v>4.0147597E7</v>
      </c>
      <c r="I1401" s="6" t="s">
        <v>59</v>
      </c>
      <c r="J1401" s="6" t="s">
        <v>21</v>
      </c>
      <c r="K1401" s="6" t="s">
        <v>22</v>
      </c>
      <c r="L1401" s="6">
        <v>26.0</v>
      </c>
      <c r="M1401" s="5">
        <v>46013.0</v>
      </c>
      <c r="N1401" s="6" t="s">
        <v>23</v>
      </c>
      <c r="O1401" s="6" t="str">
        <f>SUMIFS([1]order_sku_sales_bb2_report!P:P,[1]order_sku_sales_bb2_report!H:H,C29225,[1]order_sku_sales_bb2_report!J:J,H29225)</f>
        <v>#ERROR!</v>
      </c>
      <c r="P1401" s="6" t="str">
        <f>SUMIFS([1]order_sku_sales_bb2_report!O:O,[1]order_sku_sales_bb2_report!H:H,C29225,[1]order_sku_sales_bb2_report!J:J,H29225)</f>
        <v>#ERROR!</v>
      </c>
      <c r="Q1401" s="6" t="str">
        <f t="shared" si="1"/>
        <v>22-12-2025</v>
      </c>
      <c r="R1401" s="6" t="str">
        <f>IFERROR( VLOOKUP(C29225,[1]expressOrderReport!$S:$AZ,34,0),0)</f>
        <v>#ERROR!</v>
      </c>
      <c r="S1401" s="6" t="str">
        <f>ARRAY_CONSTRAIN(ARRAYFORMULA(_xludf.XLOOKUP(D29225,[1]order_Report_SA_ID_BB2.0!V:V,[1]order_Report_SA_ID_BB2.0!AM:AM,"")), 1, 1)</f>
        <v>#ERROR!</v>
      </c>
      <c r="T1401" s="6" t="str">
        <f t="shared" si="2"/>
        <v>Dec'25</v>
      </c>
    </row>
    <row r="1402" ht="15.75" customHeight="1">
      <c r="A1402" s="5">
        <v>46013.0</v>
      </c>
      <c r="B1402" s="6">
        <v>8916.0</v>
      </c>
      <c r="C1402" s="6">
        <v>1.859166254E9</v>
      </c>
      <c r="D1402" s="6">
        <v>3.5268414E7</v>
      </c>
      <c r="E1402" s="6" t="s">
        <v>2158</v>
      </c>
      <c r="F1402" s="6" t="s">
        <v>2159</v>
      </c>
      <c r="G1402" s="6">
        <v>9.611945133E9</v>
      </c>
      <c r="H1402" s="6">
        <v>4.0149833E7</v>
      </c>
      <c r="I1402" s="6" t="s">
        <v>40</v>
      </c>
      <c r="J1402" s="6" t="s">
        <v>21</v>
      </c>
      <c r="K1402" s="6" t="s">
        <v>22</v>
      </c>
      <c r="L1402" s="6">
        <v>27.0</v>
      </c>
      <c r="M1402" s="5">
        <v>46013.0</v>
      </c>
      <c r="N1402" s="6" t="s">
        <v>23</v>
      </c>
      <c r="O1402" s="6" t="str">
        <f>SUMIFS([1]order_sku_sales_bb2_report!P:P,[1]order_sku_sales_bb2_report!H:H,C29226,[1]order_sku_sales_bb2_report!J:J,H29226)</f>
        <v>#ERROR!</v>
      </c>
      <c r="P1402" s="6" t="str">
        <f>SUMIFS([1]order_sku_sales_bb2_report!O:O,[1]order_sku_sales_bb2_report!H:H,C29226,[1]order_sku_sales_bb2_report!J:J,H29226)</f>
        <v>#ERROR!</v>
      </c>
      <c r="Q1402" s="6" t="str">
        <f t="shared" si="1"/>
        <v>22-12-2025</v>
      </c>
      <c r="R1402" s="6" t="str">
        <f>IFERROR( VLOOKUP(C29226,[1]expressOrderReport!$S:$AZ,34,0),0)</f>
        <v>#ERROR!</v>
      </c>
      <c r="S1402" s="6" t="str">
        <f>ARRAY_CONSTRAIN(ARRAYFORMULA(_xludf.XLOOKUP(D29226,[1]order_Report_SA_ID_BB2.0!V:V,[1]order_Report_SA_ID_BB2.0!AM:AM,"")), 1, 1)</f>
        <v>#ERROR!</v>
      </c>
      <c r="T1402" s="6" t="str">
        <f t="shared" si="2"/>
        <v>Dec'25</v>
      </c>
    </row>
    <row r="1403" ht="15.75" customHeight="1">
      <c r="A1403" s="5">
        <v>46013.0</v>
      </c>
      <c r="B1403" s="6">
        <v>10619.0</v>
      </c>
      <c r="C1403" s="6">
        <v>1.859166261E9</v>
      </c>
      <c r="D1403" s="6">
        <v>3602902.0</v>
      </c>
      <c r="E1403" s="6" t="s">
        <v>2160</v>
      </c>
      <c r="F1403" s="6" t="s">
        <v>2161</v>
      </c>
      <c r="G1403" s="6">
        <v>7.358410263E9</v>
      </c>
      <c r="H1403" s="6">
        <v>4.0090894E7</v>
      </c>
      <c r="I1403" s="6" t="s">
        <v>62</v>
      </c>
      <c r="J1403" s="6" t="s">
        <v>21</v>
      </c>
      <c r="K1403" s="6" t="s">
        <v>22</v>
      </c>
      <c r="L1403" s="6">
        <v>56.0</v>
      </c>
      <c r="M1403" s="5">
        <v>46013.0</v>
      </c>
      <c r="N1403" s="6" t="s">
        <v>23</v>
      </c>
      <c r="O1403" s="6" t="str">
        <f>SUMIFS([1]order_sku_sales_bb2_report!P:P,[1]order_sku_sales_bb2_report!H:H,C29227,[1]order_sku_sales_bb2_report!J:J,H29227)</f>
        <v>#ERROR!</v>
      </c>
      <c r="P1403" s="6" t="str">
        <f>SUMIFS([1]order_sku_sales_bb2_report!O:O,[1]order_sku_sales_bb2_report!H:H,C29227,[1]order_sku_sales_bb2_report!J:J,H29227)</f>
        <v>#ERROR!</v>
      </c>
      <c r="Q1403" s="6" t="str">
        <f t="shared" si="1"/>
        <v>22-12-2025</v>
      </c>
      <c r="R1403" s="6" t="str">
        <f>IFERROR( VLOOKUP(C29227,[1]expressOrderReport!$S:$AZ,34,0),0)</f>
        <v>#ERROR!</v>
      </c>
      <c r="S1403" s="6" t="str">
        <f>ARRAY_CONSTRAIN(ARRAYFORMULA(_xludf.XLOOKUP(D29227,[1]order_Report_SA_ID_BB2.0!V:V,[1]order_Report_SA_ID_BB2.0!AM:AM,"")), 1, 1)</f>
        <v>#ERROR!</v>
      </c>
      <c r="T1403" s="6" t="str">
        <f t="shared" si="2"/>
        <v>Dec'25</v>
      </c>
    </row>
    <row r="1404" ht="15.75" customHeight="1">
      <c r="A1404" s="5">
        <v>46013.0</v>
      </c>
      <c r="B1404" s="6">
        <v>3243.0</v>
      </c>
      <c r="C1404" s="6">
        <v>1.85916627E9</v>
      </c>
      <c r="D1404" s="6">
        <v>3.6024299E7</v>
      </c>
      <c r="E1404" s="6" t="s">
        <v>2162</v>
      </c>
      <c r="F1404" s="6" t="s">
        <v>2163</v>
      </c>
      <c r="G1404" s="6">
        <v>9.995210446E9</v>
      </c>
      <c r="H1404" s="6">
        <v>4.0149832E7</v>
      </c>
      <c r="I1404" s="6" t="s">
        <v>26</v>
      </c>
      <c r="J1404" s="6" t="s">
        <v>21</v>
      </c>
      <c r="K1404" s="6" t="s">
        <v>22</v>
      </c>
      <c r="L1404" s="6">
        <v>24.0</v>
      </c>
      <c r="M1404" s="5">
        <v>46013.0</v>
      </c>
      <c r="N1404" s="6" t="s">
        <v>23</v>
      </c>
      <c r="O1404" s="6" t="str">
        <f>SUMIFS([1]order_sku_sales_bb2_report!P:P,[1]order_sku_sales_bb2_report!H:H,C29228,[1]order_sku_sales_bb2_report!J:J,H29228)</f>
        <v>#ERROR!</v>
      </c>
      <c r="P1404" s="6" t="str">
        <f>SUMIFS([1]order_sku_sales_bb2_report!O:O,[1]order_sku_sales_bb2_report!H:H,C29228,[1]order_sku_sales_bb2_report!J:J,H29228)</f>
        <v>#ERROR!</v>
      </c>
      <c r="Q1404" s="6" t="str">
        <f t="shared" si="1"/>
        <v>22-12-2025</v>
      </c>
      <c r="R1404" s="6" t="str">
        <f>IFERROR( VLOOKUP(C29228,[1]expressOrderReport!$S:$AZ,34,0),0)</f>
        <v>#ERROR!</v>
      </c>
      <c r="S1404" s="6" t="str">
        <f>ARRAY_CONSTRAIN(ARRAYFORMULA(_xludf.XLOOKUP(D29228,[1]order_Report_SA_ID_BB2.0!V:V,[1]order_Report_SA_ID_BB2.0!AM:AM,"")), 1, 1)</f>
        <v>#ERROR!</v>
      </c>
      <c r="T1404" s="6" t="str">
        <f t="shared" si="2"/>
        <v>Dec'25</v>
      </c>
    </row>
    <row r="1405" ht="15.75" customHeight="1">
      <c r="A1405" s="5">
        <v>46013.0</v>
      </c>
      <c r="B1405" s="6">
        <v>11945.0</v>
      </c>
      <c r="C1405" s="6">
        <v>1.859166276E9</v>
      </c>
      <c r="D1405" s="6">
        <v>13643.0</v>
      </c>
      <c r="E1405" s="6" t="s">
        <v>2164</v>
      </c>
      <c r="F1405" s="6" t="s">
        <v>2165</v>
      </c>
      <c r="G1405" s="6">
        <v>9.952307704E9</v>
      </c>
      <c r="H1405" s="6">
        <v>4.0149833E7</v>
      </c>
      <c r="I1405" s="6" t="s">
        <v>40</v>
      </c>
      <c r="J1405" s="6" t="s">
        <v>21</v>
      </c>
      <c r="K1405" s="6" t="s">
        <v>22</v>
      </c>
      <c r="L1405" s="6">
        <v>27.0</v>
      </c>
      <c r="M1405" s="5">
        <v>46013.0</v>
      </c>
      <c r="N1405" s="6" t="s">
        <v>23</v>
      </c>
      <c r="O1405" s="6" t="str">
        <f>SUMIFS([1]order_sku_sales_bb2_report!P:P,[1]order_sku_sales_bb2_report!H:H,C29229,[1]order_sku_sales_bb2_report!J:J,H29229)</f>
        <v>#ERROR!</v>
      </c>
      <c r="P1405" s="6" t="str">
        <f>SUMIFS([1]order_sku_sales_bb2_report!O:O,[1]order_sku_sales_bb2_report!H:H,C29229,[1]order_sku_sales_bb2_report!J:J,H29229)</f>
        <v>#ERROR!</v>
      </c>
      <c r="Q1405" s="6" t="str">
        <f t="shared" si="1"/>
        <v>22-12-2025</v>
      </c>
      <c r="R1405" s="6" t="str">
        <f>IFERROR( VLOOKUP(C29229,[1]expressOrderReport!$S:$AZ,34,0),0)</f>
        <v>#ERROR!</v>
      </c>
      <c r="S1405" s="6" t="str">
        <f>ARRAY_CONSTRAIN(ARRAYFORMULA(_xludf.XLOOKUP(D29229,[1]order_Report_SA_ID_BB2.0!V:V,[1]order_Report_SA_ID_BB2.0!AM:AM,"")), 1, 1)</f>
        <v>#ERROR!</v>
      </c>
      <c r="T1405" s="6" t="str">
        <f t="shared" si="2"/>
        <v>Dec'25</v>
      </c>
    </row>
    <row r="1406" ht="15.75" customHeight="1">
      <c r="A1406" s="5">
        <v>46013.0</v>
      </c>
      <c r="B1406" s="6">
        <v>11859.0</v>
      </c>
      <c r="C1406" s="6">
        <v>1.859166282E9</v>
      </c>
      <c r="D1406" s="6">
        <v>4308461.0</v>
      </c>
      <c r="E1406" s="6" t="s">
        <v>2166</v>
      </c>
      <c r="F1406" s="6" t="s">
        <v>2167</v>
      </c>
      <c r="G1406" s="6">
        <v>9.654979844E9</v>
      </c>
      <c r="H1406" s="6">
        <v>4.0149832E7</v>
      </c>
      <c r="I1406" s="6" t="s">
        <v>26</v>
      </c>
      <c r="J1406" s="6" t="s">
        <v>21</v>
      </c>
      <c r="K1406" s="6" t="s">
        <v>22</v>
      </c>
      <c r="L1406" s="6">
        <v>24.0</v>
      </c>
      <c r="M1406" s="5">
        <v>46013.0</v>
      </c>
      <c r="N1406" s="6" t="s">
        <v>23</v>
      </c>
      <c r="O1406" s="6" t="str">
        <f>SUMIFS([1]order_sku_sales_bb2_report!P:P,[1]order_sku_sales_bb2_report!H:H,C29230,[1]order_sku_sales_bb2_report!J:J,H29230)</f>
        <v>#ERROR!</v>
      </c>
      <c r="P1406" s="6" t="str">
        <f>SUMIFS([1]order_sku_sales_bb2_report!O:O,[1]order_sku_sales_bb2_report!H:H,C29230,[1]order_sku_sales_bb2_report!J:J,H29230)</f>
        <v>#ERROR!</v>
      </c>
      <c r="Q1406" s="6" t="str">
        <f t="shared" si="1"/>
        <v>22-12-2025</v>
      </c>
      <c r="R1406" s="6" t="str">
        <f>IFERROR( VLOOKUP(C29230,[1]expressOrderReport!$S:$AZ,34,0),0)</f>
        <v>#ERROR!</v>
      </c>
      <c r="S1406" s="6" t="str">
        <f>ARRAY_CONSTRAIN(ARRAYFORMULA(_xludf.XLOOKUP(D29230,[1]order_Report_SA_ID_BB2.0!V:V,[1]order_Report_SA_ID_BB2.0!AM:AM,"")), 1, 1)</f>
        <v>#ERROR!</v>
      </c>
      <c r="T1406" s="6" t="str">
        <f t="shared" si="2"/>
        <v>Dec'25</v>
      </c>
    </row>
    <row r="1407" ht="15.75" customHeight="1">
      <c r="A1407" s="5">
        <v>46013.0</v>
      </c>
      <c r="B1407" s="6">
        <v>8583.0</v>
      </c>
      <c r="C1407" s="6">
        <v>1.859166288E9</v>
      </c>
      <c r="D1407" s="6">
        <v>1.7281829E7</v>
      </c>
      <c r="E1407" s="6" t="s">
        <v>2168</v>
      </c>
      <c r="F1407" s="6" t="s">
        <v>2169</v>
      </c>
      <c r="G1407" s="6">
        <v>8.797781339E9</v>
      </c>
      <c r="H1407" s="6">
        <v>4.0149832E7</v>
      </c>
      <c r="I1407" s="6" t="s">
        <v>26</v>
      </c>
      <c r="J1407" s="6" t="s">
        <v>21</v>
      </c>
      <c r="K1407" s="6" t="s">
        <v>22</v>
      </c>
      <c r="L1407" s="6">
        <v>24.0</v>
      </c>
      <c r="M1407" s="5">
        <v>46013.0</v>
      </c>
      <c r="N1407" s="6" t="s">
        <v>23</v>
      </c>
      <c r="O1407" s="6" t="str">
        <f>SUMIFS([1]order_sku_sales_bb2_report!P:P,[1]order_sku_sales_bb2_report!H:H,C29231,[1]order_sku_sales_bb2_report!J:J,H29231)</f>
        <v>#ERROR!</v>
      </c>
      <c r="P1407" s="6" t="str">
        <f>SUMIFS([1]order_sku_sales_bb2_report!O:O,[1]order_sku_sales_bb2_report!H:H,C29231,[1]order_sku_sales_bb2_report!J:J,H29231)</f>
        <v>#ERROR!</v>
      </c>
      <c r="Q1407" s="6" t="str">
        <f t="shared" si="1"/>
        <v>22-12-2025</v>
      </c>
      <c r="R1407" s="6" t="str">
        <f>IFERROR( VLOOKUP(C29231,[1]expressOrderReport!$S:$AZ,34,0),0)</f>
        <v>#ERROR!</v>
      </c>
      <c r="S1407" s="6" t="str">
        <f>ARRAY_CONSTRAIN(ARRAYFORMULA(_xludf.XLOOKUP(D29231,[1]order_Report_SA_ID_BB2.0!V:V,[1]order_Report_SA_ID_BB2.0!AM:AM,"")), 1, 1)</f>
        <v>#ERROR!</v>
      </c>
      <c r="T1407" s="6" t="str">
        <f t="shared" si="2"/>
        <v>Dec'25</v>
      </c>
    </row>
    <row r="1408" ht="15.75" customHeight="1">
      <c r="A1408" s="5">
        <v>46013.0</v>
      </c>
      <c r="B1408" s="6">
        <v>671.0</v>
      </c>
      <c r="C1408" s="6">
        <v>1.859166296E9</v>
      </c>
      <c r="D1408" s="6">
        <v>1193404.0</v>
      </c>
      <c r="E1408" s="6" t="s">
        <v>2170</v>
      </c>
      <c r="F1408" s="6" t="s">
        <v>2171</v>
      </c>
      <c r="G1408" s="6">
        <v>8.748938811E9</v>
      </c>
      <c r="H1408" s="6">
        <v>4.0212327E7</v>
      </c>
      <c r="I1408" s="6" t="s">
        <v>682</v>
      </c>
      <c r="J1408" s="6" t="s">
        <v>21</v>
      </c>
      <c r="K1408" s="6" t="s">
        <v>22</v>
      </c>
      <c r="L1408" s="6">
        <v>82.0</v>
      </c>
      <c r="M1408" s="5">
        <v>46013.0</v>
      </c>
      <c r="N1408" s="6" t="s">
        <v>23</v>
      </c>
      <c r="O1408" s="6" t="str">
        <f>SUMIFS([1]order_sku_sales_bb2_report!P:P,[1]order_sku_sales_bb2_report!H:H,C29232,[1]order_sku_sales_bb2_report!J:J,H29232)</f>
        <v>#ERROR!</v>
      </c>
      <c r="P1408" s="6" t="str">
        <f>SUMIFS([1]order_sku_sales_bb2_report!O:O,[1]order_sku_sales_bb2_report!H:H,C29232,[1]order_sku_sales_bb2_report!J:J,H29232)</f>
        <v>#ERROR!</v>
      </c>
      <c r="Q1408" s="6" t="str">
        <f t="shared" si="1"/>
        <v>22-12-2025</v>
      </c>
      <c r="R1408" s="6" t="str">
        <f>IFERROR( VLOOKUP(C29232,[1]expressOrderReport!$S:$AZ,34,0),0)</f>
        <v>#ERROR!</v>
      </c>
      <c r="S1408" s="6" t="str">
        <f>ARRAY_CONSTRAIN(ARRAYFORMULA(_xludf.XLOOKUP(D29232,[1]order_Report_SA_ID_BB2.0!V:V,[1]order_Report_SA_ID_BB2.0!AM:AM,"")), 1, 1)</f>
        <v>#ERROR!</v>
      </c>
      <c r="T1408" s="6" t="str">
        <f t="shared" si="2"/>
        <v>Dec'25</v>
      </c>
    </row>
    <row r="1409" ht="15.75" customHeight="1">
      <c r="A1409" s="5">
        <v>46013.0</v>
      </c>
      <c r="B1409" s="6">
        <v>850.0</v>
      </c>
      <c r="C1409" s="6">
        <v>1.859166296E9</v>
      </c>
      <c r="D1409" s="6">
        <v>1193404.0</v>
      </c>
      <c r="E1409" s="6" t="s">
        <v>2170</v>
      </c>
      <c r="F1409" s="6" t="s">
        <v>2171</v>
      </c>
      <c r="G1409" s="6">
        <v>8.748938811E9</v>
      </c>
      <c r="H1409" s="6">
        <v>4.014983E7</v>
      </c>
      <c r="I1409" s="6" t="s">
        <v>30</v>
      </c>
      <c r="J1409" s="6" t="s">
        <v>21</v>
      </c>
      <c r="K1409" s="6" t="s">
        <v>22</v>
      </c>
      <c r="L1409" s="6">
        <v>82.0</v>
      </c>
      <c r="M1409" s="5">
        <v>46013.0</v>
      </c>
      <c r="N1409" s="6" t="s">
        <v>23</v>
      </c>
      <c r="O1409" s="6" t="str">
        <f>SUMIFS([1]order_sku_sales_bb2_report!P:P,[1]order_sku_sales_bb2_report!H:H,C29233,[1]order_sku_sales_bb2_report!J:J,H29233)</f>
        <v>#ERROR!</v>
      </c>
      <c r="P1409" s="6" t="str">
        <f>SUMIFS([1]order_sku_sales_bb2_report!O:O,[1]order_sku_sales_bb2_report!H:H,C29233,[1]order_sku_sales_bb2_report!J:J,H29233)</f>
        <v>#ERROR!</v>
      </c>
      <c r="Q1409" s="6" t="str">
        <f t="shared" si="1"/>
        <v>22-12-2025</v>
      </c>
      <c r="R1409" s="6" t="str">
        <f>IFERROR( VLOOKUP(C29233,[1]expressOrderReport!$S:$AZ,34,0),0)</f>
        <v>#ERROR!</v>
      </c>
      <c r="S1409" s="6" t="str">
        <f>ARRAY_CONSTRAIN(ARRAYFORMULA(_xludf.XLOOKUP(D29233,[1]order_Report_SA_ID_BB2.0!V:V,[1]order_Report_SA_ID_BB2.0!AM:AM,"")), 1, 1)</f>
        <v>#ERROR!</v>
      </c>
      <c r="T1409" s="6" t="str">
        <f t="shared" si="2"/>
        <v>Dec'25</v>
      </c>
    </row>
    <row r="1410" ht="15.75" customHeight="1">
      <c r="A1410" s="5">
        <v>46013.0</v>
      </c>
      <c r="B1410" s="6">
        <v>5472.0</v>
      </c>
      <c r="C1410" s="6">
        <v>1.859166306E9</v>
      </c>
      <c r="D1410" s="6">
        <v>1.0542066E7</v>
      </c>
      <c r="E1410" s="6" t="s">
        <v>2172</v>
      </c>
      <c r="F1410" s="6" t="s">
        <v>2173</v>
      </c>
      <c r="G1410" s="6">
        <v>7.397661445E9</v>
      </c>
      <c r="H1410" s="6">
        <v>4.0161616E7</v>
      </c>
      <c r="I1410" s="6" t="s">
        <v>20</v>
      </c>
      <c r="J1410" s="6" t="s">
        <v>21</v>
      </c>
      <c r="K1410" s="6" t="s">
        <v>22</v>
      </c>
      <c r="L1410" s="6">
        <v>56.0</v>
      </c>
      <c r="M1410" s="5">
        <v>46013.0</v>
      </c>
      <c r="N1410" s="6" t="s">
        <v>23</v>
      </c>
      <c r="O1410" s="6" t="str">
        <f>SUMIFS([1]order_sku_sales_bb2_report!P:P,[1]order_sku_sales_bb2_report!H:H,C29235,[1]order_sku_sales_bb2_report!J:J,H29235)</f>
        <v>#ERROR!</v>
      </c>
      <c r="P1410" s="6" t="str">
        <f>SUMIFS([1]order_sku_sales_bb2_report!O:O,[1]order_sku_sales_bb2_report!H:H,C29235,[1]order_sku_sales_bb2_report!J:J,H29235)</f>
        <v>#ERROR!</v>
      </c>
      <c r="Q1410" s="6" t="str">
        <f t="shared" si="1"/>
        <v>22-12-2025</v>
      </c>
      <c r="R1410" s="6" t="str">
        <f>IFERROR( VLOOKUP(C29235,[1]expressOrderReport!$S:$AZ,34,0),0)</f>
        <v>#ERROR!</v>
      </c>
      <c r="S1410" s="6" t="str">
        <f>ARRAY_CONSTRAIN(ARRAYFORMULA(_xludf.XLOOKUP(D29235,[1]order_Report_SA_ID_BB2.0!V:V,[1]order_Report_SA_ID_BB2.0!AM:AM,"")), 1, 1)</f>
        <v>#ERROR!</v>
      </c>
      <c r="T1410" s="6" t="str">
        <f t="shared" si="2"/>
        <v>Dec'25</v>
      </c>
    </row>
    <row r="1411" ht="15.75" customHeight="1">
      <c r="A1411" s="5">
        <v>46013.0</v>
      </c>
      <c r="B1411" s="6">
        <v>8005.0</v>
      </c>
      <c r="C1411" s="6">
        <v>1.859164777E9</v>
      </c>
      <c r="D1411" s="6">
        <v>3.7247374E7</v>
      </c>
      <c r="E1411" s="6" t="s">
        <v>2174</v>
      </c>
      <c r="F1411" s="6" t="s">
        <v>2175</v>
      </c>
      <c r="G1411" s="6">
        <v>9.324409257E9</v>
      </c>
      <c r="H1411" s="6">
        <v>4.0149833E7</v>
      </c>
      <c r="I1411" s="6" t="s">
        <v>40</v>
      </c>
      <c r="J1411" s="6" t="s">
        <v>21</v>
      </c>
      <c r="K1411" s="6" t="s">
        <v>22</v>
      </c>
      <c r="L1411" s="6">
        <v>54.0</v>
      </c>
      <c r="M1411" s="5">
        <v>46013.0</v>
      </c>
      <c r="N1411" s="6" t="s">
        <v>23</v>
      </c>
      <c r="O1411" s="6" t="str">
        <f>SUMIFS([1]order_sku_sales_bb2_report!P:P,[1]order_sku_sales_bb2_report!H:H,C29236,[1]order_sku_sales_bb2_report!J:J,H29236)</f>
        <v>#ERROR!</v>
      </c>
      <c r="P1411" s="6" t="str">
        <f>SUMIFS([1]order_sku_sales_bb2_report!O:O,[1]order_sku_sales_bb2_report!H:H,C29236,[1]order_sku_sales_bb2_report!J:J,H29236)</f>
        <v>#ERROR!</v>
      </c>
      <c r="Q1411" s="6" t="str">
        <f t="shared" si="1"/>
        <v>22-12-2025</v>
      </c>
      <c r="R1411" s="6" t="str">
        <f>IFERROR( VLOOKUP(C29236,[1]expressOrderReport!$S:$AZ,34,0),0)</f>
        <v>#ERROR!</v>
      </c>
      <c r="S1411" s="6" t="str">
        <f>ARRAY_CONSTRAIN(ARRAYFORMULA(_xludf.XLOOKUP(D29236,[1]order_Report_SA_ID_BB2.0!V:V,[1]order_Report_SA_ID_BB2.0!AM:AM,"")), 1, 1)</f>
        <v>#ERROR!</v>
      </c>
      <c r="T1411" s="6" t="str">
        <f t="shared" si="2"/>
        <v>Dec'25</v>
      </c>
    </row>
    <row r="1412" ht="15.75" customHeight="1">
      <c r="A1412" s="5">
        <v>46013.0</v>
      </c>
      <c r="B1412" s="6">
        <v>8007.0</v>
      </c>
      <c r="C1412" s="6">
        <v>1.859164784E9</v>
      </c>
      <c r="D1412" s="6">
        <v>1741974.0</v>
      </c>
      <c r="E1412" s="6" t="s">
        <v>2176</v>
      </c>
      <c r="F1412" s="6" t="s">
        <v>2177</v>
      </c>
      <c r="G1412" s="6">
        <v>9.871611341E9</v>
      </c>
      <c r="H1412" s="6">
        <v>4.0149831E7</v>
      </c>
      <c r="I1412" s="6" t="s">
        <v>65</v>
      </c>
      <c r="J1412" s="6" t="s">
        <v>21</v>
      </c>
      <c r="K1412" s="6" t="s">
        <v>22</v>
      </c>
      <c r="L1412" s="6">
        <v>111.56</v>
      </c>
      <c r="M1412" s="5">
        <v>46013.0</v>
      </c>
      <c r="N1412" s="6" t="s">
        <v>23</v>
      </c>
      <c r="O1412" s="6" t="str">
        <f>SUMIFS([1]order_sku_sales_bb2_report!P:P,[1]order_sku_sales_bb2_report!H:H,C29237,[1]order_sku_sales_bb2_report!J:J,H29237)</f>
        <v>#ERROR!</v>
      </c>
      <c r="P1412" s="6" t="str">
        <f>SUMIFS([1]order_sku_sales_bb2_report!O:O,[1]order_sku_sales_bb2_report!H:H,C29237,[1]order_sku_sales_bb2_report!J:J,H29237)</f>
        <v>#ERROR!</v>
      </c>
      <c r="Q1412" s="6" t="str">
        <f t="shared" si="1"/>
        <v>22-12-2025</v>
      </c>
      <c r="R1412" s="6" t="str">
        <f>IFERROR( VLOOKUP(C29237,[1]expressOrderReport!$S:$AZ,34,0),0)</f>
        <v>#ERROR!</v>
      </c>
      <c r="S1412" s="6" t="str">
        <f>ARRAY_CONSTRAIN(ARRAYFORMULA(_xludf.XLOOKUP(D29237,[1]order_Report_SA_ID_BB2.0!V:V,[1]order_Report_SA_ID_BB2.0!AM:AM,"")), 1, 1)</f>
        <v>#ERROR!</v>
      </c>
      <c r="T1412" s="6" t="str">
        <f t="shared" si="2"/>
        <v>Dec'25</v>
      </c>
    </row>
    <row r="1413" ht="15.75" customHeight="1">
      <c r="A1413" s="5">
        <v>46013.0</v>
      </c>
      <c r="B1413" s="6">
        <v>8008.0</v>
      </c>
      <c r="C1413" s="6">
        <v>1.859164784E9</v>
      </c>
      <c r="D1413" s="6">
        <v>1741974.0</v>
      </c>
      <c r="E1413" s="6" t="s">
        <v>2176</v>
      </c>
      <c r="F1413" s="6" t="s">
        <v>2177</v>
      </c>
      <c r="G1413" s="6">
        <v>9.871611341E9</v>
      </c>
      <c r="H1413" s="6">
        <v>2.0001186E7</v>
      </c>
      <c r="I1413" s="6" t="s">
        <v>430</v>
      </c>
      <c r="J1413" s="6" t="s">
        <v>21</v>
      </c>
      <c r="K1413" s="6" t="s">
        <v>22</v>
      </c>
      <c r="L1413" s="6">
        <v>111.56</v>
      </c>
      <c r="M1413" s="5">
        <v>46013.0</v>
      </c>
      <c r="N1413" s="6" t="s">
        <v>23</v>
      </c>
      <c r="O1413" s="6" t="str">
        <f>SUMIFS([1]order_sku_sales_bb2_report!P:P,[1]order_sku_sales_bb2_report!H:H,C29238,[1]order_sku_sales_bb2_report!J:J,H29238)</f>
        <v>#ERROR!</v>
      </c>
      <c r="P1413" s="6" t="str">
        <f>SUMIFS([1]order_sku_sales_bb2_report!O:O,[1]order_sku_sales_bb2_report!H:H,C29238,[1]order_sku_sales_bb2_report!J:J,H29238)</f>
        <v>#ERROR!</v>
      </c>
      <c r="Q1413" s="6" t="str">
        <f t="shared" si="1"/>
        <v>22-12-2025</v>
      </c>
      <c r="R1413" s="6" t="str">
        <f>IFERROR( VLOOKUP(C29238,[1]expressOrderReport!$S:$AZ,34,0),0)</f>
        <v>#ERROR!</v>
      </c>
      <c r="S1413" s="6" t="str">
        <f>ARRAY_CONSTRAIN(ARRAYFORMULA(_xludf.XLOOKUP(D29238,[1]order_Report_SA_ID_BB2.0!V:V,[1]order_Report_SA_ID_BB2.0!AM:AM,"")), 1, 1)</f>
        <v>#ERROR!</v>
      </c>
      <c r="T1413" s="6" t="str">
        <f t="shared" si="2"/>
        <v>Dec'25</v>
      </c>
    </row>
    <row r="1414" ht="15.75" customHeight="1">
      <c r="A1414" s="5">
        <v>46013.0</v>
      </c>
      <c r="B1414" s="6">
        <v>7057.0</v>
      </c>
      <c r="C1414" s="6">
        <v>1.859164792E9</v>
      </c>
      <c r="D1414" s="6">
        <v>3.503399E7</v>
      </c>
      <c r="E1414" s="6" t="s">
        <v>1912</v>
      </c>
      <c r="F1414" s="6" t="s">
        <v>2178</v>
      </c>
      <c r="G1414" s="6">
        <v>9.036482311E9</v>
      </c>
      <c r="H1414" s="6">
        <v>4.0149832E7</v>
      </c>
      <c r="I1414" s="6" t="s">
        <v>26</v>
      </c>
      <c r="J1414" s="6" t="s">
        <v>21</v>
      </c>
      <c r="K1414" s="6" t="s">
        <v>22</v>
      </c>
      <c r="L1414" s="6">
        <v>24.0</v>
      </c>
      <c r="M1414" s="5">
        <v>46013.0</v>
      </c>
      <c r="N1414" s="6" t="s">
        <v>23</v>
      </c>
      <c r="O1414" s="6" t="str">
        <f>SUMIFS([1]order_sku_sales_bb2_report!P:P,[1]order_sku_sales_bb2_report!H:H,C29239,[1]order_sku_sales_bb2_report!J:J,H29239)</f>
        <v>#ERROR!</v>
      </c>
      <c r="P1414" s="6" t="str">
        <f>SUMIFS([1]order_sku_sales_bb2_report!O:O,[1]order_sku_sales_bb2_report!H:H,C29239,[1]order_sku_sales_bb2_report!J:J,H29239)</f>
        <v>#ERROR!</v>
      </c>
      <c r="Q1414" s="6" t="str">
        <f t="shared" si="1"/>
        <v>22-12-2025</v>
      </c>
      <c r="R1414" s="6" t="str">
        <f>IFERROR( VLOOKUP(C29239,[1]expressOrderReport!$S:$AZ,34,0),0)</f>
        <v>#ERROR!</v>
      </c>
      <c r="S1414" s="6" t="str">
        <f>ARRAY_CONSTRAIN(ARRAYFORMULA(_xludf.XLOOKUP(D29239,[1]order_Report_SA_ID_BB2.0!V:V,[1]order_Report_SA_ID_BB2.0!AM:AM,"")), 1, 1)</f>
        <v>#ERROR!</v>
      </c>
      <c r="T1414" s="6" t="str">
        <f t="shared" si="2"/>
        <v>Dec'25</v>
      </c>
    </row>
    <row r="1415" ht="15.75" customHeight="1">
      <c r="A1415" s="5">
        <v>46013.0</v>
      </c>
      <c r="B1415" s="6">
        <v>9370.0</v>
      </c>
      <c r="C1415" s="6">
        <v>1.8591648E9</v>
      </c>
      <c r="D1415" s="6">
        <v>864618.0</v>
      </c>
      <c r="E1415" s="6" t="s">
        <v>2179</v>
      </c>
      <c r="F1415" s="6" t="s">
        <v>2180</v>
      </c>
      <c r="G1415" s="6">
        <v>7.73802167E9</v>
      </c>
      <c r="H1415" s="6">
        <v>4.0149833E7</v>
      </c>
      <c r="I1415" s="6" t="s">
        <v>40</v>
      </c>
      <c r="J1415" s="6" t="s">
        <v>21</v>
      </c>
      <c r="K1415" s="6" t="s">
        <v>22</v>
      </c>
      <c r="L1415" s="6">
        <v>54.0</v>
      </c>
      <c r="M1415" s="5">
        <v>46013.0</v>
      </c>
      <c r="N1415" s="6" t="s">
        <v>23</v>
      </c>
      <c r="O1415" s="6" t="str">
        <f>SUMIFS([1]order_sku_sales_bb2_report!P:P,[1]order_sku_sales_bb2_report!H:H,C29241,[1]order_sku_sales_bb2_report!J:J,H29241)</f>
        <v>#ERROR!</v>
      </c>
      <c r="P1415" s="6" t="str">
        <f>SUMIFS([1]order_sku_sales_bb2_report!O:O,[1]order_sku_sales_bb2_report!H:H,C29241,[1]order_sku_sales_bb2_report!J:J,H29241)</f>
        <v>#ERROR!</v>
      </c>
      <c r="Q1415" s="6" t="str">
        <f t="shared" si="1"/>
        <v>22-12-2025</v>
      </c>
      <c r="R1415" s="6" t="str">
        <f>IFERROR( VLOOKUP(C29241,[1]expressOrderReport!$S:$AZ,34,0),0)</f>
        <v>#ERROR!</v>
      </c>
      <c r="S1415" s="6" t="str">
        <f>ARRAY_CONSTRAIN(ARRAYFORMULA(_xludf.XLOOKUP(D29241,[1]order_Report_SA_ID_BB2.0!V:V,[1]order_Report_SA_ID_BB2.0!AM:AM,"")), 1, 1)</f>
        <v>#ERROR!</v>
      </c>
      <c r="T1415" s="6" t="str">
        <f t="shared" si="2"/>
        <v>Dec'25</v>
      </c>
    </row>
    <row r="1416" ht="15.75" customHeight="1">
      <c r="A1416" s="5">
        <v>46013.0</v>
      </c>
      <c r="B1416" s="6">
        <v>1462.0</v>
      </c>
      <c r="C1416" s="6">
        <v>1.859164805E9</v>
      </c>
      <c r="D1416" s="6">
        <v>1.6968744E7</v>
      </c>
      <c r="E1416" s="6" t="s">
        <v>2181</v>
      </c>
      <c r="F1416" s="6" t="s">
        <v>2182</v>
      </c>
      <c r="G1416" s="6">
        <v>9.964019551E9</v>
      </c>
      <c r="H1416" s="6">
        <v>4.0149832E7</v>
      </c>
      <c r="I1416" s="6" t="s">
        <v>26</v>
      </c>
      <c r="J1416" s="6" t="s">
        <v>21</v>
      </c>
      <c r="K1416" s="6" t="s">
        <v>22</v>
      </c>
      <c r="L1416" s="6">
        <v>51.0</v>
      </c>
      <c r="M1416" s="5">
        <v>46013.0</v>
      </c>
      <c r="N1416" s="6" t="s">
        <v>23</v>
      </c>
      <c r="O1416" s="6" t="str">
        <f>SUMIFS([1]order_sku_sales_bb2_report!P:P,[1]order_sku_sales_bb2_report!H:H,C29242,[1]order_sku_sales_bb2_report!J:J,H29242)</f>
        <v>#ERROR!</v>
      </c>
      <c r="P1416" s="6" t="str">
        <f>SUMIFS([1]order_sku_sales_bb2_report!O:O,[1]order_sku_sales_bb2_report!H:H,C29242,[1]order_sku_sales_bb2_report!J:J,H29242)</f>
        <v>#ERROR!</v>
      </c>
      <c r="Q1416" s="6" t="str">
        <f t="shared" si="1"/>
        <v>22-12-2025</v>
      </c>
      <c r="R1416" s="6" t="str">
        <f>IFERROR( VLOOKUP(C29242,[1]expressOrderReport!$S:$AZ,34,0),0)</f>
        <v>#ERROR!</v>
      </c>
      <c r="S1416" s="6" t="str">
        <f>ARRAY_CONSTRAIN(ARRAYFORMULA(_xludf.XLOOKUP(D29242,[1]order_Report_SA_ID_BB2.0!V:V,[1]order_Report_SA_ID_BB2.0!AM:AM,"")), 1, 1)</f>
        <v>#ERROR!</v>
      </c>
      <c r="T1416" s="6" t="str">
        <f t="shared" si="2"/>
        <v>Dec'25</v>
      </c>
    </row>
    <row r="1417" ht="15.75" customHeight="1">
      <c r="A1417" s="5">
        <v>46013.0</v>
      </c>
      <c r="B1417" s="6">
        <v>1464.0</v>
      </c>
      <c r="C1417" s="6">
        <v>1.859164805E9</v>
      </c>
      <c r="D1417" s="6">
        <v>1.6968744E7</v>
      </c>
      <c r="E1417" s="6" t="s">
        <v>2181</v>
      </c>
      <c r="F1417" s="6" t="s">
        <v>2182</v>
      </c>
      <c r="G1417" s="6">
        <v>9.964019551E9</v>
      </c>
      <c r="H1417" s="6">
        <v>4.0149833E7</v>
      </c>
      <c r="I1417" s="6" t="s">
        <v>40</v>
      </c>
      <c r="J1417" s="6" t="s">
        <v>21</v>
      </c>
      <c r="K1417" s="6" t="s">
        <v>22</v>
      </c>
      <c r="L1417" s="6">
        <v>51.0</v>
      </c>
      <c r="M1417" s="5">
        <v>46013.0</v>
      </c>
      <c r="N1417" s="6" t="s">
        <v>23</v>
      </c>
      <c r="O1417" s="6" t="str">
        <f>SUMIFS([1]order_sku_sales_bb2_report!P:P,[1]order_sku_sales_bb2_report!H:H,C29243,[1]order_sku_sales_bb2_report!J:J,H29243)</f>
        <v>#ERROR!</v>
      </c>
      <c r="P1417" s="6" t="str">
        <f>SUMIFS([1]order_sku_sales_bb2_report!O:O,[1]order_sku_sales_bb2_report!H:H,C29243,[1]order_sku_sales_bb2_report!J:J,H29243)</f>
        <v>#ERROR!</v>
      </c>
      <c r="Q1417" s="6" t="str">
        <f t="shared" si="1"/>
        <v>22-12-2025</v>
      </c>
      <c r="R1417" s="6" t="str">
        <f>IFERROR( VLOOKUP(C29243,[1]expressOrderReport!$S:$AZ,34,0),0)</f>
        <v>#ERROR!</v>
      </c>
      <c r="S1417" s="6" t="str">
        <f>ARRAY_CONSTRAIN(ARRAYFORMULA(_xludf.XLOOKUP(D29243,[1]order_Report_SA_ID_BB2.0!V:V,[1]order_Report_SA_ID_BB2.0!AM:AM,"")), 1, 1)</f>
        <v>#ERROR!</v>
      </c>
      <c r="T1417" s="6" t="str">
        <f t="shared" si="2"/>
        <v>Dec'25</v>
      </c>
    </row>
    <row r="1418" ht="15.75" customHeight="1">
      <c r="A1418" s="5">
        <v>46013.0</v>
      </c>
      <c r="B1418" s="6">
        <v>1263.0</v>
      </c>
      <c r="C1418" s="6">
        <v>1.859164815E9</v>
      </c>
      <c r="D1418" s="6">
        <v>3.8527039E7</v>
      </c>
      <c r="E1418" s="6" t="s">
        <v>2183</v>
      </c>
      <c r="F1418" s="6" t="s">
        <v>2184</v>
      </c>
      <c r="G1418" s="6">
        <v>9.902166255E9</v>
      </c>
      <c r="H1418" s="6">
        <v>4.0149833E7</v>
      </c>
      <c r="I1418" s="6" t="s">
        <v>40</v>
      </c>
      <c r="J1418" s="6" t="s">
        <v>21</v>
      </c>
      <c r="K1418" s="6" t="s">
        <v>22</v>
      </c>
      <c r="L1418" s="6">
        <v>27.0</v>
      </c>
      <c r="M1418" s="5">
        <v>46013.0</v>
      </c>
      <c r="N1418" s="6" t="s">
        <v>23</v>
      </c>
      <c r="O1418" s="6" t="str">
        <f>SUMIFS([1]order_sku_sales_bb2_report!P:P,[1]order_sku_sales_bb2_report!H:H,C29244,[1]order_sku_sales_bb2_report!J:J,H29244)</f>
        <v>#ERROR!</v>
      </c>
      <c r="P1418" s="6" t="str">
        <f>SUMIFS([1]order_sku_sales_bb2_report!O:O,[1]order_sku_sales_bb2_report!H:H,C29244,[1]order_sku_sales_bb2_report!J:J,H29244)</f>
        <v>#ERROR!</v>
      </c>
      <c r="Q1418" s="6" t="str">
        <f t="shared" si="1"/>
        <v>22-12-2025</v>
      </c>
      <c r="R1418" s="6" t="str">
        <f>IFERROR( VLOOKUP(C29244,[1]expressOrderReport!$S:$AZ,34,0),0)</f>
        <v>#ERROR!</v>
      </c>
      <c r="S1418" s="6" t="str">
        <f>ARRAY_CONSTRAIN(ARRAYFORMULA(_xludf.XLOOKUP(D29244,[1]order_Report_SA_ID_BB2.0!V:V,[1]order_Report_SA_ID_BB2.0!AM:AM,"")), 1, 1)</f>
        <v>#ERROR!</v>
      </c>
      <c r="T1418" s="6" t="str">
        <f t="shared" si="2"/>
        <v>Dec'25</v>
      </c>
    </row>
    <row r="1419" ht="15.75" customHeight="1">
      <c r="A1419" s="5">
        <v>46013.0</v>
      </c>
      <c r="B1419" s="6">
        <v>12069.0</v>
      </c>
      <c r="C1419" s="6">
        <v>1.859164815E9</v>
      </c>
      <c r="D1419" s="6">
        <v>3.8527039E7</v>
      </c>
      <c r="E1419" s="6" t="s">
        <v>2183</v>
      </c>
      <c r="F1419" s="6" t="s">
        <v>2184</v>
      </c>
      <c r="G1419" s="6">
        <v>9.902166255E9</v>
      </c>
      <c r="H1419" s="6">
        <v>4.014983E7</v>
      </c>
      <c r="I1419" s="6" t="s">
        <v>30</v>
      </c>
      <c r="J1419" s="6" t="s">
        <v>21</v>
      </c>
      <c r="K1419" s="6" t="s">
        <v>22</v>
      </c>
      <c r="L1419" s="6">
        <v>27.0</v>
      </c>
      <c r="M1419" s="5">
        <v>46013.0</v>
      </c>
      <c r="N1419" s="6" t="s">
        <v>23</v>
      </c>
      <c r="O1419" s="6" t="str">
        <f>SUMIFS([1]order_sku_sales_bb2_report!P:P,[1]order_sku_sales_bb2_report!H:H,C29245,[1]order_sku_sales_bb2_report!J:J,H29245)</f>
        <v>#ERROR!</v>
      </c>
      <c r="P1419" s="6" t="str">
        <f>SUMIFS([1]order_sku_sales_bb2_report!O:O,[1]order_sku_sales_bb2_report!H:H,C29245,[1]order_sku_sales_bb2_report!J:J,H29245)</f>
        <v>#ERROR!</v>
      </c>
      <c r="Q1419" s="6" t="str">
        <f t="shared" si="1"/>
        <v>22-12-2025</v>
      </c>
      <c r="R1419" s="6" t="str">
        <f>IFERROR( VLOOKUP(C29245,[1]expressOrderReport!$S:$AZ,34,0),0)</f>
        <v>#ERROR!</v>
      </c>
      <c r="S1419" s="6" t="str">
        <f>ARRAY_CONSTRAIN(ARRAYFORMULA(_xludf.XLOOKUP(D29245,[1]order_Report_SA_ID_BB2.0!V:V,[1]order_Report_SA_ID_BB2.0!AM:AM,"")), 1, 1)</f>
        <v>#ERROR!</v>
      </c>
      <c r="T1419" s="6" t="str">
        <f t="shared" si="2"/>
        <v>Dec'25</v>
      </c>
    </row>
    <row r="1420" ht="15.75" customHeight="1">
      <c r="A1420" s="5">
        <v>46013.0</v>
      </c>
      <c r="B1420" s="6">
        <v>7833.0</v>
      </c>
      <c r="C1420" s="6">
        <v>1.859166988E9</v>
      </c>
      <c r="D1420" s="6">
        <v>188826.0</v>
      </c>
      <c r="E1420" s="6" t="s">
        <v>2185</v>
      </c>
      <c r="F1420" s="6" t="s">
        <v>2186</v>
      </c>
      <c r="G1420" s="6">
        <v>9.845039846E9</v>
      </c>
      <c r="H1420" s="6">
        <v>4.0149832E7</v>
      </c>
      <c r="I1420" s="6" t="s">
        <v>26</v>
      </c>
      <c r="J1420" s="6" t="s">
        <v>21</v>
      </c>
      <c r="K1420" s="6" t="s">
        <v>22</v>
      </c>
      <c r="L1420" s="6">
        <v>24.0</v>
      </c>
      <c r="M1420" s="5">
        <v>46013.0</v>
      </c>
      <c r="N1420" s="6" t="s">
        <v>23</v>
      </c>
      <c r="O1420" s="6" t="str">
        <f>SUMIFS([1]order_sku_sales_bb2_report!P:P,[1]order_sku_sales_bb2_report!H:H,C29247,[1]order_sku_sales_bb2_report!J:J,H29247)</f>
        <v>#ERROR!</v>
      </c>
      <c r="P1420" s="6" t="str">
        <f>SUMIFS([1]order_sku_sales_bb2_report!O:O,[1]order_sku_sales_bb2_report!H:H,C29247,[1]order_sku_sales_bb2_report!J:J,H29247)</f>
        <v>#ERROR!</v>
      </c>
      <c r="Q1420" s="6" t="str">
        <f t="shared" si="1"/>
        <v>22-12-2025</v>
      </c>
      <c r="R1420" s="6" t="str">
        <f>IFERROR( VLOOKUP(C29247,[1]expressOrderReport!$S:$AZ,34,0),0)</f>
        <v>#ERROR!</v>
      </c>
      <c r="S1420" s="6" t="str">
        <f>ARRAY_CONSTRAIN(ARRAYFORMULA(_xludf.XLOOKUP(D29247,[1]order_Report_SA_ID_BB2.0!V:V,[1]order_Report_SA_ID_BB2.0!AM:AM,"")), 1, 1)</f>
        <v>#ERROR!</v>
      </c>
      <c r="T1420" s="6" t="str">
        <f t="shared" si="2"/>
        <v>Dec'25</v>
      </c>
    </row>
    <row r="1421" ht="15.75" customHeight="1">
      <c r="A1421" s="5">
        <v>46013.0</v>
      </c>
      <c r="B1421" s="6">
        <v>7131.0</v>
      </c>
      <c r="C1421" s="6">
        <v>1.859166996E9</v>
      </c>
      <c r="D1421" s="6">
        <v>3970431.0</v>
      </c>
      <c r="E1421" s="6" t="s">
        <v>2187</v>
      </c>
      <c r="F1421" s="6" t="s">
        <v>2188</v>
      </c>
      <c r="G1421" s="6">
        <v>9.743505446E9</v>
      </c>
      <c r="H1421" s="6">
        <v>4.0161616E7</v>
      </c>
      <c r="I1421" s="6" t="s">
        <v>20</v>
      </c>
      <c r="J1421" s="6" t="s">
        <v>21</v>
      </c>
      <c r="K1421" s="6" t="s">
        <v>22</v>
      </c>
      <c r="L1421" s="6">
        <v>28.0</v>
      </c>
      <c r="M1421" s="5">
        <v>46013.0</v>
      </c>
      <c r="N1421" s="6" t="s">
        <v>23</v>
      </c>
      <c r="O1421" s="6" t="str">
        <f>SUMIFS([1]order_sku_sales_bb2_report!P:P,[1]order_sku_sales_bb2_report!H:H,C29248,[1]order_sku_sales_bb2_report!J:J,H29248)</f>
        <v>#ERROR!</v>
      </c>
      <c r="P1421" s="6" t="str">
        <f>SUMIFS([1]order_sku_sales_bb2_report!O:O,[1]order_sku_sales_bb2_report!H:H,C29248,[1]order_sku_sales_bb2_report!J:J,H29248)</f>
        <v>#ERROR!</v>
      </c>
      <c r="Q1421" s="6" t="str">
        <f t="shared" si="1"/>
        <v>22-12-2025</v>
      </c>
      <c r="R1421" s="6" t="str">
        <f>IFERROR( VLOOKUP(C29248,[1]expressOrderReport!$S:$AZ,34,0),0)</f>
        <v>#ERROR!</v>
      </c>
      <c r="S1421" s="6" t="str">
        <f>ARRAY_CONSTRAIN(ARRAYFORMULA(_xludf.XLOOKUP(D29248,[1]order_Report_SA_ID_BB2.0!V:V,[1]order_Report_SA_ID_BB2.0!AM:AM,"")), 1, 1)</f>
        <v>#ERROR!</v>
      </c>
      <c r="T1421" s="6" t="str">
        <f t="shared" si="2"/>
        <v>Dec'25</v>
      </c>
    </row>
    <row r="1422" ht="15.75" customHeight="1">
      <c r="A1422" s="5">
        <v>46013.0</v>
      </c>
      <c r="B1422" s="6">
        <v>10108.0</v>
      </c>
      <c r="C1422" s="6">
        <v>1.859167E9</v>
      </c>
      <c r="D1422" s="6">
        <v>1.7738515E7</v>
      </c>
      <c r="E1422" s="6" t="s">
        <v>2189</v>
      </c>
      <c r="F1422" s="6" t="s">
        <v>2190</v>
      </c>
      <c r="G1422" s="6">
        <v>7.411524252E9</v>
      </c>
      <c r="H1422" s="6">
        <v>4.0149831E7</v>
      </c>
      <c r="I1422" s="6" t="s">
        <v>65</v>
      </c>
      <c r="J1422" s="6" t="s">
        <v>21</v>
      </c>
      <c r="K1422" s="6" t="s">
        <v>22</v>
      </c>
      <c r="L1422" s="6">
        <v>26.0</v>
      </c>
      <c r="M1422" s="5">
        <v>46013.0</v>
      </c>
      <c r="N1422" s="6" t="s">
        <v>23</v>
      </c>
      <c r="O1422" s="6" t="str">
        <f>SUMIFS([1]order_sku_sales_bb2_report!P:P,[1]order_sku_sales_bb2_report!H:H,C29249,[1]order_sku_sales_bb2_report!J:J,H29249)</f>
        <v>#ERROR!</v>
      </c>
      <c r="P1422" s="6" t="str">
        <f>SUMIFS([1]order_sku_sales_bb2_report!O:O,[1]order_sku_sales_bb2_report!H:H,C29249,[1]order_sku_sales_bb2_report!J:J,H29249)</f>
        <v>#ERROR!</v>
      </c>
      <c r="Q1422" s="6" t="str">
        <f t="shared" si="1"/>
        <v>22-12-2025</v>
      </c>
      <c r="R1422" s="6" t="str">
        <f>IFERROR( VLOOKUP(C29249,[1]expressOrderReport!$S:$AZ,34,0),0)</f>
        <v>#ERROR!</v>
      </c>
      <c r="S1422" s="6" t="str">
        <f>ARRAY_CONSTRAIN(ARRAYFORMULA(_xludf.XLOOKUP(D29249,[1]order_Report_SA_ID_BB2.0!V:V,[1]order_Report_SA_ID_BB2.0!AM:AM,"")), 1, 1)</f>
        <v>#ERROR!</v>
      </c>
      <c r="T1422" s="6" t="str">
        <f t="shared" si="2"/>
        <v>Dec'25</v>
      </c>
    </row>
    <row r="1423" ht="15.75" customHeight="1">
      <c r="A1423" s="5">
        <v>46013.0</v>
      </c>
      <c r="B1423" s="6">
        <v>10630.0</v>
      </c>
      <c r="C1423" s="6">
        <v>1.859167007E9</v>
      </c>
      <c r="D1423" s="6">
        <v>2.0043664E7</v>
      </c>
      <c r="E1423" s="6" t="s">
        <v>2191</v>
      </c>
      <c r="F1423" s="6" t="s">
        <v>2192</v>
      </c>
      <c r="G1423" s="6">
        <v>8.310448584E9</v>
      </c>
      <c r="H1423" s="6">
        <v>4.0149831E7</v>
      </c>
      <c r="I1423" s="6" t="s">
        <v>65</v>
      </c>
      <c r="J1423" s="6" t="s">
        <v>21</v>
      </c>
      <c r="K1423" s="6" t="s">
        <v>22</v>
      </c>
      <c r="L1423" s="6">
        <v>26.0</v>
      </c>
      <c r="M1423" s="5">
        <v>46013.0</v>
      </c>
      <c r="N1423" s="6" t="s">
        <v>23</v>
      </c>
      <c r="O1423" s="6" t="str">
        <f>SUMIFS([1]order_sku_sales_bb2_report!P:P,[1]order_sku_sales_bb2_report!H:H,C29250,[1]order_sku_sales_bb2_report!J:J,H29250)</f>
        <v>#ERROR!</v>
      </c>
      <c r="P1423" s="6" t="str">
        <f>SUMIFS([1]order_sku_sales_bb2_report!O:O,[1]order_sku_sales_bb2_report!H:H,C29250,[1]order_sku_sales_bb2_report!J:J,H29250)</f>
        <v>#ERROR!</v>
      </c>
      <c r="Q1423" s="6" t="str">
        <f t="shared" si="1"/>
        <v>22-12-2025</v>
      </c>
      <c r="R1423" s="6" t="str">
        <f>IFERROR( VLOOKUP(C29250,[1]expressOrderReport!$S:$AZ,34,0),0)</f>
        <v>#ERROR!</v>
      </c>
      <c r="S1423" s="6" t="str">
        <f>ARRAY_CONSTRAIN(ARRAYFORMULA(_xludf.XLOOKUP(D29250,[1]order_Report_SA_ID_BB2.0!V:V,[1]order_Report_SA_ID_BB2.0!AM:AM,"")), 1, 1)</f>
        <v>#ERROR!</v>
      </c>
      <c r="T1423" s="6" t="str">
        <f t="shared" si="2"/>
        <v>Dec'25</v>
      </c>
    </row>
    <row r="1424" ht="15.75" customHeight="1">
      <c r="A1424" s="5">
        <v>46013.0</v>
      </c>
      <c r="B1424" s="6">
        <v>9366.0</v>
      </c>
      <c r="C1424" s="6">
        <v>1.859167014E9</v>
      </c>
      <c r="D1424" s="6">
        <v>2585898.0</v>
      </c>
      <c r="E1424" s="6" t="s">
        <v>2193</v>
      </c>
      <c r="F1424" s="6" t="s">
        <v>2194</v>
      </c>
      <c r="G1424" s="6">
        <v>8.588841217E9</v>
      </c>
      <c r="H1424" s="6">
        <v>4.0149834E7</v>
      </c>
      <c r="I1424" s="6" t="s">
        <v>40</v>
      </c>
      <c r="J1424" s="6" t="s">
        <v>21</v>
      </c>
      <c r="K1424" s="6" t="s">
        <v>22</v>
      </c>
      <c r="L1424" s="6">
        <v>52.0</v>
      </c>
      <c r="M1424" s="5">
        <v>46013.0</v>
      </c>
      <c r="N1424" s="6" t="s">
        <v>23</v>
      </c>
      <c r="O1424" s="6" t="str">
        <f>SUMIFS([1]order_sku_sales_bb2_report!P:P,[1]order_sku_sales_bb2_report!H:H,C29251,[1]order_sku_sales_bb2_report!J:J,H29251)</f>
        <v>#ERROR!</v>
      </c>
      <c r="P1424" s="6" t="str">
        <f>SUMIFS([1]order_sku_sales_bb2_report!O:O,[1]order_sku_sales_bb2_report!H:H,C29251,[1]order_sku_sales_bb2_report!J:J,H29251)</f>
        <v>#ERROR!</v>
      </c>
      <c r="Q1424" s="6" t="str">
        <f t="shared" si="1"/>
        <v>22-12-2025</v>
      </c>
      <c r="R1424" s="6" t="str">
        <f>IFERROR( VLOOKUP(C29251,[1]expressOrderReport!$S:$AZ,34,0),0)</f>
        <v>#ERROR!</v>
      </c>
      <c r="S1424" s="6" t="str">
        <f>ARRAY_CONSTRAIN(ARRAYFORMULA(_xludf.XLOOKUP(D29251,[1]order_Report_SA_ID_BB2.0!V:V,[1]order_Report_SA_ID_BB2.0!AM:AM,"")), 1, 1)</f>
        <v>#ERROR!</v>
      </c>
      <c r="T1424" s="6" t="str">
        <f t="shared" si="2"/>
        <v>Dec'25</v>
      </c>
    </row>
    <row r="1425" ht="15.75" customHeight="1">
      <c r="A1425" s="5">
        <v>46013.0</v>
      </c>
      <c r="B1425" s="6">
        <v>6182.0</v>
      </c>
      <c r="C1425" s="6">
        <v>1.85916702E9</v>
      </c>
      <c r="D1425" s="6">
        <v>3.9193077E7</v>
      </c>
      <c r="E1425" s="6" t="s">
        <v>2195</v>
      </c>
      <c r="F1425" s="6" t="s">
        <v>2196</v>
      </c>
      <c r="G1425" s="6">
        <v>9.902696085E9</v>
      </c>
      <c r="H1425" s="6">
        <v>4.0149832E7</v>
      </c>
      <c r="I1425" s="6" t="s">
        <v>26</v>
      </c>
      <c r="J1425" s="6" t="s">
        <v>21</v>
      </c>
      <c r="K1425" s="6" t="s">
        <v>22</v>
      </c>
      <c r="L1425" s="6">
        <v>48.0</v>
      </c>
      <c r="M1425" s="5">
        <v>46013.0</v>
      </c>
      <c r="N1425" s="6" t="s">
        <v>23</v>
      </c>
      <c r="O1425" s="6" t="str">
        <f>SUMIFS([1]order_sku_sales_bb2_report!P:P,[1]order_sku_sales_bb2_report!H:H,C29252,[1]order_sku_sales_bb2_report!J:J,H29252)</f>
        <v>#ERROR!</v>
      </c>
      <c r="P1425" s="6" t="str">
        <f>SUMIFS([1]order_sku_sales_bb2_report!O:O,[1]order_sku_sales_bb2_report!H:H,C29252,[1]order_sku_sales_bb2_report!J:J,H29252)</f>
        <v>#ERROR!</v>
      </c>
      <c r="Q1425" s="6" t="str">
        <f t="shared" si="1"/>
        <v>22-12-2025</v>
      </c>
      <c r="R1425" s="6" t="str">
        <f>IFERROR( VLOOKUP(C29252,[1]expressOrderReport!$S:$AZ,34,0),0)</f>
        <v>#ERROR!</v>
      </c>
      <c r="S1425" s="6" t="str">
        <f>ARRAY_CONSTRAIN(ARRAYFORMULA(_xludf.XLOOKUP(D29252,[1]order_Report_SA_ID_BB2.0!V:V,[1]order_Report_SA_ID_BB2.0!AM:AM,"")), 1, 1)</f>
        <v>#ERROR!</v>
      </c>
      <c r="T1425" s="6" t="str">
        <f t="shared" si="2"/>
        <v>Dec'25</v>
      </c>
    </row>
    <row r="1426" ht="15.75" customHeight="1">
      <c r="A1426" s="5">
        <v>46013.0</v>
      </c>
      <c r="B1426" s="6">
        <v>11322.0</v>
      </c>
      <c r="C1426" s="6">
        <v>1.859167029E9</v>
      </c>
      <c r="D1426" s="6">
        <v>3.9252988E7</v>
      </c>
      <c r="E1426" s="6" t="s">
        <v>2197</v>
      </c>
      <c r="F1426" s="6" t="s">
        <v>2198</v>
      </c>
      <c r="G1426" s="6">
        <v>8.018548484E9</v>
      </c>
      <c r="H1426" s="6">
        <v>2.0001186E7</v>
      </c>
      <c r="I1426" s="6" t="s">
        <v>430</v>
      </c>
      <c r="J1426" s="6" t="s">
        <v>21</v>
      </c>
      <c r="K1426" s="6" t="s">
        <v>22</v>
      </c>
      <c r="L1426" s="6">
        <v>7.42</v>
      </c>
      <c r="M1426" s="5">
        <v>46013.0</v>
      </c>
      <c r="N1426" s="6" t="s">
        <v>23</v>
      </c>
      <c r="O1426" s="6" t="str">
        <f>SUMIFS([1]order_sku_sales_bb2_report!P:P,[1]order_sku_sales_bb2_report!H:H,C29253,[1]order_sku_sales_bb2_report!J:J,H29253)</f>
        <v>#ERROR!</v>
      </c>
      <c r="P1426" s="6" t="str">
        <f>SUMIFS([1]order_sku_sales_bb2_report!O:O,[1]order_sku_sales_bb2_report!H:H,C29253,[1]order_sku_sales_bb2_report!J:J,H29253)</f>
        <v>#ERROR!</v>
      </c>
      <c r="Q1426" s="6" t="str">
        <f t="shared" si="1"/>
        <v>22-12-2025</v>
      </c>
      <c r="R1426" s="6" t="str">
        <f>IFERROR( VLOOKUP(C29253,[1]expressOrderReport!$S:$AZ,34,0),0)</f>
        <v>#ERROR!</v>
      </c>
      <c r="S1426" s="6" t="str">
        <f>ARRAY_CONSTRAIN(ARRAYFORMULA(_xludf.XLOOKUP(D29253,[1]order_Report_SA_ID_BB2.0!V:V,[1]order_Report_SA_ID_BB2.0!AM:AM,"")), 1, 1)</f>
        <v>#ERROR!</v>
      </c>
      <c r="T1426" s="6" t="str">
        <f t="shared" si="2"/>
        <v>Dec'25</v>
      </c>
    </row>
    <row r="1427" ht="15.75" customHeight="1">
      <c r="A1427" s="5">
        <v>46013.0</v>
      </c>
      <c r="B1427" s="6">
        <v>680.0</v>
      </c>
      <c r="C1427" s="6">
        <v>1.859167033E9</v>
      </c>
      <c r="D1427" s="6">
        <v>2.480343E7</v>
      </c>
      <c r="E1427" s="6" t="s">
        <v>2199</v>
      </c>
      <c r="F1427" s="6" t="s">
        <v>2200</v>
      </c>
      <c r="G1427" s="6">
        <v>8.660024216E9</v>
      </c>
      <c r="H1427" s="6">
        <v>4.0149832E7</v>
      </c>
      <c r="I1427" s="6" t="s">
        <v>26</v>
      </c>
      <c r="J1427" s="6" t="s">
        <v>21</v>
      </c>
      <c r="K1427" s="6" t="s">
        <v>22</v>
      </c>
      <c r="L1427" s="6">
        <v>24.0</v>
      </c>
      <c r="M1427" s="5">
        <v>46013.0</v>
      </c>
      <c r="N1427" s="6" t="s">
        <v>23</v>
      </c>
      <c r="O1427" s="6" t="str">
        <f>SUMIFS([1]order_sku_sales_bb2_report!P:P,[1]order_sku_sales_bb2_report!H:H,C29254,[1]order_sku_sales_bb2_report!J:J,H29254)</f>
        <v>#ERROR!</v>
      </c>
      <c r="P1427" s="6" t="str">
        <f>SUMIFS([1]order_sku_sales_bb2_report!O:O,[1]order_sku_sales_bb2_report!H:H,C29254,[1]order_sku_sales_bb2_report!J:J,H29254)</f>
        <v>#ERROR!</v>
      </c>
      <c r="Q1427" s="6" t="str">
        <f t="shared" si="1"/>
        <v>22-12-2025</v>
      </c>
      <c r="R1427" s="6" t="str">
        <f>IFERROR( VLOOKUP(C29254,[1]expressOrderReport!$S:$AZ,34,0),0)</f>
        <v>#ERROR!</v>
      </c>
      <c r="S1427" s="6" t="str">
        <f>ARRAY_CONSTRAIN(ARRAYFORMULA(_xludf.XLOOKUP(D29254,[1]order_Report_SA_ID_BB2.0!V:V,[1]order_Report_SA_ID_BB2.0!AM:AM,"")), 1, 1)</f>
        <v>#ERROR!</v>
      </c>
      <c r="T1427" s="6" t="str">
        <f t="shared" si="2"/>
        <v>Dec'25</v>
      </c>
    </row>
    <row r="1428" ht="15.75" customHeight="1">
      <c r="A1428" s="5">
        <v>46013.0</v>
      </c>
      <c r="B1428" s="6">
        <v>7398.0</v>
      </c>
      <c r="C1428" s="6">
        <v>1.859167039E9</v>
      </c>
      <c r="D1428" s="6">
        <v>3.9806216E7</v>
      </c>
      <c r="E1428" s="6" t="s">
        <v>2201</v>
      </c>
      <c r="F1428" s="6" t="s">
        <v>2202</v>
      </c>
      <c r="G1428" s="6">
        <v>9.886739676E9</v>
      </c>
      <c r="H1428" s="6">
        <v>4.0148728E7</v>
      </c>
      <c r="I1428" s="6" t="s">
        <v>1041</v>
      </c>
      <c r="J1428" s="6" t="s">
        <v>21</v>
      </c>
      <c r="K1428" s="6" t="s">
        <v>22</v>
      </c>
      <c r="L1428" s="6">
        <v>167.0</v>
      </c>
      <c r="M1428" s="5">
        <v>46013.0</v>
      </c>
      <c r="N1428" s="6" t="s">
        <v>23</v>
      </c>
      <c r="O1428" s="6" t="str">
        <f>SUMIFS([1]order_sku_sales_bb2_report!P:P,[1]order_sku_sales_bb2_report!H:H,C29255,[1]order_sku_sales_bb2_report!J:J,H29255)</f>
        <v>#ERROR!</v>
      </c>
      <c r="P1428" s="6" t="str">
        <f>SUMIFS([1]order_sku_sales_bb2_report!O:O,[1]order_sku_sales_bb2_report!H:H,C29255,[1]order_sku_sales_bb2_report!J:J,H29255)</f>
        <v>#ERROR!</v>
      </c>
      <c r="Q1428" s="6" t="str">
        <f t="shared" si="1"/>
        <v>22-12-2025</v>
      </c>
      <c r="R1428" s="6" t="str">
        <f>IFERROR( VLOOKUP(C29255,[1]expressOrderReport!$S:$AZ,34,0),0)</f>
        <v>#ERROR!</v>
      </c>
      <c r="S1428" s="6" t="str">
        <f>ARRAY_CONSTRAIN(ARRAYFORMULA(_xludf.XLOOKUP(D29255,[1]order_Report_SA_ID_BB2.0!V:V,[1]order_Report_SA_ID_BB2.0!AM:AM,"")), 1, 1)</f>
        <v>#ERROR!</v>
      </c>
      <c r="T1428" s="6" t="str">
        <f t="shared" si="2"/>
        <v>Dec'25</v>
      </c>
    </row>
    <row r="1429" ht="15.75" customHeight="1">
      <c r="A1429" s="5">
        <v>46013.0</v>
      </c>
      <c r="B1429" s="6">
        <v>7399.0</v>
      </c>
      <c r="C1429" s="6">
        <v>1.859167039E9</v>
      </c>
      <c r="D1429" s="6">
        <v>3.9806216E7</v>
      </c>
      <c r="E1429" s="6" t="s">
        <v>2201</v>
      </c>
      <c r="F1429" s="6" t="s">
        <v>2202</v>
      </c>
      <c r="G1429" s="6">
        <v>9.886739676E9</v>
      </c>
      <c r="H1429" s="6">
        <v>4.0149833E7</v>
      </c>
      <c r="I1429" s="6" t="s">
        <v>40</v>
      </c>
      <c r="J1429" s="6" t="s">
        <v>21</v>
      </c>
      <c r="K1429" s="6" t="s">
        <v>22</v>
      </c>
      <c r="L1429" s="6">
        <v>167.0</v>
      </c>
      <c r="M1429" s="5">
        <v>46013.0</v>
      </c>
      <c r="N1429" s="6" t="s">
        <v>23</v>
      </c>
      <c r="O1429" s="6" t="str">
        <f>SUMIFS([1]order_sku_sales_bb2_report!P:P,[1]order_sku_sales_bb2_report!H:H,C29256,[1]order_sku_sales_bb2_report!J:J,H29256)</f>
        <v>#ERROR!</v>
      </c>
      <c r="P1429" s="6" t="str">
        <f>SUMIFS([1]order_sku_sales_bb2_report!O:O,[1]order_sku_sales_bb2_report!H:H,C29256,[1]order_sku_sales_bb2_report!J:J,H29256)</f>
        <v>#ERROR!</v>
      </c>
      <c r="Q1429" s="6" t="str">
        <f t="shared" si="1"/>
        <v>22-12-2025</v>
      </c>
      <c r="R1429" s="6" t="str">
        <f>IFERROR( VLOOKUP(C29256,[1]expressOrderReport!$S:$AZ,34,0),0)</f>
        <v>#ERROR!</v>
      </c>
      <c r="S1429" s="6" t="str">
        <f>ARRAY_CONSTRAIN(ARRAYFORMULA(_xludf.XLOOKUP(D29256,[1]order_Report_SA_ID_BB2.0!V:V,[1]order_Report_SA_ID_BB2.0!AM:AM,"")), 1, 1)</f>
        <v>#ERROR!</v>
      </c>
      <c r="T1429" s="6" t="str">
        <f t="shared" si="2"/>
        <v>Dec'25</v>
      </c>
    </row>
    <row r="1430" ht="15.75" customHeight="1">
      <c r="A1430" s="5">
        <v>46013.0</v>
      </c>
      <c r="B1430" s="6">
        <v>5061.0</v>
      </c>
      <c r="C1430" s="6">
        <v>1.859167042E9</v>
      </c>
      <c r="D1430" s="6">
        <v>3.89085E7</v>
      </c>
      <c r="E1430" s="6" t="s">
        <v>2203</v>
      </c>
      <c r="F1430" s="6" t="s">
        <v>2204</v>
      </c>
      <c r="G1430" s="6">
        <v>8.884667715E9</v>
      </c>
      <c r="H1430" s="6">
        <v>4.0147597E7</v>
      </c>
      <c r="I1430" s="6" t="s">
        <v>59</v>
      </c>
      <c r="J1430" s="6" t="s">
        <v>21</v>
      </c>
      <c r="K1430" s="6" t="s">
        <v>22</v>
      </c>
      <c r="L1430" s="6">
        <v>26.0</v>
      </c>
      <c r="M1430" s="5">
        <v>46013.0</v>
      </c>
      <c r="N1430" s="6" t="s">
        <v>23</v>
      </c>
      <c r="O1430" s="6" t="str">
        <f>SUMIFS([1]order_sku_sales_bb2_report!P:P,[1]order_sku_sales_bb2_report!H:H,C29257,[1]order_sku_sales_bb2_report!J:J,H29257)</f>
        <v>#ERROR!</v>
      </c>
      <c r="P1430" s="6" t="str">
        <f>SUMIFS([1]order_sku_sales_bb2_report!O:O,[1]order_sku_sales_bb2_report!H:H,C29257,[1]order_sku_sales_bb2_report!J:J,H29257)</f>
        <v>#ERROR!</v>
      </c>
      <c r="Q1430" s="6" t="str">
        <f t="shared" si="1"/>
        <v>22-12-2025</v>
      </c>
      <c r="R1430" s="6" t="str">
        <f>IFERROR( VLOOKUP(C29257,[1]expressOrderReport!$S:$AZ,34,0),0)</f>
        <v>#ERROR!</v>
      </c>
      <c r="S1430" s="6" t="str">
        <f>ARRAY_CONSTRAIN(ARRAYFORMULA(_xludf.XLOOKUP(D29257,[1]order_Report_SA_ID_BB2.0!V:V,[1]order_Report_SA_ID_BB2.0!AM:AM,"")), 1, 1)</f>
        <v>#ERROR!</v>
      </c>
      <c r="T1430" s="6" t="str">
        <f t="shared" si="2"/>
        <v>Dec'25</v>
      </c>
    </row>
    <row r="1431" ht="15.75" customHeight="1">
      <c r="A1431" s="5">
        <v>46013.0</v>
      </c>
      <c r="B1431" s="6">
        <v>11980.0</v>
      </c>
      <c r="C1431" s="6">
        <v>1.859167044E9</v>
      </c>
      <c r="D1431" s="6">
        <v>1.1116532E7</v>
      </c>
      <c r="E1431" s="6" t="s">
        <v>2205</v>
      </c>
      <c r="F1431" s="6" t="s">
        <v>2206</v>
      </c>
      <c r="G1431" s="6">
        <v>8.095664413E9</v>
      </c>
      <c r="H1431" s="6">
        <v>4.0090893E7</v>
      </c>
      <c r="I1431" s="6" t="s">
        <v>35</v>
      </c>
      <c r="J1431" s="6" t="s">
        <v>21</v>
      </c>
      <c r="K1431" s="6" t="s">
        <v>22</v>
      </c>
      <c r="L1431" s="6">
        <v>66.0</v>
      </c>
      <c r="M1431" s="5">
        <v>46013.0</v>
      </c>
      <c r="N1431" s="6" t="s">
        <v>23</v>
      </c>
      <c r="O1431" s="6" t="str">
        <f>SUMIFS([1]order_sku_sales_bb2_report!P:P,[1]order_sku_sales_bb2_report!H:H,C29258,[1]order_sku_sales_bb2_report!J:J,H29258)</f>
        <v>#ERROR!</v>
      </c>
      <c r="P1431" s="6" t="str">
        <f>SUMIFS([1]order_sku_sales_bb2_report!O:O,[1]order_sku_sales_bb2_report!H:H,C29258,[1]order_sku_sales_bb2_report!J:J,H29258)</f>
        <v>#ERROR!</v>
      </c>
      <c r="Q1431" s="6" t="str">
        <f t="shared" si="1"/>
        <v>22-12-2025</v>
      </c>
      <c r="R1431" s="6" t="str">
        <f>IFERROR( VLOOKUP(C29258,[1]expressOrderReport!$S:$AZ,34,0),0)</f>
        <v>#ERROR!</v>
      </c>
      <c r="S1431" s="6" t="str">
        <f>ARRAY_CONSTRAIN(ARRAYFORMULA(_xludf.XLOOKUP(D29258,[1]order_Report_SA_ID_BB2.0!V:V,[1]order_Report_SA_ID_BB2.0!AM:AM,"")), 1, 1)</f>
        <v>#ERROR!</v>
      </c>
      <c r="T1431" s="6" t="str">
        <f t="shared" si="2"/>
        <v>Dec'25</v>
      </c>
    </row>
    <row r="1432" ht="15.75" customHeight="1">
      <c r="A1432" s="5">
        <v>46013.0</v>
      </c>
      <c r="B1432" s="6">
        <v>8190.0</v>
      </c>
      <c r="C1432" s="6">
        <v>1.859167049E9</v>
      </c>
      <c r="D1432" s="6">
        <v>5461312.0</v>
      </c>
      <c r="E1432" s="6" t="s">
        <v>2207</v>
      </c>
      <c r="F1432" s="6" t="s">
        <v>2208</v>
      </c>
      <c r="G1432" s="6">
        <v>9.666809503E9</v>
      </c>
      <c r="H1432" s="6">
        <v>4.0148723E7</v>
      </c>
      <c r="I1432" s="6" t="s">
        <v>69</v>
      </c>
      <c r="J1432" s="6" t="s">
        <v>21</v>
      </c>
      <c r="K1432" s="6" t="s">
        <v>22</v>
      </c>
      <c r="L1432" s="6">
        <v>42.0</v>
      </c>
      <c r="M1432" s="5">
        <v>46013.0</v>
      </c>
      <c r="N1432" s="6" t="s">
        <v>23</v>
      </c>
      <c r="O1432" s="6" t="str">
        <f>SUMIFS([1]order_sku_sales_bb2_report!P:P,[1]order_sku_sales_bb2_report!H:H,C29259,[1]order_sku_sales_bb2_report!J:J,H29259)</f>
        <v>#ERROR!</v>
      </c>
      <c r="P1432" s="6" t="str">
        <f>SUMIFS([1]order_sku_sales_bb2_report!O:O,[1]order_sku_sales_bb2_report!H:H,C29259,[1]order_sku_sales_bb2_report!J:J,H29259)</f>
        <v>#ERROR!</v>
      </c>
      <c r="Q1432" s="6" t="str">
        <f t="shared" si="1"/>
        <v>22-12-2025</v>
      </c>
      <c r="R1432" s="6" t="str">
        <f>IFERROR( VLOOKUP(C29259,[1]expressOrderReport!$S:$AZ,34,0),0)</f>
        <v>#ERROR!</v>
      </c>
      <c r="S1432" s="6" t="str">
        <f>ARRAY_CONSTRAIN(ARRAYFORMULA(_xludf.XLOOKUP(D29259,[1]order_Report_SA_ID_BB2.0!V:V,[1]order_Report_SA_ID_BB2.0!AM:AM,"")), 1, 1)</f>
        <v>#ERROR!</v>
      </c>
      <c r="T1432" s="6" t="str">
        <f t="shared" si="2"/>
        <v>Dec'25</v>
      </c>
    </row>
    <row r="1433" ht="15.75" customHeight="1">
      <c r="A1433" s="5">
        <v>46013.0</v>
      </c>
      <c r="B1433" s="6">
        <v>7317.0</v>
      </c>
      <c r="C1433" s="6">
        <v>1.859167054E9</v>
      </c>
      <c r="D1433" s="6">
        <v>7081538.0</v>
      </c>
      <c r="E1433" s="6" t="s">
        <v>2209</v>
      </c>
      <c r="F1433" s="6" t="s">
        <v>2210</v>
      </c>
      <c r="G1433" s="6">
        <v>8.939939611E9</v>
      </c>
      <c r="H1433" s="6">
        <v>4.0090894E7</v>
      </c>
      <c r="I1433" s="6" t="s">
        <v>62</v>
      </c>
      <c r="J1433" s="6" t="s">
        <v>21</v>
      </c>
      <c r="K1433" s="6" t="s">
        <v>22</v>
      </c>
      <c r="L1433" s="6">
        <v>28.0</v>
      </c>
      <c r="M1433" s="5">
        <v>46013.0</v>
      </c>
      <c r="N1433" s="6" t="s">
        <v>23</v>
      </c>
      <c r="O1433" s="6" t="str">
        <f>SUMIFS([1]order_sku_sales_bb2_report!P:P,[1]order_sku_sales_bb2_report!H:H,C29260,[1]order_sku_sales_bb2_report!J:J,H29260)</f>
        <v>#ERROR!</v>
      </c>
      <c r="P1433" s="6" t="str">
        <f>SUMIFS([1]order_sku_sales_bb2_report!O:O,[1]order_sku_sales_bb2_report!H:H,C29260,[1]order_sku_sales_bb2_report!J:J,H29260)</f>
        <v>#ERROR!</v>
      </c>
      <c r="Q1433" s="6" t="str">
        <f t="shared" si="1"/>
        <v>22-12-2025</v>
      </c>
      <c r="R1433" s="6" t="str">
        <f>IFERROR( VLOOKUP(C29260,[1]expressOrderReport!$S:$AZ,34,0),0)</f>
        <v>#ERROR!</v>
      </c>
      <c r="S1433" s="6" t="str">
        <f>ARRAY_CONSTRAIN(ARRAYFORMULA(_xludf.XLOOKUP(D29260,[1]order_Report_SA_ID_BB2.0!V:V,[1]order_Report_SA_ID_BB2.0!AM:AM,"")), 1, 1)</f>
        <v>#ERROR!</v>
      </c>
      <c r="T1433" s="6" t="str">
        <f t="shared" si="2"/>
        <v>Dec'25</v>
      </c>
    </row>
    <row r="1434" ht="15.75" customHeight="1">
      <c r="A1434" s="5">
        <v>46013.0</v>
      </c>
      <c r="B1434" s="6">
        <v>7853.0</v>
      </c>
      <c r="C1434" s="6">
        <v>1.859167062E9</v>
      </c>
      <c r="D1434" s="6">
        <v>1724634.0</v>
      </c>
      <c r="E1434" s="6" t="s">
        <v>2211</v>
      </c>
      <c r="F1434" s="6" t="s">
        <v>2212</v>
      </c>
      <c r="G1434" s="6">
        <v>9.44971825E9</v>
      </c>
      <c r="H1434" s="6">
        <v>4.0161616E7</v>
      </c>
      <c r="I1434" s="6" t="s">
        <v>20</v>
      </c>
      <c r="J1434" s="6" t="s">
        <v>21</v>
      </c>
      <c r="K1434" s="6" t="s">
        <v>22</v>
      </c>
      <c r="L1434" s="6">
        <v>159.5</v>
      </c>
      <c r="M1434" s="5">
        <v>46013.0</v>
      </c>
      <c r="N1434" s="6" t="s">
        <v>23</v>
      </c>
      <c r="O1434" s="6" t="str">
        <f>SUMIFS([1]order_sku_sales_bb2_report!P:P,[1]order_sku_sales_bb2_report!H:H,C29261,[1]order_sku_sales_bb2_report!J:J,H29261)</f>
        <v>#ERROR!</v>
      </c>
      <c r="P1434" s="6" t="str">
        <f>SUMIFS([1]order_sku_sales_bb2_report!O:O,[1]order_sku_sales_bb2_report!H:H,C29261,[1]order_sku_sales_bb2_report!J:J,H29261)</f>
        <v>#ERROR!</v>
      </c>
      <c r="Q1434" s="6" t="str">
        <f t="shared" si="1"/>
        <v>22-12-2025</v>
      </c>
      <c r="R1434" s="6" t="str">
        <f>IFERROR( VLOOKUP(C29261,[1]expressOrderReport!$S:$AZ,34,0),0)</f>
        <v>#ERROR!</v>
      </c>
      <c r="S1434" s="6" t="str">
        <f>ARRAY_CONSTRAIN(ARRAYFORMULA(_xludf.XLOOKUP(D29261,[1]order_Report_SA_ID_BB2.0!V:V,[1]order_Report_SA_ID_BB2.0!AM:AM,"")), 1, 1)</f>
        <v>#ERROR!</v>
      </c>
      <c r="T1434" s="6" t="str">
        <f t="shared" si="2"/>
        <v>Dec'25</v>
      </c>
    </row>
    <row r="1435" ht="15.75" customHeight="1">
      <c r="A1435" s="5">
        <v>46013.0</v>
      </c>
      <c r="B1435" s="6">
        <v>10151.0</v>
      </c>
      <c r="C1435" s="6">
        <v>1.859167062E9</v>
      </c>
      <c r="D1435" s="6">
        <v>1724634.0</v>
      </c>
      <c r="E1435" s="6" t="s">
        <v>2211</v>
      </c>
      <c r="F1435" s="6" t="s">
        <v>2212</v>
      </c>
      <c r="G1435" s="6">
        <v>9.44971825E9</v>
      </c>
      <c r="H1435" s="6">
        <v>1.0000033E7</v>
      </c>
      <c r="I1435" s="6" t="s">
        <v>2213</v>
      </c>
      <c r="J1435" s="6" t="s">
        <v>21</v>
      </c>
      <c r="K1435" s="6" t="s">
        <v>22</v>
      </c>
      <c r="L1435" s="6">
        <v>159.5</v>
      </c>
      <c r="M1435" s="5">
        <v>46013.0</v>
      </c>
      <c r="N1435" s="6" t="s">
        <v>23</v>
      </c>
      <c r="O1435" s="6" t="str">
        <f>SUMIFS([1]order_sku_sales_bb2_report!P:P,[1]order_sku_sales_bb2_report!H:H,C29262,[1]order_sku_sales_bb2_report!J:J,H29262)</f>
        <v>#ERROR!</v>
      </c>
      <c r="P1435" s="6" t="str">
        <f>SUMIFS([1]order_sku_sales_bb2_report!O:O,[1]order_sku_sales_bb2_report!H:H,C29262,[1]order_sku_sales_bb2_report!J:J,H29262)</f>
        <v>#ERROR!</v>
      </c>
      <c r="Q1435" s="6" t="str">
        <f t="shared" si="1"/>
        <v>22-12-2025</v>
      </c>
      <c r="R1435" s="6" t="str">
        <f>IFERROR( VLOOKUP(C29262,[1]expressOrderReport!$S:$AZ,34,0),0)</f>
        <v>#ERROR!</v>
      </c>
      <c r="S1435" s="6" t="str">
        <f>ARRAY_CONSTRAIN(ARRAYFORMULA(_xludf.XLOOKUP(D29262,[1]order_Report_SA_ID_BB2.0!V:V,[1]order_Report_SA_ID_BB2.0!AM:AM,"")), 1, 1)</f>
        <v>#ERROR!</v>
      </c>
      <c r="T1435" s="6" t="str">
        <f t="shared" si="2"/>
        <v>Dec'25</v>
      </c>
    </row>
    <row r="1436" ht="15.75" customHeight="1">
      <c r="A1436" s="5">
        <v>46013.0</v>
      </c>
      <c r="B1436" s="6">
        <v>1025.0</v>
      </c>
      <c r="C1436" s="6">
        <v>1.859167067E9</v>
      </c>
      <c r="D1436" s="6">
        <v>327236.0</v>
      </c>
      <c r="E1436" s="6" t="s">
        <v>2214</v>
      </c>
      <c r="F1436" s="6" t="s">
        <v>2215</v>
      </c>
      <c r="G1436" s="6">
        <v>9.986998149E9</v>
      </c>
      <c r="H1436" s="6">
        <v>4.014983E7</v>
      </c>
      <c r="I1436" s="6" t="s">
        <v>30</v>
      </c>
      <c r="J1436" s="6" t="s">
        <v>21</v>
      </c>
      <c r="K1436" s="6" t="s">
        <v>22</v>
      </c>
      <c r="L1436" s="6">
        <v>127.0</v>
      </c>
      <c r="M1436" s="5">
        <v>46013.0</v>
      </c>
      <c r="N1436" s="6" t="s">
        <v>23</v>
      </c>
      <c r="O1436" s="6" t="str">
        <f>SUMIFS([1]order_sku_sales_bb2_report!P:P,[1]order_sku_sales_bb2_report!H:H,C29263,[1]order_sku_sales_bb2_report!J:J,H29263)</f>
        <v>#ERROR!</v>
      </c>
      <c r="P1436" s="6" t="str">
        <f>SUMIFS([1]order_sku_sales_bb2_report!O:O,[1]order_sku_sales_bb2_report!H:H,C29263,[1]order_sku_sales_bb2_report!J:J,H29263)</f>
        <v>#ERROR!</v>
      </c>
      <c r="Q1436" s="6" t="str">
        <f t="shared" si="1"/>
        <v>22-12-2025</v>
      </c>
      <c r="R1436" s="6" t="str">
        <f>IFERROR( VLOOKUP(C29263,[1]expressOrderReport!$S:$AZ,34,0),0)</f>
        <v>#ERROR!</v>
      </c>
      <c r="S1436" s="6" t="str">
        <f>ARRAY_CONSTRAIN(ARRAYFORMULA(_xludf.XLOOKUP(D29263,[1]order_Report_SA_ID_BB2.0!V:V,[1]order_Report_SA_ID_BB2.0!AM:AM,"")), 1, 1)</f>
        <v>#ERROR!</v>
      </c>
      <c r="T1436" s="6" t="str">
        <f t="shared" si="2"/>
        <v>Dec'25</v>
      </c>
    </row>
    <row r="1437" ht="15.75" customHeight="1">
      <c r="A1437" s="5">
        <v>46013.0</v>
      </c>
      <c r="B1437" s="6">
        <v>2395.0</v>
      </c>
      <c r="C1437" s="6">
        <v>1.859167067E9</v>
      </c>
      <c r="D1437" s="6">
        <v>327236.0</v>
      </c>
      <c r="E1437" s="6" t="s">
        <v>2214</v>
      </c>
      <c r="F1437" s="6" t="s">
        <v>2215</v>
      </c>
      <c r="G1437" s="6">
        <v>9.986998149E9</v>
      </c>
      <c r="H1437" s="6">
        <v>4.0149833E7</v>
      </c>
      <c r="I1437" s="6" t="s">
        <v>40</v>
      </c>
      <c r="J1437" s="6" t="s">
        <v>21</v>
      </c>
      <c r="K1437" s="6" t="s">
        <v>22</v>
      </c>
      <c r="L1437" s="6">
        <v>127.0</v>
      </c>
      <c r="M1437" s="5">
        <v>46013.0</v>
      </c>
      <c r="N1437" s="6" t="s">
        <v>23</v>
      </c>
      <c r="O1437" s="6" t="str">
        <f>SUMIFS([1]order_sku_sales_bb2_report!P:P,[1]order_sku_sales_bb2_report!H:H,C29264,[1]order_sku_sales_bb2_report!J:J,H29264)</f>
        <v>#ERROR!</v>
      </c>
      <c r="P1437" s="6" t="str">
        <f>SUMIFS([1]order_sku_sales_bb2_report!O:O,[1]order_sku_sales_bb2_report!H:H,C29264,[1]order_sku_sales_bb2_report!J:J,H29264)</f>
        <v>#ERROR!</v>
      </c>
      <c r="Q1437" s="6" t="str">
        <f t="shared" si="1"/>
        <v>22-12-2025</v>
      </c>
      <c r="R1437" s="6" t="str">
        <f>IFERROR( VLOOKUP(C29264,[1]expressOrderReport!$S:$AZ,34,0),0)</f>
        <v>#ERROR!</v>
      </c>
      <c r="S1437" s="6" t="str">
        <f>ARRAY_CONSTRAIN(ARRAYFORMULA(_xludf.XLOOKUP(D29264,[1]order_Report_SA_ID_BB2.0!V:V,[1]order_Report_SA_ID_BB2.0!AM:AM,"")), 1, 1)</f>
        <v>#ERROR!</v>
      </c>
      <c r="T1437" s="6" t="str">
        <f t="shared" si="2"/>
        <v>Dec'25</v>
      </c>
    </row>
    <row r="1438" ht="15.75" customHeight="1">
      <c r="A1438" s="5">
        <v>46013.0</v>
      </c>
      <c r="B1438" s="6">
        <v>11227.0</v>
      </c>
      <c r="C1438" s="6">
        <v>1.859167067E9</v>
      </c>
      <c r="D1438" s="6">
        <v>327236.0</v>
      </c>
      <c r="E1438" s="6" t="s">
        <v>2214</v>
      </c>
      <c r="F1438" s="6" t="s">
        <v>2215</v>
      </c>
      <c r="G1438" s="6">
        <v>9.986998149E9</v>
      </c>
      <c r="H1438" s="6">
        <v>4.0148716E7</v>
      </c>
      <c r="I1438" s="6" t="s">
        <v>148</v>
      </c>
      <c r="J1438" s="6" t="s">
        <v>21</v>
      </c>
      <c r="K1438" s="6" t="s">
        <v>22</v>
      </c>
      <c r="L1438" s="6">
        <v>127.0</v>
      </c>
      <c r="M1438" s="5">
        <v>46013.0</v>
      </c>
      <c r="N1438" s="6" t="s">
        <v>23</v>
      </c>
      <c r="O1438" s="6" t="str">
        <f>SUMIFS([1]order_sku_sales_bb2_report!P:P,[1]order_sku_sales_bb2_report!H:H,C29265,[1]order_sku_sales_bb2_report!J:J,H29265)</f>
        <v>#ERROR!</v>
      </c>
      <c r="P1438" s="6" t="str">
        <f>SUMIFS([1]order_sku_sales_bb2_report!O:O,[1]order_sku_sales_bb2_report!H:H,C29265,[1]order_sku_sales_bb2_report!J:J,H29265)</f>
        <v>#ERROR!</v>
      </c>
      <c r="Q1438" s="6" t="str">
        <f t="shared" si="1"/>
        <v>22-12-2025</v>
      </c>
      <c r="R1438" s="6" t="str">
        <f>IFERROR( VLOOKUP(C29265,[1]expressOrderReport!$S:$AZ,34,0),0)</f>
        <v>#ERROR!</v>
      </c>
      <c r="S1438" s="6" t="str">
        <f>ARRAY_CONSTRAIN(ARRAYFORMULA(_xludf.XLOOKUP(D29265,[1]order_Report_SA_ID_BB2.0!V:V,[1]order_Report_SA_ID_BB2.0!AM:AM,"")), 1, 1)</f>
        <v>#ERROR!</v>
      </c>
      <c r="T1438" s="6" t="str">
        <f t="shared" si="2"/>
        <v>Dec'25</v>
      </c>
    </row>
    <row r="1439" ht="15.75" customHeight="1">
      <c r="A1439" s="5">
        <v>46013.0</v>
      </c>
      <c r="B1439" s="6">
        <v>2525.0</v>
      </c>
      <c r="C1439" s="6">
        <v>1.859167071E9</v>
      </c>
      <c r="D1439" s="6">
        <v>4768557.0</v>
      </c>
      <c r="E1439" s="6" t="s">
        <v>2216</v>
      </c>
      <c r="F1439" s="6" t="s">
        <v>2217</v>
      </c>
      <c r="G1439" s="6">
        <v>7.763807648E9</v>
      </c>
      <c r="H1439" s="6">
        <v>4.0149834E7</v>
      </c>
      <c r="I1439" s="6" t="s">
        <v>40</v>
      </c>
      <c r="J1439" s="6" t="s">
        <v>21</v>
      </c>
      <c r="K1439" s="6" t="s">
        <v>22</v>
      </c>
      <c r="L1439" s="6">
        <v>52.0</v>
      </c>
      <c r="M1439" s="5">
        <v>46013.0</v>
      </c>
      <c r="N1439" s="6" t="s">
        <v>23</v>
      </c>
      <c r="O1439" s="6" t="str">
        <f>SUMIFS([1]order_sku_sales_bb2_report!P:P,[1]order_sku_sales_bb2_report!H:H,C29266,[1]order_sku_sales_bb2_report!J:J,H29266)</f>
        <v>#ERROR!</v>
      </c>
      <c r="P1439" s="6" t="str">
        <f>SUMIFS([1]order_sku_sales_bb2_report!O:O,[1]order_sku_sales_bb2_report!H:H,C29266,[1]order_sku_sales_bb2_report!J:J,H29266)</f>
        <v>#ERROR!</v>
      </c>
      <c r="Q1439" s="6" t="str">
        <f t="shared" si="1"/>
        <v>22-12-2025</v>
      </c>
      <c r="R1439" s="6" t="str">
        <f>IFERROR( VLOOKUP(C29266,[1]expressOrderReport!$S:$AZ,34,0),0)</f>
        <v>#ERROR!</v>
      </c>
      <c r="S1439" s="6" t="str">
        <f>ARRAY_CONSTRAIN(ARRAYFORMULA(_xludf.XLOOKUP(D29266,[1]order_Report_SA_ID_BB2.0!V:V,[1]order_Report_SA_ID_BB2.0!AM:AM,"")), 1, 1)</f>
        <v>#ERROR!</v>
      </c>
      <c r="T1439" s="6" t="str">
        <f t="shared" si="2"/>
        <v>Dec'25</v>
      </c>
    </row>
    <row r="1440" ht="15.75" customHeight="1">
      <c r="A1440" s="5">
        <v>46013.0</v>
      </c>
      <c r="B1440" s="6">
        <v>6980.0</v>
      </c>
      <c r="C1440" s="6">
        <v>1.859167079E9</v>
      </c>
      <c r="D1440" s="6">
        <v>487002.0</v>
      </c>
      <c r="E1440" s="6" t="s">
        <v>2218</v>
      </c>
      <c r="F1440" s="6" t="s">
        <v>2219</v>
      </c>
      <c r="G1440" s="6">
        <v>9.980323501E9</v>
      </c>
      <c r="H1440" s="6">
        <v>4.0149832E7</v>
      </c>
      <c r="I1440" s="6" t="s">
        <v>26</v>
      </c>
      <c r="J1440" s="6" t="s">
        <v>21</v>
      </c>
      <c r="K1440" s="6" t="s">
        <v>22</v>
      </c>
      <c r="L1440" s="6">
        <v>52.0</v>
      </c>
      <c r="M1440" s="5">
        <v>46013.0</v>
      </c>
      <c r="N1440" s="6" t="s">
        <v>23</v>
      </c>
      <c r="O1440" s="6" t="str">
        <f>SUMIFS([1]order_sku_sales_bb2_report!P:P,[1]order_sku_sales_bb2_report!H:H,C29267,[1]order_sku_sales_bb2_report!J:J,H29267)</f>
        <v>#ERROR!</v>
      </c>
      <c r="P1440" s="6" t="str">
        <f>SUMIFS([1]order_sku_sales_bb2_report!O:O,[1]order_sku_sales_bb2_report!H:H,C29267,[1]order_sku_sales_bb2_report!J:J,H29267)</f>
        <v>#ERROR!</v>
      </c>
      <c r="Q1440" s="6" t="str">
        <f t="shared" si="1"/>
        <v>22-12-2025</v>
      </c>
      <c r="R1440" s="6" t="str">
        <f>IFERROR( VLOOKUP(C29267,[1]expressOrderReport!$S:$AZ,34,0),0)</f>
        <v>#ERROR!</v>
      </c>
      <c r="S1440" s="6" t="str">
        <f>ARRAY_CONSTRAIN(ARRAYFORMULA(_xludf.XLOOKUP(D29267,[1]order_Report_SA_ID_BB2.0!V:V,[1]order_Report_SA_ID_BB2.0!AM:AM,"")), 1, 1)</f>
        <v>#ERROR!</v>
      </c>
      <c r="T1440" s="6" t="str">
        <f t="shared" si="2"/>
        <v>Dec'25</v>
      </c>
    </row>
    <row r="1441" ht="15.75" customHeight="1">
      <c r="A1441" s="5">
        <v>46013.0</v>
      </c>
      <c r="B1441" s="6">
        <v>6981.0</v>
      </c>
      <c r="C1441" s="6">
        <v>1.859167079E9</v>
      </c>
      <c r="D1441" s="6">
        <v>487002.0</v>
      </c>
      <c r="E1441" s="6" t="s">
        <v>2218</v>
      </c>
      <c r="F1441" s="6" t="s">
        <v>2219</v>
      </c>
      <c r="G1441" s="6">
        <v>9.980323501E9</v>
      </c>
      <c r="H1441" s="6">
        <v>4.014983E7</v>
      </c>
      <c r="I1441" s="6" t="s">
        <v>30</v>
      </c>
      <c r="J1441" s="6" t="s">
        <v>21</v>
      </c>
      <c r="K1441" s="6" t="s">
        <v>22</v>
      </c>
      <c r="L1441" s="6">
        <v>52.0</v>
      </c>
      <c r="M1441" s="5">
        <v>46013.0</v>
      </c>
      <c r="N1441" s="6" t="s">
        <v>23</v>
      </c>
      <c r="O1441" s="6" t="str">
        <f>SUMIFS([1]order_sku_sales_bb2_report!P:P,[1]order_sku_sales_bb2_report!H:H,C29268,[1]order_sku_sales_bb2_report!J:J,H29268)</f>
        <v>#ERROR!</v>
      </c>
      <c r="P1441" s="6" t="str">
        <f>SUMIFS([1]order_sku_sales_bb2_report!O:O,[1]order_sku_sales_bb2_report!H:H,C29268,[1]order_sku_sales_bb2_report!J:J,H29268)</f>
        <v>#ERROR!</v>
      </c>
      <c r="Q1441" s="6" t="str">
        <f t="shared" si="1"/>
        <v>22-12-2025</v>
      </c>
      <c r="R1441" s="6" t="str">
        <f>IFERROR( VLOOKUP(C29268,[1]expressOrderReport!$S:$AZ,34,0),0)</f>
        <v>#ERROR!</v>
      </c>
      <c r="S1441" s="6" t="str">
        <f>ARRAY_CONSTRAIN(ARRAYFORMULA(_xludf.XLOOKUP(D29268,[1]order_Report_SA_ID_BB2.0!V:V,[1]order_Report_SA_ID_BB2.0!AM:AM,"")), 1, 1)</f>
        <v>#ERROR!</v>
      </c>
      <c r="T1441" s="6" t="str">
        <f t="shared" si="2"/>
        <v>Dec'25</v>
      </c>
    </row>
    <row r="1442" ht="15.75" customHeight="1">
      <c r="A1442" s="5">
        <v>46013.0</v>
      </c>
      <c r="B1442" s="6">
        <v>3924.0</v>
      </c>
      <c r="C1442" s="6">
        <v>1.859167083E9</v>
      </c>
      <c r="D1442" s="6">
        <v>4.0877962E7</v>
      </c>
      <c r="E1442" s="6" t="s">
        <v>2220</v>
      </c>
      <c r="F1442" s="6" t="s">
        <v>2221</v>
      </c>
      <c r="G1442" s="6">
        <v>9.047333211E9</v>
      </c>
      <c r="H1442" s="6">
        <v>4.0158264E7</v>
      </c>
      <c r="I1442" s="6" t="s">
        <v>26</v>
      </c>
      <c r="J1442" s="6" t="s">
        <v>21</v>
      </c>
      <c r="K1442" s="6" t="s">
        <v>22</v>
      </c>
      <c r="L1442" s="6">
        <v>46.0</v>
      </c>
      <c r="M1442" s="5">
        <v>46013.0</v>
      </c>
      <c r="N1442" s="6" t="s">
        <v>23</v>
      </c>
      <c r="O1442" s="6" t="str">
        <f>SUMIFS([1]order_sku_sales_bb2_report!P:P,[1]order_sku_sales_bb2_report!H:H,C29269,[1]order_sku_sales_bb2_report!J:J,H29269)</f>
        <v>#ERROR!</v>
      </c>
      <c r="P1442" s="6" t="str">
        <f>SUMIFS([1]order_sku_sales_bb2_report!O:O,[1]order_sku_sales_bb2_report!H:H,C29269,[1]order_sku_sales_bb2_report!J:J,H29269)</f>
        <v>#ERROR!</v>
      </c>
      <c r="Q1442" s="6" t="str">
        <f t="shared" si="1"/>
        <v>22-12-2025</v>
      </c>
      <c r="R1442" s="6" t="str">
        <f>IFERROR( VLOOKUP(C29269,[1]expressOrderReport!$S:$AZ,34,0),0)</f>
        <v>#ERROR!</v>
      </c>
      <c r="S1442" s="6" t="str">
        <f>ARRAY_CONSTRAIN(ARRAYFORMULA(_xludf.XLOOKUP(D29269,[1]order_Report_SA_ID_BB2.0!V:V,[1]order_Report_SA_ID_BB2.0!AM:AM,"")), 1, 1)</f>
        <v>#ERROR!</v>
      </c>
      <c r="T1442" s="6" t="str">
        <f t="shared" si="2"/>
        <v>Dec'25</v>
      </c>
    </row>
    <row r="1443" ht="15.75" customHeight="1">
      <c r="A1443" s="5">
        <v>46013.0</v>
      </c>
      <c r="B1443" s="6">
        <v>6141.0</v>
      </c>
      <c r="C1443" s="6">
        <v>1.859167087E9</v>
      </c>
      <c r="D1443" s="6">
        <v>3.4150559E7</v>
      </c>
      <c r="E1443" s="6" t="s">
        <v>2222</v>
      </c>
      <c r="F1443" s="6" t="s">
        <v>2223</v>
      </c>
      <c r="G1443" s="6">
        <v>9.731629186E9</v>
      </c>
      <c r="H1443" s="6">
        <v>4.0149832E7</v>
      </c>
      <c r="I1443" s="6" t="s">
        <v>26</v>
      </c>
      <c r="J1443" s="6" t="s">
        <v>21</v>
      </c>
      <c r="K1443" s="6" t="s">
        <v>22</v>
      </c>
      <c r="L1443" s="6">
        <v>96.0</v>
      </c>
      <c r="M1443" s="5">
        <v>46013.0</v>
      </c>
      <c r="N1443" s="6" t="s">
        <v>23</v>
      </c>
      <c r="O1443" s="6" t="str">
        <f>SUMIFS([1]order_sku_sales_bb2_report!P:P,[1]order_sku_sales_bb2_report!H:H,C29270,[1]order_sku_sales_bb2_report!J:J,H29270)</f>
        <v>#ERROR!</v>
      </c>
      <c r="P1443" s="6" t="str">
        <f>SUMIFS([1]order_sku_sales_bb2_report!O:O,[1]order_sku_sales_bb2_report!H:H,C29270,[1]order_sku_sales_bb2_report!J:J,H29270)</f>
        <v>#ERROR!</v>
      </c>
      <c r="Q1443" s="6" t="str">
        <f t="shared" si="1"/>
        <v>22-12-2025</v>
      </c>
      <c r="R1443" s="6" t="str">
        <f>IFERROR( VLOOKUP(C29270,[1]expressOrderReport!$S:$AZ,34,0),0)</f>
        <v>#ERROR!</v>
      </c>
      <c r="S1443" s="6" t="str">
        <f>ARRAY_CONSTRAIN(ARRAYFORMULA(_xludf.XLOOKUP(D29270,[1]order_Report_SA_ID_BB2.0!V:V,[1]order_Report_SA_ID_BB2.0!AM:AM,"")), 1, 1)</f>
        <v>#ERROR!</v>
      </c>
      <c r="T1443" s="6" t="str">
        <f t="shared" si="2"/>
        <v>Dec'25</v>
      </c>
    </row>
    <row r="1444" ht="15.75" customHeight="1">
      <c r="A1444" s="5">
        <v>46013.0</v>
      </c>
      <c r="B1444" s="6">
        <v>9064.0</v>
      </c>
      <c r="C1444" s="6">
        <v>1.859167095E9</v>
      </c>
      <c r="D1444" s="6">
        <v>454754.0</v>
      </c>
      <c r="E1444" s="6" t="s">
        <v>2224</v>
      </c>
      <c r="F1444" s="6" t="s">
        <v>2225</v>
      </c>
      <c r="G1444" s="6">
        <v>9.742508886E9</v>
      </c>
      <c r="H1444" s="6">
        <v>1.0000033E7</v>
      </c>
      <c r="I1444" s="6" t="s">
        <v>2213</v>
      </c>
      <c r="J1444" s="6" t="s">
        <v>21</v>
      </c>
      <c r="K1444" s="6" t="s">
        <v>22</v>
      </c>
      <c r="L1444" s="6">
        <v>100.5</v>
      </c>
      <c r="M1444" s="5">
        <v>46013.0</v>
      </c>
      <c r="N1444" s="6" t="s">
        <v>23</v>
      </c>
      <c r="O1444" s="6" t="str">
        <f>SUMIFS([1]order_sku_sales_bb2_report!P:P,[1]order_sku_sales_bb2_report!H:H,C29271,[1]order_sku_sales_bb2_report!J:J,H29271)</f>
        <v>#ERROR!</v>
      </c>
      <c r="P1444" s="6" t="str">
        <f>SUMIFS([1]order_sku_sales_bb2_report!O:O,[1]order_sku_sales_bb2_report!H:H,C29271,[1]order_sku_sales_bb2_report!J:J,H29271)</f>
        <v>#ERROR!</v>
      </c>
      <c r="Q1444" s="6" t="str">
        <f t="shared" si="1"/>
        <v>22-12-2025</v>
      </c>
      <c r="R1444" s="6" t="str">
        <f>IFERROR( VLOOKUP(C29271,[1]expressOrderReport!$S:$AZ,34,0),0)</f>
        <v>#ERROR!</v>
      </c>
      <c r="S1444" s="6" t="str">
        <f>ARRAY_CONSTRAIN(ARRAYFORMULA(_xludf.XLOOKUP(D29271,[1]order_Report_SA_ID_BB2.0!V:V,[1]order_Report_SA_ID_BB2.0!AM:AM,"")), 1, 1)</f>
        <v>#ERROR!</v>
      </c>
      <c r="T1444" s="6" t="str">
        <f t="shared" si="2"/>
        <v>Dec'25</v>
      </c>
    </row>
    <row r="1445" ht="15.75" customHeight="1">
      <c r="A1445" s="5">
        <v>46013.0</v>
      </c>
      <c r="B1445" s="6">
        <v>9065.0</v>
      </c>
      <c r="C1445" s="6">
        <v>1.859167095E9</v>
      </c>
      <c r="D1445" s="6">
        <v>454754.0</v>
      </c>
      <c r="E1445" s="6" t="s">
        <v>2224</v>
      </c>
      <c r="F1445" s="6" t="s">
        <v>2225</v>
      </c>
      <c r="G1445" s="6">
        <v>9.742508886E9</v>
      </c>
      <c r="H1445" s="6">
        <v>4.0148717E7</v>
      </c>
      <c r="I1445" s="6" t="s">
        <v>226</v>
      </c>
      <c r="J1445" s="6" t="s">
        <v>21</v>
      </c>
      <c r="K1445" s="6" t="s">
        <v>22</v>
      </c>
      <c r="L1445" s="6">
        <v>100.5</v>
      </c>
      <c r="M1445" s="5">
        <v>46013.0</v>
      </c>
      <c r="N1445" s="6" t="s">
        <v>23</v>
      </c>
      <c r="O1445" s="6" t="str">
        <f>SUMIFS([1]order_sku_sales_bb2_report!P:P,[1]order_sku_sales_bb2_report!H:H,C29272,[1]order_sku_sales_bb2_report!J:J,H29272)</f>
        <v>#ERROR!</v>
      </c>
      <c r="P1445" s="6" t="str">
        <f>SUMIFS([1]order_sku_sales_bb2_report!O:O,[1]order_sku_sales_bb2_report!H:H,C29272,[1]order_sku_sales_bb2_report!J:J,H29272)</f>
        <v>#ERROR!</v>
      </c>
      <c r="Q1445" s="6" t="str">
        <f t="shared" si="1"/>
        <v>22-12-2025</v>
      </c>
      <c r="R1445" s="6" t="str">
        <f>IFERROR( VLOOKUP(C29272,[1]expressOrderReport!$S:$AZ,34,0),0)</f>
        <v>#ERROR!</v>
      </c>
      <c r="S1445" s="6" t="str">
        <f>ARRAY_CONSTRAIN(ARRAYFORMULA(_xludf.XLOOKUP(D29272,[1]order_Report_SA_ID_BB2.0!V:V,[1]order_Report_SA_ID_BB2.0!AM:AM,"")), 1, 1)</f>
        <v>#ERROR!</v>
      </c>
      <c r="T1445" s="6" t="str">
        <f t="shared" si="2"/>
        <v>Dec'25</v>
      </c>
    </row>
    <row r="1446" ht="15.75" customHeight="1">
      <c r="A1446" s="5">
        <v>46013.0</v>
      </c>
      <c r="B1446" s="6">
        <v>7049.0</v>
      </c>
      <c r="C1446" s="6">
        <v>1.859167105E9</v>
      </c>
      <c r="D1446" s="6">
        <v>244368.0</v>
      </c>
      <c r="E1446" s="6" t="s">
        <v>2226</v>
      </c>
      <c r="F1446" s="6" t="s">
        <v>2227</v>
      </c>
      <c r="G1446" s="6">
        <v>9.036039939E9</v>
      </c>
      <c r="H1446" s="6">
        <v>4.0149832E7</v>
      </c>
      <c r="I1446" s="6" t="s">
        <v>26</v>
      </c>
      <c r="J1446" s="6" t="s">
        <v>21</v>
      </c>
      <c r="K1446" s="6" t="s">
        <v>22</v>
      </c>
      <c r="L1446" s="6">
        <v>24.0</v>
      </c>
      <c r="M1446" s="5">
        <v>46013.0</v>
      </c>
      <c r="N1446" s="6" t="s">
        <v>23</v>
      </c>
      <c r="O1446" s="6" t="str">
        <f>SUMIFS([1]order_sku_sales_bb2_report!P:P,[1]order_sku_sales_bb2_report!H:H,C29273,[1]order_sku_sales_bb2_report!J:J,H29273)</f>
        <v>#ERROR!</v>
      </c>
      <c r="P1446" s="6" t="str">
        <f>SUMIFS([1]order_sku_sales_bb2_report!O:O,[1]order_sku_sales_bb2_report!H:H,C29273,[1]order_sku_sales_bb2_report!J:J,H29273)</f>
        <v>#ERROR!</v>
      </c>
      <c r="Q1446" s="6" t="str">
        <f t="shared" si="1"/>
        <v>22-12-2025</v>
      </c>
      <c r="R1446" s="6" t="str">
        <f>IFERROR( VLOOKUP(C29273,[1]expressOrderReport!$S:$AZ,34,0),0)</f>
        <v>#ERROR!</v>
      </c>
      <c r="S1446" s="6" t="str">
        <f>ARRAY_CONSTRAIN(ARRAYFORMULA(_xludf.XLOOKUP(D29273,[1]order_Report_SA_ID_BB2.0!V:V,[1]order_Report_SA_ID_BB2.0!AM:AM,"")), 1, 1)</f>
        <v>#ERROR!</v>
      </c>
      <c r="T1446" s="6" t="str">
        <f t="shared" si="2"/>
        <v>Dec'25</v>
      </c>
    </row>
    <row r="1447" ht="15.75" customHeight="1">
      <c r="A1447" s="5">
        <v>46013.0</v>
      </c>
      <c r="B1447" s="6">
        <v>8573.0</v>
      </c>
      <c r="C1447" s="6">
        <v>1.859167114E9</v>
      </c>
      <c r="D1447" s="6">
        <v>1.8440428E7</v>
      </c>
      <c r="E1447" s="6" t="s">
        <v>2228</v>
      </c>
      <c r="F1447" s="6" t="s">
        <v>2229</v>
      </c>
      <c r="G1447" s="6">
        <v>8.871285375E9</v>
      </c>
      <c r="H1447" s="6">
        <v>4.0090893E7</v>
      </c>
      <c r="I1447" s="6" t="s">
        <v>35</v>
      </c>
      <c r="J1447" s="6" t="s">
        <v>21</v>
      </c>
      <c r="K1447" s="6" t="s">
        <v>22</v>
      </c>
      <c r="L1447" s="6">
        <v>66.0</v>
      </c>
      <c r="M1447" s="5">
        <v>46013.0</v>
      </c>
      <c r="N1447" s="6" t="s">
        <v>23</v>
      </c>
      <c r="O1447" s="6" t="str">
        <f>SUMIFS([1]order_sku_sales_bb2_report!P:P,[1]order_sku_sales_bb2_report!H:H,C29274,[1]order_sku_sales_bb2_report!J:J,H29274)</f>
        <v>#ERROR!</v>
      </c>
      <c r="P1447" s="6" t="str">
        <f>SUMIFS([1]order_sku_sales_bb2_report!O:O,[1]order_sku_sales_bb2_report!H:H,C29274,[1]order_sku_sales_bb2_report!J:J,H29274)</f>
        <v>#ERROR!</v>
      </c>
      <c r="Q1447" s="6" t="str">
        <f t="shared" si="1"/>
        <v>22-12-2025</v>
      </c>
      <c r="R1447" s="6" t="str">
        <f>IFERROR( VLOOKUP(C29274,[1]expressOrderReport!$S:$AZ,34,0),0)</f>
        <v>#ERROR!</v>
      </c>
      <c r="S1447" s="6" t="str">
        <f>ARRAY_CONSTRAIN(ARRAYFORMULA(_xludf.XLOOKUP(D29274,[1]order_Report_SA_ID_BB2.0!V:V,[1]order_Report_SA_ID_BB2.0!AM:AM,"")), 1, 1)</f>
        <v>#ERROR!</v>
      </c>
      <c r="T1447" s="6" t="str">
        <f t="shared" si="2"/>
        <v>Dec'25</v>
      </c>
    </row>
    <row r="1448" ht="15.75" customHeight="1">
      <c r="A1448" s="5">
        <v>46013.0</v>
      </c>
      <c r="B1448" s="6">
        <v>11411.0</v>
      </c>
      <c r="C1448" s="6">
        <v>1.859167119E9</v>
      </c>
      <c r="D1448" s="6">
        <v>7898.0</v>
      </c>
      <c r="E1448" s="6" t="s">
        <v>2230</v>
      </c>
      <c r="F1448" s="6" t="s">
        <v>2231</v>
      </c>
      <c r="G1448" s="6">
        <v>9.880916383E9</v>
      </c>
      <c r="H1448" s="6">
        <v>4.0158264E7</v>
      </c>
      <c r="I1448" s="6" t="s">
        <v>26</v>
      </c>
      <c r="J1448" s="6" t="s">
        <v>21</v>
      </c>
      <c r="K1448" s="6" t="s">
        <v>22</v>
      </c>
      <c r="L1448" s="6">
        <v>70.0</v>
      </c>
      <c r="M1448" s="5">
        <v>46013.0</v>
      </c>
      <c r="N1448" s="6" t="s">
        <v>23</v>
      </c>
      <c r="O1448" s="6" t="str">
        <f>SUMIFS([1]order_sku_sales_bb2_report!P:P,[1]order_sku_sales_bb2_report!H:H,C29275,[1]order_sku_sales_bb2_report!J:J,H29275)</f>
        <v>#ERROR!</v>
      </c>
      <c r="P1448" s="6" t="str">
        <f>SUMIFS([1]order_sku_sales_bb2_report!O:O,[1]order_sku_sales_bb2_report!H:H,C29275,[1]order_sku_sales_bb2_report!J:J,H29275)</f>
        <v>#ERROR!</v>
      </c>
      <c r="Q1448" s="6" t="str">
        <f t="shared" si="1"/>
        <v>22-12-2025</v>
      </c>
      <c r="R1448" s="6" t="str">
        <f>IFERROR( VLOOKUP(C29275,[1]expressOrderReport!$S:$AZ,34,0),0)</f>
        <v>#ERROR!</v>
      </c>
      <c r="S1448" s="6" t="str">
        <f>ARRAY_CONSTRAIN(ARRAYFORMULA(_xludf.XLOOKUP(D29275,[1]order_Report_SA_ID_BB2.0!V:V,[1]order_Report_SA_ID_BB2.0!AM:AM,"")), 1, 1)</f>
        <v>#ERROR!</v>
      </c>
      <c r="T1448" s="6" t="str">
        <f t="shared" si="2"/>
        <v>Dec'25</v>
      </c>
    </row>
    <row r="1449" ht="15.75" customHeight="1">
      <c r="A1449" s="5">
        <v>46013.0</v>
      </c>
      <c r="B1449" s="6">
        <v>11412.0</v>
      </c>
      <c r="C1449" s="6">
        <v>1.859167119E9</v>
      </c>
      <c r="D1449" s="6">
        <v>7898.0</v>
      </c>
      <c r="E1449" s="6" t="s">
        <v>2230</v>
      </c>
      <c r="F1449" s="6" t="s">
        <v>2231</v>
      </c>
      <c r="G1449" s="6">
        <v>9.880916383E9</v>
      </c>
      <c r="H1449" s="6">
        <v>4.0149832E7</v>
      </c>
      <c r="I1449" s="6" t="s">
        <v>26</v>
      </c>
      <c r="J1449" s="6" t="s">
        <v>21</v>
      </c>
      <c r="K1449" s="6" t="s">
        <v>22</v>
      </c>
      <c r="L1449" s="6">
        <v>70.0</v>
      </c>
      <c r="M1449" s="5">
        <v>46013.0</v>
      </c>
      <c r="N1449" s="6" t="s">
        <v>23</v>
      </c>
      <c r="O1449" s="6" t="str">
        <f>SUMIFS([1]order_sku_sales_bb2_report!P:P,[1]order_sku_sales_bb2_report!H:H,C29276,[1]order_sku_sales_bb2_report!J:J,H29276)</f>
        <v>#ERROR!</v>
      </c>
      <c r="P1449" s="6" t="str">
        <f>SUMIFS([1]order_sku_sales_bb2_report!O:O,[1]order_sku_sales_bb2_report!H:H,C29276,[1]order_sku_sales_bb2_report!J:J,H29276)</f>
        <v>#ERROR!</v>
      </c>
      <c r="Q1449" s="6" t="str">
        <f t="shared" si="1"/>
        <v>22-12-2025</v>
      </c>
      <c r="R1449" s="6" t="str">
        <f>IFERROR( VLOOKUP(C29276,[1]expressOrderReport!$S:$AZ,34,0),0)</f>
        <v>#ERROR!</v>
      </c>
      <c r="S1449" s="6" t="str">
        <f>ARRAY_CONSTRAIN(ARRAYFORMULA(_xludf.XLOOKUP(D29276,[1]order_Report_SA_ID_BB2.0!V:V,[1]order_Report_SA_ID_BB2.0!AM:AM,"")), 1, 1)</f>
        <v>#ERROR!</v>
      </c>
      <c r="T1449" s="6" t="str">
        <f t="shared" si="2"/>
        <v>Dec'25</v>
      </c>
    </row>
    <row r="1450" ht="15.75" customHeight="1">
      <c r="A1450" s="5">
        <v>46013.0</v>
      </c>
      <c r="B1450" s="6">
        <v>5430.0</v>
      </c>
      <c r="C1450" s="6">
        <v>1.859167127E9</v>
      </c>
      <c r="D1450" s="6">
        <v>7040668.0</v>
      </c>
      <c r="E1450" s="6" t="s">
        <v>2232</v>
      </c>
      <c r="F1450" s="6" t="s">
        <v>2233</v>
      </c>
      <c r="G1450" s="6">
        <v>8.867457811E9</v>
      </c>
      <c r="H1450" s="6">
        <v>4.0149834E7</v>
      </c>
      <c r="I1450" s="6" t="s">
        <v>40</v>
      </c>
      <c r="J1450" s="6" t="s">
        <v>21</v>
      </c>
      <c r="K1450" s="6" t="s">
        <v>22</v>
      </c>
      <c r="L1450" s="6">
        <v>79.0</v>
      </c>
      <c r="M1450" s="5">
        <v>46013.0</v>
      </c>
      <c r="N1450" s="6" t="s">
        <v>23</v>
      </c>
      <c r="O1450" s="6" t="str">
        <f>SUMIFS([1]order_sku_sales_bb2_report!P:P,[1]order_sku_sales_bb2_report!H:H,C29277,[1]order_sku_sales_bb2_report!J:J,H29277)</f>
        <v>#ERROR!</v>
      </c>
      <c r="P1450" s="6" t="str">
        <f>SUMIFS([1]order_sku_sales_bb2_report!O:O,[1]order_sku_sales_bb2_report!H:H,C29277,[1]order_sku_sales_bb2_report!J:J,H29277)</f>
        <v>#ERROR!</v>
      </c>
      <c r="Q1450" s="6" t="str">
        <f t="shared" si="1"/>
        <v>22-12-2025</v>
      </c>
      <c r="R1450" s="6" t="str">
        <f>IFERROR( VLOOKUP(C29277,[1]expressOrderReport!$S:$AZ,34,0),0)</f>
        <v>#ERROR!</v>
      </c>
      <c r="S1450" s="6" t="str">
        <f>ARRAY_CONSTRAIN(ARRAYFORMULA(_xludf.XLOOKUP(D29277,[1]order_Report_SA_ID_BB2.0!V:V,[1]order_Report_SA_ID_BB2.0!AM:AM,"")), 1, 1)</f>
        <v>#ERROR!</v>
      </c>
      <c r="T1450" s="6" t="str">
        <f t="shared" si="2"/>
        <v>Dec'25</v>
      </c>
    </row>
    <row r="1451" ht="15.75" customHeight="1">
      <c r="A1451" s="5">
        <v>46013.0</v>
      </c>
      <c r="B1451" s="6">
        <v>5431.0</v>
      </c>
      <c r="C1451" s="6">
        <v>1.859167127E9</v>
      </c>
      <c r="D1451" s="6">
        <v>7040668.0</v>
      </c>
      <c r="E1451" s="6" t="s">
        <v>2232</v>
      </c>
      <c r="F1451" s="6" t="s">
        <v>2233</v>
      </c>
      <c r="G1451" s="6">
        <v>8.867457811E9</v>
      </c>
      <c r="H1451" s="6">
        <v>4.0149833E7</v>
      </c>
      <c r="I1451" s="6" t="s">
        <v>40</v>
      </c>
      <c r="J1451" s="6" t="s">
        <v>21</v>
      </c>
      <c r="K1451" s="6" t="s">
        <v>22</v>
      </c>
      <c r="L1451" s="6">
        <v>79.0</v>
      </c>
      <c r="M1451" s="5">
        <v>46013.0</v>
      </c>
      <c r="N1451" s="6" t="s">
        <v>23</v>
      </c>
      <c r="O1451" s="6" t="str">
        <f>SUMIFS([1]order_sku_sales_bb2_report!P:P,[1]order_sku_sales_bb2_report!H:H,C29278,[1]order_sku_sales_bb2_report!J:J,H29278)</f>
        <v>#ERROR!</v>
      </c>
      <c r="P1451" s="6" t="str">
        <f>SUMIFS([1]order_sku_sales_bb2_report!O:O,[1]order_sku_sales_bb2_report!H:H,C29278,[1]order_sku_sales_bb2_report!J:J,H29278)</f>
        <v>#ERROR!</v>
      </c>
      <c r="Q1451" s="6" t="str">
        <f t="shared" si="1"/>
        <v>22-12-2025</v>
      </c>
      <c r="R1451" s="6" t="str">
        <f>IFERROR( VLOOKUP(C29278,[1]expressOrderReport!$S:$AZ,34,0),0)</f>
        <v>#ERROR!</v>
      </c>
      <c r="S1451" s="6" t="str">
        <f>ARRAY_CONSTRAIN(ARRAYFORMULA(_xludf.XLOOKUP(D29278,[1]order_Report_SA_ID_BB2.0!V:V,[1]order_Report_SA_ID_BB2.0!AM:AM,"")), 1, 1)</f>
        <v>#ERROR!</v>
      </c>
      <c r="T1451" s="6" t="str">
        <f t="shared" si="2"/>
        <v>Dec'25</v>
      </c>
    </row>
    <row r="1452" ht="15.75" customHeight="1">
      <c r="A1452" s="5">
        <v>46013.0</v>
      </c>
      <c r="B1452" s="6">
        <v>8700.0</v>
      </c>
      <c r="C1452" s="6">
        <v>1.859167133E9</v>
      </c>
      <c r="D1452" s="6">
        <v>2.0042981E7</v>
      </c>
      <c r="E1452" s="6" t="s">
        <v>2234</v>
      </c>
      <c r="F1452" s="6" t="s">
        <v>2235</v>
      </c>
      <c r="G1452" s="6">
        <v>9.884427591E9</v>
      </c>
      <c r="H1452" s="6">
        <v>4.0149833E7</v>
      </c>
      <c r="I1452" s="6" t="s">
        <v>40</v>
      </c>
      <c r="J1452" s="6" t="s">
        <v>21</v>
      </c>
      <c r="K1452" s="6" t="s">
        <v>27</v>
      </c>
      <c r="L1452" s="6">
        <v>27.0</v>
      </c>
      <c r="M1452" s="5">
        <v>46013.0</v>
      </c>
      <c r="N1452" s="6" t="s">
        <v>23</v>
      </c>
      <c r="O1452" s="6" t="str">
        <f>SUMIFS([1]order_sku_sales_bb2_report!P:P,[1]order_sku_sales_bb2_report!H:H,C29279,[1]order_sku_sales_bb2_report!J:J,H29279)</f>
        <v>#ERROR!</v>
      </c>
      <c r="P1452" s="6" t="str">
        <f>SUMIFS([1]order_sku_sales_bb2_report!O:O,[1]order_sku_sales_bb2_report!H:H,C29279,[1]order_sku_sales_bb2_report!J:J,H29279)</f>
        <v>#ERROR!</v>
      </c>
      <c r="Q1452" s="6" t="str">
        <f t="shared" si="1"/>
        <v>22-12-2025</v>
      </c>
      <c r="R1452" s="6" t="str">
        <f>IFERROR( VLOOKUP(C29279,[1]expressOrderReport!$S:$AZ,34,0),0)</f>
        <v>#ERROR!</v>
      </c>
      <c r="S1452" s="6" t="str">
        <f>ARRAY_CONSTRAIN(ARRAYFORMULA(_xludf.XLOOKUP(D29279,[1]order_Report_SA_ID_BB2.0!V:V,[1]order_Report_SA_ID_BB2.0!AM:AM,"")), 1, 1)</f>
        <v>#ERROR!</v>
      </c>
      <c r="T1452" s="6" t="str">
        <f t="shared" si="2"/>
        <v>Dec'25</v>
      </c>
    </row>
    <row r="1453" ht="15.75" customHeight="1">
      <c r="A1453" s="5">
        <v>46013.0</v>
      </c>
      <c r="B1453" s="6">
        <v>9032.0</v>
      </c>
      <c r="C1453" s="6">
        <v>1.859167137E9</v>
      </c>
      <c r="D1453" s="6">
        <v>9858142.0</v>
      </c>
      <c r="E1453" s="6" t="s">
        <v>2236</v>
      </c>
      <c r="F1453" s="6" t="s">
        <v>2237</v>
      </c>
      <c r="G1453" s="6">
        <v>9.632928087E9</v>
      </c>
      <c r="H1453" s="6">
        <v>4.0161616E7</v>
      </c>
      <c r="I1453" s="6" t="s">
        <v>20</v>
      </c>
      <c r="J1453" s="6" t="s">
        <v>21</v>
      </c>
      <c r="K1453" s="6" t="s">
        <v>22</v>
      </c>
      <c r="L1453" s="6">
        <v>84.0</v>
      </c>
      <c r="M1453" s="5">
        <v>46013.0</v>
      </c>
      <c r="N1453" s="6" t="s">
        <v>23</v>
      </c>
      <c r="O1453" s="6" t="str">
        <f>SUMIFS([1]order_sku_sales_bb2_report!P:P,[1]order_sku_sales_bb2_report!H:H,C29280,[1]order_sku_sales_bb2_report!J:J,H29280)</f>
        <v>#ERROR!</v>
      </c>
      <c r="P1453" s="6" t="str">
        <f>SUMIFS([1]order_sku_sales_bb2_report!O:O,[1]order_sku_sales_bb2_report!H:H,C29280,[1]order_sku_sales_bb2_report!J:J,H29280)</f>
        <v>#ERROR!</v>
      </c>
      <c r="Q1453" s="6" t="str">
        <f t="shared" si="1"/>
        <v>22-12-2025</v>
      </c>
      <c r="R1453" s="6" t="str">
        <f>IFERROR( VLOOKUP(C29280,[1]expressOrderReport!$S:$AZ,34,0),0)</f>
        <v>#ERROR!</v>
      </c>
      <c r="S1453" s="6" t="str">
        <f>ARRAY_CONSTRAIN(ARRAYFORMULA(_xludf.XLOOKUP(D29280,[1]order_Report_SA_ID_BB2.0!V:V,[1]order_Report_SA_ID_BB2.0!AM:AM,"")), 1, 1)</f>
        <v>#ERROR!</v>
      </c>
      <c r="T1453" s="6" t="str">
        <f t="shared" si="2"/>
        <v>Dec'25</v>
      </c>
    </row>
    <row r="1454" ht="15.75" customHeight="1">
      <c r="A1454" s="5">
        <v>46013.0</v>
      </c>
      <c r="B1454" s="6">
        <v>1244.0</v>
      </c>
      <c r="C1454" s="6">
        <v>1.859167249E9</v>
      </c>
      <c r="D1454" s="6">
        <v>1.9544994E7</v>
      </c>
      <c r="E1454" s="6" t="s">
        <v>2238</v>
      </c>
      <c r="F1454" s="6" t="s">
        <v>2239</v>
      </c>
      <c r="G1454" s="6">
        <v>8.08469557E9</v>
      </c>
      <c r="H1454" s="6">
        <v>4.0149832E7</v>
      </c>
      <c r="I1454" s="6" t="s">
        <v>26</v>
      </c>
      <c r="J1454" s="6" t="s">
        <v>21</v>
      </c>
      <c r="K1454" s="6" t="s">
        <v>22</v>
      </c>
      <c r="L1454" s="6">
        <v>24.0</v>
      </c>
      <c r="M1454" s="5">
        <v>46013.0</v>
      </c>
      <c r="N1454" s="6" t="s">
        <v>23</v>
      </c>
      <c r="O1454" s="6" t="str">
        <f>SUMIFS([1]order_sku_sales_bb2_report!P:P,[1]order_sku_sales_bb2_report!H:H,C29281,[1]order_sku_sales_bb2_report!J:J,H29281)</f>
        <v>#ERROR!</v>
      </c>
      <c r="P1454" s="6" t="str">
        <f>SUMIFS([1]order_sku_sales_bb2_report!O:O,[1]order_sku_sales_bb2_report!H:H,C29281,[1]order_sku_sales_bb2_report!J:J,H29281)</f>
        <v>#ERROR!</v>
      </c>
      <c r="Q1454" s="6" t="str">
        <f t="shared" si="1"/>
        <v>22-12-2025</v>
      </c>
      <c r="R1454" s="6" t="str">
        <f>IFERROR( VLOOKUP(C29281,[1]expressOrderReport!$S:$AZ,34,0),0)</f>
        <v>#ERROR!</v>
      </c>
      <c r="S1454" s="6" t="str">
        <f>ARRAY_CONSTRAIN(ARRAYFORMULA(_xludf.XLOOKUP(D29281,[1]order_Report_SA_ID_BB2.0!V:V,[1]order_Report_SA_ID_BB2.0!AM:AM,"")), 1, 1)</f>
        <v>#ERROR!</v>
      </c>
      <c r="T1454" s="6" t="str">
        <f t="shared" si="2"/>
        <v>Dec'25</v>
      </c>
    </row>
    <row r="1455" ht="15.75" customHeight="1">
      <c r="A1455" s="5">
        <v>46013.0</v>
      </c>
      <c r="B1455" s="6">
        <v>5854.0</v>
      </c>
      <c r="C1455" s="6">
        <v>1.859167253E9</v>
      </c>
      <c r="D1455" s="6">
        <v>444994.0</v>
      </c>
      <c r="E1455" s="6" t="s">
        <v>2240</v>
      </c>
      <c r="F1455" s="6" t="s">
        <v>2241</v>
      </c>
      <c r="G1455" s="6">
        <v>9.740981009E9</v>
      </c>
      <c r="H1455" s="6">
        <v>4.0149833E7</v>
      </c>
      <c r="I1455" s="6" t="s">
        <v>40</v>
      </c>
      <c r="J1455" s="6" t="s">
        <v>21</v>
      </c>
      <c r="K1455" s="6" t="s">
        <v>22</v>
      </c>
      <c r="L1455" s="6">
        <v>27.0</v>
      </c>
      <c r="M1455" s="5">
        <v>46013.0</v>
      </c>
      <c r="N1455" s="6" t="s">
        <v>23</v>
      </c>
      <c r="O1455" s="6" t="str">
        <f>SUMIFS([1]order_sku_sales_bb2_report!P:P,[1]order_sku_sales_bb2_report!H:H,C29282,[1]order_sku_sales_bb2_report!J:J,H29282)</f>
        <v>#ERROR!</v>
      </c>
      <c r="P1455" s="6" t="str">
        <f>SUMIFS([1]order_sku_sales_bb2_report!O:O,[1]order_sku_sales_bb2_report!H:H,C29282,[1]order_sku_sales_bb2_report!J:J,H29282)</f>
        <v>#ERROR!</v>
      </c>
      <c r="Q1455" s="6" t="str">
        <f t="shared" si="1"/>
        <v>22-12-2025</v>
      </c>
      <c r="R1455" s="6" t="str">
        <f>IFERROR( VLOOKUP(C29282,[1]expressOrderReport!$S:$AZ,34,0),0)</f>
        <v>#ERROR!</v>
      </c>
      <c r="S1455" s="6" t="str">
        <f>ARRAY_CONSTRAIN(ARRAYFORMULA(_xludf.XLOOKUP(D29282,[1]order_Report_SA_ID_BB2.0!V:V,[1]order_Report_SA_ID_BB2.0!AM:AM,"")), 1, 1)</f>
        <v>#ERROR!</v>
      </c>
      <c r="T1455" s="6" t="str">
        <f t="shared" si="2"/>
        <v>Dec'25</v>
      </c>
    </row>
    <row r="1456" ht="15.75" customHeight="1">
      <c r="A1456" s="5">
        <v>46013.0</v>
      </c>
      <c r="B1456" s="6">
        <v>1792.0</v>
      </c>
      <c r="C1456" s="6">
        <v>1.85916726E9</v>
      </c>
      <c r="D1456" s="6">
        <v>4459.0</v>
      </c>
      <c r="E1456" s="6" t="s">
        <v>2242</v>
      </c>
      <c r="F1456" s="6" t="s">
        <v>2243</v>
      </c>
      <c r="G1456" s="6">
        <v>7.899151996E9</v>
      </c>
      <c r="H1456" s="6">
        <v>4.0148723E7</v>
      </c>
      <c r="I1456" s="6" t="s">
        <v>69</v>
      </c>
      <c r="J1456" s="6" t="s">
        <v>21</v>
      </c>
      <c r="K1456" s="6" t="s">
        <v>22</v>
      </c>
      <c r="L1456" s="6">
        <v>84.0</v>
      </c>
      <c r="M1456" s="5">
        <v>46013.0</v>
      </c>
      <c r="N1456" s="6" t="s">
        <v>23</v>
      </c>
      <c r="O1456" s="6" t="str">
        <f>SUMIFS([1]order_sku_sales_bb2_report!P:P,[1]order_sku_sales_bb2_report!H:H,C29283,[1]order_sku_sales_bb2_report!J:J,H29283)</f>
        <v>#ERROR!</v>
      </c>
      <c r="P1456" s="6" t="str">
        <f>SUMIFS([1]order_sku_sales_bb2_report!O:O,[1]order_sku_sales_bb2_report!H:H,C29283,[1]order_sku_sales_bb2_report!J:J,H29283)</f>
        <v>#ERROR!</v>
      </c>
      <c r="Q1456" s="6" t="str">
        <f t="shared" si="1"/>
        <v>22-12-2025</v>
      </c>
      <c r="R1456" s="6" t="str">
        <f>IFERROR( VLOOKUP(C29283,[1]expressOrderReport!$S:$AZ,34,0),0)</f>
        <v>#ERROR!</v>
      </c>
      <c r="S1456" s="6" t="str">
        <f>ARRAY_CONSTRAIN(ARRAYFORMULA(_xludf.XLOOKUP(D29283,[1]order_Report_SA_ID_BB2.0!V:V,[1]order_Report_SA_ID_BB2.0!AM:AM,"")), 1, 1)</f>
        <v>#ERROR!</v>
      </c>
      <c r="T1456" s="6" t="str">
        <f t="shared" si="2"/>
        <v>Dec'25</v>
      </c>
    </row>
    <row r="1457" ht="15.75" customHeight="1">
      <c r="A1457" s="5">
        <v>46013.0</v>
      </c>
      <c r="B1457" s="6">
        <v>4496.0</v>
      </c>
      <c r="C1457" s="6">
        <v>1.859167264E9</v>
      </c>
      <c r="D1457" s="6">
        <v>1229973.0</v>
      </c>
      <c r="E1457" s="6" t="s">
        <v>2244</v>
      </c>
      <c r="F1457" s="6" t="s">
        <v>2245</v>
      </c>
      <c r="G1457" s="6">
        <v>9.742147385E9</v>
      </c>
      <c r="H1457" s="6">
        <v>4.0149832E7</v>
      </c>
      <c r="I1457" s="6" t="s">
        <v>26</v>
      </c>
      <c r="J1457" s="6" t="s">
        <v>21</v>
      </c>
      <c r="K1457" s="6" t="s">
        <v>22</v>
      </c>
      <c r="L1457" s="6">
        <v>76.0</v>
      </c>
      <c r="M1457" s="5">
        <v>46013.0</v>
      </c>
      <c r="N1457" s="6" t="s">
        <v>23</v>
      </c>
      <c r="O1457" s="6" t="str">
        <f>SUMIFS([1]order_sku_sales_bb2_report!P:P,[1]order_sku_sales_bb2_report!H:H,C29284,[1]order_sku_sales_bb2_report!J:J,H29284)</f>
        <v>#ERROR!</v>
      </c>
      <c r="P1457" s="6" t="str">
        <f>SUMIFS([1]order_sku_sales_bb2_report!O:O,[1]order_sku_sales_bb2_report!H:H,C29284,[1]order_sku_sales_bb2_report!J:J,H29284)</f>
        <v>#ERROR!</v>
      </c>
      <c r="Q1457" s="6" t="str">
        <f t="shared" si="1"/>
        <v>22-12-2025</v>
      </c>
      <c r="R1457" s="6" t="str">
        <f>IFERROR( VLOOKUP(C29284,[1]expressOrderReport!$S:$AZ,34,0),0)</f>
        <v>#ERROR!</v>
      </c>
      <c r="S1457" s="6" t="str">
        <f>ARRAY_CONSTRAIN(ARRAYFORMULA(_xludf.XLOOKUP(D29284,[1]order_Report_SA_ID_BB2.0!V:V,[1]order_Report_SA_ID_BB2.0!AM:AM,"")), 1, 1)</f>
        <v>#ERROR!</v>
      </c>
      <c r="T1457" s="6" t="str">
        <f t="shared" si="2"/>
        <v>Dec'25</v>
      </c>
    </row>
    <row r="1458" ht="15.75" customHeight="1">
      <c r="A1458" s="5">
        <v>46013.0</v>
      </c>
      <c r="B1458" s="6">
        <v>4497.0</v>
      </c>
      <c r="C1458" s="6">
        <v>1.859167264E9</v>
      </c>
      <c r="D1458" s="6">
        <v>1229973.0</v>
      </c>
      <c r="E1458" s="6" t="s">
        <v>2244</v>
      </c>
      <c r="F1458" s="6" t="s">
        <v>2245</v>
      </c>
      <c r="G1458" s="6">
        <v>9.742147385E9</v>
      </c>
      <c r="H1458" s="6">
        <v>4.014983E7</v>
      </c>
      <c r="I1458" s="6" t="s">
        <v>30</v>
      </c>
      <c r="J1458" s="6" t="s">
        <v>21</v>
      </c>
      <c r="K1458" s="6" t="s">
        <v>22</v>
      </c>
      <c r="L1458" s="6">
        <v>76.0</v>
      </c>
      <c r="M1458" s="5">
        <v>46013.0</v>
      </c>
      <c r="N1458" s="6" t="s">
        <v>23</v>
      </c>
      <c r="O1458" s="6" t="str">
        <f>SUMIFS([1]order_sku_sales_bb2_report!P:P,[1]order_sku_sales_bb2_report!H:H,C29285,[1]order_sku_sales_bb2_report!J:J,H29285)</f>
        <v>#ERROR!</v>
      </c>
      <c r="P1458" s="6" t="str">
        <f>SUMIFS([1]order_sku_sales_bb2_report!O:O,[1]order_sku_sales_bb2_report!H:H,C29285,[1]order_sku_sales_bb2_report!J:J,H29285)</f>
        <v>#ERROR!</v>
      </c>
      <c r="Q1458" s="6" t="str">
        <f t="shared" si="1"/>
        <v>22-12-2025</v>
      </c>
      <c r="R1458" s="6" t="str">
        <f>IFERROR( VLOOKUP(C29285,[1]expressOrderReport!$S:$AZ,34,0),0)</f>
        <v>#ERROR!</v>
      </c>
      <c r="S1458" s="6" t="str">
        <f>ARRAY_CONSTRAIN(ARRAYFORMULA(_xludf.XLOOKUP(D29285,[1]order_Report_SA_ID_BB2.0!V:V,[1]order_Report_SA_ID_BB2.0!AM:AM,"")), 1, 1)</f>
        <v>#ERROR!</v>
      </c>
      <c r="T1458" s="6" t="str">
        <f t="shared" si="2"/>
        <v>Dec'25</v>
      </c>
    </row>
    <row r="1459" ht="15.75" customHeight="1">
      <c r="A1459" s="5">
        <v>46013.0</v>
      </c>
      <c r="B1459" s="6">
        <v>10284.0</v>
      </c>
      <c r="C1459" s="6">
        <v>1.859167269E9</v>
      </c>
      <c r="D1459" s="6">
        <v>1.7385942E7</v>
      </c>
      <c r="E1459" s="6" t="s">
        <v>2246</v>
      </c>
      <c r="F1459" s="6" t="s">
        <v>2247</v>
      </c>
      <c r="G1459" s="6">
        <v>9.713349773E9</v>
      </c>
      <c r="H1459" s="6">
        <v>4.0148684E7</v>
      </c>
      <c r="I1459" s="6" t="s">
        <v>180</v>
      </c>
      <c r="J1459" s="6" t="s">
        <v>21</v>
      </c>
      <c r="K1459" s="6" t="s">
        <v>22</v>
      </c>
      <c r="L1459" s="6">
        <v>36.0</v>
      </c>
      <c r="M1459" s="5">
        <v>46013.0</v>
      </c>
      <c r="N1459" s="6" t="s">
        <v>23</v>
      </c>
      <c r="O1459" s="6" t="str">
        <f>SUMIFS([1]order_sku_sales_bb2_report!P:P,[1]order_sku_sales_bb2_report!H:H,C29287,[1]order_sku_sales_bb2_report!J:J,H29287)</f>
        <v>#ERROR!</v>
      </c>
      <c r="P1459" s="6" t="str">
        <f>SUMIFS([1]order_sku_sales_bb2_report!O:O,[1]order_sku_sales_bb2_report!H:H,C29287,[1]order_sku_sales_bb2_report!J:J,H29287)</f>
        <v>#ERROR!</v>
      </c>
      <c r="Q1459" s="6" t="str">
        <f t="shared" si="1"/>
        <v>22-12-2025</v>
      </c>
      <c r="R1459" s="6" t="str">
        <f>IFERROR( VLOOKUP(C29287,[1]expressOrderReport!$S:$AZ,34,0),0)</f>
        <v>#ERROR!</v>
      </c>
      <c r="S1459" s="6" t="str">
        <f>ARRAY_CONSTRAIN(ARRAYFORMULA(_xludf.XLOOKUP(D29287,[1]order_Report_SA_ID_BB2.0!V:V,[1]order_Report_SA_ID_BB2.0!AM:AM,"")), 1, 1)</f>
        <v>#ERROR!</v>
      </c>
      <c r="T1459" s="6" t="str">
        <f t="shared" si="2"/>
        <v>Dec'25</v>
      </c>
    </row>
    <row r="1460" ht="15.75" customHeight="1">
      <c r="A1460" s="5">
        <v>46013.0</v>
      </c>
      <c r="B1460" s="6">
        <v>7929.0</v>
      </c>
      <c r="C1460" s="6">
        <v>1.859167275E9</v>
      </c>
      <c r="D1460" s="6">
        <v>1.4422915E7</v>
      </c>
      <c r="E1460" s="6" t="s">
        <v>2248</v>
      </c>
      <c r="F1460" s="6" t="s">
        <v>2249</v>
      </c>
      <c r="G1460" s="6">
        <v>9.658317233E9</v>
      </c>
      <c r="H1460" s="6">
        <v>4.0149831E7</v>
      </c>
      <c r="I1460" s="6" t="s">
        <v>65</v>
      </c>
      <c r="J1460" s="6" t="s">
        <v>21</v>
      </c>
      <c r="K1460" s="6" t="s">
        <v>22</v>
      </c>
      <c r="L1460" s="6">
        <v>52.0</v>
      </c>
      <c r="M1460" s="5">
        <v>46013.0</v>
      </c>
      <c r="N1460" s="6" t="s">
        <v>23</v>
      </c>
      <c r="O1460" s="6" t="str">
        <f>SUMIFS([1]order_sku_sales_bb2_report!P:P,[1]order_sku_sales_bb2_report!H:H,C29288,[1]order_sku_sales_bb2_report!J:J,H29288)</f>
        <v>#ERROR!</v>
      </c>
      <c r="P1460" s="6" t="str">
        <f>SUMIFS([1]order_sku_sales_bb2_report!O:O,[1]order_sku_sales_bb2_report!H:H,C29288,[1]order_sku_sales_bb2_report!J:J,H29288)</f>
        <v>#ERROR!</v>
      </c>
      <c r="Q1460" s="6" t="str">
        <f t="shared" si="1"/>
        <v>22-12-2025</v>
      </c>
      <c r="R1460" s="6" t="str">
        <f>IFERROR( VLOOKUP(C29288,[1]expressOrderReport!$S:$AZ,34,0),0)</f>
        <v>#ERROR!</v>
      </c>
      <c r="S1460" s="6" t="str">
        <f>ARRAY_CONSTRAIN(ARRAYFORMULA(_xludf.XLOOKUP(D29288,[1]order_Report_SA_ID_BB2.0!V:V,[1]order_Report_SA_ID_BB2.0!AM:AM,"")), 1, 1)</f>
        <v>#ERROR!</v>
      </c>
      <c r="T1460" s="6" t="str">
        <f t="shared" si="2"/>
        <v>Dec'25</v>
      </c>
    </row>
    <row r="1461" ht="15.75" customHeight="1">
      <c r="A1461" s="5">
        <v>46013.0</v>
      </c>
      <c r="B1461" s="6">
        <v>2422.0</v>
      </c>
      <c r="C1461" s="6">
        <v>1.859167283E9</v>
      </c>
      <c r="D1461" s="6">
        <v>3079819.0</v>
      </c>
      <c r="E1461" s="6" t="s">
        <v>2250</v>
      </c>
      <c r="F1461" s="6" t="s">
        <v>2251</v>
      </c>
      <c r="G1461" s="6">
        <v>9.972558933E9</v>
      </c>
      <c r="H1461" s="6">
        <v>4.0149833E7</v>
      </c>
      <c r="I1461" s="6" t="s">
        <v>40</v>
      </c>
      <c r="J1461" s="6" t="s">
        <v>21</v>
      </c>
      <c r="K1461" s="6" t="s">
        <v>22</v>
      </c>
      <c r="L1461" s="6">
        <v>27.0</v>
      </c>
      <c r="M1461" s="5">
        <v>46013.0</v>
      </c>
      <c r="N1461" s="6" t="s">
        <v>23</v>
      </c>
      <c r="O1461" s="6" t="str">
        <f>SUMIFS([1]order_sku_sales_bb2_report!P:P,[1]order_sku_sales_bb2_report!H:H,C29290,[1]order_sku_sales_bb2_report!J:J,H29290)</f>
        <v>#ERROR!</v>
      </c>
      <c r="P1461" s="6" t="str">
        <f>SUMIFS([1]order_sku_sales_bb2_report!O:O,[1]order_sku_sales_bb2_report!H:H,C29290,[1]order_sku_sales_bb2_report!J:J,H29290)</f>
        <v>#ERROR!</v>
      </c>
      <c r="Q1461" s="6" t="str">
        <f t="shared" si="1"/>
        <v>22-12-2025</v>
      </c>
      <c r="R1461" s="6" t="str">
        <f>IFERROR( VLOOKUP(C29290,[1]expressOrderReport!$S:$AZ,34,0),0)</f>
        <v>#ERROR!</v>
      </c>
      <c r="S1461" s="6" t="str">
        <f>ARRAY_CONSTRAIN(ARRAYFORMULA(_xludf.XLOOKUP(D29290,[1]order_Report_SA_ID_BB2.0!V:V,[1]order_Report_SA_ID_BB2.0!AM:AM,"")), 1, 1)</f>
        <v>#ERROR!</v>
      </c>
      <c r="T1461" s="6" t="str">
        <f t="shared" si="2"/>
        <v>Dec'25</v>
      </c>
    </row>
    <row r="1462" ht="15.75" customHeight="1">
      <c r="A1462" s="5">
        <v>46013.0</v>
      </c>
      <c r="B1462" s="6">
        <v>11167.0</v>
      </c>
      <c r="C1462" s="6">
        <v>1.859167287E9</v>
      </c>
      <c r="D1462" s="6">
        <v>1.4346985E7</v>
      </c>
      <c r="E1462" s="6" t="s">
        <v>2252</v>
      </c>
      <c r="F1462" s="6" t="s">
        <v>2253</v>
      </c>
      <c r="G1462" s="6">
        <v>7.607768798E9</v>
      </c>
      <c r="H1462" s="6">
        <v>4.0149832E7</v>
      </c>
      <c r="I1462" s="6" t="s">
        <v>26</v>
      </c>
      <c r="J1462" s="6" t="s">
        <v>21</v>
      </c>
      <c r="K1462" s="6" t="s">
        <v>22</v>
      </c>
      <c r="L1462" s="6">
        <v>24.0</v>
      </c>
      <c r="M1462" s="5">
        <v>46013.0</v>
      </c>
      <c r="N1462" s="6" t="s">
        <v>23</v>
      </c>
      <c r="O1462" s="6" t="str">
        <f>SUMIFS([1]order_sku_sales_bb2_report!P:P,[1]order_sku_sales_bb2_report!H:H,C29291,[1]order_sku_sales_bb2_report!J:J,H29291)</f>
        <v>#ERROR!</v>
      </c>
      <c r="P1462" s="6" t="str">
        <f>SUMIFS([1]order_sku_sales_bb2_report!O:O,[1]order_sku_sales_bb2_report!H:H,C29291,[1]order_sku_sales_bb2_report!J:J,H29291)</f>
        <v>#ERROR!</v>
      </c>
      <c r="Q1462" s="6" t="str">
        <f t="shared" si="1"/>
        <v>22-12-2025</v>
      </c>
      <c r="R1462" s="6" t="str">
        <f>IFERROR( VLOOKUP(C29291,[1]expressOrderReport!$S:$AZ,34,0),0)</f>
        <v>#ERROR!</v>
      </c>
      <c r="S1462" s="6" t="str">
        <f>ARRAY_CONSTRAIN(ARRAYFORMULA(_xludf.XLOOKUP(D29291,[1]order_Report_SA_ID_BB2.0!V:V,[1]order_Report_SA_ID_BB2.0!AM:AM,"")), 1, 1)</f>
        <v>#ERROR!</v>
      </c>
      <c r="T1462" s="6" t="str">
        <f t="shared" si="2"/>
        <v>Dec'25</v>
      </c>
    </row>
    <row r="1463" ht="15.75" customHeight="1">
      <c r="A1463" s="5">
        <v>46013.0</v>
      </c>
      <c r="B1463" s="6">
        <v>8941.0</v>
      </c>
      <c r="C1463" s="6">
        <v>1.859167292E9</v>
      </c>
      <c r="D1463" s="6">
        <v>1.6249516E7</v>
      </c>
      <c r="E1463" s="6" t="s">
        <v>2254</v>
      </c>
      <c r="F1463" s="6" t="s">
        <v>2255</v>
      </c>
      <c r="G1463" s="6">
        <v>7.875050953E9</v>
      </c>
      <c r="H1463" s="6">
        <v>4.0148723E7</v>
      </c>
      <c r="I1463" s="6" t="s">
        <v>69</v>
      </c>
      <c r="J1463" s="6" t="s">
        <v>21</v>
      </c>
      <c r="K1463" s="6" t="s">
        <v>22</v>
      </c>
      <c r="L1463" s="6">
        <v>94.0</v>
      </c>
      <c r="M1463" s="5">
        <v>46013.0</v>
      </c>
      <c r="N1463" s="6" t="s">
        <v>23</v>
      </c>
      <c r="O1463" s="6" t="str">
        <f>SUMIFS([1]order_sku_sales_bb2_report!P:P,[1]order_sku_sales_bb2_report!H:H,C29292,[1]order_sku_sales_bb2_report!J:J,H29292)</f>
        <v>#ERROR!</v>
      </c>
      <c r="P1463" s="6" t="str">
        <f>SUMIFS([1]order_sku_sales_bb2_report!O:O,[1]order_sku_sales_bb2_report!H:H,C29292,[1]order_sku_sales_bb2_report!J:J,H29292)</f>
        <v>#ERROR!</v>
      </c>
      <c r="Q1463" s="6" t="str">
        <f t="shared" si="1"/>
        <v>22-12-2025</v>
      </c>
      <c r="R1463" s="6" t="str">
        <f>IFERROR( VLOOKUP(C29292,[1]expressOrderReport!$S:$AZ,34,0),0)</f>
        <v>#ERROR!</v>
      </c>
      <c r="S1463" s="6" t="str">
        <f>ARRAY_CONSTRAIN(ARRAYFORMULA(_xludf.XLOOKUP(D29292,[1]order_Report_SA_ID_BB2.0!V:V,[1]order_Report_SA_ID_BB2.0!AM:AM,"")), 1, 1)</f>
        <v>#ERROR!</v>
      </c>
      <c r="T1463" s="6" t="str">
        <f t="shared" si="2"/>
        <v>Dec'25</v>
      </c>
    </row>
    <row r="1464" ht="15.75" customHeight="1">
      <c r="A1464" s="5">
        <v>46013.0</v>
      </c>
      <c r="B1464" s="6">
        <v>10970.0</v>
      </c>
      <c r="C1464" s="6">
        <v>1.859167292E9</v>
      </c>
      <c r="D1464" s="6">
        <v>1.6249516E7</v>
      </c>
      <c r="E1464" s="6" t="s">
        <v>2254</v>
      </c>
      <c r="F1464" s="6" t="s">
        <v>2255</v>
      </c>
      <c r="G1464" s="6">
        <v>7.875050953E9</v>
      </c>
      <c r="H1464" s="6">
        <v>4.0149831E7</v>
      </c>
      <c r="I1464" s="6" t="s">
        <v>65</v>
      </c>
      <c r="J1464" s="6" t="s">
        <v>21</v>
      </c>
      <c r="K1464" s="6" t="s">
        <v>22</v>
      </c>
      <c r="L1464" s="6">
        <v>94.0</v>
      </c>
      <c r="M1464" s="5">
        <v>46013.0</v>
      </c>
      <c r="N1464" s="6" t="s">
        <v>23</v>
      </c>
      <c r="O1464" s="6" t="str">
        <f>SUMIFS([1]order_sku_sales_bb2_report!P:P,[1]order_sku_sales_bb2_report!H:H,C29293,[1]order_sku_sales_bb2_report!J:J,H29293)</f>
        <v>#ERROR!</v>
      </c>
      <c r="P1464" s="6" t="str">
        <f>SUMIFS([1]order_sku_sales_bb2_report!O:O,[1]order_sku_sales_bb2_report!H:H,C29293,[1]order_sku_sales_bb2_report!J:J,H29293)</f>
        <v>#ERROR!</v>
      </c>
      <c r="Q1464" s="6" t="str">
        <f t="shared" si="1"/>
        <v>22-12-2025</v>
      </c>
      <c r="R1464" s="6" t="str">
        <f>IFERROR( VLOOKUP(C29293,[1]expressOrderReport!$S:$AZ,34,0),0)</f>
        <v>#ERROR!</v>
      </c>
      <c r="S1464" s="6" t="str">
        <f>ARRAY_CONSTRAIN(ARRAYFORMULA(_xludf.XLOOKUP(D29293,[1]order_Report_SA_ID_BB2.0!V:V,[1]order_Report_SA_ID_BB2.0!AM:AM,"")), 1, 1)</f>
        <v>#ERROR!</v>
      </c>
      <c r="T1464" s="6" t="str">
        <f t="shared" si="2"/>
        <v>Dec'25</v>
      </c>
    </row>
    <row r="1465" ht="15.75" customHeight="1">
      <c r="A1465" s="5">
        <v>46013.0</v>
      </c>
      <c r="B1465" s="6">
        <v>10449.0</v>
      </c>
      <c r="C1465" s="6">
        <v>1.859164826E9</v>
      </c>
      <c r="D1465" s="6">
        <v>2207454.0</v>
      </c>
      <c r="E1465" s="6" t="s">
        <v>2256</v>
      </c>
      <c r="F1465" s="6" t="s">
        <v>2257</v>
      </c>
      <c r="G1465" s="6">
        <v>8.758695188E9</v>
      </c>
      <c r="H1465" s="6">
        <v>4.0147597E7</v>
      </c>
      <c r="I1465" s="6" t="s">
        <v>59</v>
      </c>
      <c r="J1465" s="6" t="s">
        <v>21</v>
      </c>
      <c r="K1465" s="6" t="s">
        <v>22</v>
      </c>
      <c r="L1465" s="6">
        <v>52.0</v>
      </c>
      <c r="M1465" s="5">
        <v>46013.0</v>
      </c>
      <c r="N1465" s="6" t="s">
        <v>23</v>
      </c>
      <c r="O1465" s="6" t="str">
        <f>SUMIFS([1]order_sku_sales_bb2_report!P:P,[1]order_sku_sales_bb2_report!H:H,C29294,[1]order_sku_sales_bb2_report!J:J,H29294)</f>
        <v>#ERROR!</v>
      </c>
      <c r="P1465" s="6" t="str">
        <f>SUMIFS([1]order_sku_sales_bb2_report!O:O,[1]order_sku_sales_bb2_report!H:H,C29294,[1]order_sku_sales_bb2_report!J:J,H29294)</f>
        <v>#ERROR!</v>
      </c>
      <c r="Q1465" s="6" t="str">
        <f t="shared" si="1"/>
        <v>22-12-2025</v>
      </c>
      <c r="R1465" s="6" t="str">
        <f>IFERROR( VLOOKUP(C29294,[1]expressOrderReport!$S:$AZ,34,0),0)</f>
        <v>#ERROR!</v>
      </c>
      <c r="S1465" s="6" t="str">
        <f>ARRAY_CONSTRAIN(ARRAYFORMULA(_xludf.XLOOKUP(D29294,[1]order_Report_SA_ID_BB2.0!V:V,[1]order_Report_SA_ID_BB2.0!AM:AM,"")), 1, 1)</f>
        <v>#ERROR!</v>
      </c>
      <c r="T1465" s="6" t="str">
        <f t="shared" si="2"/>
        <v>Dec'25</v>
      </c>
    </row>
    <row r="1466" ht="15.75" customHeight="1">
      <c r="A1466" s="5">
        <v>46013.0</v>
      </c>
      <c r="B1466" s="6">
        <v>9278.0</v>
      </c>
      <c r="C1466" s="6">
        <v>1.859164831E9</v>
      </c>
      <c r="D1466" s="6">
        <v>2782478.0</v>
      </c>
      <c r="E1466" s="6" t="s">
        <v>2258</v>
      </c>
      <c r="F1466" s="6" t="s">
        <v>2259</v>
      </c>
      <c r="G1466" s="6">
        <v>9.820633555E9</v>
      </c>
      <c r="H1466" s="6">
        <v>4.0149833E7</v>
      </c>
      <c r="I1466" s="6" t="s">
        <v>40</v>
      </c>
      <c r="J1466" s="6" t="s">
        <v>21</v>
      </c>
      <c r="K1466" s="6" t="s">
        <v>22</v>
      </c>
      <c r="L1466" s="6">
        <v>161.0</v>
      </c>
      <c r="M1466" s="5">
        <v>46013.0</v>
      </c>
      <c r="N1466" s="6" t="s">
        <v>23</v>
      </c>
      <c r="O1466" s="6" t="str">
        <f>SUMIFS([1]order_sku_sales_bb2_report!P:P,[1]order_sku_sales_bb2_report!H:H,C29295,[1]order_sku_sales_bb2_report!J:J,H29295)</f>
        <v>#ERROR!</v>
      </c>
      <c r="P1466" s="6" t="str">
        <f>SUMIFS([1]order_sku_sales_bb2_report!O:O,[1]order_sku_sales_bb2_report!H:H,C29295,[1]order_sku_sales_bb2_report!J:J,H29295)</f>
        <v>#ERROR!</v>
      </c>
      <c r="Q1466" s="6" t="str">
        <f t="shared" si="1"/>
        <v>22-12-2025</v>
      </c>
      <c r="R1466" s="6" t="str">
        <f>IFERROR( VLOOKUP(C29295,[1]expressOrderReport!$S:$AZ,34,0),0)</f>
        <v>#ERROR!</v>
      </c>
      <c r="S1466" s="6" t="str">
        <f>ARRAY_CONSTRAIN(ARRAYFORMULA(_xludf.XLOOKUP(D29295,[1]order_Report_SA_ID_BB2.0!V:V,[1]order_Report_SA_ID_BB2.0!AM:AM,"")), 1, 1)</f>
        <v>#ERROR!</v>
      </c>
      <c r="T1466" s="6" t="str">
        <f t="shared" si="2"/>
        <v>Dec'25</v>
      </c>
    </row>
    <row r="1467" ht="15.75" customHeight="1">
      <c r="A1467" s="5">
        <v>46013.0</v>
      </c>
      <c r="B1467" s="6">
        <v>11210.0</v>
      </c>
      <c r="C1467" s="6">
        <v>1.859164831E9</v>
      </c>
      <c r="D1467" s="6">
        <v>2782478.0</v>
      </c>
      <c r="E1467" s="6" t="s">
        <v>2258</v>
      </c>
      <c r="F1467" s="6" t="s">
        <v>2259</v>
      </c>
      <c r="G1467" s="6">
        <v>9.820633555E9</v>
      </c>
      <c r="H1467" s="6">
        <v>4.0148717E7</v>
      </c>
      <c r="I1467" s="6" t="s">
        <v>226</v>
      </c>
      <c r="J1467" s="6" t="s">
        <v>21</v>
      </c>
      <c r="K1467" s="6" t="s">
        <v>22</v>
      </c>
      <c r="L1467" s="6">
        <v>161.0</v>
      </c>
      <c r="M1467" s="5">
        <v>46013.0</v>
      </c>
      <c r="N1467" s="6" t="s">
        <v>23</v>
      </c>
      <c r="O1467" s="6" t="str">
        <f>SUMIFS([1]order_sku_sales_bb2_report!P:P,[1]order_sku_sales_bb2_report!H:H,C29296,[1]order_sku_sales_bb2_report!J:J,H29296)</f>
        <v>#ERROR!</v>
      </c>
      <c r="P1467" s="6" t="str">
        <f>SUMIFS([1]order_sku_sales_bb2_report!O:O,[1]order_sku_sales_bb2_report!H:H,C29296,[1]order_sku_sales_bb2_report!J:J,H29296)</f>
        <v>#ERROR!</v>
      </c>
      <c r="Q1467" s="6" t="str">
        <f t="shared" si="1"/>
        <v>22-12-2025</v>
      </c>
      <c r="R1467" s="6" t="str">
        <f>IFERROR( VLOOKUP(C29296,[1]expressOrderReport!$S:$AZ,34,0),0)</f>
        <v>#ERROR!</v>
      </c>
      <c r="S1467" s="6" t="str">
        <f>ARRAY_CONSTRAIN(ARRAYFORMULA(_xludf.XLOOKUP(D29296,[1]order_Report_SA_ID_BB2.0!V:V,[1]order_Report_SA_ID_BB2.0!AM:AM,"")), 1, 1)</f>
        <v>#ERROR!</v>
      </c>
      <c r="T1467" s="6" t="str">
        <f t="shared" si="2"/>
        <v>Dec'25</v>
      </c>
    </row>
    <row r="1468" ht="15.75" customHeight="1">
      <c r="A1468" s="5">
        <v>46013.0</v>
      </c>
      <c r="B1468" s="6">
        <v>5310.0</v>
      </c>
      <c r="C1468" s="6">
        <v>1.85916484E9</v>
      </c>
      <c r="D1468" s="6">
        <v>4170130.0</v>
      </c>
      <c r="E1468" s="6" t="s">
        <v>2260</v>
      </c>
      <c r="F1468" s="6" t="s">
        <v>2261</v>
      </c>
      <c r="G1468" s="6">
        <v>9.871485142E9</v>
      </c>
      <c r="H1468" s="6">
        <v>4.0154334E7</v>
      </c>
      <c r="I1468" s="6" t="s">
        <v>300</v>
      </c>
      <c r="J1468" s="6" t="s">
        <v>21</v>
      </c>
      <c r="K1468" s="6" t="s">
        <v>22</v>
      </c>
      <c r="L1468" s="6">
        <v>96.0</v>
      </c>
      <c r="M1468" s="5">
        <v>46013.0</v>
      </c>
      <c r="N1468" s="6" t="s">
        <v>23</v>
      </c>
      <c r="O1468" s="6" t="str">
        <f>SUMIFS([1]order_sku_sales_bb2_report!P:P,[1]order_sku_sales_bb2_report!H:H,C29297,[1]order_sku_sales_bb2_report!J:J,H29297)</f>
        <v>#ERROR!</v>
      </c>
      <c r="P1468" s="6" t="str">
        <f>SUMIFS([1]order_sku_sales_bb2_report!O:O,[1]order_sku_sales_bb2_report!H:H,C29297,[1]order_sku_sales_bb2_report!J:J,H29297)</f>
        <v>#ERROR!</v>
      </c>
      <c r="Q1468" s="6" t="str">
        <f t="shared" si="1"/>
        <v>22-12-2025</v>
      </c>
      <c r="R1468" s="6" t="str">
        <f>IFERROR( VLOOKUP(C29297,[1]expressOrderReport!$S:$AZ,34,0),0)</f>
        <v>#ERROR!</v>
      </c>
      <c r="S1468" s="6" t="str">
        <f>ARRAY_CONSTRAIN(ARRAYFORMULA(_xludf.XLOOKUP(D29297,[1]order_Report_SA_ID_BB2.0!V:V,[1]order_Report_SA_ID_BB2.0!AM:AM,"")), 1, 1)</f>
        <v>#ERROR!</v>
      </c>
      <c r="T1468" s="6" t="str">
        <f t="shared" si="2"/>
        <v>Dec'25</v>
      </c>
    </row>
    <row r="1469" ht="15.75" customHeight="1">
      <c r="A1469" s="5">
        <v>46013.0</v>
      </c>
      <c r="B1469" s="6">
        <v>9940.0</v>
      </c>
      <c r="C1469" s="6">
        <v>1.859164856E9</v>
      </c>
      <c r="D1469" s="6">
        <v>576608.0</v>
      </c>
      <c r="E1469" s="6" t="s">
        <v>648</v>
      </c>
      <c r="F1469" s="6" t="s">
        <v>649</v>
      </c>
      <c r="G1469" s="6">
        <v>9.632215356E9</v>
      </c>
      <c r="H1469" s="6">
        <v>4.0149833E7</v>
      </c>
      <c r="I1469" s="6" t="s">
        <v>40</v>
      </c>
      <c r="J1469" s="6" t="s">
        <v>21</v>
      </c>
      <c r="K1469" s="6" t="s">
        <v>22</v>
      </c>
      <c r="L1469" s="6">
        <v>54.0</v>
      </c>
      <c r="M1469" s="5">
        <v>46013.0</v>
      </c>
      <c r="N1469" s="6" t="s">
        <v>23</v>
      </c>
      <c r="O1469" s="6" t="str">
        <f>SUMIFS([1]order_sku_sales_bb2_report!P:P,[1]order_sku_sales_bb2_report!H:H,C29298,[1]order_sku_sales_bb2_report!J:J,H29298)</f>
        <v>#ERROR!</v>
      </c>
      <c r="P1469" s="6" t="str">
        <f>SUMIFS([1]order_sku_sales_bb2_report!O:O,[1]order_sku_sales_bb2_report!H:H,C29298,[1]order_sku_sales_bb2_report!J:J,H29298)</f>
        <v>#ERROR!</v>
      </c>
      <c r="Q1469" s="6" t="str">
        <f t="shared" si="1"/>
        <v>22-12-2025</v>
      </c>
      <c r="R1469" s="6" t="str">
        <f>IFERROR( VLOOKUP(C29298,[1]expressOrderReport!$S:$AZ,34,0),0)</f>
        <v>#ERROR!</v>
      </c>
      <c r="S1469" s="6" t="str">
        <f>ARRAY_CONSTRAIN(ARRAYFORMULA(_xludf.XLOOKUP(D29298,[1]order_Report_SA_ID_BB2.0!V:V,[1]order_Report_SA_ID_BB2.0!AM:AM,"")), 1, 1)</f>
        <v>#ERROR!</v>
      </c>
      <c r="T1469" s="6" t="str">
        <f t="shared" si="2"/>
        <v>Dec'25</v>
      </c>
    </row>
    <row r="1470" ht="15.75" customHeight="1">
      <c r="A1470" s="5">
        <v>46013.0</v>
      </c>
      <c r="B1470" s="6">
        <v>6943.0</v>
      </c>
      <c r="C1470" s="6">
        <v>1.859164864E9</v>
      </c>
      <c r="D1470" s="6">
        <v>2.4359757E7</v>
      </c>
      <c r="E1470" s="6" t="s">
        <v>2262</v>
      </c>
      <c r="F1470" s="6" t="s">
        <v>2263</v>
      </c>
      <c r="G1470" s="6">
        <v>9.972963891E9</v>
      </c>
      <c r="H1470" s="6">
        <v>4.0149832E7</v>
      </c>
      <c r="I1470" s="6" t="s">
        <v>26</v>
      </c>
      <c r="J1470" s="6" t="s">
        <v>21</v>
      </c>
      <c r="K1470" s="6" t="s">
        <v>22</v>
      </c>
      <c r="L1470" s="6">
        <v>24.0</v>
      </c>
      <c r="M1470" s="5">
        <v>46013.0</v>
      </c>
      <c r="N1470" s="6" t="s">
        <v>23</v>
      </c>
      <c r="O1470" s="6" t="str">
        <f>SUMIFS([1]order_sku_sales_bb2_report!P:P,[1]order_sku_sales_bb2_report!H:H,C29299,[1]order_sku_sales_bb2_report!J:J,H29299)</f>
        <v>#ERROR!</v>
      </c>
      <c r="P1470" s="6" t="str">
        <f>SUMIFS([1]order_sku_sales_bb2_report!O:O,[1]order_sku_sales_bb2_report!H:H,C29299,[1]order_sku_sales_bb2_report!J:J,H29299)</f>
        <v>#ERROR!</v>
      </c>
      <c r="Q1470" s="6" t="str">
        <f t="shared" si="1"/>
        <v>22-12-2025</v>
      </c>
      <c r="R1470" s="6" t="str">
        <f>IFERROR( VLOOKUP(C29299,[1]expressOrderReport!$S:$AZ,34,0),0)</f>
        <v>#ERROR!</v>
      </c>
      <c r="S1470" s="6" t="str">
        <f>ARRAY_CONSTRAIN(ARRAYFORMULA(_xludf.XLOOKUP(D29299,[1]order_Report_SA_ID_BB2.0!V:V,[1]order_Report_SA_ID_BB2.0!AM:AM,"")), 1, 1)</f>
        <v>#ERROR!</v>
      </c>
      <c r="T1470" s="6" t="str">
        <f t="shared" si="2"/>
        <v>Dec'25</v>
      </c>
    </row>
    <row r="1471" ht="15.75" customHeight="1">
      <c r="A1471" s="5">
        <v>46013.0</v>
      </c>
      <c r="B1471" s="6">
        <v>7311.0</v>
      </c>
      <c r="C1471" s="6">
        <v>1.859164876E9</v>
      </c>
      <c r="D1471" s="6">
        <v>3.7054568E7</v>
      </c>
      <c r="E1471" s="6" t="s">
        <v>2264</v>
      </c>
      <c r="F1471" s="6" t="s">
        <v>2265</v>
      </c>
      <c r="G1471" s="6">
        <v>9.740019813E9</v>
      </c>
      <c r="H1471" s="6">
        <v>4.0149834E7</v>
      </c>
      <c r="I1471" s="6" t="s">
        <v>40</v>
      </c>
      <c r="J1471" s="6" t="s">
        <v>21</v>
      </c>
      <c r="K1471" s="6" t="s">
        <v>22</v>
      </c>
      <c r="L1471" s="6">
        <v>79.0</v>
      </c>
      <c r="M1471" s="5">
        <v>46013.0</v>
      </c>
      <c r="N1471" s="6" t="s">
        <v>23</v>
      </c>
      <c r="O1471" s="6" t="str">
        <f>SUMIFS([1]order_sku_sales_bb2_report!P:P,[1]order_sku_sales_bb2_report!H:H,C29300,[1]order_sku_sales_bb2_report!J:J,H29300)</f>
        <v>#ERROR!</v>
      </c>
      <c r="P1471" s="6" t="str">
        <f>SUMIFS([1]order_sku_sales_bb2_report!O:O,[1]order_sku_sales_bb2_report!H:H,C29300,[1]order_sku_sales_bb2_report!J:J,H29300)</f>
        <v>#ERROR!</v>
      </c>
      <c r="Q1471" s="6" t="str">
        <f t="shared" si="1"/>
        <v>22-12-2025</v>
      </c>
      <c r="R1471" s="6" t="str">
        <f>IFERROR( VLOOKUP(C29300,[1]expressOrderReport!$S:$AZ,34,0),0)</f>
        <v>#ERROR!</v>
      </c>
      <c r="S1471" s="6" t="str">
        <f>ARRAY_CONSTRAIN(ARRAYFORMULA(_xludf.XLOOKUP(D29300,[1]order_Report_SA_ID_BB2.0!V:V,[1]order_Report_SA_ID_BB2.0!AM:AM,"")), 1, 1)</f>
        <v>#ERROR!</v>
      </c>
      <c r="T1471" s="6" t="str">
        <f t="shared" si="2"/>
        <v>Dec'25</v>
      </c>
    </row>
    <row r="1472" ht="15.75" customHeight="1">
      <c r="A1472" s="5">
        <v>46013.0</v>
      </c>
      <c r="B1472" s="6">
        <v>9993.0</v>
      </c>
      <c r="C1472" s="6">
        <v>1.859164876E9</v>
      </c>
      <c r="D1472" s="6">
        <v>3.7054568E7</v>
      </c>
      <c r="E1472" s="6" t="s">
        <v>2264</v>
      </c>
      <c r="F1472" s="6" t="s">
        <v>2265</v>
      </c>
      <c r="G1472" s="6">
        <v>9.740019813E9</v>
      </c>
      <c r="H1472" s="6">
        <v>4.0149833E7</v>
      </c>
      <c r="I1472" s="6" t="s">
        <v>40</v>
      </c>
      <c r="J1472" s="6" t="s">
        <v>21</v>
      </c>
      <c r="K1472" s="6" t="s">
        <v>22</v>
      </c>
      <c r="L1472" s="6">
        <v>79.0</v>
      </c>
      <c r="M1472" s="5">
        <v>46013.0</v>
      </c>
      <c r="N1472" s="6" t="s">
        <v>23</v>
      </c>
      <c r="O1472" s="6" t="str">
        <f>SUMIFS([1]order_sku_sales_bb2_report!P:P,[1]order_sku_sales_bb2_report!H:H,C29301,[1]order_sku_sales_bb2_report!J:J,H29301)</f>
        <v>#ERROR!</v>
      </c>
      <c r="P1472" s="6" t="str">
        <f>SUMIFS([1]order_sku_sales_bb2_report!O:O,[1]order_sku_sales_bb2_report!H:H,C29301,[1]order_sku_sales_bb2_report!J:J,H29301)</f>
        <v>#ERROR!</v>
      </c>
      <c r="Q1472" s="6" t="str">
        <f t="shared" si="1"/>
        <v>22-12-2025</v>
      </c>
      <c r="R1472" s="6" t="str">
        <f>IFERROR( VLOOKUP(C29301,[1]expressOrderReport!$S:$AZ,34,0),0)</f>
        <v>#ERROR!</v>
      </c>
      <c r="S1472" s="6" t="str">
        <f>ARRAY_CONSTRAIN(ARRAYFORMULA(_xludf.XLOOKUP(D29301,[1]order_Report_SA_ID_BB2.0!V:V,[1]order_Report_SA_ID_BB2.0!AM:AM,"")), 1, 1)</f>
        <v>#ERROR!</v>
      </c>
      <c r="T1472" s="6" t="str">
        <f t="shared" si="2"/>
        <v>Dec'25</v>
      </c>
    </row>
    <row r="1473" ht="15.75" customHeight="1">
      <c r="A1473" s="5">
        <v>46013.0</v>
      </c>
      <c r="B1473" s="6">
        <v>7608.0</v>
      </c>
      <c r="C1473" s="6">
        <v>1.859164883E9</v>
      </c>
      <c r="D1473" s="6">
        <v>1878394.0</v>
      </c>
      <c r="E1473" s="6" t="s">
        <v>2266</v>
      </c>
      <c r="F1473" s="6" t="s">
        <v>2267</v>
      </c>
      <c r="G1473" s="6">
        <v>9.705193336E9</v>
      </c>
      <c r="H1473" s="6">
        <v>4.0149829E7</v>
      </c>
      <c r="I1473" s="6" t="s">
        <v>355</v>
      </c>
      <c r="J1473" s="6" t="s">
        <v>21</v>
      </c>
      <c r="K1473" s="6" t="s">
        <v>22</v>
      </c>
      <c r="L1473" s="6">
        <v>87.0</v>
      </c>
      <c r="M1473" s="5">
        <v>46013.0</v>
      </c>
      <c r="N1473" s="6" t="s">
        <v>23</v>
      </c>
      <c r="O1473" s="6" t="str">
        <f>SUMIFS([1]order_sku_sales_bb2_report!P:P,[1]order_sku_sales_bb2_report!H:H,C29302,[1]order_sku_sales_bb2_report!J:J,H29302)</f>
        <v>#ERROR!</v>
      </c>
      <c r="P1473" s="6" t="str">
        <f>SUMIFS([1]order_sku_sales_bb2_report!O:O,[1]order_sku_sales_bb2_report!H:H,C29302,[1]order_sku_sales_bb2_report!J:J,H29302)</f>
        <v>#ERROR!</v>
      </c>
      <c r="Q1473" s="6" t="str">
        <f t="shared" si="1"/>
        <v>22-12-2025</v>
      </c>
      <c r="R1473" s="6" t="str">
        <f>IFERROR( VLOOKUP(C29302,[1]expressOrderReport!$S:$AZ,34,0),0)</f>
        <v>#ERROR!</v>
      </c>
      <c r="S1473" s="6" t="str">
        <f>ARRAY_CONSTRAIN(ARRAYFORMULA(_xludf.XLOOKUP(D29302,[1]order_Report_SA_ID_BB2.0!V:V,[1]order_Report_SA_ID_BB2.0!AM:AM,"")), 1, 1)</f>
        <v>#ERROR!</v>
      </c>
      <c r="T1473" s="6" t="str">
        <f t="shared" si="2"/>
        <v>Dec'25</v>
      </c>
    </row>
    <row r="1474" ht="15.75" customHeight="1">
      <c r="A1474" s="5">
        <v>46013.0</v>
      </c>
      <c r="B1474" s="6">
        <v>7609.0</v>
      </c>
      <c r="C1474" s="6">
        <v>1.859164883E9</v>
      </c>
      <c r="D1474" s="6">
        <v>1878394.0</v>
      </c>
      <c r="E1474" s="6" t="s">
        <v>2266</v>
      </c>
      <c r="F1474" s="6" t="s">
        <v>2267</v>
      </c>
      <c r="G1474" s="6">
        <v>9.705193336E9</v>
      </c>
      <c r="H1474" s="6">
        <v>4.0149833E7</v>
      </c>
      <c r="I1474" s="6" t="s">
        <v>40</v>
      </c>
      <c r="J1474" s="6" t="s">
        <v>21</v>
      </c>
      <c r="K1474" s="6" t="s">
        <v>22</v>
      </c>
      <c r="L1474" s="6">
        <v>87.0</v>
      </c>
      <c r="M1474" s="5">
        <v>46013.0</v>
      </c>
      <c r="N1474" s="6" t="s">
        <v>23</v>
      </c>
      <c r="O1474" s="6" t="str">
        <f>SUMIFS([1]order_sku_sales_bb2_report!P:P,[1]order_sku_sales_bb2_report!H:H,C29303,[1]order_sku_sales_bb2_report!J:J,H29303)</f>
        <v>#ERROR!</v>
      </c>
      <c r="P1474" s="6" t="str">
        <f>SUMIFS([1]order_sku_sales_bb2_report!O:O,[1]order_sku_sales_bb2_report!H:H,C29303,[1]order_sku_sales_bb2_report!J:J,H29303)</f>
        <v>#ERROR!</v>
      </c>
      <c r="Q1474" s="6" t="str">
        <f t="shared" si="1"/>
        <v>22-12-2025</v>
      </c>
      <c r="R1474" s="6" t="str">
        <f>IFERROR( VLOOKUP(C29303,[1]expressOrderReport!$S:$AZ,34,0),0)</f>
        <v>#ERROR!</v>
      </c>
      <c r="S1474" s="6" t="str">
        <f>ARRAY_CONSTRAIN(ARRAYFORMULA(_xludf.XLOOKUP(D29303,[1]order_Report_SA_ID_BB2.0!V:V,[1]order_Report_SA_ID_BB2.0!AM:AM,"")), 1, 1)</f>
        <v>#ERROR!</v>
      </c>
      <c r="T1474" s="6" t="str">
        <f t="shared" si="2"/>
        <v>Dec'25</v>
      </c>
    </row>
    <row r="1475" ht="15.75" customHeight="1">
      <c r="A1475" s="5">
        <v>46013.0</v>
      </c>
      <c r="B1475" s="6">
        <v>7611.0</v>
      </c>
      <c r="C1475" s="6">
        <v>1.859164883E9</v>
      </c>
      <c r="D1475" s="6">
        <v>1878394.0</v>
      </c>
      <c r="E1475" s="6" t="s">
        <v>2266</v>
      </c>
      <c r="F1475" s="6" t="s">
        <v>2267</v>
      </c>
      <c r="G1475" s="6">
        <v>9.705193336E9</v>
      </c>
      <c r="H1475" s="6">
        <v>4.0147597E7</v>
      </c>
      <c r="I1475" s="6" t="s">
        <v>59</v>
      </c>
      <c r="J1475" s="6" t="s">
        <v>21</v>
      </c>
      <c r="K1475" s="6" t="s">
        <v>22</v>
      </c>
      <c r="L1475" s="6">
        <v>87.0</v>
      </c>
      <c r="M1475" s="5">
        <v>46013.0</v>
      </c>
      <c r="N1475" s="6" t="s">
        <v>23</v>
      </c>
      <c r="O1475" s="6" t="str">
        <f>SUMIFS([1]order_sku_sales_bb2_report!P:P,[1]order_sku_sales_bb2_report!H:H,C29304,[1]order_sku_sales_bb2_report!J:J,H29304)</f>
        <v>#ERROR!</v>
      </c>
      <c r="P1475" s="6" t="str">
        <f>SUMIFS([1]order_sku_sales_bb2_report!O:O,[1]order_sku_sales_bb2_report!H:H,C29304,[1]order_sku_sales_bb2_report!J:J,H29304)</f>
        <v>#ERROR!</v>
      </c>
      <c r="Q1475" s="6" t="str">
        <f t="shared" si="1"/>
        <v>22-12-2025</v>
      </c>
      <c r="R1475" s="6" t="str">
        <f>IFERROR( VLOOKUP(C29304,[1]expressOrderReport!$S:$AZ,34,0),0)</f>
        <v>#ERROR!</v>
      </c>
      <c r="S1475" s="6" t="str">
        <f>ARRAY_CONSTRAIN(ARRAYFORMULA(_xludf.XLOOKUP(D29304,[1]order_Report_SA_ID_BB2.0!V:V,[1]order_Report_SA_ID_BB2.0!AM:AM,"")), 1, 1)</f>
        <v>#ERROR!</v>
      </c>
      <c r="T1475" s="6" t="str">
        <f t="shared" si="2"/>
        <v>Dec'25</v>
      </c>
    </row>
    <row r="1476" ht="15.75" customHeight="1">
      <c r="A1476" s="5">
        <v>46013.0</v>
      </c>
      <c r="B1476" s="6">
        <v>4747.0</v>
      </c>
      <c r="C1476" s="6">
        <v>1.859164901E9</v>
      </c>
      <c r="D1476" s="6">
        <v>141011.0</v>
      </c>
      <c r="E1476" s="6" t="s">
        <v>2268</v>
      </c>
      <c r="F1476" s="6" t="s">
        <v>2269</v>
      </c>
      <c r="G1476" s="6">
        <v>8.123476744E9</v>
      </c>
      <c r="H1476" s="6">
        <v>4.0149833E7</v>
      </c>
      <c r="I1476" s="6" t="s">
        <v>40</v>
      </c>
      <c r="J1476" s="6" t="s">
        <v>21</v>
      </c>
      <c r="K1476" s="6" t="s">
        <v>22</v>
      </c>
      <c r="L1476" s="6">
        <v>27.0</v>
      </c>
      <c r="M1476" s="5">
        <v>46013.0</v>
      </c>
      <c r="N1476" s="6" t="s">
        <v>23</v>
      </c>
      <c r="O1476" s="6" t="str">
        <f>SUMIFS([1]order_sku_sales_bb2_report!P:P,[1]order_sku_sales_bb2_report!H:H,C29305,[1]order_sku_sales_bb2_report!J:J,H29305)</f>
        <v>#ERROR!</v>
      </c>
      <c r="P1476" s="6" t="str">
        <f>SUMIFS([1]order_sku_sales_bb2_report!O:O,[1]order_sku_sales_bb2_report!H:H,C29305,[1]order_sku_sales_bb2_report!J:J,H29305)</f>
        <v>#ERROR!</v>
      </c>
      <c r="Q1476" s="6" t="str">
        <f t="shared" si="1"/>
        <v>22-12-2025</v>
      </c>
      <c r="R1476" s="6" t="str">
        <f>IFERROR( VLOOKUP(C29305,[1]expressOrderReport!$S:$AZ,34,0),0)</f>
        <v>#ERROR!</v>
      </c>
      <c r="S1476" s="6" t="str">
        <f>ARRAY_CONSTRAIN(ARRAYFORMULA(_xludf.XLOOKUP(D29305,[1]order_Report_SA_ID_BB2.0!V:V,[1]order_Report_SA_ID_BB2.0!AM:AM,"")), 1, 1)</f>
        <v>#ERROR!</v>
      </c>
      <c r="T1476" s="6" t="str">
        <f t="shared" si="2"/>
        <v>Dec'25</v>
      </c>
    </row>
    <row r="1477" ht="15.75" customHeight="1">
      <c r="A1477" s="5">
        <v>46013.0</v>
      </c>
      <c r="B1477" s="6">
        <v>11535.0</v>
      </c>
      <c r="C1477" s="6">
        <v>1.859164911E9</v>
      </c>
      <c r="D1477" s="6">
        <v>1.6438754E7</v>
      </c>
      <c r="E1477" s="6" t="s">
        <v>2270</v>
      </c>
      <c r="F1477" s="6" t="s">
        <v>2271</v>
      </c>
      <c r="G1477" s="6">
        <v>8.939222206E9</v>
      </c>
      <c r="H1477" s="6">
        <v>4.0149833E7</v>
      </c>
      <c r="I1477" s="6" t="s">
        <v>40</v>
      </c>
      <c r="J1477" s="6" t="s">
        <v>21</v>
      </c>
      <c r="K1477" s="6" t="s">
        <v>22</v>
      </c>
      <c r="L1477" s="6">
        <v>54.0</v>
      </c>
      <c r="M1477" s="5">
        <v>46013.0</v>
      </c>
      <c r="N1477" s="6" t="s">
        <v>23</v>
      </c>
      <c r="O1477" s="6" t="str">
        <f>SUMIFS([1]order_sku_sales_bb2_report!P:P,[1]order_sku_sales_bb2_report!H:H,C29306,[1]order_sku_sales_bb2_report!J:J,H29306)</f>
        <v>#ERROR!</v>
      </c>
      <c r="P1477" s="6" t="str">
        <f>SUMIFS([1]order_sku_sales_bb2_report!O:O,[1]order_sku_sales_bb2_report!H:H,C29306,[1]order_sku_sales_bb2_report!J:J,H29306)</f>
        <v>#ERROR!</v>
      </c>
      <c r="Q1477" s="6" t="str">
        <f t="shared" si="1"/>
        <v>22-12-2025</v>
      </c>
      <c r="R1477" s="6" t="str">
        <f>IFERROR( VLOOKUP(C29306,[1]expressOrderReport!$S:$AZ,34,0),0)</f>
        <v>#ERROR!</v>
      </c>
      <c r="S1477" s="6" t="str">
        <f>ARRAY_CONSTRAIN(ARRAYFORMULA(_xludf.XLOOKUP(D29306,[1]order_Report_SA_ID_BB2.0!V:V,[1]order_Report_SA_ID_BB2.0!AM:AM,"")), 1, 1)</f>
        <v>#ERROR!</v>
      </c>
      <c r="T1477" s="6" t="str">
        <f t="shared" si="2"/>
        <v>Dec'25</v>
      </c>
    </row>
    <row r="1478" ht="15.75" customHeight="1">
      <c r="A1478" s="5">
        <v>46013.0</v>
      </c>
      <c r="B1478" s="6">
        <v>7183.0</v>
      </c>
      <c r="C1478" s="6">
        <v>1.859164928E9</v>
      </c>
      <c r="D1478" s="6">
        <v>9020314.0</v>
      </c>
      <c r="E1478" s="6" t="s">
        <v>2272</v>
      </c>
      <c r="F1478" s="6" t="s">
        <v>2273</v>
      </c>
      <c r="G1478" s="6">
        <v>8.105849988E9</v>
      </c>
      <c r="H1478" s="6">
        <v>4.0149832E7</v>
      </c>
      <c r="I1478" s="6" t="s">
        <v>26</v>
      </c>
      <c r="J1478" s="6" t="s">
        <v>21</v>
      </c>
      <c r="K1478" s="6" t="s">
        <v>22</v>
      </c>
      <c r="L1478" s="6">
        <v>48.0</v>
      </c>
      <c r="M1478" s="5">
        <v>46013.0</v>
      </c>
      <c r="N1478" s="6" t="s">
        <v>23</v>
      </c>
      <c r="O1478" s="6" t="str">
        <f>SUMIFS([1]order_sku_sales_bb2_report!P:P,[1]order_sku_sales_bb2_report!H:H,C29307,[1]order_sku_sales_bb2_report!J:J,H29307)</f>
        <v>#ERROR!</v>
      </c>
      <c r="P1478" s="6" t="str">
        <f>SUMIFS([1]order_sku_sales_bb2_report!O:O,[1]order_sku_sales_bb2_report!H:H,C29307,[1]order_sku_sales_bb2_report!J:J,H29307)</f>
        <v>#ERROR!</v>
      </c>
      <c r="Q1478" s="6" t="str">
        <f t="shared" si="1"/>
        <v>22-12-2025</v>
      </c>
      <c r="R1478" s="6" t="str">
        <f>IFERROR( VLOOKUP(C29307,[1]expressOrderReport!$S:$AZ,34,0),0)</f>
        <v>#ERROR!</v>
      </c>
      <c r="S1478" s="6" t="str">
        <f>ARRAY_CONSTRAIN(ARRAYFORMULA(_xludf.XLOOKUP(D29307,[1]order_Report_SA_ID_BB2.0!V:V,[1]order_Report_SA_ID_BB2.0!AM:AM,"")), 1, 1)</f>
        <v>#ERROR!</v>
      </c>
      <c r="T1478" s="6" t="str">
        <f t="shared" si="2"/>
        <v>Dec'25</v>
      </c>
    </row>
    <row r="1479" ht="15.75" customHeight="1">
      <c r="A1479" s="5">
        <v>46013.0</v>
      </c>
      <c r="B1479" s="6">
        <v>4433.0</v>
      </c>
      <c r="C1479" s="6">
        <v>1.859166313E9</v>
      </c>
      <c r="D1479" s="6">
        <v>7778800.0</v>
      </c>
      <c r="E1479" s="6" t="s">
        <v>2274</v>
      </c>
      <c r="F1479" s="6" t="s">
        <v>2275</v>
      </c>
      <c r="G1479" s="6">
        <v>9.324529449E9</v>
      </c>
      <c r="H1479" s="6">
        <v>4.0149834E7</v>
      </c>
      <c r="I1479" s="6" t="s">
        <v>40</v>
      </c>
      <c r="J1479" s="6" t="s">
        <v>21</v>
      </c>
      <c r="K1479" s="6" t="s">
        <v>22</v>
      </c>
      <c r="L1479" s="6">
        <v>52.0</v>
      </c>
      <c r="M1479" s="5">
        <v>46013.0</v>
      </c>
      <c r="N1479" s="6" t="s">
        <v>23</v>
      </c>
      <c r="O1479" s="6" t="str">
        <f>SUMIFS([1]order_sku_sales_bb2_report!P:P,[1]order_sku_sales_bb2_report!H:H,C29308,[1]order_sku_sales_bb2_report!J:J,H29308)</f>
        <v>#ERROR!</v>
      </c>
      <c r="P1479" s="6" t="str">
        <f>SUMIFS([1]order_sku_sales_bb2_report!O:O,[1]order_sku_sales_bb2_report!H:H,C29308,[1]order_sku_sales_bb2_report!J:J,H29308)</f>
        <v>#ERROR!</v>
      </c>
      <c r="Q1479" s="6" t="str">
        <f t="shared" si="1"/>
        <v>22-12-2025</v>
      </c>
      <c r="R1479" s="6" t="str">
        <f>IFERROR( VLOOKUP(C29308,[1]expressOrderReport!$S:$AZ,34,0),0)</f>
        <v>#ERROR!</v>
      </c>
      <c r="S1479" s="6" t="str">
        <f>ARRAY_CONSTRAIN(ARRAYFORMULA(_xludf.XLOOKUP(D29308,[1]order_Report_SA_ID_BB2.0!V:V,[1]order_Report_SA_ID_BB2.0!AM:AM,"")), 1, 1)</f>
        <v>#ERROR!</v>
      </c>
      <c r="T1479" s="6" t="str">
        <f t="shared" si="2"/>
        <v>Dec'25</v>
      </c>
    </row>
    <row r="1480" ht="15.75" customHeight="1">
      <c r="A1480" s="5">
        <v>46013.0</v>
      </c>
      <c r="B1480" s="6">
        <v>4441.0</v>
      </c>
      <c r="C1480" s="6">
        <v>1.859166319E9</v>
      </c>
      <c r="D1480" s="6">
        <v>3.7825598E7</v>
      </c>
      <c r="E1480" s="6" t="s">
        <v>2276</v>
      </c>
      <c r="F1480" s="6" t="s">
        <v>2277</v>
      </c>
      <c r="G1480" s="6">
        <v>8.310482704E9</v>
      </c>
      <c r="H1480" s="6">
        <v>4.0158264E7</v>
      </c>
      <c r="I1480" s="6" t="s">
        <v>26</v>
      </c>
      <c r="J1480" s="6" t="s">
        <v>21</v>
      </c>
      <c r="K1480" s="6" t="s">
        <v>22</v>
      </c>
      <c r="L1480" s="6">
        <v>46.0</v>
      </c>
      <c r="M1480" s="5">
        <v>46013.0</v>
      </c>
      <c r="N1480" s="6" t="s">
        <v>23</v>
      </c>
      <c r="O1480" s="6" t="str">
        <f>SUMIFS([1]order_sku_sales_bb2_report!P:P,[1]order_sku_sales_bb2_report!H:H,C29309,[1]order_sku_sales_bb2_report!J:J,H29309)</f>
        <v>#ERROR!</v>
      </c>
      <c r="P1480" s="6" t="str">
        <f>SUMIFS([1]order_sku_sales_bb2_report!O:O,[1]order_sku_sales_bb2_report!H:H,C29309,[1]order_sku_sales_bb2_report!J:J,H29309)</f>
        <v>#ERROR!</v>
      </c>
      <c r="Q1480" s="6" t="str">
        <f t="shared" si="1"/>
        <v>22-12-2025</v>
      </c>
      <c r="R1480" s="6" t="str">
        <f>IFERROR( VLOOKUP(C29309,[1]expressOrderReport!$S:$AZ,34,0),0)</f>
        <v>#ERROR!</v>
      </c>
      <c r="S1480" s="6" t="str">
        <f>ARRAY_CONSTRAIN(ARRAYFORMULA(_xludf.XLOOKUP(D29309,[1]order_Report_SA_ID_BB2.0!V:V,[1]order_Report_SA_ID_BB2.0!AM:AM,"")), 1, 1)</f>
        <v>#ERROR!</v>
      </c>
      <c r="T1480" s="6" t="str">
        <f t="shared" si="2"/>
        <v>Dec'25</v>
      </c>
    </row>
    <row r="1481" ht="15.75" customHeight="1">
      <c r="A1481" s="5">
        <v>46013.0</v>
      </c>
      <c r="B1481" s="6">
        <v>4442.0</v>
      </c>
      <c r="C1481" s="6">
        <v>1.859166319E9</v>
      </c>
      <c r="D1481" s="6">
        <v>3.7825598E7</v>
      </c>
      <c r="E1481" s="6" t="s">
        <v>2276</v>
      </c>
      <c r="F1481" s="6" t="s">
        <v>2277</v>
      </c>
      <c r="G1481" s="6">
        <v>8.310482704E9</v>
      </c>
      <c r="H1481" s="6">
        <v>4.014983E7</v>
      </c>
      <c r="I1481" s="6" t="s">
        <v>30</v>
      </c>
      <c r="J1481" s="6" t="s">
        <v>21</v>
      </c>
      <c r="K1481" s="6" t="s">
        <v>22</v>
      </c>
      <c r="L1481" s="6">
        <v>46.0</v>
      </c>
      <c r="M1481" s="5">
        <v>46013.0</v>
      </c>
      <c r="N1481" s="6" t="s">
        <v>23</v>
      </c>
      <c r="O1481" s="6" t="str">
        <f>SUMIFS([1]order_sku_sales_bb2_report!P:P,[1]order_sku_sales_bb2_report!H:H,C29310,[1]order_sku_sales_bb2_report!J:J,H29310)</f>
        <v>#ERROR!</v>
      </c>
      <c r="P1481" s="6" t="str">
        <f>SUMIFS([1]order_sku_sales_bb2_report!O:O,[1]order_sku_sales_bb2_report!H:H,C29310,[1]order_sku_sales_bb2_report!J:J,H29310)</f>
        <v>#ERROR!</v>
      </c>
      <c r="Q1481" s="6" t="str">
        <f t="shared" si="1"/>
        <v>22-12-2025</v>
      </c>
      <c r="R1481" s="6" t="str">
        <f>IFERROR( VLOOKUP(C29310,[1]expressOrderReport!$S:$AZ,34,0),0)</f>
        <v>#ERROR!</v>
      </c>
      <c r="S1481" s="6" t="str">
        <f>ARRAY_CONSTRAIN(ARRAYFORMULA(_xludf.XLOOKUP(D29310,[1]order_Report_SA_ID_BB2.0!V:V,[1]order_Report_SA_ID_BB2.0!AM:AM,"")), 1, 1)</f>
        <v>#ERROR!</v>
      </c>
      <c r="T1481" s="6" t="str">
        <f t="shared" si="2"/>
        <v>Dec'25</v>
      </c>
    </row>
    <row r="1482" ht="15.75" customHeight="1">
      <c r="A1482" s="5">
        <v>46013.0</v>
      </c>
      <c r="B1482" s="6">
        <v>4443.0</v>
      </c>
      <c r="C1482" s="6">
        <v>1.859166324E9</v>
      </c>
      <c r="D1482" s="6">
        <v>3198509.0</v>
      </c>
      <c r="E1482" s="6" t="s">
        <v>2278</v>
      </c>
      <c r="F1482" s="6" t="s">
        <v>2279</v>
      </c>
      <c r="G1482" s="6">
        <v>9.972248874E9</v>
      </c>
      <c r="H1482" s="6">
        <v>4.0149832E7</v>
      </c>
      <c r="I1482" s="6" t="s">
        <v>26</v>
      </c>
      <c r="J1482" s="6" t="s">
        <v>21</v>
      </c>
      <c r="K1482" s="6" t="s">
        <v>22</v>
      </c>
      <c r="L1482" s="6">
        <v>72.0</v>
      </c>
      <c r="M1482" s="5">
        <v>46013.0</v>
      </c>
      <c r="N1482" s="6" t="s">
        <v>23</v>
      </c>
      <c r="O1482" s="6" t="str">
        <f>SUMIFS([1]order_sku_sales_bb2_report!P:P,[1]order_sku_sales_bb2_report!H:H,C29311,[1]order_sku_sales_bb2_report!J:J,H29311)</f>
        <v>#ERROR!</v>
      </c>
      <c r="P1482" s="6" t="str">
        <f>SUMIFS([1]order_sku_sales_bb2_report!O:O,[1]order_sku_sales_bb2_report!H:H,C29311,[1]order_sku_sales_bb2_report!J:J,H29311)</f>
        <v>#ERROR!</v>
      </c>
      <c r="Q1482" s="6" t="str">
        <f t="shared" si="1"/>
        <v>22-12-2025</v>
      </c>
      <c r="R1482" s="6" t="str">
        <f>IFERROR( VLOOKUP(C29311,[1]expressOrderReport!$S:$AZ,34,0),0)</f>
        <v>#ERROR!</v>
      </c>
      <c r="S1482" s="6" t="str">
        <f>ARRAY_CONSTRAIN(ARRAYFORMULA(_xludf.XLOOKUP(D29311,[1]order_Report_SA_ID_BB2.0!V:V,[1]order_Report_SA_ID_BB2.0!AM:AM,"")), 1, 1)</f>
        <v>#ERROR!</v>
      </c>
      <c r="T1482" s="6" t="str">
        <f t="shared" si="2"/>
        <v>Dec'25</v>
      </c>
    </row>
    <row r="1483" ht="15.75" customHeight="1">
      <c r="A1483" s="5">
        <v>46013.0</v>
      </c>
      <c r="B1483" s="6">
        <v>4486.0</v>
      </c>
      <c r="C1483" s="6">
        <v>1.859166332E9</v>
      </c>
      <c r="D1483" s="6">
        <v>6.3292296E7</v>
      </c>
      <c r="E1483" s="6" t="s">
        <v>625</v>
      </c>
      <c r="F1483" s="6" t="s">
        <v>2280</v>
      </c>
      <c r="G1483" s="6">
        <v>8.848752597E9</v>
      </c>
      <c r="H1483" s="6">
        <v>4.0149833E7</v>
      </c>
      <c r="I1483" s="6" t="s">
        <v>40</v>
      </c>
      <c r="J1483" s="6" t="s">
        <v>21</v>
      </c>
      <c r="K1483" s="6" t="s">
        <v>22</v>
      </c>
      <c r="L1483" s="6">
        <v>54.0</v>
      </c>
      <c r="M1483" s="5">
        <v>46013.0</v>
      </c>
      <c r="N1483" s="6" t="s">
        <v>23</v>
      </c>
      <c r="O1483" s="6" t="str">
        <f>SUMIFS([1]order_sku_sales_bb2_report!P:P,[1]order_sku_sales_bb2_report!H:H,C29312,[1]order_sku_sales_bb2_report!J:J,H29312)</f>
        <v>#ERROR!</v>
      </c>
      <c r="P1483" s="6" t="str">
        <f>SUMIFS([1]order_sku_sales_bb2_report!O:O,[1]order_sku_sales_bb2_report!H:H,C29312,[1]order_sku_sales_bb2_report!J:J,H29312)</f>
        <v>#ERROR!</v>
      </c>
      <c r="Q1483" s="6" t="str">
        <f t="shared" si="1"/>
        <v>22-12-2025</v>
      </c>
      <c r="R1483" s="6" t="str">
        <f>IFERROR( VLOOKUP(C29312,[1]expressOrderReport!$S:$AZ,34,0),0)</f>
        <v>#ERROR!</v>
      </c>
      <c r="S1483" s="6" t="str">
        <f>ARRAY_CONSTRAIN(ARRAYFORMULA(_xludf.XLOOKUP(D29312,[1]order_Report_SA_ID_BB2.0!V:V,[1]order_Report_SA_ID_BB2.0!AM:AM,"")), 1, 1)</f>
        <v>#ERROR!</v>
      </c>
      <c r="T1483" s="6" t="str">
        <f t="shared" si="2"/>
        <v>Dec'25</v>
      </c>
    </row>
    <row r="1484" ht="15.75" customHeight="1">
      <c r="A1484" s="5">
        <v>46013.0</v>
      </c>
      <c r="B1484" s="6">
        <v>6012.0</v>
      </c>
      <c r="C1484" s="6">
        <v>1.859166338E9</v>
      </c>
      <c r="D1484" s="6">
        <v>1.4553938E7</v>
      </c>
      <c r="E1484" s="6" t="s">
        <v>2281</v>
      </c>
      <c r="F1484" s="6" t="s">
        <v>2282</v>
      </c>
      <c r="G1484" s="6">
        <v>9.903059719E9</v>
      </c>
      <c r="H1484" s="6">
        <v>4.0148716E7</v>
      </c>
      <c r="I1484" s="6" t="s">
        <v>148</v>
      </c>
      <c r="J1484" s="6" t="s">
        <v>21</v>
      </c>
      <c r="K1484" s="6" t="s">
        <v>22</v>
      </c>
      <c r="L1484" s="6">
        <v>64.31</v>
      </c>
      <c r="M1484" s="5">
        <v>46013.0</v>
      </c>
      <c r="N1484" s="6" t="s">
        <v>23</v>
      </c>
      <c r="O1484" s="6" t="str">
        <f>SUMIFS([1]order_sku_sales_bb2_report!P:P,[1]order_sku_sales_bb2_report!H:H,C29313,[1]order_sku_sales_bb2_report!J:J,H29313)</f>
        <v>#ERROR!</v>
      </c>
      <c r="P1484" s="6" t="str">
        <f>SUMIFS([1]order_sku_sales_bb2_report!O:O,[1]order_sku_sales_bb2_report!H:H,C29313,[1]order_sku_sales_bb2_report!J:J,H29313)</f>
        <v>#ERROR!</v>
      </c>
      <c r="Q1484" s="6" t="str">
        <f t="shared" si="1"/>
        <v>22-12-2025</v>
      </c>
      <c r="R1484" s="6" t="str">
        <f>IFERROR( VLOOKUP(C29313,[1]expressOrderReport!$S:$AZ,34,0),0)</f>
        <v>#ERROR!</v>
      </c>
      <c r="S1484" s="6" t="str">
        <f>ARRAY_CONSTRAIN(ARRAYFORMULA(_xludf.XLOOKUP(D29313,[1]order_Report_SA_ID_BB2.0!V:V,[1]order_Report_SA_ID_BB2.0!AM:AM,"")), 1, 1)</f>
        <v>#ERROR!</v>
      </c>
      <c r="T1484" s="6" t="str">
        <f t="shared" si="2"/>
        <v>Dec'25</v>
      </c>
    </row>
    <row r="1485" ht="15.75" customHeight="1">
      <c r="A1485" s="5">
        <v>46013.0</v>
      </c>
      <c r="B1485" s="6">
        <v>6013.0</v>
      </c>
      <c r="C1485" s="6">
        <v>1.859166338E9</v>
      </c>
      <c r="D1485" s="6">
        <v>1.4553938E7</v>
      </c>
      <c r="E1485" s="6" t="s">
        <v>2281</v>
      </c>
      <c r="F1485" s="6" t="s">
        <v>2282</v>
      </c>
      <c r="G1485" s="6">
        <v>9.903059719E9</v>
      </c>
      <c r="H1485" s="6">
        <v>1.0000098E7</v>
      </c>
      <c r="I1485" s="6" t="s">
        <v>285</v>
      </c>
      <c r="J1485" s="6" t="s">
        <v>21</v>
      </c>
      <c r="K1485" s="6" t="s">
        <v>22</v>
      </c>
      <c r="L1485" s="6">
        <v>64.31</v>
      </c>
      <c r="M1485" s="5">
        <v>46013.0</v>
      </c>
      <c r="N1485" s="6" t="s">
        <v>23</v>
      </c>
      <c r="O1485" s="6" t="str">
        <f>SUMIFS([1]order_sku_sales_bb2_report!P:P,[1]order_sku_sales_bb2_report!H:H,C29314,[1]order_sku_sales_bb2_report!J:J,H29314)</f>
        <v>#ERROR!</v>
      </c>
      <c r="P1485" s="6" t="str">
        <f>SUMIFS([1]order_sku_sales_bb2_report!O:O,[1]order_sku_sales_bb2_report!H:H,C29314,[1]order_sku_sales_bb2_report!J:J,H29314)</f>
        <v>#ERROR!</v>
      </c>
      <c r="Q1485" s="6" t="str">
        <f t="shared" si="1"/>
        <v>22-12-2025</v>
      </c>
      <c r="R1485" s="6" t="str">
        <f>IFERROR( VLOOKUP(C29314,[1]expressOrderReport!$S:$AZ,34,0),0)</f>
        <v>#ERROR!</v>
      </c>
      <c r="S1485" s="6" t="str">
        <f>ARRAY_CONSTRAIN(ARRAYFORMULA(_xludf.XLOOKUP(D29314,[1]order_Report_SA_ID_BB2.0!V:V,[1]order_Report_SA_ID_BB2.0!AM:AM,"")), 1, 1)</f>
        <v>#ERROR!</v>
      </c>
      <c r="T1485" s="6" t="str">
        <f t="shared" si="2"/>
        <v>Dec'25</v>
      </c>
    </row>
    <row r="1486" ht="15.75" customHeight="1">
      <c r="A1486" s="5">
        <v>46013.0</v>
      </c>
      <c r="B1486" s="6">
        <v>4648.0</v>
      </c>
      <c r="C1486" s="6">
        <v>1.859166343E9</v>
      </c>
      <c r="D1486" s="6">
        <v>1985881.0</v>
      </c>
      <c r="E1486" s="6" t="s">
        <v>2283</v>
      </c>
      <c r="F1486" s="6" t="s">
        <v>2284</v>
      </c>
      <c r="G1486" s="6">
        <v>9.448092868E9</v>
      </c>
      <c r="H1486" s="6">
        <v>4.0212327E7</v>
      </c>
      <c r="I1486" s="6" t="s">
        <v>682</v>
      </c>
      <c r="J1486" s="6" t="s">
        <v>21</v>
      </c>
      <c r="K1486" s="6" t="s">
        <v>22</v>
      </c>
      <c r="L1486" s="6">
        <v>27.0</v>
      </c>
      <c r="M1486" s="5">
        <v>46013.0</v>
      </c>
      <c r="N1486" s="6" t="s">
        <v>23</v>
      </c>
      <c r="O1486" s="6" t="str">
        <f>SUMIFS([1]order_sku_sales_bb2_report!P:P,[1]order_sku_sales_bb2_report!H:H,C29315,[1]order_sku_sales_bb2_report!J:J,H29315)</f>
        <v>#ERROR!</v>
      </c>
      <c r="P1486" s="6" t="str">
        <f>SUMIFS([1]order_sku_sales_bb2_report!O:O,[1]order_sku_sales_bb2_report!H:H,C29315,[1]order_sku_sales_bb2_report!J:J,H29315)</f>
        <v>#ERROR!</v>
      </c>
      <c r="Q1486" s="6" t="str">
        <f t="shared" si="1"/>
        <v>22-12-2025</v>
      </c>
      <c r="R1486" s="6" t="str">
        <f>IFERROR( VLOOKUP(C29315,[1]expressOrderReport!$S:$AZ,34,0),0)</f>
        <v>#ERROR!</v>
      </c>
      <c r="S1486" s="6" t="str">
        <f>ARRAY_CONSTRAIN(ARRAYFORMULA(_xludf.XLOOKUP(D29315,[1]order_Report_SA_ID_BB2.0!V:V,[1]order_Report_SA_ID_BB2.0!AM:AM,"")), 1, 1)</f>
        <v>#ERROR!</v>
      </c>
      <c r="T1486" s="6" t="str">
        <f t="shared" si="2"/>
        <v>Dec'25</v>
      </c>
    </row>
    <row r="1487" ht="15.75" customHeight="1">
      <c r="A1487" s="5">
        <v>46013.0</v>
      </c>
      <c r="B1487" s="6">
        <v>5162.0</v>
      </c>
      <c r="C1487" s="6">
        <v>1.859166349E9</v>
      </c>
      <c r="D1487" s="6">
        <v>5558603.0</v>
      </c>
      <c r="E1487" s="6" t="s">
        <v>2285</v>
      </c>
      <c r="F1487" s="6" t="s">
        <v>2286</v>
      </c>
      <c r="G1487" s="6">
        <v>9.845699194E9</v>
      </c>
      <c r="H1487" s="6">
        <v>4.0158264E7</v>
      </c>
      <c r="I1487" s="6" t="s">
        <v>26</v>
      </c>
      <c r="J1487" s="6" t="s">
        <v>21</v>
      </c>
      <c r="K1487" s="6" t="s">
        <v>22</v>
      </c>
      <c r="L1487" s="6">
        <v>46.0</v>
      </c>
      <c r="M1487" s="5">
        <v>46013.0</v>
      </c>
      <c r="N1487" s="6" t="s">
        <v>23</v>
      </c>
      <c r="O1487" s="6" t="str">
        <f>SUMIFS([1]order_sku_sales_bb2_report!P:P,[1]order_sku_sales_bb2_report!H:H,C29316,[1]order_sku_sales_bb2_report!J:J,H29316)</f>
        <v>#ERROR!</v>
      </c>
      <c r="P1487" s="6" t="str">
        <f>SUMIFS([1]order_sku_sales_bb2_report!O:O,[1]order_sku_sales_bb2_report!H:H,C29316,[1]order_sku_sales_bb2_report!J:J,H29316)</f>
        <v>#ERROR!</v>
      </c>
      <c r="Q1487" s="6" t="str">
        <f t="shared" si="1"/>
        <v>22-12-2025</v>
      </c>
      <c r="R1487" s="6" t="str">
        <f>IFERROR( VLOOKUP(C29316,[1]expressOrderReport!$S:$AZ,34,0),0)</f>
        <v>#ERROR!</v>
      </c>
      <c r="S1487" s="6" t="str">
        <f>ARRAY_CONSTRAIN(ARRAYFORMULA(_xludf.XLOOKUP(D29316,[1]order_Report_SA_ID_BB2.0!V:V,[1]order_Report_SA_ID_BB2.0!AM:AM,"")), 1, 1)</f>
        <v>#ERROR!</v>
      </c>
      <c r="T1487" s="6" t="str">
        <f t="shared" si="2"/>
        <v>Dec'25</v>
      </c>
    </row>
    <row r="1488" ht="15.75" customHeight="1">
      <c r="A1488" s="5">
        <v>46013.0</v>
      </c>
      <c r="B1488" s="6">
        <v>4663.0</v>
      </c>
      <c r="C1488" s="6">
        <v>1.859166355E9</v>
      </c>
      <c r="D1488" s="6">
        <v>2.2650022E7</v>
      </c>
      <c r="E1488" s="6" t="s">
        <v>2287</v>
      </c>
      <c r="F1488" s="6" t="s">
        <v>2288</v>
      </c>
      <c r="G1488" s="6">
        <v>9.878803366E9</v>
      </c>
      <c r="H1488" s="6">
        <v>4.014983E7</v>
      </c>
      <c r="I1488" s="6" t="s">
        <v>30</v>
      </c>
      <c r="J1488" s="6" t="s">
        <v>21</v>
      </c>
      <c r="K1488" s="6" t="s">
        <v>22</v>
      </c>
      <c r="L1488" s="6">
        <v>28.0</v>
      </c>
      <c r="M1488" s="5">
        <v>46013.0</v>
      </c>
      <c r="N1488" s="6" t="s">
        <v>23</v>
      </c>
      <c r="O1488" s="6" t="str">
        <f>SUMIFS([1]order_sku_sales_bb2_report!P:P,[1]order_sku_sales_bb2_report!H:H,C29317,[1]order_sku_sales_bb2_report!J:J,H29317)</f>
        <v>#ERROR!</v>
      </c>
      <c r="P1488" s="6" t="str">
        <f>SUMIFS([1]order_sku_sales_bb2_report!O:O,[1]order_sku_sales_bb2_report!H:H,C29317,[1]order_sku_sales_bb2_report!J:J,H29317)</f>
        <v>#ERROR!</v>
      </c>
      <c r="Q1488" s="6" t="str">
        <f t="shared" si="1"/>
        <v>22-12-2025</v>
      </c>
      <c r="R1488" s="6" t="str">
        <f>IFERROR( VLOOKUP(C29317,[1]expressOrderReport!$S:$AZ,34,0),0)</f>
        <v>#ERROR!</v>
      </c>
      <c r="S1488" s="6" t="str">
        <f>ARRAY_CONSTRAIN(ARRAYFORMULA(_xludf.XLOOKUP(D29317,[1]order_Report_SA_ID_BB2.0!V:V,[1]order_Report_SA_ID_BB2.0!AM:AM,"")), 1, 1)</f>
        <v>#ERROR!</v>
      </c>
      <c r="T1488" s="6" t="str">
        <f t="shared" si="2"/>
        <v>Dec'25</v>
      </c>
    </row>
    <row r="1489" ht="15.75" customHeight="1">
      <c r="A1489" s="5">
        <v>46013.0</v>
      </c>
      <c r="B1489" s="6">
        <v>11992.0</v>
      </c>
      <c r="C1489" s="6">
        <v>1.859166363E9</v>
      </c>
      <c r="D1489" s="6">
        <v>8.6934443E7</v>
      </c>
      <c r="E1489" s="6" t="s">
        <v>2289</v>
      </c>
      <c r="F1489" s="6" t="s">
        <v>2290</v>
      </c>
      <c r="G1489" s="6">
        <v>9.773534595E9</v>
      </c>
      <c r="H1489" s="6">
        <v>4.0149831E7</v>
      </c>
      <c r="I1489" s="6" t="s">
        <v>65</v>
      </c>
      <c r="J1489" s="6" t="s">
        <v>21</v>
      </c>
      <c r="K1489" s="6" t="s">
        <v>22</v>
      </c>
      <c r="L1489" s="6">
        <v>52.0</v>
      </c>
      <c r="M1489" s="5">
        <v>46013.0</v>
      </c>
      <c r="N1489" s="6" t="s">
        <v>23</v>
      </c>
      <c r="O1489" s="6" t="str">
        <f>SUMIFS([1]order_sku_sales_bb2_report!P:P,[1]order_sku_sales_bb2_report!H:H,C29318,[1]order_sku_sales_bb2_report!J:J,H29318)</f>
        <v>#ERROR!</v>
      </c>
      <c r="P1489" s="6" t="str">
        <f>SUMIFS([1]order_sku_sales_bb2_report!O:O,[1]order_sku_sales_bb2_report!H:H,C29318,[1]order_sku_sales_bb2_report!J:J,H29318)</f>
        <v>#ERROR!</v>
      </c>
      <c r="Q1489" s="6" t="str">
        <f t="shared" si="1"/>
        <v>22-12-2025</v>
      </c>
      <c r="R1489" s="6" t="str">
        <f>IFERROR( VLOOKUP(C29318,[1]expressOrderReport!$S:$AZ,34,0),0)</f>
        <v>#ERROR!</v>
      </c>
      <c r="S1489" s="6" t="str">
        <f>ARRAY_CONSTRAIN(ARRAYFORMULA(_xludf.XLOOKUP(D29318,[1]order_Report_SA_ID_BB2.0!V:V,[1]order_Report_SA_ID_BB2.0!AM:AM,"")), 1, 1)</f>
        <v>#ERROR!</v>
      </c>
      <c r="T1489" s="6" t="str">
        <f t="shared" si="2"/>
        <v>Dec'25</v>
      </c>
    </row>
    <row r="1490" ht="15.75" customHeight="1">
      <c r="A1490" s="5">
        <v>46013.0</v>
      </c>
      <c r="B1490" s="6">
        <v>4697.0</v>
      </c>
      <c r="C1490" s="6">
        <v>1.85916637E9</v>
      </c>
      <c r="D1490" s="6">
        <v>8.6940063E7</v>
      </c>
      <c r="E1490" s="6" t="s">
        <v>2291</v>
      </c>
      <c r="F1490" s="6"/>
      <c r="G1490" s="6">
        <v>9.036762571E9</v>
      </c>
      <c r="H1490" s="6">
        <v>4.0212327E7</v>
      </c>
      <c r="I1490" s="6" t="s">
        <v>682</v>
      </c>
      <c r="J1490" s="6" t="s">
        <v>21</v>
      </c>
      <c r="K1490" s="6" t="s">
        <v>22</v>
      </c>
      <c r="L1490" s="6">
        <v>54.0</v>
      </c>
      <c r="M1490" s="5">
        <v>46013.0</v>
      </c>
      <c r="N1490" s="6" t="s">
        <v>23</v>
      </c>
      <c r="O1490" s="6" t="str">
        <f>SUMIFS([1]order_sku_sales_bb2_report!P:P,[1]order_sku_sales_bb2_report!H:H,C29319,[1]order_sku_sales_bb2_report!J:J,H29319)</f>
        <v>#ERROR!</v>
      </c>
      <c r="P1490" s="6" t="str">
        <f>SUMIFS([1]order_sku_sales_bb2_report!O:O,[1]order_sku_sales_bb2_report!H:H,C29319,[1]order_sku_sales_bb2_report!J:J,H29319)</f>
        <v>#ERROR!</v>
      </c>
      <c r="Q1490" s="6" t="str">
        <f t="shared" si="1"/>
        <v>22-12-2025</v>
      </c>
      <c r="R1490" s="6" t="str">
        <f>IFERROR( VLOOKUP(C29319,[1]expressOrderReport!$S:$AZ,34,0),0)</f>
        <v>#ERROR!</v>
      </c>
      <c r="S1490" s="6" t="str">
        <f>ARRAY_CONSTRAIN(ARRAYFORMULA(_xludf.XLOOKUP(D29319,[1]order_Report_SA_ID_BB2.0!V:V,[1]order_Report_SA_ID_BB2.0!AM:AM,"")), 1, 1)</f>
        <v>#ERROR!</v>
      </c>
      <c r="T1490" s="6" t="str">
        <f t="shared" si="2"/>
        <v>Dec'25</v>
      </c>
    </row>
    <row r="1491" ht="15.75" customHeight="1">
      <c r="A1491" s="5">
        <v>46013.0</v>
      </c>
      <c r="B1491" s="6">
        <v>4700.0</v>
      </c>
      <c r="C1491" s="6">
        <v>1.859166372E9</v>
      </c>
      <c r="D1491" s="6">
        <v>2.4916872E7</v>
      </c>
      <c r="E1491" s="6" t="s">
        <v>2292</v>
      </c>
      <c r="F1491" s="6" t="s">
        <v>2293</v>
      </c>
      <c r="G1491" s="6">
        <v>9.986926888E9</v>
      </c>
      <c r="H1491" s="6">
        <v>4.0149833E7</v>
      </c>
      <c r="I1491" s="6" t="s">
        <v>40</v>
      </c>
      <c r="J1491" s="6" t="s">
        <v>21</v>
      </c>
      <c r="K1491" s="6" t="s">
        <v>22</v>
      </c>
      <c r="L1491" s="6">
        <v>27.0</v>
      </c>
      <c r="M1491" s="5">
        <v>46013.0</v>
      </c>
      <c r="N1491" s="6" t="s">
        <v>54</v>
      </c>
      <c r="O1491" s="6" t="str">
        <f>SUMIFS([1]order_sku_sales_bb2_report!P:P,[1]order_sku_sales_bb2_report!H:H,C29320,[1]order_sku_sales_bb2_report!J:J,H29320)</f>
        <v>#ERROR!</v>
      </c>
      <c r="P1491" s="6" t="str">
        <f>SUMIFS([1]order_sku_sales_bb2_report!O:O,[1]order_sku_sales_bb2_report!H:H,C29320,[1]order_sku_sales_bb2_report!J:J,H29320)</f>
        <v>#ERROR!</v>
      </c>
      <c r="Q1491" s="6" t="str">
        <f t="shared" si="1"/>
        <v>22-12-2025</v>
      </c>
      <c r="R1491" s="6" t="str">
        <f>IFERROR( VLOOKUP(C29320,[1]expressOrderReport!$S:$AZ,34,0),0)</f>
        <v>#ERROR!</v>
      </c>
      <c r="S1491" s="6" t="str">
        <f>ARRAY_CONSTRAIN(ARRAYFORMULA(_xludf.XLOOKUP(D29320,[1]order_Report_SA_ID_BB2.0!V:V,[1]order_Report_SA_ID_BB2.0!AM:AM,"")), 1, 1)</f>
        <v>#ERROR!</v>
      </c>
      <c r="T1491" s="6" t="str">
        <f t="shared" si="2"/>
        <v>Dec'25</v>
      </c>
    </row>
    <row r="1492" ht="15.75" customHeight="1">
      <c r="A1492" s="5">
        <v>46013.0</v>
      </c>
      <c r="B1492" s="6">
        <v>4701.0</v>
      </c>
      <c r="C1492" s="6">
        <v>1.859166377E9</v>
      </c>
      <c r="D1492" s="6">
        <v>8.6943006E7</v>
      </c>
      <c r="E1492" s="6" t="s">
        <v>2294</v>
      </c>
      <c r="F1492" s="6"/>
      <c r="G1492" s="6">
        <v>8.169981587E9</v>
      </c>
      <c r="H1492" s="6">
        <v>4.0158264E7</v>
      </c>
      <c r="I1492" s="6" t="s">
        <v>26</v>
      </c>
      <c r="J1492" s="6" t="s">
        <v>21</v>
      </c>
      <c r="K1492" s="6" t="s">
        <v>22</v>
      </c>
      <c r="L1492" s="6">
        <v>46.0</v>
      </c>
      <c r="M1492" s="5">
        <v>46013.0</v>
      </c>
      <c r="N1492" s="6" t="s">
        <v>23</v>
      </c>
      <c r="O1492" s="6" t="str">
        <f>SUMIFS([1]order_sku_sales_bb2_report!P:P,[1]order_sku_sales_bb2_report!H:H,C29321,[1]order_sku_sales_bb2_report!J:J,H29321)</f>
        <v>#ERROR!</v>
      </c>
      <c r="P1492" s="6" t="str">
        <f>SUMIFS([1]order_sku_sales_bb2_report!O:O,[1]order_sku_sales_bb2_report!H:H,C29321,[1]order_sku_sales_bb2_report!J:J,H29321)</f>
        <v>#ERROR!</v>
      </c>
      <c r="Q1492" s="6" t="str">
        <f t="shared" si="1"/>
        <v>22-12-2025</v>
      </c>
      <c r="R1492" s="6" t="str">
        <f>IFERROR( VLOOKUP(C29321,[1]expressOrderReport!$S:$AZ,34,0),0)</f>
        <v>#ERROR!</v>
      </c>
      <c r="S1492" s="6" t="str">
        <f>ARRAY_CONSTRAIN(ARRAYFORMULA(_xludf.XLOOKUP(D29321,[1]order_Report_SA_ID_BB2.0!V:V,[1]order_Report_SA_ID_BB2.0!AM:AM,"")), 1, 1)</f>
        <v>#ERROR!</v>
      </c>
      <c r="T1492" s="6" t="str">
        <f t="shared" si="2"/>
        <v>Dec'25</v>
      </c>
    </row>
    <row r="1493" ht="15.75" customHeight="1">
      <c r="A1493" s="5">
        <v>46013.0</v>
      </c>
      <c r="B1493" s="6">
        <v>4704.0</v>
      </c>
      <c r="C1493" s="6">
        <v>1.859166381E9</v>
      </c>
      <c r="D1493" s="6">
        <v>1.6983468E7</v>
      </c>
      <c r="E1493" s="6" t="s">
        <v>2295</v>
      </c>
      <c r="F1493" s="6" t="s">
        <v>2296</v>
      </c>
      <c r="G1493" s="6">
        <v>7.02215363E9</v>
      </c>
      <c r="H1493" s="6">
        <v>4.0149833E7</v>
      </c>
      <c r="I1493" s="6" t="s">
        <v>40</v>
      </c>
      <c r="J1493" s="6" t="s">
        <v>21</v>
      </c>
      <c r="K1493" s="6" t="s">
        <v>22</v>
      </c>
      <c r="L1493" s="6">
        <v>54.0</v>
      </c>
      <c r="M1493" s="5">
        <v>46013.0</v>
      </c>
      <c r="N1493" s="6" t="s">
        <v>23</v>
      </c>
      <c r="O1493" s="6" t="str">
        <f>SUMIFS([1]order_sku_sales_bb2_report!P:P,[1]order_sku_sales_bb2_report!H:H,C29322,[1]order_sku_sales_bb2_report!J:J,H29322)</f>
        <v>#ERROR!</v>
      </c>
      <c r="P1493" s="6" t="str">
        <f>SUMIFS([1]order_sku_sales_bb2_report!O:O,[1]order_sku_sales_bb2_report!H:H,C29322,[1]order_sku_sales_bb2_report!J:J,H29322)</f>
        <v>#ERROR!</v>
      </c>
      <c r="Q1493" s="6" t="str">
        <f t="shared" si="1"/>
        <v>22-12-2025</v>
      </c>
      <c r="R1493" s="6" t="str">
        <f>IFERROR( VLOOKUP(C29322,[1]expressOrderReport!$S:$AZ,34,0),0)</f>
        <v>#ERROR!</v>
      </c>
      <c r="S1493" s="6" t="str">
        <f>ARRAY_CONSTRAIN(ARRAYFORMULA(_xludf.XLOOKUP(D29322,[1]order_Report_SA_ID_BB2.0!V:V,[1]order_Report_SA_ID_BB2.0!AM:AM,"")), 1, 1)</f>
        <v>#ERROR!</v>
      </c>
      <c r="T1493" s="6" t="str">
        <f t="shared" si="2"/>
        <v>Dec'25</v>
      </c>
    </row>
    <row r="1494" ht="15.75" customHeight="1">
      <c r="A1494" s="5">
        <v>46013.0</v>
      </c>
      <c r="B1494" s="6">
        <v>11316.0</v>
      </c>
      <c r="C1494" s="6">
        <v>1.859166386E9</v>
      </c>
      <c r="D1494" s="6">
        <v>2.0651162E7</v>
      </c>
      <c r="E1494" s="6" t="s">
        <v>2297</v>
      </c>
      <c r="F1494" s="6" t="s">
        <v>2298</v>
      </c>
      <c r="G1494" s="6">
        <v>9.844551626E9</v>
      </c>
      <c r="H1494" s="6">
        <v>4.0161616E7</v>
      </c>
      <c r="I1494" s="6" t="s">
        <v>20</v>
      </c>
      <c r="J1494" s="6" t="s">
        <v>21</v>
      </c>
      <c r="K1494" s="6" t="s">
        <v>22</v>
      </c>
      <c r="L1494" s="6">
        <v>56.0</v>
      </c>
      <c r="M1494" s="5">
        <v>46013.0</v>
      </c>
      <c r="N1494" s="6" t="s">
        <v>23</v>
      </c>
      <c r="O1494" s="6" t="str">
        <f>SUMIFS([1]order_sku_sales_bb2_report!P:P,[1]order_sku_sales_bb2_report!H:H,C29323,[1]order_sku_sales_bb2_report!J:J,H29323)</f>
        <v>#ERROR!</v>
      </c>
      <c r="P1494" s="6" t="str">
        <f>SUMIFS([1]order_sku_sales_bb2_report!O:O,[1]order_sku_sales_bb2_report!H:H,C29323,[1]order_sku_sales_bb2_report!J:J,H29323)</f>
        <v>#ERROR!</v>
      </c>
      <c r="Q1494" s="6" t="str">
        <f t="shared" si="1"/>
        <v>22-12-2025</v>
      </c>
      <c r="R1494" s="6" t="str">
        <f>IFERROR( VLOOKUP(C29323,[1]expressOrderReport!$S:$AZ,34,0),0)</f>
        <v>#ERROR!</v>
      </c>
      <c r="S1494" s="6" t="str">
        <f>ARRAY_CONSTRAIN(ARRAYFORMULA(_xludf.XLOOKUP(D29323,[1]order_Report_SA_ID_BB2.0!V:V,[1]order_Report_SA_ID_BB2.0!AM:AM,"")), 1, 1)</f>
        <v>#ERROR!</v>
      </c>
      <c r="T1494" s="6" t="str">
        <f t="shared" si="2"/>
        <v>Dec'25</v>
      </c>
    </row>
    <row r="1495" ht="15.75" customHeight="1">
      <c r="A1495" s="5">
        <v>46013.0</v>
      </c>
      <c r="B1495" s="6">
        <v>4722.0</v>
      </c>
      <c r="C1495" s="6">
        <v>1.859166393E9</v>
      </c>
      <c r="D1495" s="6">
        <v>210422.0</v>
      </c>
      <c r="E1495" s="6" t="s">
        <v>2299</v>
      </c>
      <c r="F1495" s="6" t="s">
        <v>2300</v>
      </c>
      <c r="G1495" s="6">
        <v>9.880495648E9</v>
      </c>
      <c r="H1495" s="6">
        <v>4.0149833E7</v>
      </c>
      <c r="I1495" s="6" t="s">
        <v>40</v>
      </c>
      <c r="J1495" s="6" t="s">
        <v>21</v>
      </c>
      <c r="K1495" s="6" t="s">
        <v>22</v>
      </c>
      <c r="L1495" s="6">
        <v>27.0</v>
      </c>
      <c r="M1495" s="5">
        <v>46013.0</v>
      </c>
      <c r="N1495" s="6" t="s">
        <v>23</v>
      </c>
      <c r="O1495" s="6" t="str">
        <f>SUMIFS([1]order_sku_sales_bb2_report!P:P,[1]order_sku_sales_bb2_report!H:H,C29324,[1]order_sku_sales_bb2_report!J:J,H29324)</f>
        <v>#ERROR!</v>
      </c>
      <c r="P1495" s="6" t="str">
        <f>SUMIFS([1]order_sku_sales_bb2_report!O:O,[1]order_sku_sales_bb2_report!H:H,C29324,[1]order_sku_sales_bb2_report!J:J,H29324)</f>
        <v>#ERROR!</v>
      </c>
      <c r="Q1495" s="6" t="str">
        <f t="shared" si="1"/>
        <v>22-12-2025</v>
      </c>
      <c r="R1495" s="6" t="str">
        <f>IFERROR( VLOOKUP(C29324,[1]expressOrderReport!$S:$AZ,34,0),0)</f>
        <v>#ERROR!</v>
      </c>
      <c r="S1495" s="6" t="str">
        <f>ARRAY_CONSTRAIN(ARRAYFORMULA(_xludf.XLOOKUP(D29324,[1]order_Report_SA_ID_BB2.0!V:V,[1]order_Report_SA_ID_BB2.0!AM:AM,"")), 1, 1)</f>
        <v>#ERROR!</v>
      </c>
      <c r="T1495" s="6" t="str">
        <f t="shared" si="2"/>
        <v>Dec'25</v>
      </c>
    </row>
    <row r="1496" ht="15.75" customHeight="1">
      <c r="A1496" s="5">
        <v>46013.0</v>
      </c>
      <c r="B1496" s="6">
        <v>4723.0</v>
      </c>
      <c r="C1496" s="6">
        <v>1.859166399E9</v>
      </c>
      <c r="D1496" s="6">
        <v>3.9276338E7</v>
      </c>
      <c r="E1496" s="6" t="s">
        <v>2301</v>
      </c>
      <c r="F1496" s="6" t="s">
        <v>2302</v>
      </c>
      <c r="G1496" s="6">
        <v>9.901822285E9</v>
      </c>
      <c r="H1496" s="6">
        <v>4.0149833E7</v>
      </c>
      <c r="I1496" s="6" t="s">
        <v>40</v>
      </c>
      <c r="J1496" s="6" t="s">
        <v>21</v>
      </c>
      <c r="K1496" s="6" t="s">
        <v>22</v>
      </c>
      <c r="L1496" s="6">
        <v>55.0</v>
      </c>
      <c r="M1496" s="5">
        <v>46013.0</v>
      </c>
      <c r="N1496" s="6" t="s">
        <v>23</v>
      </c>
      <c r="O1496" s="6" t="str">
        <f>SUMIFS([1]order_sku_sales_bb2_report!P:P,[1]order_sku_sales_bb2_report!H:H,C29325,[1]order_sku_sales_bb2_report!J:J,H29325)</f>
        <v>#ERROR!</v>
      </c>
      <c r="P1496" s="6" t="str">
        <f>SUMIFS([1]order_sku_sales_bb2_report!O:O,[1]order_sku_sales_bb2_report!H:H,C29325,[1]order_sku_sales_bb2_report!J:J,H29325)</f>
        <v>#ERROR!</v>
      </c>
      <c r="Q1496" s="6" t="str">
        <f t="shared" si="1"/>
        <v>22-12-2025</v>
      </c>
      <c r="R1496" s="6" t="str">
        <f>IFERROR( VLOOKUP(C29325,[1]expressOrderReport!$S:$AZ,34,0),0)</f>
        <v>#ERROR!</v>
      </c>
      <c r="S1496" s="6" t="str">
        <f>ARRAY_CONSTRAIN(ARRAYFORMULA(_xludf.XLOOKUP(D29325,[1]order_Report_SA_ID_BB2.0!V:V,[1]order_Report_SA_ID_BB2.0!AM:AM,"")), 1, 1)</f>
        <v>#ERROR!</v>
      </c>
      <c r="T1496" s="6" t="str">
        <f t="shared" si="2"/>
        <v>Dec'25</v>
      </c>
    </row>
    <row r="1497" ht="15.75" customHeight="1">
      <c r="A1497" s="5">
        <v>46013.0</v>
      </c>
      <c r="B1497" s="6">
        <v>4724.0</v>
      </c>
      <c r="C1497" s="6">
        <v>1.859166399E9</v>
      </c>
      <c r="D1497" s="6">
        <v>3.9276338E7</v>
      </c>
      <c r="E1497" s="6" t="s">
        <v>2301</v>
      </c>
      <c r="F1497" s="6" t="s">
        <v>2302</v>
      </c>
      <c r="G1497" s="6">
        <v>9.901822285E9</v>
      </c>
      <c r="H1497" s="6">
        <v>4.014983E7</v>
      </c>
      <c r="I1497" s="6" t="s">
        <v>30</v>
      </c>
      <c r="J1497" s="6" t="s">
        <v>21</v>
      </c>
      <c r="K1497" s="6" t="s">
        <v>22</v>
      </c>
      <c r="L1497" s="6">
        <v>55.0</v>
      </c>
      <c r="M1497" s="5">
        <v>46013.0</v>
      </c>
      <c r="N1497" s="6" t="s">
        <v>23</v>
      </c>
      <c r="O1497" s="6" t="str">
        <f>SUMIFS([1]order_sku_sales_bb2_report!P:P,[1]order_sku_sales_bb2_report!H:H,C29326,[1]order_sku_sales_bb2_report!J:J,H29326)</f>
        <v>#ERROR!</v>
      </c>
      <c r="P1497" s="6" t="str">
        <f>SUMIFS([1]order_sku_sales_bb2_report!O:O,[1]order_sku_sales_bb2_report!H:H,C29326,[1]order_sku_sales_bb2_report!J:J,H29326)</f>
        <v>#ERROR!</v>
      </c>
      <c r="Q1497" s="6" t="str">
        <f t="shared" si="1"/>
        <v>22-12-2025</v>
      </c>
      <c r="R1497" s="6" t="str">
        <f>IFERROR( VLOOKUP(C29326,[1]expressOrderReport!$S:$AZ,34,0),0)</f>
        <v>#ERROR!</v>
      </c>
      <c r="S1497" s="6" t="str">
        <f>ARRAY_CONSTRAIN(ARRAYFORMULA(_xludf.XLOOKUP(D29326,[1]order_Report_SA_ID_BB2.0!V:V,[1]order_Report_SA_ID_BB2.0!AM:AM,"")), 1, 1)</f>
        <v>#ERROR!</v>
      </c>
      <c r="T1497" s="6" t="str">
        <f t="shared" si="2"/>
        <v>Dec'25</v>
      </c>
    </row>
    <row r="1498" ht="15.75" customHeight="1">
      <c r="A1498" s="5">
        <v>46013.0</v>
      </c>
      <c r="B1498" s="6">
        <v>12056.0</v>
      </c>
      <c r="C1498" s="6">
        <v>1.859166406E9</v>
      </c>
      <c r="D1498" s="6">
        <v>1811358.0</v>
      </c>
      <c r="E1498" s="6" t="s">
        <v>2303</v>
      </c>
      <c r="F1498" s="6" t="s">
        <v>2304</v>
      </c>
      <c r="G1498" s="6">
        <v>9.740907353E9</v>
      </c>
      <c r="H1498" s="6">
        <v>4.025582E7</v>
      </c>
      <c r="I1498" s="6" t="s">
        <v>2305</v>
      </c>
      <c r="J1498" s="6" t="s">
        <v>21</v>
      </c>
      <c r="K1498" s="6" t="s">
        <v>27</v>
      </c>
      <c r="L1498" s="6">
        <v>245.78</v>
      </c>
      <c r="M1498" s="5">
        <v>46013.0</v>
      </c>
      <c r="N1498" s="6" t="s">
        <v>23</v>
      </c>
      <c r="O1498" s="6" t="str">
        <f>SUMIFS([1]order_sku_sales_bb2_report!P:P,[1]order_sku_sales_bb2_report!H:H,C29335,[1]order_sku_sales_bb2_report!J:J,H29335)</f>
        <v>#ERROR!</v>
      </c>
      <c r="P1498" s="6" t="str">
        <f>SUMIFS([1]order_sku_sales_bb2_report!O:O,[1]order_sku_sales_bb2_report!H:H,C29335,[1]order_sku_sales_bb2_report!J:J,H29335)</f>
        <v>#ERROR!</v>
      </c>
      <c r="Q1498" s="6" t="str">
        <f t="shared" si="1"/>
        <v>22-12-2025</v>
      </c>
      <c r="R1498" s="6" t="str">
        <f>IFERROR( VLOOKUP(C29335,[1]expressOrderReport!$S:$AZ,34,0),0)</f>
        <v>#ERROR!</v>
      </c>
      <c r="S1498" s="6" t="str">
        <f>ARRAY_CONSTRAIN(ARRAYFORMULA(_xludf.XLOOKUP(D29335,[1]order_Report_SA_ID_BB2.0!V:V,[1]order_Report_SA_ID_BB2.0!AM:AM,"")), 1, 1)</f>
        <v>#ERROR!</v>
      </c>
      <c r="T1498" s="6" t="str">
        <f t="shared" si="2"/>
        <v>Dec'25</v>
      </c>
    </row>
    <row r="1499" ht="15.75" customHeight="1">
      <c r="A1499" s="5">
        <v>46013.0</v>
      </c>
      <c r="B1499" s="6">
        <v>12064.0</v>
      </c>
      <c r="C1499" s="6">
        <v>1.859166406E9</v>
      </c>
      <c r="D1499" s="6">
        <v>1811358.0</v>
      </c>
      <c r="E1499" s="6" t="s">
        <v>2303</v>
      </c>
      <c r="F1499" s="6" t="s">
        <v>2304</v>
      </c>
      <c r="G1499" s="6">
        <v>9.740907353E9</v>
      </c>
      <c r="H1499" s="6">
        <v>4.0109157E7</v>
      </c>
      <c r="I1499" s="6" t="s">
        <v>2306</v>
      </c>
      <c r="J1499" s="6" t="s">
        <v>21</v>
      </c>
      <c r="K1499" s="6" t="s">
        <v>27</v>
      </c>
      <c r="L1499" s="6">
        <v>245.78</v>
      </c>
      <c r="M1499" s="5">
        <v>46013.0</v>
      </c>
      <c r="N1499" s="6" t="s">
        <v>23</v>
      </c>
      <c r="O1499" s="6" t="str">
        <f>SUMIFS([1]order_sku_sales_bb2_report!P:P,[1]order_sku_sales_bb2_report!H:H,C29336,[1]order_sku_sales_bb2_report!J:J,H29336)</f>
        <v>#ERROR!</v>
      </c>
      <c r="P1499" s="6" t="str">
        <f>SUMIFS([1]order_sku_sales_bb2_report!O:O,[1]order_sku_sales_bb2_report!H:H,C29336,[1]order_sku_sales_bb2_report!J:J,H29336)</f>
        <v>#ERROR!</v>
      </c>
      <c r="Q1499" s="6" t="str">
        <f t="shared" si="1"/>
        <v>22-12-2025</v>
      </c>
      <c r="R1499" s="6" t="str">
        <f>IFERROR( VLOOKUP(C29336,[1]expressOrderReport!$S:$AZ,34,0),0)</f>
        <v>#ERROR!</v>
      </c>
      <c r="S1499" s="6" t="str">
        <f>ARRAY_CONSTRAIN(ARRAYFORMULA(_xludf.XLOOKUP(D29336,[1]order_Report_SA_ID_BB2.0!V:V,[1]order_Report_SA_ID_BB2.0!AM:AM,"")), 1, 1)</f>
        <v>#ERROR!</v>
      </c>
      <c r="T1499" s="6" t="str">
        <f t="shared" si="2"/>
        <v>Dec'25</v>
      </c>
    </row>
    <row r="1500" ht="15.75" customHeight="1">
      <c r="A1500" s="5">
        <v>46013.0</v>
      </c>
      <c r="B1500" s="6">
        <v>5771.0</v>
      </c>
      <c r="C1500" s="6">
        <v>1.85916641E9</v>
      </c>
      <c r="D1500" s="6">
        <v>2.9355563E7</v>
      </c>
      <c r="E1500" s="6" t="s">
        <v>2307</v>
      </c>
      <c r="F1500" s="6" t="s">
        <v>2308</v>
      </c>
      <c r="G1500" s="6">
        <v>9.632940626E9</v>
      </c>
      <c r="H1500" s="6">
        <v>4.0149833E7</v>
      </c>
      <c r="I1500" s="6" t="s">
        <v>40</v>
      </c>
      <c r="J1500" s="6" t="s">
        <v>21</v>
      </c>
      <c r="K1500" s="6" t="s">
        <v>22</v>
      </c>
      <c r="L1500" s="6">
        <v>27.0</v>
      </c>
      <c r="M1500" s="5">
        <v>46013.0</v>
      </c>
      <c r="N1500" s="6" t="s">
        <v>23</v>
      </c>
      <c r="O1500" s="6" t="str">
        <f>SUMIFS([1]order_sku_sales_bb2_report!P:P,[1]order_sku_sales_bb2_report!H:H,C29337,[1]order_sku_sales_bb2_report!J:J,H29337)</f>
        <v>#ERROR!</v>
      </c>
      <c r="P1500" s="6" t="str">
        <f>SUMIFS([1]order_sku_sales_bb2_report!O:O,[1]order_sku_sales_bb2_report!H:H,C29337,[1]order_sku_sales_bb2_report!J:J,H29337)</f>
        <v>#ERROR!</v>
      </c>
      <c r="Q1500" s="6" t="str">
        <f t="shared" si="1"/>
        <v>22-12-2025</v>
      </c>
      <c r="R1500" s="6" t="str">
        <f>IFERROR( VLOOKUP(C29337,[1]expressOrderReport!$S:$AZ,34,0),0)</f>
        <v>#ERROR!</v>
      </c>
      <c r="S1500" s="6" t="str">
        <f>ARRAY_CONSTRAIN(ARRAYFORMULA(_xludf.XLOOKUP(D29337,[1]order_Report_SA_ID_BB2.0!V:V,[1]order_Report_SA_ID_BB2.0!AM:AM,"")), 1, 1)</f>
        <v>#ERROR!</v>
      </c>
      <c r="T1500" s="6" t="str">
        <f t="shared" si="2"/>
        <v>Dec'25</v>
      </c>
    </row>
    <row r="1501" ht="15.75" customHeight="1">
      <c r="A1501" s="5">
        <v>46013.0</v>
      </c>
      <c r="B1501" s="6">
        <v>4913.0</v>
      </c>
      <c r="C1501" s="6">
        <v>1.859166418E9</v>
      </c>
      <c r="D1501" s="6">
        <v>1.3652206E7</v>
      </c>
      <c r="E1501" s="6" t="s">
        <v>2309</v>
      </c>
      <c r="F1501" s="6" t="s">
        <v>2310</v>
      </c>
      <c r="G1501" s="6">
        <v>7.760588006E9</v>
      </c>
      <c r="H1501" s="6">
        <v>4.0161616E7</v>
      </c>
      <c r="I1501" s="6" t="s">
        <v>20</v>
      </c>
      <c r="J1501" s="6" t="s">
        <v>21</v>
      </c>
      <c r="K1501" s="6" t="s">
        <v>22</v>
      </c>
      <c r="L1501" s="6">
        <v>112.0</v>
      </c>
      <c r="M1501" s="5">
        <v>46013.0</v>
      </c>
      <c r="N1501" s="6" t="s">
        <v>23</v>
      </c>
      <c r="O1501" s="6" t="str">
        <f>SUMIFS([1]order_sku_sales_bb2_report!P:P,[1]order_sku_sales_bb2_report!H:H,C29338,[1]order_sku_sales_bb2_report!J:J,H29338)</f>
        <v>#ERROR!</v>
      </c>
      <c r="P1501" s="6" t="str">
        <f>SUMIFS([1]order_sku_sales_bb2_report!O:O,[1]order_sku_sales_bb2_report!H:H,C29338,[1]order_sku_sales_bb2_report!J:J,H29338)</f>
        <v>#ERROR!</v>
      </c>
      <c r="Q1501" s="6" t="str">
        <f t="shared" si="1"/>
        <v>22-12-2025</v>
      </c>
      <c r="R1501" s="6" t="str">
        <f>IFERROR( VLOOKUP(C29338,[1]expressOrderReport!$S:$AZ,34,0),0)</f>
        <v>#ERROR!</v>
      </c>
      <c r="S1501" s="6" t="str">
        <f>ARRAY_CONSTRAIN(ARRAYFORMULA(_xludf.XLOOKUP(D29338,[1]order_Report_SA_ID_BB2.0!V:V,[1]order_Report_SA_ID_BB2.0!AM:AM,"")), 1, 1)</f>
        <v>#ERROR!</v>
      </c>
      <c r="T1501" s="6" t="str">
        <f t="shared" si="2"/>
        <v>Dec'25</v>
      </c>
    </row>
    <row r="1502" ht="15.75" customHeight="1">
      <c r="A1502" s="5">
        <v>46013.0</v>
      </c>
      <c r="B1502" s="6">
        <v>4969.0</v>
      </c>
      <c r="C1502" s="6">
        <v>1.859166424E9</v>
      </c>
      <c r="D1502" s="6">
        <v>1034877.0</v>
      </c>
      <c r="E1502" s="6" t="s">
        <v>2311</v>
      </c>
      <c r="F1502" s="6" t="s">
        <v>2312</v>
      </c>
      <c r="G1502" s="6">
        <v>9.963009508E9</v>
      </c>
      <c r="H1502" s="6">
        <v>4.0090893E7</v>
      </c>
      <c r="I1502" s="6" t="s">
        <v>35</v>
      </c>
      <c r="J1502" s="6" t="s">
        <v>21</v>
      </c>
      <c r="K1502" s="6" t="s">
        <v>22</v>
      </c>
      <c r="L1502" s="6">
        <v>99.0</v>
      </c>
      <c r="M1502" s="5">
        <v>46013.0</v>
      </c>
      <c r="N1502" s="6" t="s">
        <v>23</v>
      </c>
      <c r="O1502" s="6" t="str">
        <f>SUMIFS([1]order_sku_sales_bb2_report!P:P,[1]order_sku_sales_bb2_report!H:H,C29339,[1]order_sku_sales_bb2_report!J:J,H29339)</f>
        <v>#ERROR!</v>
      </c>
      <c r="P1502" s="6" t="str">
        <f>SUMIFS([1]order_sku_sales_bb2_report!O:O,[1]order_sku_sales_bb2_report!H:H,C29339,[1]order_sku_sales_bb2_report!J:J,H29339)</f>
        <v>#ERROR!</v>
      </c>
      <c r="Q1502" s="6" t="str">
        <f t="shared" si="1"/>
        <v>22-12-2025</v>
      </c>
      <c r="R1502" s="6" t="str">
        <f>IFERROR( VLOOKUP(C29339,[1]expressOrderReport!$S:$AZ,34,0),0)</f>
        <v>#ERROR!</v>
      </c>
      <c r="S1502" s="6" t="str">
        <f>ARRAY_CONSTRAIN(ARRAYFORMULA(_xludf.XLOOKUP(D29339,[1]order_Report_SA_ID_BB2.0!V:V,[1]order_Report_SA_ID_BB2.0!AM:AM,"")), 1, 1)</f>
        <v>#ERROR!</v>
      </c>
      <c r="T1502" s="6" t="str">
        <f t="shared" si="2"/>
        <v>Dec'25</v>
      </c>
    </row>
    <row r="1503" ht="15.75" customHeight="1">
      <c r="A1503" s="5">
        <v>46013.0</v>
      </c>
      <c r="B1503" s="6">
        <v>7554.0</v>
      </c>
      <c r="C1503" s="6">
        <v>1.85916643E9</v>
      </c>
      <c r="D1503" s="6">
        <v>5090971.0</v>
      </c>
      <c r="E1503" s="6" t="s">
        <v>2009</v>
      </c>
      <c r="F1503" s="6" t="s">
        <v>2010</v>
      </c>
      <c r="G1503" s="6">
        <v>9.566034206E9</v>
      </c>
      <c r="H1503" s="6">
        <v>4.0147595E7</v>
      </c>
      <c r="I1503" s="6" t="s">
        <v>1239</v>
      </c>
      <c r="J1503" s="6" t="s">
        <v>21</v>
      </c>
      <c r="K1503" s="6" t="s">
        <v>22</v>
      </c>
      <c r="L1503" s="6">
        <v>34.0</v>
      </c>
      <c r="M1503" s="5">
        <v>46013.0</v>
      </c>
      <c r="N1503" s="6" t="s">
        <v>54</v>
      </c>
      <c r="O1503" s="6" t="str">
        <f>SUMIFS([1]order_sku_sales_bb2_report!P:P,[1]order_sku_sales_bb2_report!H:H,C29340,[1]order_sku_sales_bb2_report!J:J,H29340)</f>
        <v>#ERROR!</v>
      </c>
      <c r="P1503" s="6" t="str">
        <f>SUMIFS([1]order_sku_sales_bb2_report!O:O,[1]order_sku_sales_bb2_report!H:H,C29340,[1]order_sku_sales_bb2_report!J:J,H29340)</f>
        <v>#ERROR!</v>
      </c>
      <c r="Q1503" s="6" t="str">
        <f t="shared" si="1"/>
        <v>22-12-2025</v>
      </c>
      <c r="R1503" s="6" t="str">
        <f>IFERROR( VLOOKUP(C29340,[1]expressOrderReport!$S:$AZ,34,0),0)</f>
        <v>#ERROR!</v>
      </c>
      <c r="S1503" s="6" t="str">
        <f>ARRAY_CONSTRAIN(ARRAYFORMULA(_xludf.XLOOKUP(D29340,[1]order_Report_SA_ID_BB2.0!V:V,[1]order_Report_SA_ID_BB2.0!AM:AM,"")), 1, 1)</f>
        <v>#ERROR!</v>
      </c>
      <c r="T1503" s="6" t="str">
        <f t="shared" si="2"/>
        <v>Dec'25</v>
      </c>
    </row>
    <row r="1504" ht="15.75" customHeight="1">
      <c r="A1504" s="5">
        <v>46013.0</v>
      </c>
      <c r="B1504" s="6">
        <v>5804.0</v>
      </c>
      <c r="C1504" s="6">
        <v>1.859166434E9</v>
      </c>
      <c r="D1504" s="6">
        <v>1.6764024E7</v>
      </c>
      <c r="E1504" s="6" t="s">
        <v>873</v>
      </c>
      <c r="F1504" s="6" t="s">
        <v>874</v>
      </c>
      <c r="G1504" s="6">
        <v>9.158882892E9</v>
      </c>
      <c r="H1504" s="6">
        <v>4.0149833E7</v>
      </c>
      <c r="I1504" s="6" t="s">
        <v>40</v>
      </c>
      <c r="J1504" s="6" t="s">
        <v>21</v>
      </c>
      <c r="K1504" s="6" t="s">
        <v>22</v>
      </c>
      <c r="L1504" s="6">
        <v>27.0</v>
      </c>
      <c r="M1504" s="5">
        <v>46013.0</v>
      </c>
      <c r="N1504" s="6" t="s">
        <v>23</v>
      </c>
      <c r="O1504" s="6" t="str">
        <f>SUMIFS([1]order_sku_sales_bb2_report!P:P,[1]order_sku_sales_bb2_report!H:H,C29341,[1]order_sku_sales_bb2_report!J:J,H29341)</f>
        <v>#ERROR!</v>
      </c>
      <c r="P1504" s="6" t="str">
        <f>SUMIFS([1]order_sku_sales_bb2_report!O:O,[1]order_sku_sales_bb2_report!H:H,C29341,[1]order_sku_sales_bb2_report!J:J,H29341)</f>
        <v>#ERROR!</v>
      </c>
      <c r="Q1504" s="6" t="str">
        <f t="shared" si="1"/>
        <v>22-12-2025</v>
      </c>
      <c r="R1504" s="6" t="str">
        <f>IFERROR( VLOOKUP(C29341,[1]expressOrderReport!$S:$AZ,34,0),0)</f>
        <v>#ERROR!</v>
      </c>
      <c r="S1504" s="6" t="str">
        <f>ARRAY_CONSTRAIN(ARRAYFORMULA(_xludf.XLOOKUP(D29341,[1]order_Report_SA_ID_BB2.0!V:V,[1]order_Report_SA_ID_BB2.0!AM:AM,"")), 1, 1)</f>
        <v>#ERROR!</v>
      </c>
      <c r="T1504" s="6" t="str">
        <f t="shared" si="2"/>
        <v>Dec'25</v>
      </c>
    </row>
    <row r="1505" ht="15.75" customHeight="1">
      <c r="A1505" s="5">
        <v>46013.0</v>
      </c>
      <c r="B1505" s="6">
        <v>10694.0</v>
      </c>
      <c r="C1505" s="6">
        <v>1.859166442E9</v>
      </c>
      <c r="D1505" s="6">
        <v>4.5728832E7</v>
      </c>
      <c r="E1505" s="6" t="s">
        <v>2313</v>
      </c>
      <c r="F1505" s="6" t="s">
        <v>2314</v>
      </c>
      <c r="G1505" s="6">
        <v>9.880010572E9</v>
      </c>
      <c r="H1505" s="6">
        <v>4.014983E7</v>
      </c>
      <c r="I1505" s="6" t="s">
        <v>30</v>
      </c>
      <c r="J1505" s="6" t="s">
        <v>21</v>
      </c>
      <c r="K1505" s="6" t="s">
        <v>22</v>
      </c>
      <c r="L1505" s="6">
        <v>54.0</v>
      </c>
      <c r="M1505" s="5">
        <v>46013.0</v>
      </c>
      <c r="N1505" s="6" t="s">
        <v>23</v>
      </c>
      <c r="O1505" s="6" t="str">
        <f>SUMIFS([1]order_sku_sales_bb2_report!P:P,[1]order_sku_sales_bb2_report!H:H,C29342,[1]order_sku_sales_bb2_report!J:J,H29342)</f>
        <v>#ERROR!</v>
      </c>
      <c r="P1505" s="6" t="str">
        <f>SUMIFS([1]order_sku_sales_bb2_report!O:O,[1]order_sku_sales_bb2_report!H:H,C29342,[1]order_sku_sales_bb2_report!J:J,H29342)</f>
        <v>#ERROR!</v>
      </c>
      <c r="Q1505" s="6" t="str">
        <f t="shared" si="1"/>
        <v>22-12-2025</v>
      </c>
      <c r="R1505" s="6" t="str">
        <f>IFERROR( VLOOKUP(C29342,[1]expressOrderReport!$S:$AZ,34,0),0)</f>
        <v>#ERROR!</v>
      </c>
      <c r="S1505" s="6" t="str">
        <f>ARRAY_CONSTRAIN(ARRAYFORMULA(_xludf.XLOOKUP(D29342,[1]order_Report_SA_ID_BB2.0!V:V,[1]order_Report_SA_ID_BB2.0!AM:AM,"")), 1, 1)</f>
        <v>#ERROR!</v>
      </c>
      <c r="T1505" s="6" t="str">
        <f t="shared" si="2"/>
        <v>Dec'25</v>
      </c>
    </row>
    <row r="1506" ht="15.75" customHeight="1">
      <c r="A1506" s="5">
        <v>46013.0</v>
      </c>
      <c r="B1506" s="6">
        <v>10781.0</v>
      </c>
      <c r="C1506" s="6">
        <v>1.859166442E9</v>
      </c>
      <c r="D1506" s="6">
        <v>4.5728832E7</v>
      </c>
      <c r="E1506" s="6" t="s">
        <v>2313</v>
      </c>
      <c r="F1506" s="6" t="s">
        <v>2314</v>
      </c>
      <c r="G1506" s="6">
        <v>9.880010572E9</v>
      </c>
      <c r="H1506" s="6">
        <v>4.0149831E7</v>
      </c>
      <c r="I1506" s="6" t="s">
        <v>65</v>
      </c>
      <c r="J1506" s="6" t="s">
        <v>21</v>
      </c>
      <c r="K1506" s="6" t="s">
        <v>22</v>
      </c>
      <c r="L1506" s="6">
        <v>54.0</v>
      </c>
      <c r="M1506" s="5">
        <v>46013.0</v>
      </c>
      <c r="N1506" s="6" t="s">
        <v>23</v>
      </c>
      <c r="O1506" s="6" t="str">
        <f>SUMIFS([1]order_sku_sales_bb2_report!P:P,[1]order_sku_sales_bb2_report!H:H,C29343,[1]order_sku_sales_bb2_report!J:J,H29343)</f>
        <v>#ERROR!</v>
      </c>
      <c r="P1506" s="6" t="str">
        <f>SUMIFS([1]order_sku_sales_bb2_report!O:O,[1]order_sku_sales_bb2_report!H:H,C29343,[1]order_sku_sales_bb2_report!J:J,H29343)</f>
        <v>#ERROR!</v>
      </c>
      <c r="Q1506" s="6" t="str">
        <f t="shared" si="1"/>
        <v>22-12-2025</v>
      </c>
      <c r="R1506" s="6" t="str">
        <f>IFERROR( VLOOKUP(C29343,[1]expressOrderReport!$S:$AZ,34,0),0)</f>
        <v>#ERROR!</v>
      </c>
      <c r="S1506" s="6" t="str">
        <f>ARRAY_CONSTRAIN(ARRAYFORMULA(_xludf.XLOOKUP(D29343,[1]order_Report_SA_ID_BB2.0!V:V,[1]order_Report_SA_ID_BB2.0!AM:AM,"")), 1, 1)</f>
        <v>#ERROR!</v>
      </c>
      <c r="T1506" s="6" t="str">
        <f t="shared" si="2"/>
        <v>Dec'25</v>
      </c>
    </row>
    <row r="1507" ht="15.75" customHeight="1">
      <c r="A1507" s="5">
        <v>46013.0</v>
      </c>
      <c r="B1507" s="6">
        <v>11206.0</v>
      </c>
      <c r="C1507" s="6">
        <v>1.859166447E9</v>
      </c>
      <c r="D1507" s="6">
        <v>3257633.0</v>
      </c>
      <c r="E1507" s="6" t="s">
        <v>2315</v>
      </c>
      <c r="F1507" s="6" t="s">
        <v>2316</v>
      </c>
      <c r="G1507" s="6">
        <v>9.126140153E9</v>
      </c>
      <c r="H1507" s="6">
        <v>4.0149834E7</v>
      </c>
      <c r="I1507" s="6" t="s">
        <v>40</v>
      </c>
      <c r="J1507" s="6" t="s">
        <v>21</v>
      </c>
      <c r="K1507" s="6" t="s">
        <v>22</v>
      </c>
      <c r="L1507" s="6">
        <v>52.0</v>
      </c>
      <c r="M1507" s="5">
        <v>46013.0</v>
      </c>
      <c r="N1507" s="6" t="s">
        <v>23</v>
      </c>
      <c r="O1507" s="6" t="str">
        <f>SUMIFS([1]order_sku_sales_bb2_report!P:P,[1]order_sku_sales_bb2_report!H:H,C29344,[1]order_sku_sales_bb2_report!J:J,H29344)</f>
        <v>#ERROR!</v>
      </c>
      <c r="P1507" s="6" t="str">
        <f>SUMIFS([1]order_sku_sales_bb2_report!O:O,[1]order_sku_sales_bb2_report!H:H,C29344,[1]order_sku_sales_bb2_report!J:J,H29344)</f>
        <v>#ERROR!</v>
      </c>
      <c r="Q1507" s="6" t="str">
        <f t="shared" si="1"/>
        <v>22-12-2025</v>
      </c>
      <c r="R1507" s="6" t="str">
        <f>IFERROR( VLOOKUP(C29344,[1]expressOrderReport!$S:$AZ,34,0),0)</f>
        <v>#ERROR!</v>
      </c>
      <c r="S1507" s="6" t="str">
        <f>ARRAY_CONSTRAIN(ARRAYFORMULA(_xludf.XLOOKUP(D29344,[1]order_Report_SA_ID_BB2.0!V:V,[1]order_Report_SA_ID_BB2.0!AM:AM,"")), 1, 1)</f>
        <v>#ERROR!</v>
      </c>
      <c r="T1507" s="6" t="str">
        <f t="shared" si="2"/>
        <v>Dec'25</v>
      </c>
    </row>
    <row r="1508" ht="15.75" customHeight="1">
      <c r="A1508" s="5">
        <v>46013.0</v>
      </c>
      <c r="B1508" s="6">
        <v>7390.0</v>
      </c>
      <c r="C1508" s="6">
        <v>1.859166457E9</v>
      </c>
      <c r="D1508" s="6">
        <v>2.1111863E7</v>
      </c>
      <c r="E1508" s="6" t="s">
        <v>2317</v>
      </c>
      <c r="F1508" s="6" t="s">
        <v>2318</v>
      </c>
      <c r="G1508" s="6">
        <v>9.711398197E9</v>
      </c>
      <c r="H1508" s="6">
        <v>4.0149833E7</v>
      </c>
      <c r="I1508" s="6" t="s">
        <v>40</v>
      </c>
      <c r="J1508" s="6" t="s">
        <v>21</v>
      </c>
      <c r="K1508" s="6" t="s">
        <v>22</v>
      </c>
      <c r="L1508" s="6">
        <v>27.0</v>
      </c>
      <c r="M1508" s="5">
        <v>46013.0</v>
      </c>
      <c r="N1508" s="6" t="s">
        <v>23</v>
      </c>
      <c r="O1508" s="6" t="str">
        <f>SUMIFS([1]order_sku_sales_bb2_report!P:P,[1]order_sku_sales_bb2_report!H:H,C29345,[1]order_sku_sales_bb2_report!J:J,H29345)</f>
        <v>#ERROR!</v>
      </c>
      <c r="P1508" s="6" t="str">
        <f>SUMIFS([1]order_sku_sales_bb2_report!O:O,[1]order_sku_sales_bb2_report!H:H,C29345,[1]order_sku_sales_bb2_report!J:J,H29345)</f>
        <v>#ERROR!</v>
      </c>
      <c r="Q1508" s="6" t="str">
        <f t="shared" si="1"/>
        <v>22-12-2025</v>
      </c>
      <c r="R1508" s="6" t="str">
        <f>IFERROR( VLOOKUP(C29345,[1]expressOrderReport!$S:$AZ,34,0),0)</f>
        <v>#ERROR!</v>
      </c>
      <c r="S1508" s="6" t="str">
        <f>ARRAY_CONSTRAIN(ARRAYFORMULA(_xludf.XLOOKUP(D29345,[1]order_Report_SA_ID_BB2.0!V:V,[1]order_Report_SA_ID_BB2.0!AM:AM,"")), 1, 1)</f>
        <v>#ERROR!</v>
      </c>
      <c r="T1508" s="6" t="str">
        <f t="shared" si="2"/>
        <v>Dec'25</v>
      </c>
    </row>
    <row r="1509" ht="15.75" customHeight="1">
      <c r="A1509" s="5">
        <v>46013.0</v>
      </c>
      <c r="B1509" s="6">
        <v>7391.0</v>
      </c>
      <c r="C1509" s="6">
        <v>1.859166457E9</v>
      </c>
      <c r="D1509" s="6">
        <v>2.1111863E7</v>
      </c>
      <c r="E1509" s="6" t="s">
        <v>2317</v>
      </c>
      <c r="F1509" s="6" t="s">
        <v>2318</v>
      </c>
      <c r="G1509" s="6">
        <v>9.711398197E9</v>
      </c>
      <c r="H1509" s="6">
        <v>4.0092241E7</v>
      </c>
      <c r="I1509" s="6" t="s">
        <v>2319</v>
      </c>
      <c r="J1509" s="6" t="s">
        <v>21</v>
      </c>
      <c r="K1509" s="6" t="s">
        <v>22</v>
      </c>
      <c r="L1509" s="6">
        <v>27.0</v>
      </c>
      <c r="M1509" s="5">
        <v>46013.0</v>
      </c>
      <c r="N1509" s="6" t="s">
        <v>23</v>
      </c>
      <c r="O1509" s="6" t="str">
        <f>SUMIFS([1]order_sku_sales_bb2_report!P:P,[1]order_sku_sales_bb2_report!H:H,C29346,[1]order_sku_sales_bb2_report!J:J,H29346)</f>
        <v>#ERROR!</v>
      </c>
      <c r="P1509" s="6" t="str">
        <f>SUMIFS([1]order_sku_sales_bb2_report!O:O,[1]order_sku_sales_bb2_report!H:H,C29346,[1]order_sku_sales_bb2_report!J:J,H29346)</f>
        <v>#ERROR!</v>
      </c>
      <c r="Q1509" s="6" t="str">
        <f t="shared" si="1"/>
        <v>22-12-2025</v>
      </c>
      <c r="R1509" s="6" t="str">
        <f>IFERROR( VLOOKUP(C29346,[1]expressOrderReport!$S:$AZ,34,0),0)</f>
        <v>#ERROR!</v>
      </c>
      <c r="S1509" s="6" t="str">
        <f>ARRAY_CONSTRAIN(ARRAYFORMULA(_xludf.XLOOKUP(D29346,[1]order_Report_SA_ID_BB2.0!V:V,[1]order_Report_SA_ID_BB2.0!AM:AM,"")), 1, 1)</f>
        <v>#ERROR!</v>
      </c>
      <c r="T1509" s="6" t="str">
        <f t="shared" si="2"/>
        <v>Dec'25</v>
      </c>
    </row>
    <row r="1510" ht="15.75" customHeight="1">
      <c r="A1510" s="5">
        <v>46013.0</v>
      </c>
      <c r="B1510" s="6">
        <v>5226.0</v>
      </c>
      <c r="C1510" s="6">
        <v>1.859166462E9</v>
      </c>
      <c r="D1510" s="6">
        <v>8.834648E7</v>
      </c>
      <c r="E1510" s="6" t="s">
        <v>2320</v>
      </c>
      <c r="F1510" s="6" t="s">
        <v>2321</v>
      </c>
      <c r="G1510" s="6">
        <v>7.025084379E9</v>
      </c>
      <c r="H1510" s="6">
        <v>4.0149831E7</v>
      </c>
      <c r="I1510" s="6" t="s">
        <v>65</v>
      </c>
      <c r="J1510" s="6" t="s">
        <v>21</v>
      </c>
      <c r="K1510" s="6" t="s">
        <v>27</v>
      </c>
      <c r="L1510" s="6">
        <v>104.0</v>
      </c>
      <c r="M1510" s="5">
        <v>46013.0</v>
      </c>
      <c r="N1510" s="6" t="s">
        <v>23</v>
      </c>
      <c r="O1510" s="6" t="str">
        <f>SUMIFS([1]order_sku_sales_bb2_report!P:P,[1]order_sku_sales_bb2_report!H:H,C29347,[1]order_sku_sales_bb2_report!J:J,H29347)</f>
        <v>#ERROR!</v>
      </c>
      <c r="P1510" s="6" t="str">
        <f>SUMIFS([1]order_sku_sales_bb2_report!O:O,[1]order_sku_sales_bb2_report!H:H,C29347,[1]order_sku_sales_bb2_report!J:J,H29347)</f>
        <v>#ERROR!</v>
      </c>
      <c r="Q1510" s="6" t="str">
        <f t="shared" si="1"/>
        <v>22-12-2025</v>
      </c>
      <c r="R1510" s="6" t="str">
        <f>IFERROR( VLOOKUP(C29347,[1]expressOrderReport!$S:$AZ,34,0),0)</f>
        <v>#ERROR!</v>
      </c>
      <c r="S1510" s="6" t="str">
        <f>ARRAY_CONSTRAIN(ARRAYFORMULA(_xludf.XLOOKUP(D29347,[1]order_Report_SA_ID_BB2.0!V:V,[1]order_Report_SA_ID_BB2.0!AM:AM,"")), 1, 1)</f>
        <v>#ERROR!</v>
      </c>
      <c r="T1510" s="6" t="str">
        <f t="shared" si="2"/>
        <v>Dec'25</v>
      </c>
    </row>
    <row r="1511" ht="15.75" customHeight="1">
      <c r="A1511" s="5">
        <v>46013.0</v>
      </c>
      <c r="B1511" s="6">
        <v>6009.0</v>
      </c>
      <c r="C1511" s="6">
        <v>1.859166469E9</v>
      </c>
      <c r="D1511" s="6">
        <v>145622.0</v>
      </c>
      <c r="E1511" s="6" t="s">
        <v>2322</v>
      </c>
      <c r="F1511" s="6" t="s">
        <v>2323</v>
      </c>
      <c r="G1511" s="6">
        <v>7.411211275E9</v>
      </c>
      <c r="H1511" s="6">
        <v>4.0149833E7</v>
      </c>
      <c r="I1511" s="6" t="s">
        <v>40</v>
      </c>
      <c r="J1511" s="6" t="s">
        <v>21</v>
      </c>
      <c r="K1511" s="6" t="s">
        <v>22</v>
      </c>
      <c r="L1511" s="6">
        <v>27.0</v>
      </c>
      <c r="M1511" s="5">
        <v>46013.0</v>
      </c>
      <c r="N1511" s="6" t="s">
        <v>23</v>
      </c>
      <c r="O1511" s="6" t="str">
        <f>SUMIFS([1]order_sku_sales_bb2_report!P:P,[1]order_sku_sales_bb2_report!H:H,C29348,[1]order_sku_sales_bb2_report!J:J,H29348)</f>
        <v>#ERROR!</v>
      </c>
      <c r="P1511" s="6" t="str">
        <f>SUMIFS([1]order_sku_sales_bb2_report!O:O,[1]order_sku_sales_bb2_report!H:H,C29348,[1]order_sku_sales_bb2_report!J:J,H29348)</f>
        <v>#ERROR!</v>
      </c>
      <c r="Q1511" s="6" t="str">
        <f t="shared" si="1"/>
        <v>22-12-2025</v>
      </c>
      <c r="R1511" s="6" t="str">
        <f>IFERROR( VLOOKUP(C29348,[1]expressOrderReport!$S:$AZ,34,0),0)</f>
        <v>#ERROR!</v>
      </c>
      <c r="S1511" s="6" t="str">
        <f>ARRAY_CONSTRAIN(ARRAYFORMULA(_xludf.XLOOKUP(D29348,[1]order_Report_SA_ID_BB2.0!V:V,[1]order_Report_SA_ID_BB2.0!AM:AM,"")), 1, 1)</f>
        <v>#ERROR!</v>
      </c>
      <c r="T1511" s="6" t="str">
        <f t="shared" si="2"/>
        <v>Dec'25</v>
      </c>
    </row>
    <row r="1512" ht="15.75" customHeight="1">
      <c r="A1512" s="5">
        <v>46013.0</v>
      </c>
      <c r="B1512" s="6">
        <v>5288.0</v>
      </c>
      <c r="C1512" s="6">
        <v>1.859166475E9</v>
      </c>
      <c r="D1512" s="6">
        <v>1.6214533E7</v>
      </c>
      <c r="E1512" s="6" t="s">
        <v>2324</v>
      </c>
      <c r="F1512" s="6" t="s">
        <v>2325</v>
      </c>
      <c r="G1512" s="6">
        <v>7.204889206E9</v>
      </c>
      <c r="H1512" s="6">
        <v>4.0149834E7</v>
      </c>
      <c r="I1512" s="6" t="s">
        <v>40</v>
      </c>
      <c r="J1512" s="6" t="s">
        <v>21</v>
      </c>
      <c r="K1512" s="6" t="s">
        <v>22</v>
      </c>
      <c r="L1512" s="6">
        <v>52.0</v>
      </c>
      <c r="M1512" s="5">
        <v>46013.0</v>
      </c>
      <c r="N1512" s="6" t="s">
        <v>23</v>
      </c>
      <c r="O1512" s="6" t="str">
        <f>SUMIFS([1]order_sku_sales_bb2_report!P:P,[1]order_sku_sales_bb2_report!H:H,C29349,[1]order_sku_sales_bb2_report!J:J,H29349)</f>
        <v>#ERROR!</v>
      </c>
      <c r="P1512" s="6" t="str">
        <f>SUMIFS([1]order_sku_sales_bb2_report!O:O,[1]order_sku_sales_bb2_report!H:H,C29349,[1]order_sku_sales_bb2_report!J:J,H29349)</f>
        <v>#ERROR!</v>
      </c>
      <c r="Q1512" s="6" t="str">
        <f t="shared" si="1"/>
        <v>22-12-2025</v>
      </c>
      <c r="R1512" s="6" t="str">
        <f>IFERROR( VLOOKUP(C29349,[1]expressOrderReport!$S:$AZ,34,0),0)</f>
        <v>#ERROR!</v>
      </c>
      <c r="S1512" s="6" t="str">
        <f>ARRAY_CONSTRAIN(ARRAYFORMULA(_xludf.XLOOKUP(D29349,[1]order_Report_SA_ID_BB2.0!V:V,[1]order_Report_SA_ID_BB2.0!AM:AM,"")), 1, 1)</f>
        <v>#ERROR!</v>
      </c>
      <c r="T1512" s="6" t="str">
        <f t="shared" si="2"/>
        <v>Dec'25</v>
      </c>
    </row>
    <row r="1513" ht="15.75" customHeight="1">
      <c r="A1513" s="5">
        <v>46013.0</v>
      </c>
      <c r="B1513" s="6">
        <v>5318.0</v>
      </c>
      <c r="C1513" s="6">
        <v>1.859166481E9</v>
      </c>
      <c r="D1513" s="6">
        <v>476284.0</v>
      </c>
      <c r="E1513" s="6" t="s">
        <v>2326</v>
      </c>
      <c r="F1513" s="6" t="s">
        <v>2327</v>
      </c>
      <c r="G1513" s="6">
        <v>9.845214654E9</v>
      </c>
      <c r="H1513" s="6">
        <v>4.0149832E7</v>
      </c>
      <c r="I1513" s="6" t="s">
        <v>26</v>
      </c>
      <c r="J1513" s="6" t="s">
        <v>21</v>
      </c>
      <c r="K1513" s="6" t="s">
        <v>22</v>
      </c>
      <c r="L1513" s="6">
        <v>24.0</v>
      </c>
      <c r="M1513" s="5">
        <v>46013.0</v>
      </c>
      <c r="N1513" s="6" t="s">
        <v>23</v>
      </c>
      <c r="O1513" s="6" t="str">
        <f>SUMIFS([1]order_sku_sales_bb2_report!P:P,[1]order_sku_sales_bb2_report!H:H,C29350,[1]order_sku_sales_bb2_report!J:J,H29350)</f>
        <v>#ERROR!</v>
      </c>
      <c r="P1513" s="6" t="str">
        <f>SUMIFS([1]order_sku_sales_bb2_report!O:O,[1]order_sku_sales_bb2_report!H:H,C29350,[1]order_sku_sales_bb2_report!J:J,H29350)</f>
        <v>#ERROR!</v>
      </c>
      <c r="Q1513" s="6" t="str">
        <f t="shared" si="1"/>
        <v>22-12-2025</v>
      </c>
      <c r="R1513" s="6" t="str">
        <f>IFERROR( VLOOKUP(C29350,[1]expressOrderReport!$S:$AZ,34,0),0)</f>
        <v>#ERROR!</v>
      </c>
      <c r="S1513" s="6" t="str">
        <f>ARRAY_CONSTRAIN(ARRAYFORMULA(_xludf.XLOOKUP(D29350,[1]order_Report_SA_ID_BB2.0!V:V,[1]order_Report_SA_ID_BB2.0!AM:AM,"")), 1, 1)</f>
        <v>#ERROR!</v>
      </c>
      <c r="T1513" s="6" t="str">
        <f t="shared" si="2"/>
        <v>Dec'25</v>
      </c>
    </row>
    <row r="1514" ht="15.75" customHeight="1">
      <c r="A1514" s="5">
        <v>46013.0</v>
      </c>
      <c r="B1514" s="6">
        <v>5320.0</v>
      </c>
      <c r="C1514" s="6">
        <v>1.859166483E9</v>
      </c>
      <c r="D1514" s="6">
        <v>7703681.0</v>
      </c>
      <c r="E1514" s="6" t="s">
        <v>2328</v>
      </c>
      <c r="F1514" s="6" t="s">
        <v>2329</v>
      </c>
      <c r="G1514" s="6">
        <v>8.113064622E9</v>
      </c>
      <c r="H1514" s="6">
        <v>4.0147597E7</v>
      </c>
      <c r="I1514" s="6" t="s">
        <v>59</v>
      </c>
      <c r="J1514" s="6" t="s">
        <v>21</v>
      </c>
      <c r="K1514" s="6" t="s">
        <v>22</v>
      </c>
      <c r="L1514" s="6">
        <v>26.0</v>
      </c>
      <c r="M1514" s="5">
        <v>46013.0</v>
      </c>
      <c r="N1514" s="6" t="s">
        <v>23</v>
      </c>
      <c r="O1514" s="6" t="str">
        <f>SUMIFS([1]order_sku_sales_bb2_report!P:P,[1]order_sku_sales_bb2_report!H:H,C29351,[1]order_sku_sales_bb2_report!J:J,H29351)</f>
        <v>#ERROR!</v>
      </c>
      <c r="P1514" s="6" t="str">
        <f>SUMIFS([1]order_sku_sales_bb2_report!O:O,[1]order_sku_sales_bb2_report!H:H,C29351,[1]order_sku_sales_bb2_report!J:J,H29351)</f>
        <v>#ERROR!</v>
      </c>
      <c r="Q1514" s="6" t="str">
        <f t="shared" si="1"/>
        <v>22-12-2025</v>
      </c>
      <c r="R1514" s="6" t="str">
        <f>IFERROR( VLOOKUP(C29351,[1]expressOrderReport!$S:$AZ,34,0),0)</f>
        <v>#ERROR!</v>
      </c>
      <c r="S1514" s="6" t="str">
        <f>ARRAY_CONSTRAIN(ARRAYFORMULA(_xludf.XLOOKUP(D29351,[1]order_Report_SA_ID_BB2.0!V:V,[1]order_Report_SA_ID_BB2.0!AM:AM,"")), 1, 1)</f>
        <v>#ERROR!</v>
      </c>
      <c r="T1514" s="6" t="str">
        <f t="shared" si="2"/>
        <v>Dec'25</v>
      </c>
    </row>
    <row r="1515" ht="15.75" customHeight="1">
      <c r="A1515" s="5">
        <v>46013.0</v>
      </c>
      <c r="B1515" s="6">
        <v>5391.0</v>
      </c>
      <c r="C1515" s="6">
        <v>1.859166491E9</v>
      </c>
      <c r="D1515" s="6">
        <v>8275489.0</v>
      </c>
      <c r="E1515" s="6" t="s">
        <v>2330</v>
      </c>
      <c r="F1515" s="6" t="s">
        <v>2331</v>
      </c>
      <c r="G1515" s="6">
        <v>8.867883602E9</v>
      </c>
      <c r="H1515" s="6">
        <v>4.0149832E7</v>
      </c>
      <c r="I1515" s="6" t="s">
        <v>26</v>
      </c>
      <c r="J1515" s="6" t="s">
        <v>21</v>
      </c>
      <c r="K1515" s="6" t="s">
        <v>22</v>
      </c>
      <c r="L1515" s="6">
        <v>24.0</v>
      </c>
      <c r="M1515" s="5">
        <v>46013.0</v>
      </c>
      <c r="N1515" s="6" t="s">
        <v>23</v>
      </c>
      <c r="O1515" s="6" t="str">
        <f>SUMIFS([1]order_sku_sales_bb2_report!P:P,[1]order_sku_sales_bb2_report!H:H,C29353,[1]order_sku_sales_bb2_report!J:J,H29353)</f>
        <v>#ERROR!</v>
      </c>
      <c r="P1515" s="6" t="str">
        <f>SUMIFS([1]order_sku_sales_bb2_report!O:O,[1]order_sku_sales_bb2_report!H:H,C29353,[1]order_sku_sales_bb2_report!J:J,H29353)</f>
        <v>#ERROR!</v>
      </c>
      <c r="Q1515" s="6" t="str">
        <f t="shared" si="1"/>
        <v>22-12-2025</v>
      </c>
      <c r="R1515" s="6" t="str">
        <f>IFERROR( VLOOKUP(C29353,[1]expressOrderReport!$S:$AZ,34,0),0)</f>
        <v>#ERROR!</v>
      </c>
      <c r="S1515" s="6" t="str">
        <f>ARRAY_CONSTRAIN(ARRAYFORMULA(_xludf.XLOOKUP(D29353,[1]order_Report_SA_ID_BB2.0!V:V,[1]order_Report_SA_ID_BB2.0!AM:AM,"")), 1, 1)</f>
        <v>#ERROR!</v>
      </c>
      <c r="T1515" s="6" t="str">
        <f t="shared" si="2"/>
        <v>Dec'25</v>
      </c>
    </row>
    <row r="1516" ht="15.75" customHeight="1">
      <c r="A1516" s="5">
        <v>46013.0</v>
      </c>
      <c r="B1516" s="6">
        <v>6550.0</v>
      </c>
      <c r="C1516" s="6">
        <v>1.859166495E9</v>
      </c>
      <c r="D1516" s="6">
        <v>7583040.0</v>
      </c>
      <c r="E1516" s="6" t="s">
        <v>2332</v>
      </c>
      <c r="F1516" s="6" t="s">
        <v>2333</v>
      </c>
      <c r="G1516" s="6">
        <v>9.898187928E9</v>
      </c>
      <c r="H1516" s="6">
        <v>4.0149834E7</v>
      </c>
      <c r="I1516" s="6" t="s">
        <v>40</v>
      </c>
      <c r="J1516" s="6" t="s">
        <v>21</v>
      </c>
      <c r="K1516" s="6" t="s">
        <v>22</v>
      </c>
      <c r="L1516" s="6">
        <v>52.0</v>
      </c>
      <c r="M1516" s="5">
        <v>46013.0</v>
      </c>
      <c r="N1516" s="6" t="s">
        <v>23</v>
      </c>
      <c r="O1516" s="6" t="str">
        <f>SUMIFS([1]order_sku_sales_bb2_report!P:P,[1]order_sku_sales_bb2_report!H:H,C29356,[1]order_sku_sales_bb2_report!J:J,H29356)</f>
        <v>#ERROR!</v>
      </c>
      <c r="P1516" s="6" t="str">
        <f>SUMIFS([1]order_sku_sales_bb2_report!O:O,[1]order_sku_sales_bb2_report!H:H,C29356,[1]order_sku_sales_bb2_report!J:J,H29356)</f>
        <v>#ERROR!</v>
      </c>
      <c r="Q1516" s="6" t="str">
        <f t="shared" si="1"/>
        <v>22-12-2025</v>
      </c>
      <c r="R1516" s="6" t="str">
        <f>IFERROR( VLOOKUP(C29356,[1]expressOrderReport!$S:$AZ,34,0),0)</f>
        <v>#ERROR!</v>
      </c>
      <c r="S1516" s="6" t="str">
        <f>ARRAY_CONSTRAIN(ARRAYFORMULA(_xludf.XLOOKUP(D29356,[1]order_Report_SA_ID_BB2.0!V:V,[1]order_Report_SA_ID_BB2.0!AM:AM,"")), 1, 1)</f>
        <v>#ERROR!</v>
      </c>
      <c r="T1516" s="6" t="str">
        <f t="shared" si="2"/>
        <v>Dec'25</v>
      </c>
    </row>
    <row r="1517" ht="15.75" customHeight="1">
      <c r="A1517" s="5">
        <v>46013.0</v>
      </c>
      <c r="B1517" s="6">
        <v>5461.0</v>
      </c>
      <c r="C1517" s="6">
        <v>1.859166501E9</v>
      </c>
      <c r="D1517" s="6">
        <v>2.2618334E7</v>
      </c>
      <c r="E1517" s="6" t="s">
        <v>2334</v>
      </c>
      <c r="F1517" s="6" t="s">
        <v>2335</v>
      </c>
      <c r="G1517" s="6">
        <v>9.880911E9</v>
      </c>
      <c r="H1517" s="6">
        <v>4.0158264E7</v>
      </c>
      <c r="I1517" s="6" t="s">
        <v>26</v>
      </c>
      <c r="J1517" s="6" t="s">
        <v>21</v>
      </c>
      <c r="K1517" s="6" t="s">
        <v>22</v>
      </c>
      <c r="L1517" s="6">
        <v>116.0</v>
      </c>
      <c r="M1517" s="5">
        <v>46013.0</v>
      </c>
      <c r="N1517" s="6" t="s">
        <v>23</v>
      </c>
      <c r="O1517" s="6" t="str">
        <f>SUMIFS([1]order_sku_sales_bb2_report!P:P,[1]order_sku_sales_bb2_report!H:H,C29357,[1]order_sku_sales_bb2_report!J:J,H29357)</f>
        <v>#ERROR!</v>
      </c>
      <c r="P1517" s="6" t="str">
        <f>SUMIFS([1]order_sku_sales_bb2_report!O:O,[1]order_sku_sales_bb2_report!H:H,C29357,[1]order_sku_sales_bb2_report!J:J,H29357)</f>
        <v>#ERROR!</v>
      </c>
      <c r="Q1517" s="6" t="str">
        <f t="shared" si="1"/>
        <v>22-12-2025</v>
      </c>
      <c r="R1517" s="6" t="str">
        <f>IFERROR( VLOOKUP(C29357,[1]expressOrderReport!$S:$AZ,34,0),0)</f>
        <v>#ERROR!</v>
      </c>
      <c r="S1517" s="6" t="str">
        <f>ARRAY_CONSTRAIN(ARRAYFORMULA(_xludf.XLOOKUP(D29357,[1]order_Report_SA_ID_BB2.0!V:V,[1]order_Report_SA_ID_BB2.0!AM:AM,"")), 1, 1)</f>
        <v>#ERROR!</v>
      </c>
      <c r="T1517" s="6" t="str">
        <f t="shared" si="2"/>
        <v>Dec'25</v>
      </c>
    </row>
    <row r="1518" ht="15.75" customHeight="1">
      <c r="A1518" s="5">
        <v>46013.0</v>
      </c>
      <c r="B1518" s="6">
        <v>5462.0</v>
      </c>
      <c r="C1518" s="6">
        <v>1.859166501E9</v>
      </c>
      <c r="D1518" s="6">
        <v>2.2618334E7</v>
      </c>
      <c r="E1518" s="6" t="s">
        <v>2334</v>
      </c>
      <c r="F1518" s="6" t="s">
        <v>2335</v>
      </c>
      <c r="G1518" s="6">
        <v>9.880911E9</v>
      </c>
      <c r="H1518" s="6">
        <v>4.0149832E7</v>
      </c>
      <c r="I1518" s="6" t="s">
        <v>26</v>
      </c>
      <c r="J1518" s="6" t="s">
        <v>21</v>
      </c>
      <c r="K1518" s="6" t="s">
        <v>22</v>
      </c>
      <c r="L1518" s="6">
        <v>116.0</v>
      </c>
      <c r="M1518" s="5">
        <v>46013.0</v>
      </c>
      <c r="N1518" s="6" t="s">
        <v>23</v>
      </c>
      <c r="O1518" s="6" t="str">
        <f>SUMIFS([1]order_sku_sales_bb2_report!P:P,[1]order_sku_sales_bb2_report!H:H,C29358,[1]order_sku_sales_bb2_report!J:J,H29358)</f>
        <v>#ERROR!</v>
      </c>
      <c r="P1518" s="6" t="str">
        <f>SUMIFS([1]order_sku_sales_bb2_report!O:O,[1]order_sku_sales_bb2_report!H:H,C29358,[1]order_sku_sales_bb2_report!J:J,H29358)</f>
        <v>#ERROR!</v>
      </c>
      <c r="Q1518" s="6" t="str">
        <f t="shared" si="1"/>
        <v>22-12-2025</v>
      </c>
      <c r="R1518" s="6" t="str">
        <f>IFERROR( VLOOKUP(C29358,[1]expressOrderReport!$S:$AZ,34,0),0)</f>
        <v>#ERROR!</v>
      </c>
      <c r="S1518" s="6" t="str">
        <f>ARRAY_CONSTRAIN(ARRAYFORMULA(_xludf.XLOOKUP(D29358,[1]order_Report_SA_ID_BB2.0!V:V,[1]order_Report_SA_ID_BB2.0!AM:AM,"")), 1, 1)</f>
        <v>#ERROR!</v>
      </c>
      <c r="T1518" s="6" t="str">
        <f t="shared" si="2"/>
        <v>Dec'25</v>
      </c>
    </row>
    <row r="1519" ht="15.75" customHeight="1">
      <c r="A1519" s="5">
        <v>46013.0</v>
      </c>
      <c r="B1519" s="6">
        <v>5464.0</v>
      </c>
      <c r="C1519" s="6">
        <v>1.859166505E9</v>
      </c>
      <c r="D1519" s="6">
        <v>8674182.0</v>
      </c>
      <c r="E1519" s="6" t="s">
        <v>2336</v>
      </c>
      <c r="F1519" s="6" t="s">
        <v>2337</v>
      </c>
      <c r="G1519" s="6">
        <v>8.073486688E9</v>
      </c>
      <c r="H1519" s="6">
        <v>4.0158264E7</v>
      </c>
      <c r="I1519" s="6" t="s">
        <v>26</v>
      </c>
      <c r="J1519" s="6" t="s">
        <v>21</v>
      </c>
      <c r="K1519" s="6" t="s">
        <v>22</v>
      </c>
      <c r="L1519" s="6">
        <v>46.0</v>
      </c>
      <c r="M1519" s="5">
        <v>46013.0</v>
      </c>
      <c r="N1519" s="6" t="s">
        <v>23</v>
      </c>
      <c r="O1519" s="6" t="str">
        <f>SUMIFS([1]order_sku_sales_bb2_report!P:P,[1]order_sku_sales_bb2_report!H:H,C29359,[1]order_sku_sales_bb2_report!J:J,H29359)</f>
        <v>#ERROR!</v>
      </c>
      <c r="P1519" s="6" t="str">
        <f>SUMIFS([1]order_sku_sales_bb2_report!O:O,[1]order_sku_sales_bb2_report!H:H,C29359,[1]order_sku_sales_bb2_report!J:J,H29359)</f>
        <v>#ERROR!</v>
      </c>
      <c r="Q1519" s="6" t="str">
        <f t="shared" si="1"/>
        <v>22-12-2025</v>
      </c>
      <c r="R1519" s="6" t="str">
        <f>IFERROR( VLOOKUP(C29359,[1]expressOrderReport!$S:$AZ,34,0),0)</f>
        <v>#ERROR!</v>
      </c>
      <c r="S1519" s="6" t="str">
        <f>ARRAY_CONSTRAIN(ARRAYFORMULA(_xludf.XLOOKUP(D29359,[1]order_Report_SA_ID_BB2.0!V:V,[1]order_Report_SA_ID_BB2.0!AM:AM,"")), 1, 1)</f>
        <v>#ERROR!</v>
      </c>
      <c r="T1519" s="6" t="str">
        <f t="shared" si="2"/>
        <v>Dec'25</v>
      </c>
    </row>
    <row r="1520" ht="15.75" customHeight="1">
      <c r="A1520" s="5">
        <v>46013.0</v>
      </c>
      <c r="B1520" s="6">
        <v>5525.0</v>
      </c>
      <c r="C1520" s="6">
        <v>1.859166512E9</v>
      </c>
      <c r="D1520" s="6">
        <v>1.748738E7</v>
      </c>
      <c r="E1520" s="6" t="s">
        <v>2338</v>
      </c>
      <c r="F1520" s="6" t="s">
        <v>2339</v>
      </c>
      <c r="G1520" s="6">
        <v>8.880839647E9</v>
      </c>
      <c r="H1520" s="6">
        <v>4.0149833E7</v>
      </c>
      <c r="I1520" s="6" t="s">
        <v>40</v>
      </c>
      <c r="J1520" s="6" t="s">
        <v>21</v>
      </c>
      <c r="K1520" s="6" t="s">
        <v>22</v>
      </c>
      <c r="L1520" s="6">
        <v>190.0</v>
      </c>
      <c r="M1520" s="5">
        <v>46013.0</v>
      </c>
      <c r="N1520" s="6" t="s">
        <v>23</v>
      </c>
      <c r="O1520" s="6" t="str">
        <f>SUMIFS([1]order_sku_sales_bb2_report!P:P,[1]order_sku_sales_bb2_report!H:H,C29360,[1]order_sku_sales_bb2_report!J:J,H29360)</f>
        <v>#ERROR!</v>
      </c>
      <c r="P1520" s="6" t="str">
        <f>SUMIFS([1]order_sku_sales_bb2_report!O:O,[1]order_sku_sales_bb2_report!H:H,C29360,[1]order_sku_sales_bb2_report!J:J,H29360)</f>
        <v>#ERROR!</v>
      </c>
      <c r="Q1520" s="6" t="str">
        <f t="shared" si="1"/>
        <v>22-12-2025</v>
      </c>
      <c r="R1520" s="6" t="str">
        <f>IFERROR( VLOOKUP(C29360,[1]expressOrderReport!$S:$AZ,34,0),0)</f>
        <v>#ERROR!</v>
      </c>
      <c r="S1520" s="6" t="str">
        <f>ARRAY_CONSTRAIN(ARRAYFORMULA(_xludf.XLOOKUP(D29360,[1]order_Report_SA_ID_BB2.0!V:V,[1]order_Report_SA_ID_BB2.0!AM:AM,"")), 1, 1)</f>
        <v>#ERROR!</v>
      </c>
      <c r="T1520" s="6" t="str">
        <f t="shared" si="2"/>
        <v>Dec'25</v>
      </c>
    </row>
    <row r="1521" ht="15.75" customHeight="1">
      <c r="A1521" s="5">
        <v>46013.0</v>
      </c>
      <c r="B1521" s="6">
        <v>5526.0</v>
      </c>
      <c r="C1521" s="6">
        <v>1.859166512E9</v>
      </c>
      <c r="D1521" s="6">
        <v>1.748738E7</v>
      </c>
      <c r="E1521" s="6" t="s">
        <v>2338</v>
      </c>
      <c r="F1521" s="6" t="s">
        <v>2339</v>
      </c>
      <c r="G1521" s="6">
        <v>8.880839647E9</v>
      </c>
      <c r="H1521" s="6">
        <v>4.014983E7</v>
      </c>
      <c r="I1521" s="6" t="s">
        <v>30</v>
      </c>
      <c r="J1521" s="6" t="s">
        <v>21</v>
      </c>
      <c r="K1521" s="6" t="s">
        <v>22</v>
      </c>
      <c r="L1521" s="6">
        <v>190.0</v>
      </c>
      <c r="M1521" s="5">
        <v>46013.0</v>
      </c>
      <c r="N1521" s="6" t="s">
        <v>23</v>
      </c>
      <c r="O1521" s="6" t="str">
        <f>SUMIFS([1]order_sku_sales_bb2_report!P:P,[1]order_sku_sales_bb2_report!H:H,C29361,[1]order_sku_sales_bb2_report!J:J,H29361)</f>
        <v>#ERROR!</v>
      </c>
      <c r="P1521" s="6" t="str">
        <f>SUMIFS([1]order_sku_sales_bb2_report!O:O,[1]order_sku_sales_bb2_report!H:H,C29361,[1]order_sku_sales_bb2_report!J:J,H29361)</f>
        <v>#ERROR!</v>
      </c>
      <c r="Q1521" s="6" t="str">
        <f t="shared" si="1"/>
        <v>22-12-2025</v>
      </c>
      <c r="R1521" s="6" t="str">
        <f>IFERROR( VLOOKUP(C29361,[1]expressOrderReport!$S:$AZ,34,0),0)</f>
        <v>#ERROR!</v>
      </c>
      <c r="S1521" s="6" t="str">
        <f>ARRAY_CONSTRAIN(ARRAYFORMULA(_xludf.XLOOKUP(D29361,[1]order_Report_SA_ID_BB2.0!V:V,[1]order_Report_SA_ID_BB2.0!AM:AM,"")), 1, 1)</f>
        <v>#ERROR!</v>
      </c>
      <c r="T1521" s="6" t="str">
        <f t="shared" si="2"/>
        <v>Dec'25</v>
      </c>
    </row>
    <row r="1522" ht="15.75" customHeight="1">
      <c r="A1522" s="5">
        <v>46013.0</v>
      </c>
      <c r="B1522" s="6">
        <v>5544.0</v>
      </c>
      <c r="C1522" s="6">
        <v>1.859166518E9</v>
      </c>
      <c r="D1522" s="6">
        <v>6.2831733E7</v>
      </c>
      <c r="E1522" s="6" t="s">
        <v>2340</v>
      </c>
      <c r="F1522" s="6" t="s">
        <v>2341</v>
      </c>
      <c r="G1522" s="6">
        <v>9.398578768E9</v>
      </c>
      <c r="H1522" s="6">
        <v>4.0148716E7</v>
      </c>
      <c r="I1522" s="6" t="s">
        <v>148</v>
      </c>
      <c r="J1522" s="6" t="s">
        <v>21</v>
      </c>
      <c r="K1522" s="6" t="s">
        <v>22</v>
      </c>
      <c r="L1522" s="6">
        <v>90.0</v>
      </c>
      <c r="M1522" s="5">
        <v>46013.0</v>
      </c>
      <c r="N1522" s="6" t="s">
        <v>23</v>
      </c>
      <c r="O1522" s="6" t="str">
        <f>SUMIFS([1]order_sku_sales_bb2_report!P:P,[1]order_sku_sales_bb2_report!H:H,C29362,[1]order_sku_sales_bb2_report!J:J,H29362)</f>
        <v>#ERROR!</v>
      </c>
      <c r="P1522" s="6" t="str">
        <f>SUMIFS([1]order_sku_sales_bb2_report!O:O,[1]order_sku_sales_bb2_report!H:H,C29362,[1]order_sku_sales_bb2_report!J:J,H29362)</f>
        <v>#ERROR!</v>
      </c>
      <c r="Q1522" s="6" t="str">
        <f t="shared" si="1"/>
        <v>22-12-2025</v>
      </c>
      <c r="R1522" s="6" t="str">
        <f>IFERROR( VLOOKUP(C29362,[1]expressOrderReport!$S:$AZ,34,0),0)</f>
        <v>#ERROR!</v>
      </c>
      <c r="S1522" s="6" t="str">
        <f>ARRAY_CONSTRAIN(ARRAYFORMULA(_xludf.XLOOKUP(D29362,[1]order_Report_SA_ID_BB2.0!V:V,[1]order_Report_SA_ID_BB2.0!AM:AM,"")), 1, 1)</f>
        <v>#ERROR!</v>
      </c>
      <c r="T1522" s="6" t="str">
        <f t="shared" si="2"/>
        <v>Dec'25</v>
      </c>
    </row>
    <row r="1523" ht="15.75" customHeight="1">
      <c r="A1523" s="5">
        <v>46013.0</v>
      </c>
      <c r="B1523" s="6">
        <v>5548.0</v>
      </c>
      <c r="C1523" s="6">
        <v>1.859166523E9</v>
      </c>
      <c r="D1523" s="6">
        <v>5.214643E7</v>
      </c>
      <c r="E1523" s="6" t="s">
        <v>625</v>
      </c>
      <c r="F1523" s="6" t="s">
        <v>2342</v>
      </c>
      <c r="G1523" s="6">
        <v>7.259691774E9</v>
      </c>
      <c r="H1523" s="6">
        <v>4.0149832E7</v>
      </c>
      <c r="I1523" s="6" t="s">
        <v>26</v>
      </c>
      <c r="J1523" s="6" t="s">
        <v>21</v>
      </c>
      <c r="K1523" s="6" t="s">
        <v>22</v>
      </c>
      <c r="L1523" s="6">
        <v>24.0</v>
      </c>
      <c r="M1523" s="5">
        <v>46013.0</v>
      </c>
      <c r="N1523" s="6" t="s">
        <v>23</v>
      </c>
      <c r="O1523" s="6" t="str">
        <f>SUMIFS([1]order_sku_sales_bb2_report!P:P,[1]order_sku_sales_bb2_report!H:H,C29363,[1]order_sku_sales_bb2_report!J:J,H29363)</f>
        <v>#ERROR!</v>
      </c>
      <c r="P1523" s="6" t="str">
        <f>SUMIFS([1]order_sku_sales_bb2_report!O:O,[1]order_sku_sales_bb2_report!H:H,C29363,[1]order_sku_sales_bb2_report!J:J,H29363)</f>
        <v>#ERROR!</v>
      </c>
      <c r="Q1523" s="6" t="str">
        <f t="shared" si="1"/>
        <v>22-12-2025</v>
      </c>
      <c r="R1523" s="6" t="str">
        <f>IFERROR( VLOOKUP(C29363,[1]expressOrderReport!$S:$AZ,34,0),0)</f>
        <v>#ERROR!</v>
      </c>
      <c r="S1523" s="6" t="str">
        <f>ARRAY_CONSTRAIN(ARRAYFORMULA(_xludf.XLOOKUP(D29363,[1]order_Report_SA_ID_BB2.0!V:V,[1]order_Report_SA_ID_BB2.0!AM:AM,"")), 1, 1)</f>
        <v>#ERROR!</v>
      </c>
      <c r="T1523" s="6" t="str">
        <f t="shared" si="2"/>
        <v>Dec'25</v>
      </c>
    </row>
    <row r="1524" ht="15.75" customHeight="1">
      <c r="A1524" s="5">
        <v>46013.0</v>
      </c>
      <c r="B1524" s="6">
        <v>5571.0</v>
      </c>
      <c r="C1524" s="6">
        <v>1.859166529E9</v>
      </c>
      <c r="D1524" s="6">
        <v>7.1005152E7</v>
      </c>
      <c r="E1524" s="6" t="s">
        <v>2343</v>
      </c>
      <c r="F1524" s="6" t="s">
        <v>2344</v>
      </c>
      <c r="G1524" s="6">
        <v>6.383442753E9</v>
      </c>
      <c r="H1524" s="6">
        <v>4.0161616E7</v>
      </c>
      <c r="I1524" s="6" t="s">
        <v>20</v>
      </c>
      <c r="J1524" s="6" t="s">
        <v>21</v>
      </c>
      <c r="K1524" s="6" t="s">
        <v>22</v>
      </c>
      <c r="L1524" s="6">
        <v>28.0</v>
      </c>
      <c r="M1524" s="5">
        <v>46013.0</v>
      </c>
      <c r="N1524" s="6" t="s">
        <v>23</v>
      </c>
      <c r="O1524" s="6" t="str">
        <f>SUMIFS([1]order_sku_sales_bb2_report!P:P,[1]order_sku_sales_bb2_report!H:H,C29364,[1]order_sku_sales_bb2_report!J:J,H29364)</f>
        <v>#ERROR!</v>
      </c>
      <c r="P1524" s="6" t="str">
        <f>SUMIFS([1]order_sku_sales_bb2_report!O:O,[1]order_sku_sales_bb2_report!H:H,C29364,[1]order_sku_sales_bb2_report!J:J,H29364)</f>
        <v>#ERROR!</v>
      </c>
      <c r="Q1524" s="6" t="str">
        <f t="shared" si="1"/>
        <v>22-12-2025</v>
      </c>
      <c r="R1524" s="6" t="str">
        <f>IFERROR( VLOOKUP(C29364,[1]expressOrderReport!$S:$AZ,34,0),0)</f>
        <v>#ERROR!</v>
      </c>
      <c r="S1524" s="6" t="str">
        <f>ARRAY_CONSTRAIN(ARRAYFORMULA(_xludf.XLOOKUP(D29364,[1]order_Report_SA_ID_BB2.0!V:V,[1]order_Report_SA_ID_BB2.0!AM:AM,"")), 1, 1)</f>
        <v>#ERROR!</v>
      </c>
      <c r="T1524" s="6" t="str">
        <f t="shared" si="2"/>
        <v>Dec'25</v>
      </c>
    </row>
    <row r="1525" ht="15.75" customHeight="1">
      <c r="A1525" s="5">
        <v>46013.0</v>
      </c>
      <c r="B1525" s="6">
        <v>9945.0</v>
      </c>
      <c r="C1525" s="6">
        <v>1.859166533E9</v>
      </c>
      <c r="D1525" s="6">
        <v>1.0627253E7</v>
      </c>
      <c r="E1525" s="6" t="s">
        <v>625</v>
      </c>
      <c r="F1525" s="6" t="s">
        <v>2345</v>
      </c>
      <c r="G1525" s="6">
        <v>8.826055154E9</v>
      </c>
      <c r="H1525" s="6">
        <v>4.0090893E7</v>
      </c>
      <c r="I1525" s="6" t="s">
        <v>35</v>
      </c>
      <c r="J1525" s="6" t="s">
        <v>21</v>
      </c>
      <c r="K1525" s="6" t="s">
        <v>22</v>
      </c>
      <c r="L1525" s="6">
        <v>66.0</v>
      </c>
      <c r="M1525" s="5">
        <v>46013.0</v>
      </c>
      <c r="N1525" s="6" t="s">
        <v>23</v>
      </c>
      <c r="O1525" s="6" t="str">
        <f>SUMIFS([1]order_sku_sales_bb2_report!P:P,[1]order_sku_sales_bb2_report!H:H,C29366,[1]order_sku_sales_bb2_report!J:J,H29366)</f>
        <v>#ERROR!</v>
      </c>
      <c r="P1525" s="6" t="str">
        <f>SUMIFS([1]order_sku_sales_bb2_report!O:O,[1]order_sku_sales_bb2_report!H:H,C29366,[1]order_sku_sales_bb2_report!J:J,H29366)</f>
        <v>#ERROR!</v>
      </c>
      <c r="Q1525" s="6" t="str">
        <f t="shared" si="1"/>
        <v>22-12-2025</v>
      </c>
      <c r="R1525" s="6" t="str">
        <f>IFERROR( VLOOKUP(C29366,[1]expressOrderReport!$S:$AZ,34,0),0)</f>
        <v>#ERROR!</v>
      </c>
      <c r="S1525" s="6" t="str">
        <f>ARRAY_CONSTRAIN(ARRAYFORMULA(_xludf.XLOOKUP(D29366,[1]order_Report_SA_ID_BB2.0!V:V,[1]order_Report_SA_ID_BB2.0!AM:AM,"")), 1, 1)</f>
        <v>#ERROR!</v>
      </c>
      <c r="T1525" s="6" t="str">
        <f t="shared" si="2"/>
        <v>Dec'25</v>
      </c>
    </row>
    <row r="1526" ht="15.75" customHeight="1">
      <c r="A1526" s="5">
        <v>46013.0</v>
      </c>
      <c r="B1526" s="6">
        <v>9973.0</v>
      </c>
      <c r="C1526" s="6">
        <v>1.859166538E9</v>
      </c>
      <c r="D1526" s="6">
        <v>5.0313666E7</v>
      </c>
      <c r="E1526" s="6" t="s">
        <v>2346</v>
      </c>
      <c r="F1526" s="6" t="s">
        <v>2347</v>
      </c>
      <c r="G1526" s="6">
        <v>9.59088343E9</v>
      </c>
      <c r="H1526" s="6">
        <v>4.0158264E7</v>
      </c>
      <c r="I1526" s="6" t="s">
        <v>26</v>
      </c>
      <c r="J1526" s="6" t="s">
        <v>21</v>
      </c>
      <c r="K1526" s="6" t="s">
        <v>22</v>
      </c>
      <c r="L1526" s="6">
        <v>46.0</v>
      </c>
      <c r="M1526" s="5">
        <v>46013.0</v>
      </c>
      <c r="N1526" s="6" t="s">
        <v>23</v>
      </c>
      <c r="O1526" s="6" t="str">
        <f>SUMIFS([1]order_sku_sales_bb2_report!P:P,[1]order_sku_sales_bb2_report!H:H,C29367,[1]order_sku_sales_bb2_report!J:J,H29367)</f>
        <v>#ERROR!</v>
      </c>
      <c r="P1526" s="6" t="str">
        <f>SUMIFS([1]order_sku_sales_bb2_report!O:O,[1]order_sku_sales_bb2_report!H:H,C29367,[1]order_sku_sales_bb2_report!J:J,H29367)</f>
        <v>#ERROR!</v>
      </c>
      <c r="Q1526" s="6" t="str">
        <f t="shared" si="1"/>
        <v>22-12-2025</v>
      </c>
      <c r="R1526" s="6" t="str">
        <f>IFERROR( VLOOKUP(C29367,[1]expressOrderReport!$S:$AZ,34,0),0)</f>
        <v>#ERROR!</v>
      </c>
      <c r="S1526" s="6" t="str">
        <f>ARRAY_CONSTRAIN(ARRAYFORMULA(_xludf.XLOOKUP(D29367,[1]order_Report_SA_ID_BB2.0!V:V,[1]order_Report_SA_ID_BB2.0!AM:AM,"")), 1, 1)</f>
        <v>#ERROR!</v>
      </c>
      <c r="T1526" s="6" t="str">
        <f t="shared" si="2"/>
        <v>Dec'25</v>
      </c>
    </row>
    <row r="1527" ht="15.75" customHeight="1">
      <c r="A1527" s="5">
        <v>46013.0</v>
      </c>
      <c r="B1527" s="6">
        <v>5619.0</v>
      </c>
      <c r="C1527" s="6">
        <v>1.859166544E9</v>
      </c>
      <c r="D1527" s="6">
        <v>4134030.0</v>
      </c>
      <c r="E1527" s="6" t="s">
        <v>2348</v>
      </c>
      <c r="F1527" s="6" t="s">
        <v>2349</v>
      </c>
      <c r="G1527" s="6">
        <v>9.901413243E9</v>
      </c>
      <c r="H1527" s="6">
        <v>4.0149833E7</v>
      </c>
      <c r="I1527" s="6" t="s">
        <v>40</v>
      </c>
      <c r="J1527" s="6" t="s">
        <v>21</v>
      </c>
      <c r="K1527" s="6" t="s">
        <v>22</v>
      </c>
      <c r="L1527" s="6">
        <v>27.0</v>
      </c>
      <c r="M1527" s="5">
        <v>46013.0</v>
      </c>
      <c r="N1527" s="6" t="s">
        <v>23</v>
      </c>
      <c r="O1527" s="6" t="str">
        <f>SUMIFS([1]order_sku_sales_bb2_report!P:P,[1]order_sku_sales_bb2_report!H:H,C29368,[1]order_sku_sales_bb2_report!J:J,H29368)</f>
        <v>#ERROR!</v>
      </c>
      <c r="P1527" s="6" t="str">
        <f>SUMIFS([1]order_sku_sales_bb2_report!O:O,[1]order_sku_sales_bb2_report!H:H,C29368,[1]order_sku_sales_bb2_report!J:J,H29368)</f>
        <v>#ERROR!</v>
      </c>
      <c r="Q1527" s="6" t="str">
        <f t="shared" si="1"/>
        <v>22-12-2025</v>
      </c>
      <c r="R1527" s="6" t="str">
        <f>IFERROR( VLOOKUP(C29368,[1]expressOrderReport!$S:$AZ,34,0),0)</f>
        <v>#ERROR!</v>
      </c>
      <c r="S1527" s="6" t="str">
        <f>ARRAY_CONSTRAIN(ARRAYFORMULA(_xludf.XLOOKUP(D29368,[1]order_Report_SA_ID_BB2.0!V:V,[1]order_Report_SA_ID_BB2.0!AM:AM,"")), 1, 1)</f>
        <v>#ERROR!</v>
      </c>
      <c r="T1527" s="6" t="str">
        <f t="shared" si="2"/>
        <v>Dec'25</v>
      </c>
    </row>
    <row r="1528" ht="15.75" customHeight="1">
      <c r="A1528" s="5">
        <v>46013.0</v>
      </c>
      <c r="B1528" s="6">
        <v>5649.0</v>
      </c>
      <c r="C1528" s="6">
        <v>1.859166547E9</v>
      </c>
      <c r="D1528" s="6">
        <v>3.6145749E7</v>
      </c>
      <c r="E1528" s="6" t="s">
        <v>625</v>
      </c>
      <c r="F1528" s="6" t="s">
        <v>2350</v>
      </c>
      <c r="G1528" s="6">
        <v>9.849551435E9</v>
      </c>
      <c r="H1528" s="6">
        <v>4.0158264E7</v>
      </c>
      <c r="I1528" s="6" t="s">
        <v>26</v>
      </c>
      <c r="J1528" s="6" t="s">
        <v>21</v>
      </c>
      <c r="K1528" s="6" t="s">
        <v>22</v>
      </c>
      <c r="L1528" s="6">
        <v>46.0</v>
      </c>
      <c r="M1528" s="5">
        <v>46013.0</v>
      </c>
      <c r="N1528" s="6" t="s">
        <v>23</v>
      </c>
      <c r="O1528" s="6" t="str">
        <f>SUMIFS([1]order_sku_sales_bb2_report!P:P,[1]order_sku_sales_bb2_report!H:H,C29369,[1]order_sku_sales_bb2_report!J:J,H29369)</f>
        <v>#ERROR!</v>
      </c>
      <c r="P1528" s="6" t="str">
        <f>SUMIFS([1]order_sku_sales_bb2_report!O:O,[1]order_sku_sales_bb2_report!H:H,C29369,[1]order_sku_sales_bb2_report!J:J,H29369)</f>
        <v>#ERROR!</v>
      </c>
      <c r="Q1528" s="6" t="str">
        <f t="shared" si="1"/>
        <v>22-12-2025</v>
      </c>
      <c r="R1528" s="6" t="str">
        <f>IFERROR( VLOOKUP(C29369,[1]expressOrderReport!$S:$AZ,34,0),0)</f>
        <v>#ERROR!</v>
      </c>
      <c r="S1528" s="6" t="str">
        <f>ARRAY_CONSTRAIN(ARRAYFORMULA(_xludf.XLOOKUP(D29369,[1]order_Report_SA_ID_BB2.0!V:V,[1]order_Report_SA_ID_BB2.0!AM:AM,"")), 1, 1)</f>
        <v>#ERROR!</v>
      </c>
      <c r="T1528" s="6" t="str">
        <f t="shared" si="2"/>
        <v>Dec'25</v>
      </c>
    </row>
    <row r="1529" ht="15.75" customHeight="1">
      <c r="A1529" s="5">
        <v>46013.0</v>
      </c>
      <c r="B1529" s="6">
        <v>5667.0</v>
      </c>
      <c r="C1529" s="6">
        <v>1.859167296E9</v>
      </c>
      <c r="D1529" s="6">
        <v>5.0202779E7</v>
      </c>
      <c r="E1529" s="6" t="s">
        <v>625</v>
      </c>
      <c r="F1529" s="6" t="s">
        <v>2351</v>
      </c>
      <c r="G1529" s="6">
        <v>9.739888231E9</v>
      </c>
      <c r="H1529" s="6">
        <v>4.0149833E7</v>
      </c>
      <c r="I1529" s="6" t="s">
        <v>40</v>
      </c>
      <c r="J1529" s="6" t="s">
        <v>21</v>
      </c>
      <c r="K1529" s="6" t="s">
        <v>22</v>
      </c>
      <c r="L1529" s="6">
        <v>27.0</v>
      </c>
      <c r="M1529" s="5">
        <v>46013.0</v>
      </c>
      <c r="N1529" s="6" t="s">
        <v>23</v>
      </c>
      <c r="O1529" s="6" t="str">
        <f>SUMIFS([1]order_sku_sales_bb2_report!P:P,[1]order_sku_sales_bb2_report!H:H,C29370,[1]order_sku_sales_bb2_report!J:J,H29370)</f>
        <v>#ERROR!</v>
      </c>
      <c r="P1529" s="6" t="str">
        <f>SUMIFS([1]order_sku_sales_bb2_report!O:O,[1]order_sku_sales_bb2_report!H:H,C29370,[1]order_sku_sales_bb2_report!J:J,H29370)</f>
        <v>#ERROR!</v>
      </c>
      <c r="Q1529" s="6" t="str">
        <f t="shared" si="1"/>
        <v>22-12-2025</v>
      </c>
      <c r="R1529" s="6" t="str">
        <f>IFERROR( VLOOKUP(C29370,[1]expressOrderReport!$S:$AZ,34,0),0)</f>
        <v>#ERROR!</v>
      </c>
      <c r="S1529" s="6" t="str">
        <f>ARRAY_CONSTRAIN(ARRAYFORMULA(_xludf.XLOOKUP(D29370,[1]order_Report_SA_ID_BB2.0!V:V,[1]order_Report_SA_ID_BB2.0!AM:AM,"")), 1, 1)</f>
        <v>#ERROR!</v>
      </c>
      <c r="T1529" s="6" t="str">
        <f t="shared" si="2"/>
        <v>Dec'25</v>
      </c>
    </row>
    <row r="1530" ht="15.75" customHeight="1">
      <c r="A1530" s="5">
        <v>46013.0</v>
      </c>
      <c r="B1530" s="6">
        <v>5695.0</v>
      </c>
      <c r="C1530" s="6">
        <v>1.859167304E9</v>
      </c>
      <c r="D1530" s="6">
        <v>1.8020675E7</v>
      </c>
      <c r="E1530" s="6" t="s">
        <v>2352</v>
      </c>
      <c r="F1530" s="6" t="s">
        <v>2353</v>
      </c>
      <c r="G1530" s="6">
        <v>7.86703177E9</v>
      </c>
      <c r="H1530" s="6">
        <v>4.0149832E7</v>
      </c>
      <c r="I1530" s="6" t="s">
        <v>26</v>
      </c>
      <c r="J1530" s="6" t="s">
        <v>21</v>
      </c>
      <c r="K1530" s="6" t="s">
        <v>22</v>
      </c>
      <c r="L1530" s="6">
        <v>48.0</v>
      </c>
      <c r="M1530" s="5">
        <v>46013.0</v>
      </c>
      <c r="N1530" s="6" t="s">
        <v>23</v>
      </c>
      <c r="O1530" s="6" t="str">
        <f>SUMIFS([1]order_sku_sales_bb2_report!P:P,[1]order_sku_sales_bb2_report!H:H,C29371,[1]order_sku_sales_bb2_report!J:J,H29371)</f>
        <v>#ERROR!</v>
      </c>
      <c r="P1530" s="6" t="str">
        <f>SUMIFS([1]order_sku_sales_bb2_report!O:O,[1]order_sku_sales_bb2_report!H:H,C29371,[1]order_sku_sales_bb2_report!J:J,H29371)</f>
        <v>#ERROR!</v>
      </c>
      <c r="Q1530" s="6" t="str">
        <f t="shared" si="1"/>
        <v>22-12-2025</v>
      </c>
      <c r="R1530" s="6" t="str">
        <f>IFERROR( VLOOKUP(C29371,[1]expressOrderReport!$S:$AZ,34,0),0)</f>
        <v>#ERROR!</v>
      </c>
      <c r="S1530" s="6" t="str">
        <f>ARRAY_CONSTRAIN(ARRAYFORMULA(_xludf.XLOOKUP(D29371,[1]order_Report_SA_ID_BB2.0!V:V,[1]order_Report_SA_ID_BB2.0!AM:AM,"")), 1, 1)</f>
        <v>#ERROR!</v>
      </c>
      <c r="T1530" s="6" t="str">
        <f t="shared" si="2"/>
        <v>Dec'25</v>
      </c>
    </row>
    <row r="1531" ht="15.75" customHeight="1">
      <c r="A1531" s="5">
        <v>46013.0</v>
      </c>
      <c r="B1531" s="6">
        <v>5766.0</v>
      </c>
      <c r="C1531" s="6">
        <v>1.859167516E9</v>
      </c>
      <c r="D1531" s="6">
        <v>2.3432673E7</v>
      </c>
      <c r="E1531" s="6" t="s">
        <v>2354</v>
      </c>
      <c r="F1531" s="6" t="s">
        <v>2355</v>
      </c>
      <c r="G1531" s="6">
        <v>9.164930764E9</v>
      </c>
      <c r="H1531" s="6">
        <v>4.0149833E7</v>
      </c>
      <c r="I1531" s="6" t="s">
        <v>40</v>
      </c>
      <c r="J1531" s="6" t="s">
        <v>21</v>
      </c>
      <c r="K1531" s="6" t="s">
        <v>22</v>
      </c>
      <c r="L1531" s="6">
        <v>27.0</v>
      </c>
      <c r="M1531" s="5">
        <v>46013.0</v>
      </c>
      <c r="N1531" s="6" t="s">
        <v>23</v>
      </c>
      <c r="O1531" s="6" t="str">
        <f>SUMIFS([1]order_sku_sales_bb2_report!P:P,[1]order_sku_sales_bb2_report!H:H,C29372,[1]order_sku_sales_bb2_report!J:J,H29372)</f>
        <v>#ERROR!</v>
      </c>
      <c r="P1531" s="6" t="str">
        <f>SUMIFS([1]order_sku_sales_bb2_report!O:O,[1]order_sku_sales_bb2_report!H:H,C29372,[1]order_sku_sales_bb2_report!J:J,H29372)</f>
        <v>#ERROR!</v>
      </c>
      <c r="Q1531" s="6" t="str">
        <f t="shared" si="1"/>
        <v>22-12-2025</v>
      </c>
      <c r="R1531" s="6" t="str">
        <f>IFERROR( VLOOKUP(C29372,[1]expressOrderReport!$S:$AZ,34,0),0)</f>
        <v>#ERROR!</v>
      </c>
      <c r="S1531" s="6" t="str">
        <f>ARRAY_CONSTRAIN(ARRAYFORMULA(_xludf.XLOOKUP(D29372,[1]order_Report_SA_ID_BB2.0!V:V,[1]order_Report_SA_ID_BB2.0!AM:AM,"")), 1, 1)</f>
        <v>#ERROR!</v>
      </c>
      <c r="T1531" s="6" t="str">
        <f t="shared" si="2"/>
        <v>Dec'25</v>
      </c>
    </row>
    <row r="1532" ht="15.75" customHeight="1">
      <c r="A1532" s="5">
        <v>46013.0</v>
      </c>
      <c r="B1532" s="6">
        <v>11547.0</v>
      </c>
      <c r="C1532" s="6">
        <v>1.859167525E9</v>
      </c>
      <c r="D1532" s="6">
        <v>3.8367697E7</v>
      </c>
      <c r="E1532" s="6" t="s">
        <v>2356</v>
      </c>
      <c r="F1532" s="6" t="s">
        <v>2357</v>
      </c>
      <c r="G1532" s="6">
        <v>7.981199402E9</v>
      </c>
      <c r="H1532" s="6">
        <v>4.014983E7</v>
      </c>
      <c r="I1532" s="6" t="s">
        <v>30</v>
      </c>
      <c r="J1532" s="6" t="s">
        <v>21</v>
      </c>
      <c r="K1532" s="6" t="s">
        <v>22</v>
      </c>
      <c r="L1532" s="6">
        <v>74.0</v>
      </c>
      <c r="M1532" s="5">
        <v>46013.0</v>
      </c>
      <c r="N1532" s="6" t="s">
        <v>23</v>
      </c>
      <c r="O1532" s="6" t="str">
        <f>SUMIFS([1]order_sku_sales_bb2_report!P:P,[1]order_sku_sales_bb2_report!H:H,C29373,[1]order_sku_sales_bb2_report!J:J,H29373)</f>
        <v>#ERROR!</v>
      </c>
      <c r="P1532" s="6" t="str">
        <f>SUMIFS([1]order_sku_sales_bb2_report!O:O,[1]order_sku_sales_bb2_report!H:H,C29373,[1]order_sku_sales_bb2_report!J:J,H29373)</f>
        <v>#ERROR!</v>
      </c>
      <c r="Q1532" s="6" t="str">
        <f t="shared" si="1"/>
        <v>22-12-2025</v>
      </c>
      <c r="R1532" s="6" t="str">
        <f>IFERROR( VLOOKUP(C29373,[1]expressOrderReport!$S:$AZ,34,0),0)</f>
        <v>#ERROR!</v>
      </c>
      <c r="S1532" s="6" t="str">
        <f>ARRAY_CONSTRAIN(ARRAYFORMULA(_xludf.XLOOKUP(D29373,[1]order_Report_SA_ID_BB2.0!V:V,[1]order_Report_SA_ID_BB2.0!AM:AM,"")), 1, 1)</f>
        <v>#ERROR!</v>
      </c>
      <c r="T1532" s="6" t="str">
        <f t="shared" si="2"/>
        <v>Dec'25</v>
      </c>
    </row>
    <row r="1533" ht="15.75" customHeight="1">
      <c r="A1533" s="5">
        <v>46013.0</v>
      </c>
      <c r="B1533" s="6">
        <v>12063.0</v>
      </c>
      <c r="C1533" s="6">
        <v>1.859167525E9</v>
      </c>
      <c r="D1533" s="6">
        <v>3.8367697E7</v>
      </c>
      <c r="E1533" s="6" t="s">
        <v>2356</v>
      </c>
      <c r="F1533" s="6" t="s">
        <v>2357</v>
      </c>
      <c r="G1533" s="6">
        <v>7.981199402E9</v>
      </c>
      <c r="H1533" s="6">
        <v>4.0158264E7</v>
      </c>
      <c r="I1533" s="6" t="s">
        <v>26</v>
      </c>
      <c r="J1533" s="6" t="s">
        <v>21</v>
      </c>
      <c r="K1533" s="6" t="s">
        <v>22</v>
      </c>
      <c r="L1533" s="6">
        <v>74.0</v>
      </c>
      <c r="M1533" s="5">
        <v>46013.0</v>
      </c>
      <c r="N1533" s="6" t="s">
        <v>23</v>
      </c>
      <c r="O1533" s="6" t="str">
        <f>SUMIFS([1]order_sku_sales_bb2_report!P:P,[1]order_sku_sales_bb2_report!H:H,C29374,[1]order_sku_sales_bb2_report!J:J,H29374)</f>
        <v>#ERROR!</v>
      </c>
      <c r="P1533" s="6" t="str">
        <f>SUMIFS([1]order_sku_sales_bb2_report!O:O,[1]order_sku_sales_bb2_report!H:H,C29374,[1]order_sku_sales_bb2_report!J:J,H29374)</f>
        <v>#ERROR!</v>
      </c>
      <c r="Q1533" s="6" t="str">
        <f t="shared" si="1"/>
        <v>22-12-2025</v>
      </c>
      <c r="R1533" s="6" t="str">
        <f>IFERROR( VLOOKUP(C29374,[1]expressOrderReport!$S:$AZ,34,0),0)</f>
        <v>#ERROR!</v>
      </c>
      <c r="S1533" s="6" t="str">
        <f>ARRAY_CONSTRAIN(ARRAYFORMULA(_xludf.XLOOKUP(D29374,[1]order_Report_SA_ID_BB2.0!V:V,[1]order_Report_SA_ID_BB2.0!AM:AM,"")), 1, 1)</f>
        <v>#ERROR!</v>
      </c>
      <c r="T1533" s="6" t="str">
        <f t="shared" si="2"/>
        <v>Dec'25</v>
      </c>
    </row>
    <row r="1534" ht="15.75" customHeight="1">
      <c r="A1534" s="5">
        <v>46013.0</v>
      </c>
      <c r="B1534" s="6">
        <v>5934.0</v>
      </c>
      <c r="C1534" s="6">
        <v>1.859167532E9</v>
      </c>
      <c r="D1534" s="6">
        <v>3.7298716E7</v>
      </c>
      <c r="E1534" s="6" t="s">
        <v>2358</v>
      </c>
      <c r="F1534" s="6" t="s">
        <v>2359</v>
      </c>
      <c r="G1534" s="6">
        <v>9.972020441E9</v>
      </c>
      <c r="H1534" s="6">
        <v>4.0149832E7</v>
      </c>
      <c r="I1534" s="6" t="s">
        <v>26</v>
      </c>
      <c r="J1534" s="6" t="s">
        <v>21</v>
      </c>
      <c r="K1534" s="6" t="s">
        <v>22</v>
      </c>
      <c r="L1534" s="6">
        <v>24.0</v>
      </c>
      <c r="M1534" s="5">
        <v>46013.0</v>
      </c>
      <c r="N1534" s="6" t="s">
        <v>23</v>
      </c>
      <c r="O1534" s="6" t="str">
        <f>SUMIFS([1]order_sku_sales_bb2_report!P:P,[1]order_sku_sales_bb2_report!H:H,C29375,[1]order_sku_sales_bb2_report!J:J,H29375)</f>
        <v>#ERROR!</v>
      </c>
      <c r="P1534" s="6" t="str">
        <f>SUMIFS([1]order_sku_sales_bb2_report!O:O,[1]order_sku_sales_bb2_report!H:H,C29375,[1]order_sku_sales_bb2_report!J:J,H29375)</f>
        <v>#ERROR!</v>
      </c>
      <c r="Q1534" s="6" t="str">
        <f t="shared" si="1"/>
        <v>22-12-2025</v>
      </c>
      <c r="R1534" s="6" t="str">
        <f>IFERROR( VLOOKUP(C29375,[1]expressOrderReport!$S:$AZ,34,0),0)</f>
        <v>#ERROR!</v>
      </c>
      <c r="S1534" s="6" t="str">
        <f>ARRAY_CONSTRAIN(ARRAYFORMULA(_xludf.XLOOKUP(D29375,[1]order_Report_SA_ID_BB2.0!V:V,[1]order_Report_SA_ID_BB2.0!AM:AM,"")), 1, 1)</f>
        <v>#ERROR!</v>
      </c>
      <c r="T1534" s="6" t="str">
        <f t="shared" si="2"/>
        <v>Dec'25</v>
      </c>
    </row>
    <row r="1535" ht="15.75" customHeight="1">
      <c r="A1535" s="5">
        <v>46013.0</v>
      </c>
      <c r="B1535" s="6">
        <v>6717.0</v>
      </c>
      <c r="C1535" s="6">
        <v>1.859167537E9</v>
      </c>
      <c r="D1535" s="6">
        <v>2.2188325E7</v>
      </c>
      <c r="E1535" s="6" t="s">
        <v>2360</v>
      </c>
      <c r="F1535" s="6" t="s">
        <v>2361</v>
      </c>
      <c r="G1535" s="6">
        <v>7.810006663E9</v>
      </c>
      <c r="H1535" s="6">
        <v>4.0149832E7</v>
      </c>
      <c r="I1535" s="6" t="s">
        <v>26</v>
      </c>
      <c r="J1535" s="6" t="s">
        <v>21</v>
      </c>
      <c r="K1535" s="6" t="s">
        <v>22</v>
      </c>
      <c r="L1535" s="6">
        <v>72.0</v>
      </c>
      <c r="M1535" s="5">
        <v>46013.0</v>
      </c>
      <c r="N1535" s="6" t="s">
        <v>23</v>
      </c>
      <c r="O1535" s="6" t="str">
        <f>SUMIFS([1]order_sku_sales_bb2_report!P:P,[1]order_sku_sales_bb2_report!H:H,C29376,[1]order_sku_sales_bb2_report!J:J,H29376)</f>
        <v>#ERROR!</v>
      </c>
      <c r="P1535" s="6" t="str">
        <f>SUMIFS([1]order_sku_sales_bb2_report!O:O,[1]order_sku_sales_bb2_report!H:H,C29376,[1]order_sku_sales_bb2_report!J:J,H29376)</f>
        <v>#ERROR!</v>
      </c>
      <c r="Q1535" s="6" t="str">
        <f t="shared" si="1"/>
        <v>22-12-2025</v>
      </c>
      <c r="R1535" s="6" t="str">
        <f>IFERROR( VLOOKUP(C29376,[1]expressOrderReport!$S:$AZ,34,0),0)</f>
        <v>#ERROR!</v>
      </c>
      <c r="S1535" s="6" t="str">
        <f>ARRAY_CONSTRAIN(ARRAYFORMULA(_xludf.XLOOKUP(D29376,[1]order_Report_SA_ID_BB2.0!V:V,[1]order_Report_SA_ID_BB2.0!AM:AM,"")), 1, 1)</f>
        <v>#ERROR!</v>
      </c>
      <c r="T1535" s="6" t="str">
        <f t="shared" si="2"/>
        <v>Dec'25</v>
      </c>
    </row>
    <row r="1536" ht="15.75" customHeight="1">
      <c r="A1536" s="5">
        <v>46013.0</v>
      </c>
      <c r="B1536" s="6">
        <v>9688.0</v>
      </c>
      <c r="C1536" s="6">
        <v>1.859167546E9</v>
      </c>
      <c r="D1536" s="6">
        <v>3.379831E7</v>
      </c>
      <c r="E1536" s="6" t="s">
        <v>2362</v>
      </c>
      <c r="F1536" s="6" t="s">
        <v>2363</v>
      </c>
      <c r="G1536" s="6">
        <v>7.404566708E9</v>
      </c>
      <c r="H1536" s="6">
        <v>4.0090894E7</v>
      </c>
      <c r="I1536" s="6" t="s">
        <v>62</v>
      </c>
      <c r="J1536" s="6" t="s">
        <v>21</v>
      </c>
      <c r="K1536" s="6" t="s">
        <v>22</v>
      </c>
      <c r="L1536" s="6">
        <v>52.0</v>
      </c>
      <c r="M1536" s="5">
        <v>46013.0</v>
      </c>
      <c r="N1536" s="6" t="s">
        <v>23</v>
      </c>
      <c r="O1536" s="6" t="str">
        <f>SUMIFS([1]order_sku_sales_bb2_report!P:P,[1]order_sku_sales_bb2_report!H:H,C29377,[1]order_sku_sales_bb2_report!J:J,H29377)</f>
        <v>#ERROR!</v>
      </c>
      <c r="P1536" s="6" t="str">
        <f>SUMIFS([1]order_sku_sales_bb2_report!O:O,[1]order_sku_sales_bb2_report!H:H,C29377,[1]order_sku_sales_bb2_report!J:J,H29377)</f>
        <v>#ERROR!</v>
      </c>
      <c r="Q1536" s="6" t="str">
        <f t="shared" si="1"/>
        <v>22-12-2025</v>
      </c>
      <c r="R1536" s="6" t="str">
        <f>IFERROR( VLOOKUP(C29377,[1]expressOrderReport!$S:$AZ,34,0),0)</f>
        <v>#ERROR!</v>
      </c>
      <c r="S1536" s="6" t="str">
        <f>ARRAY_CONSTRAIN(ARRAYFORMULA(_xludf.XLOOKUP(D29377,[1]order_Report_SA_ID_BB2.0!V:V,[1]order_Report_SA_ID_BB2.0!AM:AM,"")), 1, 1)</f>
        <v>#ERROR!</v>
      </c>
      <c r="T1536" s="6" t="str">
        <f t="shared" si="2"/>
        <v>Dec'25</v>
      </c>
    </row>
    <row r="1537" ht="15.75" customHeight="1">
      <c r="A1537" s="5">
        <v>46013.0</v>
      </c>
      <c r="B1537" s="6">
        <v>9689.0</v>
      </c>
      <c r="C1537" s="6">
        <v>1.859167546E9</v>
      </c>
      <c r="D1537" s="6">
        <v>3.379831E7</v>
      </c>
      <c r="E1537" s="6" t="s">
        <v>2362</v>
      </c>
      <c r="F1537" s="6" t="s">
        <v>2363</v>
      </c>
      <c r="G1537" s="6">
        <v>7.404566708E9</v>
      </c>
      <c r="H1537" s="6">
        <v>4.0149832E7</v>
      </c>
      <c r="I1537" s="6" t="s">
        <v>26</v>
      </c>
      <c r="J1537" s="6" t="s">
        <v>21</v>
      </c>
      <c r="K1537" s="6" t="s">
        <v>22</v>
      </c>
      <c r="L1537" s="6">
        <v>52.0</v>
      </c>
      <c r="M1537" s="5">
        <v>46013.0</v>
      </c>
      <c r="N1537" s="6" t="s">
        <v>23</v>
      </c>
      <c r="O1537" s="6" t="str">
        <f>SUMIFS([1]order_sku_sales_bb2_report!P:P,[1]order_sku_sales_bb2_report!H:H,C29378,[1]order_sku_sales_bb2_report!J:J,H29378)</f>
        <v>#ERROR!</v>
      </c>
      <c r="P1537" s="6" t="str">
        <f>SUMIFS([1]order_sku_sales_bb2_report!O:O,[1]order_sku_sales_bb2_report!H:H,C29378,[1]order_sku_sales_bb2_report!J:J,H29378)</f>
        <v>#ERROR!</v>
      </c>
      <c r="Q1537" s="6" t="str">
        <f t="shared" si="1"/>
        <v>22-12-2025</v>
      </c>
      <c r="R1537" s="6" t="str">
        <f>IFERROR( VLOOKUP(C29378,[1]expressOrderReport!$S:$AZ,34,0),0)</f>
        <v>#ERROR!</v>
      </c>
      <c r="S1537" s="6" t="str">
        <f>ARRAY_CONSTRAIN(ARRAYFORMULA(_xludf.XLOOKUP(D29378,[1]order_Report_SA_ID_BB2.0!V:V,[1]order_Report_SA_ID_BB2.0!AM:AM,"")), 1, 1)</f>
        <v>#ERROR!</v>
      </c>
      <c r="T1537" s="6" t="str">
        <f t="shared" si="2"/>
        <v>Dec'25</v>
      </c>
    </row>
    <row r="1538" ht="15.75" customHeight="1">
      <c r="A1538" s="5">
        <v>46013.0</v>
      </c>
      <c r="B1538" s="6">
        <v>9661.0</v>
      </c>
      <c r="C1538" s="6">
        <v>1.859167551E9</v>
      </c>
      <c r="D1538" s="6">
        <v>2.0815691E7</v>
      </c>
      <c r="E1538" s="6" t="s">
        <v>2364</v>
      </c>
      <c r="F1538" s="6" t="s">
        <v>2365</v>
      </c>
      <c r="G1538" s="6">
        <v>9.552358548E9</v>
      </c>
      <c r="H1538" s="6">
        <v>4.0090893E7</v>
      </c>
      <c r="I1538" s="6" t="s">
        <v>35</v>
      </c>
      <c r="J1538" s="6" t="s">
        <v>21</v>
      </c>
      <c r="K1538" s="6" t="s">
        <v>22</v>
      </c>
      <c r="L1538" s="6">
        <v>33.0</v>
      </c>
      <c r="M1538" s="5">
        <v>46013.0</v>
      </c>
      <c r="N1538" s="6" t="s">
        <v>23</v>
      </c>
      <c r="O1538" s="6" t="str">
        <f>SUMIFS([1]order_sku_sales_bb2_report!P:P,[1]order_sku_sales_bb2_report!H:H,C29379,[1]order_sku_sales_bb2_report!J:J,H29379)</f>
        <v>#ERROR!</v>
      </c>
      <c r="P1538" s="6" t="str">
        <f>SUMIFS([1]order_sku_sales_bb2_report!O:O,[1]order_sku_sales_bb2_report!H:H,C29379,[1]order_sku_sales_bb2_report!J:J,H29379)</f>
        <v>#ERROR!</v>
      </c>
      <c r="Q1538" s="6" t="str">
        <f t="shared" si="1"/>
        <v>22-12-2025</v>
      </c>
      <c r="R1538" s="6" t="str">
        <f>IFERROR( VLOOKUP(C29379,[1]expressOrderReport!$S:$AZ,34,0),0)</f>
        <v>#ERROR!</v>
      </c>
      <c r="S1538" s="6" t="str">
        <f>ARRAY_CONSTRAIN(ARRAYFORMULA(_xludf.XLOOKUP(D29379,[1]order_Report_SA_ID_BB2.0!V:V,[1]order_Report_SA_ID_BB2.0!AM:AM,"")), 1, 1)</f>
        <v>#ERROR!</v>
      </c>
      <c r="T1538" s="6" t="str">
        <f t="shared" si="2"/>
        <v>Dec'25</v>
      </c>
    </row>
    <row r="1539" ht="15.75" customHeight="1">
      <c r="A1539" s="5">
        <v>46013.0</v>
      </c>
      <c r="B1539" s="6">
        <v>8251.0</v>
      </c>
      <c r="C1539" s="6">
        <v>1.859167556E9</v>
      </c>
      <c r="D1539" s="6">
        <v>1.0053677E7</v>
      </c>
      <c r="E1539" s="6" t="s">
        <v>2366</v>
      </c>
      <c r="F1539" s="6" t="s">
        <v>2367</v>
      </c>
      <c r="G1539" s="6">
        <v>8.981772144E9</v>
      </c>
      <c r="H1539" s="6">
        <v>2.0001186E7</v>
      </c>
      <c r="I1539" s="6" t="s">
        <v>430</v>
      </c>
      <c r="J1539" s="6" t="s">
        <v>21</v>
      </c>
      <c r="K1539" s="6" t="s">
        <v>22</v>
      </c>
      <c r="L1539" s="6">
        <v>33.56</v>
      </c>
      <c r="M1539" s="5">
        <v>46013.0</v>
      </c>
      <c r="N1539" s="6" t="s">
        <v>23</v>
      </c>
      <c r="O1539" s="6" t="str">
        <f>SUMIFS([1]order_sku_sales_bb2_report!P:P,[1]order_sku_sales_bb2_report!H:H,C29380,[1]order_sku_sales_bb2_report!J:J,H29380)</f>
        <v>#ERROR!</v>
      </c>
      <c r="P1539" s="6" t="str">
        <f>SUMIFS([1]order_sku_sales_bb2_report!O:O,[1]order_sku_sales_bb2_report!H:H,C29380,[1]order_sku_sales_bb2_report!J:J,H29380)</f>
        <v>#ERROR!</v>
      </c>
      <c r="Q1539" s="6" t="str">
        <f t="shared" si="1"/>
        <v>22-12-2025</v>
      </c>
      <c r="R1539" s="6" t="str">
        <f>IFERROR( VLOOKUP(C29380,[1]expressOrderReport!$S:$AZ,34,0),0)</f>
        <v>#ERROR!</v>
      </c>
      <c r="S1539" s="6" t="str">
        <f>ARRAY_CONSTRAIN(ARRAYFORMULA(_xludf.XLOOKUP(D29380,[1]order_Report_SA_ID_BB2.0!V:V,[1]order_Report_SA_ID_BB2.0!AM:AM,"")), 1, 1)</f>
        <v>#ERROR!</v>
      </c>
      <c r="T1539" s="6" t="str">
        <f t="shared" si="2"/>
        <v>Dec'25</v>
      </c>
    </row>
    <row r="1540" ht="15.75" customHeight="1">
      <c r="A1540" s="5">
        <v>46013.0</v>
      </c>
      <c r="B1540" s="6">
        <v>8252.0</v>
      </c>
      <c r="C1540" s="6">
        <v>1.859167556E9</v>
      </c>
      <c r="D1540" s="6">
        <v>1.0053677E7</v>
      </c>
      <c r="E1540" s="6" t="s">
        <v>2366</v>
      </c>
      <c r="F1540" s="6" t="s">
        <v>2367</v>
      </c>
      <c r="G1540" s="6">
        <v>8.981772144E9</v>
      </c>
      <c r="H1540" s="6">
        <v>4.0149831E7</v>
      </c>
      <c r="I1540" s="6" t="s">
        <v>65</v>
      </c>
      <c r="J1540" s="6" t="s">
        <v>21</v>
      </c>
      <c r="K1540" s="6" t="s">
        <v>22</v>
      </c>
      <c r="L1540" s="6">
        <v>33.56</v>
      </c>
      <c r="M1540" s="5">
        <v>46013.0</v>
      </c>
      <c r="N1540" s="6" t="s">
        <v>23</v>
      </c>
      <c r="O1540" s="6" t="str">
        <f>SUMIFS([1]order_sku_sales_bb2_report!P:P,[1]order_sku_sales_bb2_report!H:H,C29381,[1]order_sku_sales_bb2_report!J:J,H29381)</f>
        <v>#ERROR!</v>
      </c>
      <c r="P1540" s="6" t="str">
        <f>SUMIFS([1]order_sku_sales_bb2_report!O:O,[1]order_sku_sales_bb2_report!H:H,C29381,[1]order_sku_sales_bb2_report!J:J,H29381)</f>
        <v>#ERROR!</v>
      </c>
      <c r="Q1540" s="6" t="str">
        <f t="shared" si="1"/>
        <v>22-12-2025</v>
      </c>
      <c r="R1540" s="6" t="str">
        <f>IFERROR( VLOOKUP(C29381,[1]expressOrderReport!$S:$AZ,34,0),0)</f>
        <v>#ERROR!</v>
      </c>
      <c r="S1540" s="6" t="str">
        <f>ARRAY_CONSTRAIN(ARRAYFORMULA(_xludf.XLOOKUP(D29381,[1]order_Report_SA_ID_BB2.0!V:V,[1]order_Report_SA_ID_BB2.0!AM:AM,"")), 1, 1)</f>
        <v>#ERROR!</v>
      </c>
      <c r="T1540" s="6" t="str">
        <f t="shared" si="2"/>
        <v>Dec'25</v>
      </c>
    </row>
    <row r="1541" ht="15.75" customHeight="1">
      <c r="A1541" s="5">
        <v>46013.0</v>
      </c>
      <c r="B1541" s="6">
        <v>6094.0</v>
      </c>
      <c r="C1541" s="6">
        <v>1.859167566E9</v>
      </c>
      <c r="D1541" s="6">
        <v>1.6127606E7</v>
      </c>
      <c r="E1541" s="6" t="s">
        <v>2368</v>
      </c>
      <c r="F1541" s="6" t="s">
        <v>2369</v>
      </c>
      <c r="G1541" s="6">
        <v>8.469199104E9</v>
      </c>
      <c r="H1541" s="6">
        <v>4.0158264E7</v>
      </c>
      <c r="I1541" s="6" t="s">
        <v>26</v>
      </c>
      <c r="J1541" s="6" t="s">
        <v>21</v>
      </c>
      <c r="K1541" s="6" t="s">
        <v>22</v>
      </c>
      <c r="L1541" s="6">
        <v>70.0</v>
      </c>
      <c r="M1541" s="5">
        <v>46013.0</v>
      </c>
      <c r="N1541" s="6" t="s">
        <v>23</v>
      </c>
      <c r="O1541" s="6" t="str">
        <f>SUMIFS([1]order_sku_sales_bb2_report!P:P,[1]order_sku_sales_bb2_report!H:H,C29383,[1]order_sku_sales_bb2_report!J:J,H29383)</f>
        <v>#ERROR!</v>
      </c>
      <c r="P1541" s="6" t="str">
        <f>SUMIFS([1]order_sku_sales_bb2_report!O:O,[1]order_sku_sales_bb2_report!H:H,C29383,[1]order_sku_sales_bb2_report!J:J,H29383)</f>
        <v>#ERROR!</v>
      </c>
      <c r="Q1541" s="6" t="str">
        <f t="shared" si="1"/>
        <v>22-12-2025</v>
      </c>
      <c r="R1541" s="6" t="str">
        <f>IFERROR( VLOOKUP(C29383,[1]expressOrderReport!$S:$AZ,34,0),0)</f>
        <v>#ERROR!</v>
      </c>
      <c r="S1541" s="6" t="str">
        <f>ARRAY_CONSTRAIN(ARRAYFORMULA(_xludf.XLOOKUP(D29383,[1]order_Report_SA_ID_BB2.0!V:V,[1]order_Report_SA_ID_BB2.0!AM:AM,"")), 1, 1)</f>
        <v>#ERROR!</v>
      </c>
      <c r="T1541" s="6" t="str">
        <f t="shared" si="2"/>
        <v>Dec'25</v>
      </c>
    </row>
    <row r="1542" ht="15.75" customHeight="1">
      <c r="A1542" s="5">
        <v>46013.0</v>
      </c>
      <c r="B1542" s="6">
        <v>6095.0</v>
      </c>
      <c r="C1542" s="6">
        <v>1.859167566E9</v>
      </c>
      <c r="D1542" s="6">
        <v>1.6127606E7</v>
      </c>
      <c r="E1542" s="6" t="s">
        <v>2368</v>
      </c>
      <c r="F1542" s="6" t="s">
        <v>2369</v>
      </c>
      <c r="G1542" s="6">
        <v>8.469199104E9</v>
      </c>
      <c r="H1542" s="6">
        <v>4.0149832E7</v>
      </c>
      <c r="I1542" s="6" t="s">
        <v>26</v>
      </c>
      <c r="J1542" s="6" t="s">
        <v>21</v>
      </c>
      <c r="K1542" s="6" t="s">
        <v>22</v>
      </c>
      <c r="L1542" s="6">
        <v>70.0</v>
      </c>
      <c r="M1542" s="5">
        <v>46013.0</v>
      </c>
      <c r="N1542" s="6" t="s">
        <v>23</v>
      </c>
      <c r="O1542" s="6" t="str">
        <f>SUMIFS([1]order_sku_sales_bb2_report!P:P,[1]order_sku_sales_bb2_report!H:H,C29384,[1]order_sku_sales_bb2_report!J:J,H29384)</f>
        <v>#ERROR!</v>
      </c>
      <c r="P1542" s="6" t="str">
        <f>SUMIFS([1]order_sku_sales_bb2_report!O:O,[1]order_sku_sales_bb2_report!H:H,C29384,[1]order_sku_sales_bb2_report!J:J,H29384)</f>
        <v>#ERROR!</v>
      </c>
      <c r="Q1542" s="6" t="str">
        <f t="shared" si="1"/>
        <v>22-12-2025</v>
      </c>
      <c r="R1542" s="6" t="str">
        <f>IFERROR( VLOOKUP(C29384,[1]expressOrderReport!$S:$AZ,34,0),0)</f>
        <v>#ERROR!</v>
      </c>
      <c r="S1542" s="6" t="str">
        <f>ARRAY_CONSTRAIN(ARRAYFORMULA(_xludf.XLOOKUP(D29384,[1]order_Report_SA_ID_BB2.0!V:V,[1]order_Report_SA_ID_BB2.0!AM:AM,"")), 1, 1)</f>
        <v>#ERROR!</v>
      </c>
      <c r="T1542" s="6" t="str">
        <f t="shared" si="2"/>
        <v>Dec'25</v>
      </c>
    </row>
    <row r="1543" ht="15.75" customHeight="1">
      <c r="A1543" s="5">
        <v>46013.0</v>
      </c>
      <c r="B1543" s="6">
        <v>6104.0</v>
      </c>
      <c r="C1543" s="6">
        <v>1.859167573E9</v>
      </c>
      <c r="D1543" s="6">
        <v>635147.0</v>
      </c>
      <c r="E1543" s="6" t="s">
        <v>2370</v>
      </c>
      <c r="F1543" s="6" t="s">
        <v>2371</v>
      </c>
      <c r="G1543" s="6">
        <v>9.845288885E9</v>
      </c>
      <c r="H1543" s="6">
        <v>4.0149832E7</v>
      </c>
      <c r="I1543" s="6" t="s">
        <v>26</v>
      </c>
      <c r="J1543" s="6" t="s">
        <v>21</v>
      </c>
      <c r="K1543" s="6" t="s">
        <v>22</v>
      </c>
      <c r="L1543" s="6">
        <v>72.0</v>
      </c>
      <c r="M1543" s="5">
        <v>46013.0</v>
      </c>
      <c r="N1543" s="6" t="s">
        <v>23</v>
      </c>
      <c r="O1543" s="6" t="str">
        <f>SUMIFS([1]order_sku_sales_bb2_report!P:P,[1]order_sku_sales_bb2_report!H:H,C29385,[1]order_sku_sales_bb2_report!J:J,H29385)</f>
        <v>#ERROR!</v>
      </c>
      <c r="P1543" s="6" t="str">
        <f>SUMIFS([1]order_sku_sales_bb2_report!O:O,[1]order_sku_sales_bb2_report!H:H,C29385,[1]order_sku_sales_bb2_report!J:J,H29385)</f>
        <v>#ERROR!</v>
      </c>
      <c r="Q1543" s="6" t="str">
        <f t="shared" si="1"/>
        <v>22-12-2025</v>
      </c>
      <c r="R1543" s="6" t="str">
        <f>IFERROR( VLOOKUP(C29385,[1]expressOrderReport!$S:$AZ,34,0),0)</f>
        <v>#ERROR!</v>
      </c>
      <c r="S1543" s="6" t="str">
        <f>ARRAY_CONSTRAIN(ARRAYFORMULA(_xludf.XLOOKUP(D29385,[1]order_Report_SA_ID_BB2.0!V:V,[1]order_Report_SA_ID_BB2.0!AM:AM,"")), 1, 1)</f>
        <v>#ERROR!</v>
      </c>
      <c r="T1543" s="6" t="str">
        <f t="shared" si="2"/>
        <v>Dec'25</v>
      </c>
    </row>
    <row r="1544" ht="15.75" customHeight="1">
      <c r="A1544" s="5">
        <v>46013.0</v>
      </c>
      <c r="B1544" s="6">
        <v>6106.0</v>
      </c>
      <c r="C1544" s="6">
        <v>1.85916758E9</v>
      </c>
      <c r="D1544" s="6">
        <v>2.0452216E7</v>
      </c>
      <c r="E1544" s="6" t="s">
        <v>625</v>
      </c>
      <c r="F1544" s="6" t="s">
        <v>2372</v>
      </c>
      <c r="G1544" s="6">
        <v>9.448365836E9</v>
      </c>
      <c r="H1544" s="6">
        <v>4.0149833E7</v>
      </c>
      <c r="I1544" s="6" t="s">
        <v>40</v>
      </c>
      <c r="J1544" s="6" t="s">
        <v>21</v>
      </c>
      <c r="K1544" s="6" t="s">
        <v>22</v>
      </c>
      <c r="L1544" s="6">
        <v>53.0</v>
      </c>
      <c r="M1544" s="5">
        <v>46013.0</v>
      </c>
      <c r="N1544" s="6" t="s">
        <v>23</v>
      </c>
      <c r="O1544" s="6" t="str">
        <f>SUMIFS([1]order_sku_sales_bb2_report!P:P,[1]order_sku_sales_bb2_report!H:H,C29386,[1]order_sku_sales_bb2_report!J:J,H29386)</f>
        <v>#ERROR!</v>
      </c>
      <c r="P1544" s="6" t="str">
        <f>SUMIFS([1]order_sku_sales_bb2_report!O:O,[1]order_sku_sales_bb2_report!H:H,C29386,[1]order_sku_sales_bb2_report!J:J,H29386)</f>
        <v>#ERROR!</v>
      </c>
      <c r="Q1544" s="6" t="str">
        <f t="shared" si="1"/>
        <v>22-12-2025</v>
      </c>
      <c r="R1544" s="6" t="str">
        <f>IFERROR( VLOOKUP(C29386,[1]expressOrderReport!$S:$AZ,34,0),0)</f>
        <v>#ERROR!</v>
      </c>
      <c r="S1544" s="6" t="str">
        <f>ARRAY_CONSTRAIN(ARRAYFORMULA(_xludf.XLOOKUP(D29386,[1]order_Report_SA_ID_BB2.0!V:V,[1]order_Report_SA_ID_BB2.0!AM:AM,"")), 1, 1)</f>
        <v>#ERROR!</v>
      </c>
      <c r="T1544" s="6" t="str">
        <f t="shared" si="2"/>
        <v>Dec'25</v>
      </c>
    </row>
    <row r="1545" ht="15.75" customHeight="1">
      <c r="A1545" s="5">
        <v>46013.0</v>
      </c>
      <c r="B1545" s="6">
        <v>6107.0</v>
      </c>
      <c r="C1545" s="6">
        <v>1.85916758E9</v>
      </c>
      <c r="D1545" s="6">
        <v>2.0452216E7</v>
      </c>
      <c r="E1545" s="6" t="s">
        <v>625</v>
      </c>
      <c r="F1545" s="6" t="s">
        <v>2372</v>
      </c>
      <c r="G1545" s="6">
        <v>9.448365836E9</v>
      </c>
      <c r="H1545" s="6">
        <v>4.0149831E7</v>
      </c>
      <c r="I1545" s="6" t="s">
        <v>65</v>
      </c>
      <c r="J1545" s="6" t="s">
        <v>21</v>
      </c>
      <c r="K1545" s="6" t="s">
        <v>22</v>
      </c>
      <c r="L1545" s="6">
        <v>53.0</v>
      </c>
      <c r="M1545" s="5">
        <v>46013.0</v>
      </c>
      <c r="N1545" s="6" t="s">
        <v>23</v>
      </c>
      <c r="O1545" s="6" t="str">
        <f>SUMIFS([1]order_sku_sales_bb2_report!P:P,[1]order_sku_sales_bb2_report!H:H,C29387,[1]order_sku_sales_bb2_report!J:J,H29387)</f>
        <v>#ERROR!</v>
      </c>
      <c r="P1545" s="6" t="str">
        <f>SUMIFS([1]order_sku_sales_bb2_report!O:O,[1]order_sku_sales_bb2_report!H:H,C29387,[1]order_sku_sales_bb2_report!J:J,H29387)</f>
        <v>#ERROR!</v>
      </c>
      <c r="Q1545" s="6" t="str">
        <f t="shared" si="1"/>
        <v>22-12-2025</v>
      </c>
      <c r="R1545" s="6" t="str">
        <f>IFERROR( VLOOKUP(C29387,[1]expressOrderReport!$S:$AZ,34,0),0)</f>
        <v>#ERROR!</v>
      </c>
      <c r="S1545" s="6" t="str">
        <f>ARRAY_CONSTRAIN(ARRAYFORMULA(_xludf.XLOOKUP(D29387,[1]order_Report_SA_ID_BB2.0!V:V,[1]order_Report_SA_ID_BB2.0!AM:AM,"")), 1, 1)</f>
        <v>#ERROR!</v>
      </c>
      <c r="T1545" s="6" t="str">
        <f t="shared" si="2"/>
        <v>Dec'25</v>
      </c>
    </row>
    <row r="1546" ht="15.75" customHeight="1">
      <c r="A1546" s="5">
        <v>46013.0</v>
      </c>
      <c r="B1546" s="6">
        <v>6110.0</v>
      </c>
      <c r="C1546" s="6">
        <v>1.85916759E9</v>
      </c>
      <c r="D1546" s="6">
        <v>2.0840811E7</v>
      </c>
      <c r="E1546" s="6" t="s">
        <v>2373</v>
      </c>
      <c r="F1546" s="6" t="s">
        <v>2374</v>
      </c>
      <c r="G1546" s="6">
        <v>9.916299111E9</v>
      </c>
      <c r="H1546" s="6">
        <v>4.0161616E7</v>
      </c>
      <c r="I1546" s="6" t="s">
        <v>20</v>
      </c>
      <c r="J1546" s="6" t="s">
        <v>21</v>
      </c>
      <c r="K1546" s="6" t="s">
        <v>22</v>
      </c>
      <c r="L1546" s="6">
        <v>67.0</v>
      </c>
      <c r="M1546" s="5">
        <v>46013.0</v>
      </c>
      <c r="N1546" s="6" t="s">
        <v>23</v>
      </c>
      <c r="O1546" s="6" t="str">
        <f>SUMIFS([1]order_sku_sales_bb2_report!P:P,[1]order_sku_sales_bb2_report!H:H,C29388,[1]order_sku_sales_bb2_report!J:J,H29388)</f>
        <v>#ERROR!</v>
      </c>
      <c r="P1546" s="6" t="str">
        <f>SUMIFS([1]order_sku_sales_bb2_report!O:O,[1]order_sku_sales_bb2_report!H:H,C29388,[1]order_sku_sales_bb2_report!J:J,H29388)</f>
        <v>#ERROR!</v>
      </c>
      <c r="Q1546" s="6" t="str">
        <f t="shared" si="1"/>
        <v>22-12-2025</v>
      </c>
      <c r="R1546" s="6" t="str">
        <f>IFERROR( VLOOKUP(C29388,[1]expressOrderReport!$S:$AZ,34,0),0)</f>
        <v>#ERROR!</v>
      </c>
      <c r="S1546" s="6" t="str">
        <f>ARRAY_CONSTRAIN(ARRAYFORMULA(_xludf.XLOOKUP(D29388,[1]order_Report_SA_ID_BB2.0!V:V,[1]order_Report_SA_ID_BB2.0!AM:AM,"")), 1, 1)</f>
        <v>#ERROR!</v>
      </c>
      <c r="T1546" s="6" t="str">
        <f t="shared" si="2"/>
        <v>Dec'25</v>
      </c>
    </row>
    <row r="1547" ht="15.75" customHeight="1">
      <c r="A1547" s="5">
        <v>46013.0</v>
      </c>
      <c r="B1547" s="6">
        <v>6111.0</v>
      </c>
      <c r="C1547" s="6">
        <v>1.85916759E9</v>
      </c>
      <c r="D1547" s="6">
        <v>2.0840811E7</v>
      </c>
      <c r="E1547" s="6" t="s">
        <v>2373</v>
      </c>
      <c r="F1547" s="6" t="s">
        <v>2374</v>
      </c>
      <c r="G1547" s="6">
        <v>9.916299111E9</v>
      </c>
      <c r="H1547" s="6">
        <v>4.0276324E7</v>
      </c>
      <c r="I1547" s="6" t="s">
        <v>30</v>
      </c>
      <c r="J1547" s="6" t="s">
        <v>21</v>
      </c>
      <c r="K1547" s="6" t="s">
        <v>22</v>
      </c>
      <c r="L1547" s="6">
        <v>67.0</v>
      </c>
      <c r="M1547" s="5">
        <v>46013.0</v>
      </c>
      <c r="N1547" s="6" t="s">
        <v>23</v>
      </c>
      <c r="O1547" s="6" t="str">
        <f>SUMIFS([1]order_sku_sales_bb2_report!P:P,[1]order_sku_sales_bb2_report!H:H,C29389,[1]order_sku_sales_bb2_report!J:J,H29389)</f>
        <v>#ERROR!</v>
      </c>
      <c r="P1547" s="6" t="str">
        <f>SUMIFS([1]order_sku_sales_bb2_report!O:O,[1]order_sku_sales_bb2_report!H:H,C29389,[1]order_sku_sales_bb2_report!J:J,H29389)</f>
        <v>#ERROR!</v>
      </c>
      <c r="Q1547" s="6" t="str">
        <f t="shared" si="1"/>
        <v>22-12-2025</v>
      </c>
      <c r="R1547" s="6" t="str">
        <f>IFERROR( VLOOKUP(C29389,[1]expressOrderReport!$S:$AZ,34,0),0)</f>
        <v>#ERROR!</v>
      </c>
      <c r="S1547" s="6" t="str">
        <f>ARRAY_CONSTRAIN(ARRAYFORMULA(_xludf.XLOOKUP(D29389,[1]order_Report_SA_ID_BB2.0!V:V,[1]order_Report_SA_ID_BB2.0!AM:AM,"")), 1, 1)</f>
        <v>#ERROR!</v>
      </c>
      <c r="T1547" s="6" t="str">
        <f t="shared" si="2"/>
        <v>Dec'25</v>
      </c>
    </row>
    <row r="1548" ht="15.75" customHeight="1">
      <c r="A1548" s="5">
        <v>46013.0</v>
      </c>
      <c r="B1548" s="6">
        <v>6113.0</v>
      </c>
      <c r="C1548" s="6">
        <v>1.859167599E9</v>
      </c>
      <c r="D1548" s="6">
        <v>1.050421E7</v>
      </c>
      <c r="E1548" s="6" t="s">
        <v>2375</v>
      </c>
      <c r="F1548" s="6" t="s">
        <v>2376</v>
      </c>
      <c r="G1548" s="6">
        <v>9.611960041E9</v>
      </c>
      <c r="H1548" s="6">
        <v>4.0158264E7</v>
      </c>
      <c r="I1548" s="6" t="s">
        <v>26</v>
      </c>
      <c r="J1548" s="6" t="s">
        <v>21</v>
      </c>
      <c r="K1548" s="6" t="s">
        <v>22</v>
      </c>
      <c r="L1548" s="6">
        <v>120.0</v>
      </c>
      <c r="M1548" s="5">
        <v>46013.0</v>
      </c>
      <c r="N1548" s="6" t="s">
        <v>23</v>
      </c>
      <c r="O1548" s="6" t="str">
        <f>SUMIFS([1]order_sku_sales_bb2_report!P:P,[1]order_sku_sales_bb2_report!H:H,C29390,[1]order_sku_sales_bb2_report!J:J,H29390)</f>
        <v>#ERROR!</v>
      </c>
      <c r="P1548" s="6" t="str">
        <f>SUMIFS([1]order_sku_sales_bb2_report!O:O,[1]order_sku_sales_bb2_report!H:H,C29390,[1]order_sku_sales_bb2_report!J:J,H29390)</f>
        <v>#ERROR!</v>
      </c>
      <c r="Q1548" s="6" t="str">
        <f t="shared" si="1"/>
        <v>22-12-2025</v>
      </c>
      <c r="R1548" s="6" t="str">
        <f>IFERROR( VLOOKUP(C29390,[1]expressOrderReport!$S:$AZ,34,0),0)</f>
        <v>#ERROR!</v>
      </c>
      <c r="S1548" s="6" t="str">
        <f>ARRAY_CONSTRAIN(ARRAYFORMULA(_xludf.XLOOKUP(D29390,[1]order_Report_SA_ID_BB2.0!V:V,[1]order_Report_SA_ID_BB2.0!AM:AM,"")), 1, 1)</f>
        <v>#ERROR!</v>
      </c>
      <c r="T1548" s="6" t="str">
        <f t="shared" si="2"/>
        <v>Dec'25</v>
      </c>
    </row>
    <row r="1549" ht="15.75" customHeight="1">
      <c r="A1549" s="5">
        <v>46013.0</v>
      </c>
      <c r="B1549" s="6">
        <v>6114.0</v>
      </c>
      <c r="C1549" s="6">
        <v>1.859167599E9</v>
      </c>
      <c r="D1549" s="6">
        <v>1.050421E7</v>
      </c>
      <c r="E1549" s="6" t="s">
        <v>2375</v>
      </c>
      <c r="F1549" s="6" t="s">
        <v>2376</v>
      </c>
      <c r="G1549" s="6">
        <v>9.611960041E9</v>
      </c>
      <c r="H1549" s="6">
        <v>4.0332424E7</v>
      </c>
      <c r="I1549" s="6" t="s">
        <v>110</v>
      </c>
      <c r="J1549" s="6" t="s">
        <v>21</v>
      </c>
      <c r="K1549" s="6" t="s">
        <v>22</v>
      </c>
      <c r="L1549" s="6">
        <v>120.0</v>
      </c>
      <c r="M1549" s="5">
        <v>46013.0</v>
      </c>
      <c r="N1549" s="6" t="s">
        <v>23</v>
      </c>
      <c r="O1549" s="6" t="str">
        <f>SUMIFS([1]order_sku_sales_bb2_report!P:P,[1]order_sku_sales_bb2_report!H:H,C29391,[1]order_sku_sales_bb2_report!J:J,H29391)</f>
        <v>#ERROR!</v>
      </c>
      <c r="P1549" s="6" t="str">
        <f>SUMIFS([1]order_sku_sales_bb2_report!O:O,[1]order_sku_sales_bb2_report!H:H,C29391,[1]order_sku_sales_bb2_report!J:J,H29391)</f>
        <v>#ERROR!</v>
      </c>
      <c r="Q1549" s="6" t="str">
        <f t="shared" si="1"/>
        <v>22-12-2025</v>
      </c>
      <c r="R1549" s="6" t="str">
        <f>IFERROR( VLOOKUP(C29391,[1]expressOrderReport!$S:$AZ,34,0),0)</f>
        <v>#ERROR!</v>
      </c>
      <c r="S1549" s="6" t="str">
        <f>ARRAY_CONSTRAIN(ARRAYFORMULA(_xludf.XLOOKUP(D29391,[1]order_Report_SA_ID_BB2.0!V:V,[1]order_Report_SA_ID_BB2.0!AM:AM,"")), 1, 1)</f>
        <v>#ERROR!</v>
      </c>
      <c r="T1549" s="6" t="str">
        <f t="shared" si="2"/>
        <v>Dec'25</v>
      </c>
    </row>
    <row r="1550" ht="15.75" customHeight="1">
      <c r="A1550" s="5">
        <v>46013.0</v>
      </c>
      <c r="B1550" s="6">
        <v>6115.0</v>
      </c>
      <c r="C1550" s="6">
        <v>1.859167599E9</v>
      </c>
      <c r="D1550" s="6">
        <v>1.050421E7</v>
      </c>
      <c r="E1550" s="6" t="s">
        <v>2375</v>
      </c>
      <c r="F1550" s="6" t="s">
        <v>2376</v>
      </c>
      <c r="G1550" s="6">
        <v>9.611960041E9</v>
      </c>
      <c r="H1550" s="6">
        <v>4.0149832E7</v>
      </c>
      <c r="I1550" s="6" t="s">
        <v>26</v>
      </c>
      <c r="J1550" s="6" t="s">
        <v>21</v>
      </c>
      <c r="K1550" s="6" t="s">
        <v>22</v>
      </c>
      <c r="L1550" s="6">
        <v>120.0</v>
      </c>
      <c r="M1550" s="5">
        <v>46013.0</v>
      </c>
      <c r="N1550" s="6" t="s">
        <v>23</v>
      </c>
      <c r="O1550" s="6" t="str">
        <f>SUMIFS([1]order_sku_sales_bb2_report!P:P,[1]order_sku_sales_bb2_report!H:H,C29392,[1]order_sku_sales_bb2_report!J:J,H29392)</f>
        <v>#ERROR!</v>
      </c>
      <c r="P1550" s="6" t="str">
        <f>SUMIFS([1]order_sku_sales_bb2_report!O:O,[1]order_sku_sales_bb2_report!H:H,C29392,[1]order_sku_sales_bb2_report!J:J,H29392)</f>
        <v>#ERROR!</v>
      </c>
      <c r="Q1550" s="6" t="str">
        <f t="shared" si="1"/>
        <v>22-12-2025</v>
      </c>
      <c r="R1550" s="6" t="str">
        <f>IFERROR( VLOOKUP(C29392,[1]expressOrderReport!$S:$AZ,34,0),0)</f>
        <v>#ERROR!</v>
      </c>
      <c r="S1550" s="6" t="str">
        <f>ARRAY_CONSTRAIN(ARRAYFORMULA(_xludf.XLOOKUP(D29392,[1]order_Report_SA_ID_BB2.0!V:V,[1]order_Report_SA_ID_BB2.0!AM:AM,"")), 1, 1)</f>
        <v>#ERROR!</v>
      </c>
      <c r="T1550" s="6" t="str">
        <f t="shared" si="2"/>
        <v>Dec'25</v>
      </c>
    </row>
    <row r="1551" ht="15.75" customHeight="1">
      <c r="A1551" s="5">
        <v>46013.0</v>
      </c>
      <c r="B1551" s="6">
        <v>6645.0</v>
      </c>
      <c r="C1551" s="6">
        <v>1.859167607E9</v>
      </c>
      <c r="D1551" s="6">
        <v>2.8273287E7</v>
      </c>
      <c r="E1551" s="6" t="s">
        <v>625</v>
      </c>
      <c r="F1551" s="6" t="s">
        <v>2377</v>
      </c>
      <c r="G1551" s="6">
        <v>9.342059599E9</v>
      </c>
      <c r="H1551" s="6">
        <v>4.0149833E7</v>
      </c>
      <c r="I1551" s="6" t="s">
        <v>40</v>
      </c>
      <c r="J1551" s="6" t="s">
        <v>21</v>
      </c>
      <c r="K1551" s="6" t="s">
        <v>22</v>
      </c>
      <c r="L1551" s="6">
        <v>107.0</v>
      </c>
      <c r="M1551" s="5">
        <v>46013.0</v>
      </c>
      <c r="N1551" s="6" t="s">
        <v>23</v>
      </c>
      <c r="O1551" s="6" t="str">
        <f>SUMIFS([1]order_sku_sales_bb2_report!P:P,[1]order_sku_sales_bb2_report!H:H,C29393,[1]order_sku_sales_bb2_report!J:J,H29393)</f>
        <v>#ERROR!</v>
      </c>
      <c r="P1551" s="6" t="str">
        <f>SUMIFS([1]order_sku_sales_bb2_report!O:O,[1]order_sku_sales_bb2_report!H:H,C29393,[1]order_sku_sales_bb2_report!J:J,H29393)</f>
        <v>#ERROR!</v>
      </c>
      <c r="Q1551" s="6" t="str">
        <f t="shared" si="1"/>
        <v>22-12-2025</v>
      </c>
      <c r="R1551" s="6" t="str">
        <f>IFERROR( VLOOKUP(C29393,[1]expressOrderReport!$S:$AZ,34,0),0)</f>
        <v>#ERROR!</v>
      </c>
      <c r="S1551" s="6" t="str">
        <f>ARRAY_CONSTRAIN(ARRAYFORMULA(_xludf.XLOOKUP(D29393,[1]order_Report_SA_ID_BB2.0!V:V,[1]order_Report_SA_ID_BB2.0!AM:AM,"")), 1, 1)</f>
        <v>#ERROR!</v>
      </c>
      <c r="T1551" s="6" t="str">
        <f t="shared" si="2"/>
        <v>Dec'25</v>
      </c>
    </row>
    <row r="1552" ht="15.75" customHeight="1">
      <c r="A1552" s="5">
        <v>46013.0</v>
      </c>
      <c r="B1552" s="6">
        <v>6646.0</v>
      </c>
      <c r="C1552" s="6">
        <v>1.859167607E9</v>
      </c>
      <c r="D1552" s="6">
        <v>2.8273287E7</v>
      </c>
      <c r="E1552" s="6" t="s">
        <v>625</v>
      </c>
      <c r="F1552" s="6" t="s">
        <v>2377</v>
      </c>
      <c r="G1552" s="6">
        <v>9.342059599E9</v>
      </c>
      <c r="H1552" s="6">
        <v>4.0149834E7</v>
      </c>
      <c r="I1552" s="6" t="s">
        <v>40</v>
      </c>
      <c r="J1552" s="6" t="s">
        <v>21</v>
      </c>
      <c r="K1552" s="6" t="s">
        <v>22</v>
      </c>
      <c r="L1552" s="6">
        <v>107.0</v>
      </c>
      <c r="M1552" s="5">
        <v>46013.0</v>
      </c>
      <c r="N1552" s="6" t="s">
        <v>23</v>
      </c>
      <c r="O1552" s="6" t="str">
        <f>SUMIFS([1]order_sku_sales_bb2_report!P:P,[1]order_sku_sales_bb2_report!H:H,C29394,[1]order_sku_sales_bb2_report!J:J,H29394)</f>
        <v>#ERROR!</v>
      </c>
      <c r="P1552" s="6" t="str">
        <f>SUMIFS([1]order_sku_sales_bb2_report!O:O,[1]order_sku_sales_bb2_report!H:H,C29394,[1]order_sku_sales_bb2_report!J:J,H29394)</f>
        <v>#ERROR!</v>
      </c>
      <c r="Q1552" s="6" t="str">
        <f t="shared" si="1"/>
        <v>22-12-2025</v>
      </c>
      <c r="R1552" s="6" t="str">
        <f>IFERROR( VLOOKUP(C29394,[1]expressOrderReport!$S:$AZ,34,0),0)</f>
        <v>#ERROR!</v>
      </c>
      <c r="S1552" s="6" t="str">
        <f>ARRAY_CONSTRAIN(ARRAYFORMULA(_xludf.XLOOKUP(D29394,[1]order_Report_SA_ID_BB2.0!V:V,[1]order_Report_SA_ID_BB2.0!AM:AM,"")), 1, 1)</f>
        <v>#ERROR!</v>
      </c>
      <c r="T1552" s="6" t="str">
        <f t="shared" si="2"/>
        <v>Dec'25</v>
      </c>
    </row>
    <row r="1553" ht="15.75" customHeight="1">
      <c r="A1553" s="5">
        <v>46013.0</v>
      </c>
      <c r="B1553" s="6">
        <v>6647.0</v>
      </c>
      <c r="C1553" s="6">
        <v>1.859167607E9</v>
      </c>
      <c r="D1553" s="6">
        <v>2.8273287E7</v>
      </c>
      <c r="E1553" s="6" t="s">
        <v>625</v>
      </c>
      <c r="F1553" s="6" t="s">
        <v>2377</v>
      </c>
      <c r="G1553" s="6">
        <v>9.342059599E9</v>
      </c>
      <c r="H1553" s="6">
        <v>4.014983E7</v>
      </c>
      <c r="I1553" s="6" t="s">
        <v>30</v>
      </c>
      <c r="J1553" s="6" t="s">
        <v>21</v>
      </c>
      <c r="K1553" s="6" t="s">
        <v>22</v>
      </c>
      <c r="L1553" s="6">
        <v>107.0</v>
      </c>
      <c r="M1553" s="5">
        <v>46013.0</v>
      </c>
      <c r="N1553" s="6" t="s">
        <v>23</v>
      </c>
      <c r="O1553" s="6" t="str">
        <f>SUMIFS([1]order_sku_sales_bb2_report!P:P,[1]order_sku_sales_bb2_report!H:H,C29395,[1]order_sku_sales_bb2_report!J:J,H29395)</f>
        <v>#ERROR!</v>
      </c>
      <c r="P1553" s="6" t="str">
        <f>SUMIFS([1]order_sku_sales_bb2_report!O:O,[1]order_sku_sales_bb2_report!H:H,C29395,[1]order_sku_sales_bb2_report!J:J,H29395)</f>
        <v>#ERROR!</v>
      </c>
      <c r="Q1553" s="6" t="str">
        <f t="shared" si="1"/>
        <v>22-12-2025</v>
      </c>
      <c r="R1553" s="6" t="str">
        <f>IFERROR( VLOOKUP(C29395,[1]expressOrderReport!$S:$AZ,34,0),0)</f>
        <v>#ERROR!</v>
      </c>
      <c r="S1553" s="6" t="str">
        <f>ARRAY_CONSTRAIN(ARRAYFORMULA(_xludf.XLOOKUP(D29395,[1]order_Report_SA_ID_BB2.0!V:V,[1]order_Report_SA_ID_BB2.0!AM:AM,"")), 1, 1)</f>
        <v>#ERROR!</v>
      </c>
      <c r="T1553" s="6" t="str">
        <f t="shared" si="2"/>
        <v>Dec'25</v>
      </c>
    </row>
    <row r="1554" ht="15.75" customHeight="1">
      <c r="A1554" s="5">
        <v>46013.0</v>
      </c>
      <c r="B1554" s="6">
        <v>6122.0</v>
      </c>
      <c r="C1554" s="6">
        <v>1.859167614E9</v>
      </c>
      <c r="D1554" s="6">
        <v>2.9425436E7</v>
      </c>
      <c r="E1554" s="6" t="s">
        <v>625</v>
      </c>
      <c r="F1554" s="6" t="s">
        <v>2378</v>
      </c>
      <c r="G1554" s="6">
        <v>9.080359518E9</v>
      </c>
      <c r="H1554" s="6">
        <v>4.0149834E7</v>
      </c>
      <c r="I1554" s="6" t="s">
        <v>40</v>
      </c>
      <c r="J1554" s="6" t="s">
        <v>21</v>
      </c>
      <c r="K1554" s="6" t="s">
        <v>22</v>
      </c>
      <c r="L1554" s="6">
        <v>52.0</v>
      </c>
      <c r="M1554" s="5">
        <v>46013.0</v>
      </c>
      <c r="N1554" s="6" t="s">
        <v>23</v>
      </c>
      <c r="O1554" s="6" t="str">
        <f>SUMIFS([1]order_sku_sales_bb2_report!P:P,[1]order_sku_sales_bb2_report!H:H,C29396,[1]order_sku_sales_bb2_report!J:J,H29396)</f>
        <v>#ERROR!</v>
      </c>
      <c r="P1554" s="6" t="str">
        <f>SUMIFS([1]order_sku_sales_bb2_report!O:O,[1]order_sku_sales_bb2_report!H:H,C29396,[1]order_sku_sales_bb2_report!J:J,H29396)</f>
        <v>#ERROR!</v>
      </c>
      <c r="Q1554" s="6" t="str">
        <f t="shared" si="1"/>
        <v>22-12-2025</v>
      </c>
      <c r="R1554" s="6" t="str">
        <f>IFERROR( VLOOKUP(C29396,[1]expressOrderReport!$S:$AZ,34,0),0)</f>
        <v>#ERROR!</v>
      </c>
      <c r="S1554" s="6" t="str">
        <f>ARRAY_CONSTRAIN(ARRAYFORMULA(_xludf.XLOOKUP(D29396,[1]order_Report_SA_ID_BB2.0!V:V,[1]order_Report_SA_ID_BB2.0!AM:AM,"")), 1, 1)</f>
        <v>#ERROR!</v>
      </c>
      <c r="T1554" s="6" t="str">
        <f t="shared" si="2"/>
        <v>Dec'25</v>
      </c>
    </row>
    <row r="1555" ht="15.75" customHeight="1">
      <c r="A1555" s="5">
        <v>46013.0</v>
      </c>
      <c r="B1555" s="6">
        <v>6126.0</v>
      </c>
      <c r="C1555" s="6">
        <v>1.859167618E9</v>
      </c>
      <c r="D1555" s="6">
        <v>2.9429939E7</v>
      </c>
      <c r="E1555" s="6" t="s">
        <v>625</v>
      </c>
      <c r="F1555" s="6" t="s">
        <v>2379</v>
      </c>
      <c r="G1555" s="6">
        <v>9.8800319E9</v>
      </c>
      <c r="H1555" s="6">
        <v>4.0158264E7</v>
      </c>
      <c r="I1555" s="6" t="s">
        <v>26</v>
      </c>
      <c r="J1555" s="6" t="s">
        <v>21</v>
      </c>
      <c r="K1555" s="6" t="s">
        <v>22</v>
      </c>
      <c r="L1555" s="6">
        <v>46.0</v>
      </c>
      <c r="M1555" s="5">
        <v>46013.0</v>
      </c>
      <c r="N1555" s="6" t="s">
        <v>23</v>
      </c>
      <c r="O1555" s="6" t="str">
        <f>SUMIFS([1]order_sku_sales_bb2_report!P:P,[1]order_sku_sales_bb2_report!H:H,C29397,[1]order_sku_sales_bb2_report!J:J,H29397)</f>
        <v>#ERROR!</v>
      </c>
      <c r="P1555" s="6" t="str">
        <f>SUMIFS([1]order_sku_sales_bb2_report!O:O,[1]order_sku_sales_bb2_report!H:H,C29397,[1]order_sku_sales_bb2_report!J:J,H29397)</f>
        <v>#ERROR!</v>
      </c>
      <c r="Q1555" s="6" t="str">
        <f t="shared" si="1"/>
        <v>22-12-2025</v>
      </c>
      <c r="R1555" s="6" t="str">
        <f>IFERROR( VLOOKUP(C29397,[1]expressOrderReport!$S:$AZ,34,0),0)</f>
        <v>#ERROR!</v>
      </c>
      <c r="S1555" s="6" t="str">
        <f>ARRAY_CONSTRAIN(ARRAYFORMULA(_xludf.XLOOKUP(D29397,[1]order_Report_SA_ID_BB2.0!V:V,[1]order_Report_SA_ID_BB2.0!AM:AM,"")), 1, 1)</f>
        <v>#ERROR!</v>
      </c>
      <c r="T1555" s="6" t="str">
        <f t="shared" si="2"/>
        <v>Dec'25</v>
      </c>
    </row>
    <row r="1556" ht="15.75" customHeight="1">
      <c r="A1556" s="5">
        <v>46013.0</v>
      </c>
      <c r="B1556" s="6">
        <v>6127.0</v>
      </c>
      <c r="C1556" s="6">
        <v>1.859167619E9</v>
      </c>
      <c r="D1556" s="6">
        <v>2.9439761E7</v>
      </c>
      <c r="E1556" s="6" t="s">
        <v>625</v>
      </c>
      <c r="F1556" s="6" t="s">
        <v>2380</v>
      </c>
      <c r="G1556" s="6">
        <v>7.904809863E9</v>
      </c>
      <c r="H1556" s="6">
        <v>4.0149831E7</v>
      </c>
      <c r="I1556" s="6" t="s">
        <v>65</v>
      </c>
      <c r="J1556" s="6" t="s">
        <v>21</v>
      </c>
      <c r="K1556" s="6" t="s">
        <v>22</v>
      </c>
      <c r="L1556" s="6">
        <v>78.0</v>
      </c>
      <c r="M1556" s="5">
        <v>46013.0</v>
      </c>
      <c r="N1556" s="6" t="s">
        <v>23</v>
      </c>
      <c r="O1556" s="6" t="str">
        <f>SUMIFS([1]order_sku_sales_bb2_report!P:P,[1]order_sku_sales_bb2_report!H:H,C29398,[1]order_sku_sales_bb2_report!J:J,H29398)</f>
        <v>#ERROR!</v>
      </c>
      <c r="P1556" s="6" t="str">
        <f>SUMIFS([1]order_sku_sales_bb2_report!O:O,[1]order_sku_sales_bb2_report!H:H,C29398,[1]order_sku_sales_bb2_report!J:J,H29398)</f>
        <v>#ERROR!</v>
      </c>
      <c r="Q1556" s="6" t="str">
        <f t="shared" si="1"/>
        <v>22-12-2025</v>
      </c>
      <c r="R1556" s="6" t="str">
        <f>IFERROR( VLOOKUP(C29398,[1]expressOrderReport!$S:$AZ,34,0),0)</f>
        <v>#ERROR!</v>
      </c>
      <c r="S1556" s="6" t="str">
        <f>ARRAY_CONSTRAIN(ARRAYFORMULA(_xludf.XLOOKUP(D29398,[1]order_Report_SA_ID_BB2.0!V:V,[1]order_Report_SA_ID_BB2.0!AM:AM,"")), 1, 1)</f>
        <v>#ERROR!</v>
      </c>
      <c r="T1556" s="6" t="str">
        <f t="shared" si="2"/>
        <v>Dec'25</v>
      </c>
    </row>
    <row r="1557" ht="15.75" customHeight="1">
      <c r="A1557" s="5">
        <v>46013.0</v>
      </c>
      <c r="B1557" s="6">
        <v>6130.0</v>
      </c>
      <c r="C1557" s="6">
        <v>1.859167624E9</v>
      </c>
      <c r="D1557" s="6">
        <v>2.947582E7</v>
      </c>
      <c r="E1557" s="6" t="s">
        <v>625</v>
      </c>
      <c r="F1557" s="6" t="s">
        <v>2381</v>
      </c>
      <c r="G1557" s="6">
        <v>9.353616513E9</v>
      </c>
      <c r="H1557" s="6">
        <v>4.0149831E7</v>
      </c>
      <c r="I1557" s="6" t="s">
        <v>65</v>
      </c>
      <c r="J1557" s="6" t="s">
        <v>21</v>
      </c>
      <c r="K1557" s="6" t="s">
        <v>22</v>
      </c>
      <c r="L1557" s="6">
        <v>52.0</v>
      </c>
      <c r="M1557" s="5">
        <v>46013.0</v>
      </c>
      <c r="N1557" s="6" t="s">
        <v>23</v>
      </c>
      <c r="O1557" s="6" t="str">
        <f>SUMIFS([1]order_sku_sales_bb2_report!P:P,[1]order_sku_sales_bb2_report!H:H,C29399,[1]order_sku_sales_bb2_report!J:J,H29399)</f>
        <v>#ERROR!</v>
      </c>
      <c r="P1557" s="6" t="str">
        <f>SUMIFS([1]order_sku_sales_bb2_report!O:O,[1]order_sku_sales_bb2_report!H:H,C29399,[1]order_sku_sales_bb2_report!J:J,H29399)</f>
        <v>#ERROR!</v>
      </c>
      <c r="Q1557" s="6" t="str">
        <f t="shared" si="1"/>
        <v>22-12-2025</v>
      </c>
      <c r="R1557" s="6" t="str">
        <f>IFERROR( VLOOKUP(C29399,[1]expressOrderReport!$S:$AZ,34,0),0)</f>
        <v>#ERROR!</v>
      </c>
      <c r="S1557" s="6" t="str">
        <f>ARRAY_CONSTRAIN(ARRAYFORMULA(_xludf.XLOOKUP(D29399,[1]order_Report_SA_ID_BB2.0!V:V,[1]order_Report_SA_ID_BB2.0!AM:AM,"")), 1, 1)</f>
        <v>#ERROR!</v>
      </c>
      <c r="T1557" s="6" t="str">
        <f t="shared" si="2"/>
        <v>Dec'25</v>
      </c>
    </row>
    <row r="1558" ht="15.75" customHeight="1">
      <c r="A1558" s="5">
        <v>46013.0</v>
      </c>
      <c r="B1558" s="6">
        <v>6131.0</v>
      </c>
      <c r="C1558" s="6">
        <v>1.859167631E9</v>
      </c>
      <c r="D1558" s="6">
        <v>654152.0</v>
      </c>
      <c r="E1558" s="6" t="s">
        <v>2382</v>
      </c>
      <c r="F1558" s="6" t="s">
        <v>2383</v>
      </c>
      <c r="G1558" s="6">
        <v>9.845377032E9</v>
      </c>
      <c r="H1558" s="6">
        <v>4.0149833E7</v>
      </c>
      <c r="I1558" s="6" t="s">
        <v>40</v>
      </c>
      <c r="J1558" s="6" t="s">
        <v>21</v>
      </c>
      <c r="K1558" s="6" t="s">
        <v>22</v>
      </c>
      <c r="L1558" s="6">
        <v>27.0</v>
      </c>
      <c r="M1558" s="5">
        <v>46013.0</v>
      </c>
      <c r="N1558" s="6" t="s">
        <v>23</v>
      </c>
      <c r="O1558" s="6" t="str">
        <f>SUMIFS([1]order_sku_sales_bb2_report!P:P,[1]order_sku_sales_bb2_report!H:H,C29400,[1]order_sku_sales_bb2_report!J:J,H29400)</f>
        <v>#ERROR!</v>
      </c>
      <c r="P1558" s="6" t="str">
        <f>SUMIFS([1]order_sku_sales_bb2_report!O:O,[1]order_sku_sales_bb2_report!H:H,C29400,[1]order_sku_sales_bb2_report!J:J,H29400)</f>
        <v>#ERROR!</v>
      </c>
      <c r="Q1558" s="6" t="str">
        <f t="shared" si="1"/>
        <v>22-12-2025</v>
      </c>
      <c r="R1558" s="6" t="str">
        <f>IFERROR( VLOOKUP(C29400,[1]expressOrderReport!$S:$AZ,34,0),0)</f>
        <v>#ERROR!</v>
      </c>
      <c r="S1558" s="6" t="str">
        <f>ARRAY_CONSTRAIN(ARRAYFORMULA(_xludf.XLOOKUP(D29400,[1]order_Report_SA_ID_BB2.0!V:V,[1]order_Report_SA_ID_BB2.0!AM:AM,"")), 1, 1)</f>
        <v>#ERROR!</v>
      </c>
      <c r="T1558" s="6" t="str">
        <f t="shared" si="2"/>
        <v>Dec'25</v>
      </c>
    </row>
    <row r="1559" ht="15.75" customHeight="1">
      <c r="A1559" s="5">
        <v>46013.0</v>
      </c>
      <c r="B1559" s="6">
        <v>6180.0</v>
      </c>
      <c r="C1559" s="6">
        <v>1.859167638E9</v>
      </c>
      <c r="D1559" s="6">
        <v>4.6448228E7</v>
      </c>
      <c r="E1559" s="6" t="s">
        <v>625</v>
      </c>
      <c r="F1559" s="6" t="s">
        <v>2384</v>
      </c>
      <c r="G1559" s="6">
        <v>8.867362314E9</v>
      </c>
      <c r="H1559" s="6">
        <v>4.0163721E7</v>
      </c>
      <c r="I1559" s="6" t="s">
        <v>445</v>
      </c>
      <c r="J1559" s="6" t="s">
        <v>21</v>
      </c>
      <c r="K1559" s="6" t="s">
        <v>22</v>
      </c>
      <c r="L1559" s="6">
        <v>114.0</v>
      </c>
      <c r="M1559" s="5">
        <v>46013.0</v>
      </c>
      <c r="N1559" s="6" t="s">
        <v>23</v>
      </c>
      <c r="O1559" s="6" t="str">
        <f>SUMIFS([1]order_sku_sales_bb2_report!P:P,[1]order_sku_sales_bb2_report!H:H,C29401,[1]order_sku_sales_bb2_report!J:J,H29401)</f>
        <v>#ERROR!</v>
      </c>
      <c r="P1559" s="6" t="str">
        <f>SUMIFS([1]order_sku_sales_bb2_report!O:O,[1]order_sku_sales_bb2_report!H:H,C29401,[1]order_sku_sales_bb2_report!J:J,H29401)</f>
        <v>#ERROR!</v>
      </c>
      <c r="Q1559" s="6" t="str">
        <f t="shared" si="1"/>
        <v>22-12-2025</v>
      </c>
      <c r="R1559" s="6" t="str">
        <f>IFERROR( VLOOKUP(C29401,[1]expressOrderReport!$S:$AZ,34,0),0)</f>
        <v>#ERROR!</v>
      </c>
      <c r="S1559" s="6" t="str">
        <f>ARRAY_CONSTRAIN(ARRAYFORMULA(_xludf.XLOOKUP(D29401,[1]order_Report_SA_ID_BB2.0!V:V,[1]order_Report_SA_ID_BB2.0!AM:AM,"")), 1, 1)</f>
        <v>#ERROR!</v>
      </c>
      <c r="T1559" s="6" t="str">
        <f t="shared" si="2"/>
        <v>Dec'25</v>
      </c>
    </row>
    <row r="1560" ht="15.75" customHeight="1">
      <c r="A1560" s="5">
        <v>46013.0</v>
      </c>
      <c r="B1560" s="6">
        <v>6183.0</v>
      </c>
      <c r="C1560" s="6">
        <v>1.859167647E9</v>
      </c>
      <c r="D1560" s="6">
        <v>3.0756344E7</v>
      </c>
      <c r="E1560" s="6" t="s">
        <v>2385</v>
      </c>
      <c r="F1560" s="6" t="s">
        <v>2386</v>
      </c>
      <c r="G1560" s="6">
        <v>8.079057476E9</v>
      </c>
      <c r="H1560" s="6">
        <v>4.0149834E7</v>
      </c>
      <c r="I1560" s="6" t="s">
        <v>40</v>
      </c>
      <c r="J1560" s="6" t="s">
        <v>21</v>
      </c>
      <c r="K1560" s="6" t="s">
        <v>22</v>
      </c>
      <c r="L1560" s="6">
        <v>119.0</v>
      </c>
      <c r="M1560" s="5">
        <v>46013.0</v>
      </c>
      <c r="N1560" s="6" t="s">
        <v>23</v>
      </c>
      <c r="O1560" s="6" t="str">
        <f>SUMIFS([1]order_sku_sales_bb2_report!P:P,[1]order_sku_sales_bb2_report!H:H,C29402,[1]order_sku_sales_bb2_report!J:J,H29402)</f>
        <v>#ERROR!</v>
      </c>
      <c r="P1560" s="6" t="str">
        <f>SUMIFS([1]order_sku_sales_bb2_report!O:O,[1]order_sku_sales_bb2_report!H:H,C29402,[1]order_sku_sales_bb2_report!J:J,H29402)</f>
        <v>#ERROR!</v>
      </c>
      <c r="Q1560" s="6" t="str">
        <f t="shared" si="1"/>
        <v>22-12-2025</v>
      </c>
      <c r="R1560" s="6" t="str">
        <f>IFERROR( VLOOKUP(C29402,[1]expressOrderReport!$S:$AZ,34,0),0)</f>
        <v>#ERROR!</v>
      </c>
      <c r="S1560" s="6" t="str">
        <f>ARRAY_CONSTRAIN(ARRAYFORMULA(_xludf.XLOOKUP(D29402,[1]order_Report_SA_ID_BB2.0!V:V,[1]order_Report_SA_ID_BB2.0!AM:AM,"")), 1, 1)</f>
        <v>#ERROR!</v>
      </c>
      <c r="T1560" s="6" t="str">
        <f t="shared" si="2"/>
        <v>Dec'25</v>
      </c>
    </row>
    <row r="1561" ht="15.75" customHeight="1">
      <c r="A1561" s="5">
        <v>46013.0</v>
      </c>
      <c r="B1561" s="6">
        <v>6184.0</v>
      </c>
      <c r="C1561" s="6">
        <v>1.859167647E9</v>
      </c>
      <c r="D1561" s="6">
        <v>3.0756344E7</v>
      </c>
      <c r="E1561" s="6" t="s">
        <v>2385</v>
      </c>
      <c r="F1561" s="6" t="s">
        <v>2386</v>
      </c>
      <c r="G1561" s="6">
        <v>8.079057476E9</v>
      </c>
      <c r="H1561" s="6">
        <v>4.0149829E7</v>
      </c>
      <c r="I1561" s="6" t="s">
        <v>355</v>
      </c>
      <c r="J1561" s="6" t="s">
        <v>21</v>
      </c>
      <c r="K1561" s="6" t="s">
        <v>22</v>
      </c>
      <c r="L1561" s="6">
        <v>119.0</v>
      </c>
      <c r="M1561" s="5">
        <v>46013.0</v>
      </c>
      <c r="N1561" s="6" t="s">
        <v>23</v>
      </c>
      <c r="O1561" s="6" t="str">
        <f>SUMIFS([1]order_sku_sales_bb2_report!P:P,[1]order_sku_sales_bb2_report!H:H,C29403,[1]order_sku_sales_bb2_report!J:J,H29403)</f>
        <v>#ERROR!</v>
      </c>
      <c r="P1561" s="6" t="str">
        <f>SUMIFS([1]order_sku_sales_bb2_report!O:O,[1]order_sku_sales_bb2_report!H:H,C29403,[1]order_sku_sales_bb2_report!J:J,H29403)</f>
        <v>#ERROR!</v>
      </c>
      <c r="Q1561" s="6" t="str">
        <f t="shared" si="1"/>
        <v>22-12-2025</v>
      </c>
      <c r="R1561" s="6" t="str">
        <f>IFERROR( VLOOKUP(C29403,[1]expressOrderReport!$S:$AZ,34,0),0)</f>
        <v>#ERROR!</v>
      </c>
      <c r="S1561" s="6" t="str">
        <f>ARRAY_CONSTRAIN(ARRAYFORMULA(_xludf.XLOOKUP(D29403,[1]order_Report_SA_ID_BB2.0!V:V,[1]order_Report_SA_ID_BB2.0!AM:AM,"")), 1, 1)</f>
        <v>#ERROR!</v>
      </c>
      <c r="T1561" s="6" t="str">
        <f t="shared" si="2"/>
        <v>Dec'25</v>
      </c>
    </row>
    <row r="1562" ht="15.75" customHeight="1">
      <c r="A1562" s="5">
        <v>46013.0</v>
      </c>
      <c r="B1562" s="6">
        <v>6185.0</v>
      </c>
      <c r="C1562" s="6">
        <v>1.859167647E9</v>
      </c>
      <c r="D1562" s="6">
        <v>3.0756344E7</v>
      </c>
      <c r="E1562" s="6" t="s">
        <v>2385</v>
      </c>
      <c r="F1562" s="6" t="s">
        <v>2386</v>
      </c>
      <c r="G1562" s="6">
        <v>8.079057476E9</v>
      </c>
      <c r="H1562" s="6">
        <v>4.0090893E7</v>
      </c>
      <c r="I1562" s="6" t="s">
        <v>35</v>
      </c>
      <c r="J1562" s="6" t="s">
        <v>21</v>
      </c>
      <c r="K1562" s="6" t="s">
        <v>22</v>
      </c>
      <c r="L1562" s="6">
        <v>119.0</v>
      </c>
      <c r="M1562" s="5">
        <v>46013.0</v>
      </c>
      <c r="N1562" s="6" t="s">
        <v>23</v>
      </c>
      <c r="O1562" s="6" t="str">
        <f>SUMIFS([1]order_sku_sales_bb2_report!P:P,[1]order_sku_sales_bb2_report!H:H,C29404,[1]order_sku_sales_bb2_report!J:J,H29404)</f>
        <v>#ERROR!</v>
      </c>
      <c r="P1562" s="6" t="str">
        <f>SUMIFS([1]order_sku_sales_bb2_report!O:O,[1]order_sku_sales_bb2_report!H:H,C29404,[1]order_sku_sales_bb2_report!J:J,H29404)</f>
        <v>#ERROR!</v>
      </c>
      <c r="Q1562" s="6" t="str">
        <f t="shared" si="1"/>
        <v>22-12-2025</v>
      </c>
      <c r="R1562" s="6" t="str">
        <f>IFERROR( VLOOKUP(C29404,[1]expressOrderReport!$S:$AZ,34,0),0)</f>
        <v>#ERROR!</v>
      </c>
      <c r="S1562" s="6" t="str">
        <f>ARRAY_CONSTRAIN(ARRAYFORMULA(_xludf.XLOOKUP(D29404,[1]order_Report_SA_ID_BB2.0!V:V,[1]order_Report_SA_ID_BB2.0!AM:AM,"")), 1, 1)</f>
        <v>#ERROR!</v>
      </c>
      <c r="T1562" s="6" t="str">
        <f t="shared" si="2"/>
        <v>Dec'25</v>
      </c>
    </row>
    <row r="1563" ht="15.75" customHeight="1">
      <c r="A1563" s="5">
        <v>46013.0</v>
      </c>
      <c r="B1563" s="6">
        <v>6192.0</v>
      </c>
      <c r="C1563" s="6">
        <v>1.859167654E9</v>
      </c>
      <c r="D1563" s="6">
        <v>2.0626363E7</v>
      </c>
      <c r="E1563" s="6" t="s">
        <v>2387</v>
      </c>
      <c r="F1563" s="6" t="s">
        <v>2388</v>
      </c>
      <c r="G1563" s="6">
        <v>9.845083494E9</v>
      </c>
      <c r="H1563" s="6">
        <v>4.0149833E7</v>
      </c>
      <c r="I1563" s="6" t="s">
        <v>40</v>
      </c>
      <c r="J1563" s="6" t="s">
        <v>21</v>
      </c>
      <c r="K1563" s="6" t="s">
        <v>22</v>
      </c>
      <c r="L1563" s="6">
        <v>27.0</v>
      </c>
      <c r="M1563" s="5">
        <v>46013.0</v>
      </c>
      <c r="N1563" s="6" t="s">
        <v>23</v>
      </c>
      <c r="O1563" s="6" t="str">
        <f>SUMIFS([1]order_sku_sales_bb2_report!P:P,[1]order_sku_sales_bb2_report!H:H,C29405,[1]order_sku_sales_bb2_report!J:J,H29405)</f>
        <v>#ERROR!</v>
      </c>
      <c r="P1563" s="6" t="str">
        <f>SUMIFS([1]order_sku_sales_bb2_report!O:O,[1]order_sku_sales_bb2_report!H:H,C29405,[1]order_sku_sales_bb2_report!J:J,H29405)</f>
        <v>#ERROR!</v>
      </c>
      <c r="Q1563" s="6" t="str">
        <f t="shared" si="1"/>
        <v>22-12-2025</v>
      </c>
      <c r="R1563" s="6" t="str">
        <f>IFERROR( VLOOKUP(C29405,[1]expressOrderReport!$S:$AZ,34,0),0)</f>
        <v>#ERROR!</v>
      </c>
      <c r="S1563" s="6" t="str">
        <f>ARRAY_CONSTRAIN(ARRAYFORMULA(_xludf.XLOOKUP(D29405,[1]order_Report_SA_ID_BB2.0!V:V,[1]order_Report_SA_ID_BB2.0!AM:AM,"")), 1, 1)</f>
        <v>#ERROR!</v>
      </c>
      <c r="T1563" s="6" t="str">
        <f t="shared" si="2"/>
        <v>Dec'25</v>
      </c>
    </row>
    <row r="1564" ht="15.75" customHeight="1">
      <c r="A1564" s="5">
        <v>46013.0</v>
      </c>
      <c r="B1564" s="6">
        <v>6194.0</v>
      </c>
      <c r="C1564" s="6">
        <v>1.859167659E9</v>
      </c>
      <c r="D1564" s="6">
        <v>265329.0</v>
      </c>
      <c r="E1564" s="6" t="s">
        <v>2389</v>
      </c>
      <c r="F1564" s="6" t="s">
        <v>2390</v>
      </c>
      <c r="G1564" s="6">
        <v>9.342550903E9</v>
      </c>
      <c r="H1564" s="6">
        <v>4.0149833E7</v>
      </c>
      <c r="I1564" s="6" t="s">
        <v>40</v>
      </c>
      <c r="J1564" s="6" t="s">
        <v>21</v>
      </c>
      <c r="K1564" s="6" t="s">
        <v>22</v>
      </c>
      <c r="L1564" s="6">
        <v>81.0</v>
      </c>
      <c r="M1564" s="5">
        <v>46013.0</v>
      </c>
      <c r="N1564" s="6" t="s">
        <v>23</v>
      </c>
      <c r="O1564" s="6" t="str">
        <f>SUMIFS([1]order_sku_sales_bb2_report!P:P,[1]order_sku_sales_bb2_report!H:H,C29406,[1]order_sku_sales_bb2_report!J:J,H29406)</f>
        <v>#ERROR!</v>
      </c>
      <c r="P1564" s="6" t="str">
        <f>SUMIFS([1]order_sku_sales_bb2_report!O:O,[1]order_sku_sales_bb2_report!H:H,C29406,[1]order_sku_sales_bb2_report!J:J,H29406)</f>
        <v>#ERROR!</v>
      </c>
      <c r="Q1564" s="6" t="str">
        <f t="shared" si="1"/>
        <v>22-12-2025</v>
      </c>
      <c r="R1564" s="6" t="str">
        <f>IFERROR( VLOOKUP(C29406,[1]expressOrderReport!$S:$AZ,34,0),0)</f>
        <v>#ERROR!</v>
      </c>
      <c r="S1564" s="6" t="str">
        <f>ARRAY_CONSTRAIN(ARRAYFORMULA(_xludf.XLOOKUP(D29406,[1]order_Report_SA_ID_BB2.0!V:V,[1]order_Report_SA_ID_BB2.0!AM:AM,"")), 1, 1)</f>
        <v>#ERROR!</v>
      </c>
      <c r="T1564" s="6" t="str">
        <f t="shared" si="2"/>
        <v>Dec'25</v>
      </c>
    </row>
    <row r="1565" ht="15.75" customHeight="1">
      <c r="A1565" s="5">
        <v>46013.0</v>
      </c>
      <c r="B1565" s="6">
        <v>6215.0</v>
      </c>
      <c r="C1565" s="6">
        <v>1.859167663E9</v>
      </c>
      <c r="D1565" s="6">
        <v>8.6855624E7</v>
      </c>
      <c r="E1565" s="6" t="s">
        <v>625</v>
      </c>
      <c r="F1565" s="6" t="s">
        <v>2391</v>
      </c>
      <c r="G1565" s="6">
        <v>9.886054242E9</v>
      </c>
      <c r="H1565" s="6">
        <v>4.0147616E7</v>
      </c>
      <c r="I1565" s="6" t="s">
        <v>276</v>
      </c>
      <c r="J1565" s="6" t="s">
        <v>21</v>
      </c>
      <c r="K1565" s="6" t="s">
        <v>22</v>
      </c>
      <c r="L1565" s="6">
        <v>24.0</v>
      </c>
      <c r="M1565" s="5">
        <v>46013.0</v>
      </c>
      <c r="N1565" s="6" t="s">
        <v>23</v>
      </c>
      <c r="O1565" s="6" t="str">
        <f>SUMIFS([1]order_sku_sales_bb2_report!P:P,[1]order_sku_sales_bb2_report!H:H,C29407,[1]order_sku_sales_bb2_report!J:J,H29407)</f>
        <v>#ERROR!</v>
      </c>
      <c r="P1565" s="6" t="str">
        <f>SUMIFS([1]order_sku_sales_bb2_report!O:O,[1]order_sku_sales_bb2_report!H:H,C29407,[1]order_sku_sales_bb2_report!J:J,H29407)</f>
        <v>#ERROR!</v>
      </c>
      <c r="Q1565" s="6" t="str">
        <f t="shared" si="1"/>
        <v>22-12-2025</v>
      </c>
      <c r="R1565" s="6" t="str">
        <f>IFERROR( VLOOKUP(C29407,[1]expressOrderReport!$S:$AZ,34,0),0)</f>
        <v>#ERROR!</v>
      </c>
      <c r="S1565" s="6" t="str">
        <f>ARRAY_CONSTRAIN(ARRAYFORMULA(_xludf.XLOOKUP(D29407,[1]order_Report_SA_ID_BB2.0!V:V,[1]order_Report_SA_ID_BB2.0!AM:AM,"")), 1, 1)</f>
        <v>#ERROR!</v>
      </c>
      <c r="T1565" s="6" t="str">
        <f t="shared" si="2"/>
        <v>Dec'25</v>
      </c>
    </row>
    <row r="1566" ht="15.75" customHeight="1">
      <c r="A1566" s="5">
        <v>46013.0</v>
      </c>
      <c r="B1566" s="6">
        <v>6264.0</v>
      </c>
      <c r="C1566" s="6">
        <v>1.859167668E9</v>
      </c>
      <c r="D1566" s="6">
        <v>5.6414515E7</v>
      </c>
      <c r="E1566" s="6" t="s">
        <v>625</v>
      </c>
      <c r="F1566" s="6" t="s">
        <v>2392</v>
      </c>
      <c r="G1566" s="6">
        <v>8.884449136E9</v>
      </c>
      <c r="H1566" s="6">
        <v>4.0149831E7</v>
      </c>
      <c r="I1566" s="6" t="s">
        <v>65</v>
      </c>
      <c r="J1566" s="6" t="s">
        <v>21</v>
      </c>
      <c r="K1566" s="6" t="s">
        <v>22</v>
      </c>
      <c r="L1566" s="6">
        <v>52.0</v>
      </c>
      <c r="M1566" s="5">
        <v>46013.0</v>
      </c>
      <c r="N1566" s="6" t="s">
        <v>23</v>
      </c>
      <c r="O1566" s="6" t="str">
        <f>SUMIFS([1]order_sku_sales_bb2_report!P:P,[1]order_sku_sales_bb2_report!H:H,C29408,[1]order_sku_sales_bb2_report!J:J,H29408)</f>
        <v>#ERROR!</v>
      </c>
      <c r="P1566" s="6" t="str">
        <f>SUMIFS([1]order_sku_sales_bb2_report!O:O,[1]order_sku_sales_bb2_report!H:H,C29408,[1]order_sku_sales_bb2_report!J:J,H29408)</f>
        <v>#ERROR!</v>
      </c>
      <c r="Q1566" s="6" t="str">
        <f t="shared" si="1"/>
        <v>22-12-2025</v>
      </c>
      <c r="R1566" s="6" t="str">
        <f>IFERROR( VLOOKUP(C29408,[1]expressOrderReport!$S:$AZ,34,0),0)</f>
        <v>#ERROR!</v>
      </c>
      <c r="S1566" s="6" t="str">
        <f>ARRAY_CONSTRAIN(ARRAYFORMULA(_xludf.XLOOKUP(D29408,[1]order_Report_SA_ID_BB2.0!V:V,[1]order_Report_SA_ID_BB2.0!AM:AM,"")), 1, 1)</f>
        <v>#ERROR!</v>
      </c>
      <c r="T1566" s="6" t="str">
        <f t="shared" si="2"/>
        <v>Dec'25</v>
      </c>
    </row>
    <row r="1567" ht="15.75" customHeight="1">
      <c r="A1567" s="5">
        <v>46013.0</v>
      </c>
      <c r="B1567" s="6">
        <v>6271.0</v>
      </c>
      <c r="C1567" s="6">
        <v>1.859167678E9</v>
      </c>
      <c r="D1567" s="6">
        <v>3.0366406E7</v>
      </c>
      <c r="E1567" s="6" t="s">
        <v>625</v>
      </c>
      <c r="F1567" s="6" t="s">
        <v>2393</v>
      </c>
      <c r="G1567" s="6">
        <v>9.739927955E9</v>
      </c>
      <c r="H1567" s="6">
        <v>4.0149833E7</v>
      </c>
      <c r="I1567" s="6" t="s">
        <v>40</v>
      </c>
      <c r="J1567" s="6" t="s">
        <v>21</v>
      </c>
      <c r="K1567" s="6" t="s">
        <v>22</v>
      </c>
      <c r="L1567" s="6">
        <v>55.0</v>
      </c>
      <c r="M1567" s="5">
        <v>46013.0</v>
      </c>
      <c r="N1567" s="6" t="s">
        <v>23</v>
      </c>
      <c r="O1567" s="6" t="str">
        <f>SUMIFS([1]order_sku_sales_bb2_report!P:P,[1]order_sku_sales_bb2_report!H:H,C29409,[1]order_sku_sales_bb2_report!J:J,H29409)</f>
        <v>#ERROR!</v>
      </c>
      <c r="P1567" s="6" t="str">
        <f>SUMIFS([1]order_sku_sales_bb2_report!O:O,[1]order_sku_sales_bb2_report!H:H,C29409,[1]order_sku_sales_bb2_report!J:J,H29409)</f>
        <v>#ERROR!</v>
      </c>
      <c r="Q1567" s="6" t="str">
        <f t="shared" si="1"/>
        <v>22-12-2025</v>
      </c>
      <c r="R1567" s="6" t="str">
        <f>IFERROR( VLOOKUP(C29409,[1]expressOrderReport!$S:$AZ,34,0),0)</f>
        <v>#ERROR!</v>
      </c>
      <c r="S1567" s="6" t="str">
        <f>ARRAY_CONSTRAIN(ARRAYFORMULA(_xludf.XLOOKUP(D29409,[1]order_Report_SA_ID_BB2.0!V:V,[1]order_Report_SA_ID_BB2.0!AM:AM,"")), 1, 1)</f>
        <v>#ERROR!</v>
      </c>
      <c r="T1567" s="6" t="str">
        <f t="shared" si="2"/>
        <v>Dec'25</v>
      </c>
    </row>
    <row r="1568" ht="15.75" customHeight="1">
      <c r="A1568" s="5">
        <v>46013.0</v>
      </c>
      <c r="B1568" s="6">
        <v>6272.0</v>
      </c>
      <c r="C1568" s="6">
        <v>1.859167678E9</v>
      </c>
      <c r="D1568" s="6">
        <v>3.0366406E7</v>
      </c>
      <c r="E1568" s="6" t="s">
        <v>625</v>
      </c>
      <c r="F1568" s="6" t="s">
        <v>2393</v>
      </c>
      <c r="G1568" s="6">
        <v>9.739927955E9</v>
      </c>
      <c r="H1568" s="6">
        <v>4.014983E7</v>
      </c>
      <c r="I1568" s="6" t="s">
        <v>30</v>
      </c>
      <c r="J1568" s="6" t="s">
        <v>21</v>
      </c>
      <c r="K1568" s="6" t="s">
        <v>22</v>
      </c>
      <c r="L1568" s="6">
        <v>55.0</v>
      </c>
      <c r="M1568" s="5">
        <v>46013.0</v>
      </c>
      <c r="N1568" s="6" t="s">
        <v>23</v>
      </c>
      <c r="O1568" s="6" t="str">
        <f>SUMIFS([1]order_sku_sales_bb2_report!P:P,[1]order_sku_sales_bb2_report!H:H,C29410,[1]order_sku_sales_bb2_report!J:J,H29410)</f>
        <v>#ERROR!</v>
      </c>
      <c r="P1568" s="6" t="str">
        <f>SUMIFS([1]order_sku_sales_bb2_report!O:O,[1]order_sku_sales_bb2_report!H:H,C29410,[1]order_sku_sales_bb2_report!J:J,H29410)</f>
        <v>#ERROR!</v>
      </c>
      <c r="Q1568" s="6" t="str">
        <f t="shared" si="1"/>
        <v>22-12-2025</v>
      </c>
      <c r="R1568" s="6" t="str">
        <f>IFERROR( VLOOKUP(C29410,[1]expressOrderReport!$S:$AZ,34,0),0)</f>
        <v>#ERROR!</v>
      </c>
      <c r="S1568" s="6" t="str">
        <f>ARRAY_CONSTRAIN(ARRAYFORMULA(_xludf.XLOOKUP(D29410,[1]order_Report_SA_ID_BB2.0!V:V,[1]order_Report_SA_ID_BB2.0!AM:AM,"")), 1, 1)</f>
        <v>#ERROR!</v>
      </c>
      <c r="T1568" s="6" t="str">
        <f t="shared" si="2"/>
        <v>Dec'25</v>
      </c>
    </row>
    <row r="1569" ht="15.75" customHeight="1">
      <c r="A1569" s="5">
        <v>46013.0</v>
      </c>
      <c r="B1569" s="6">
        <v>6298.0</v>
      </c>
      <c r="C1569" s="6">
        <v>1.859167684E9</v>
      </c>
      <c r="D1569" s="6">
        <v>7.4857669E7</v>
      </c>
      <c r="E1569" s="6" t="s">
        <v>625</v>
      </c>
      <c r="F1569" s="6" t="s">
        <v>2394</v>
      </c>
      <c r="G1569" s="6">
        <v>9.481436356E9</v>
      </c>
      <c r="H1569" s="6">
        <v>4.0054183E7</v>
      </c>
      <c r="I1569" s="6" t="s">
        <v>157</v>
      </c>
      <c r="J1569" s="6" t="s">
        <v>21</v>
      </c>
      <c r="K1569" s="6" t="s">
        <v>22</v>
      </c>
      <c r="L1569" s="6">
        <v>11.31</v>
      </c>
      <c r="M1569" s="5">
        <v>46013.0</v>
      </c>
      <c r="N1569" s="6" t="s">
        <v>23</v>
      </c>
      <c r="O1569" s="6" t="str">
        <f>SUMIFS([1]order_sku_sales_bb2_report!P:P,[1]order_sku_sales_bb2_report!H:H,C29411,[1]order_sku_sales_bb2_report!J:J,H29411)</f>
        <v>#ERROR!</v>
      </c>
      <c r="P1569" s="6" t="str">
        <f>SUMIFS([1]order_sku_sales_bb2_report!O:O,[1]order_sku_sales_bb2_report!H:H,C29411,[1]order_sku_sales_bb2_report!J:J,H29411)</f>
        <v>#ERROR!</v>
      </c>
      <c r="Q1569" s="6" t="str">
        <f t="shared" si="1"/>
        <v>22-12-2025</v>
      </c>
      <c r="R1569" s="6" t="str">
        <f>IFERROR( VLOOKUP(C29411,[1]expressOrderReport!$S:$AZ,34,0),0)</f>
        <v>#ERROR!</v>
      </c>
      <c r="S1569" s="6" t="str">
        <f>ARRAY_CONSTRAIN(ARRAYFORMULA(_xludf.XLOOKUP(D29411,[1]order_Report_SA_ID_BB2.0!V:V,[1]order_Report_SA_ID_BB2.0!AM:AM,"")), 1, 1)</f>
        <v>#ERROR!</v>
      </c>
      <c r="T1569" s="6" t="str">
        <f t="shared" si="2"/>
        <v>Dec'25</v>
      </c>
    </row>
    <row r="1570" ht="15.75" customHeight="1">
      <c r="A1570" s="5">
        <v>46013.0</v>
      </c>
      <c r="B1570" s="6">
        <v>6386.0</v>
      </c>
      <c r="C1570" s="6">
        <v>1.859167687E9</v>
      </c>
      <c r="D1570" s="6">
        <v>1.6291631E7</v>
      </c>
      <c r="E1570" s="6" t="s">
        <v>2395</v>
      </c>
      <c r="F1570" s="6" t="s">
        <v>2396</v>
      </c>
      <c r="G1570" s="6">
        <v>9.902355319E9</v>
      </c>
      <c r="H1570" s="6">
        <v>4.0180962E7</v>
      </c>
      <c r="I1570" s="6" t="s">
        <v>1488</v>
      </c>
      <c r="J1570" s="6" t="s">
        <v>21</v>
      </c>
      <c r="K1570" s="6" t="s">
        <v>22</v>
      </c>
      <c r="L1570" s="6">
        <v>35.0</v>
      </c>
      <c r="M1570" s="5">
        <v>46013.0</v>
      </c>
      <c r="N1570" s="6" t="s">
        <v>54</v>
      </c>
      <c r="O1570" s="6" t="str">
        <f>SUMIFS([1]order_sku_sales_bb2_report!P:P,[1]order_sku_sales_bb2_report!H:H,C29414,[1]order_sku_sales_bb2_report!J:J,H29414)</f>
        <v>#ERROR!</v>
      </c>
      <c r="P1570" s="6" t="str">
        <f>SUMIFS([1]order_sku_sales_bb2_report!O:O,[1]order_sku_sales_bb2_report!H:H,C29414,[1]order_sku_sales_bb2_report!J:J,H29414)</f>
        <v>#ERROR!</v>
      </c>
      <c r="Q1570" s="6" t="str">
        <f t="shared" si="1"/>
        <v>22-12-2025</v>
      </c>
      <c r="R1570" s="6" t="str">
        <f>IFERROR( VLOOKUP(C29414,[1]expressOrderReport!$S:$AZ,34,0),0)</f>
        <v>#ERROR!</v>
      </c>
      <c r="S1570" s="6" t="str">
        <f>ARRAY_CONSTRAIN(ARRAYFORMULA(_xludf.XLOOKUP(D29414,[1]order_Report_SA_ID_BB2.0!V:V,[1]order_Report_SA_ID_BB2.0!AM:AM,"")), 1, 1)</f>
        <v>#ERROR!</v>
      </c>
      <c r="T1570" s="6" t="str">
        <f t="shared" si="2"/>
        <v>Dec'25</v>
      </c>
    </row>
    <row r="1571" ht="15.75" customHeight="1">
      <c r="A1571" s="5">
        <v>46013.0</v>
      </c>
      <c r="B1571" s="6">
        <v>6387.0</v>
      </c>
      <c r="C1571" s="6">
        <v>1.859167693E9</v>
      </c>
      <c r="D1571" s="6">
        <v>379486.0</v>
      </c>
      <c r="E1571" s="6" t="s">
        <v>2397</v>
      </c>
      <c r="F1571" s="6" t="s">
        <v>2398</v>
      </c>
      <c r="G1571" s="6">
        <v>7.892675422E9</v>
      </c>
      <c r="H1571" s="6">
        <v>4.0158264E7</v>
      </c>
      <c r="I1571" s="6" t="s">
        <v>26</v>
      </c>
      <c r="J1571" s="6" t="s">
        <v>21</v>
      </c>
      <c r="K1571" s="6" t="s">
        <v>22</v>
      </c>
      <c r="L1571" s="6">
        <v>46.0</v>
      </c>
      <c r="M1571" s="5">
        <v>46013.0</v>
      </c>
      <c r="N1571" s="6" t="s">
        <v>23</v>
      </c>
      <c r="O1571" s="6" t="str">
        <f>SUMIFS([1]order_sku_sales_bb2_report!P:P,[1]order_sku_sales_bb2_report!H:H,C29415,[1]order_sku_sales_bb2_report!J:J,H29415)</f>
        <v>#ERROR!</v>
      </c>
      <c r="P1571" s="6" t="str">
        <f>SUMIFS([1]order_sku_sales_bb2_report!O:O,[1]order_sku_sales_bb2_report!H:H,C29415,[1]order_sku_sales_bb2_report!J:J,H29415)</f>
        <v>#ERROR!</v>
      </c>
      <c r="Q1571" s="6" t="str">
        <f t="shared" si="1"/>
        <v>22-12-2025</v>
      </c>
      <c r="R1571" s="6" t="str">
        <f>IFERROR( VLOOKUP(C29415,[1]expressOrderReport!$S:$AZ,34,0),0)</f>
        <v>#ERROR!</v>
      </c>
      <c r="S1571" s="6" t="str">
        <f>ARRAY_CONSTRAIN(ARRAYFORMULA(_xludf.XLOOKUP(D29415,[1]order_Report_SA_ID_BB2.0!V:V,[1]order_Report_SA_ID_BB2.0!AM:AM,"")), 1, 1)</f>
        <v>#ERROR!</v>
      </c>
      <c r="T1571" s="6" t="str">
        <f t="shared" si="2"/>
        <v>Dec'25</v>
      </c>
    </row>
    <row r="1572" ht="15.75" customHeight="1">
      <c r="A1572" s="5">
        <v>46013.0</v>
      </c>
      <c r="B1572" s="6">
        <v>6390.0</v>
      </c>
      <c r="C1572" s="6">
        <v>1.859167695E9</v>
      </c>
      <c r="D1572" s="6">
        <v>6294846.0</v>
      </c>
      <c r="E1572" s="6" t="s">
        <v>208</v>
      </c>
      <c r="F1572" s="6" t="s">
        <v>209</v>
      </c>
      <c r="G1572" s="6">
        <v>9.958989761E9</v>
      </c>
      <c r="H1572" s="6">
        <v>4.0001602E7</v>
      </c>
      <c r="I1572" s="6" t="s">
        <v>2399</v>
      </c>
      <c r="J1572" s="6" t="s">
        <v>21</v>
      </c>
      <c r="K1572" s="6" t="s">
        <v>22</v>
      </c>
      <c r="L1572" s="6">
        <v>19.5</v>
      </c>
      <c r="M1572" s="5">
        <v>46013.0</v>
      </c>
      <c r="N1572" s="6" t="s">
        <v>54</v>
      </c>
      <c r="O1572" s="6" t="str">
        <f>SUMIFS([1]order_sku_sales_bb2_report!P:P,[1]order_sku_sales_bb2_report!H:H,C29416,[1]order_sku_sales_bb2_report!J:J,H29416)</f>
        <v>#ERROR!</v>
      </c>
      <c r="P1572" s="6" t="str">
        <f>SUMIFS([1]order_sku_sales_bb2_report!O:O,[1]order_sku_sales_bb2_report!H:H,C29416,[1]order_sku_sales_bb2_report!J:J,H29416)</f>
        <v>#ERROR!</v>
      </c>
      <c r="Q1572" s="6" t="str">
        <f t="shared" si="1"/>
        <v>22-12-2025</v>
      </c>
      <c r="R1572" s="6" t="str">
        <f>IFERROR( VLOOKUP(C29416,[1]expressOrderReport!$S:$AZ,34,0),0)</f>
        <v>#ERROR!</v>
      </c>
      <c r="S1572" s="6" t="str">
        <f>ARRAY_CONSTRAIN(ARRAYFORMULA(_xludf.XLOOKUP(D29416,[1]order_Report_SA_ID_BB2.0!V:V,[1]order_Report_SA_ID_BB2.0!AM:AM,"")), 1, 1)</f>
        <v>#ERROR!</v>
      </c>
      <c r="T1572" s="6" t="str">
        <f t="shared" si="2"/>
        <v>Dec'25</v>
      </c>
    </row>
    <row r="1573" ht="15.75" customHeight="1">
      <c r="A1573" s="5">
        <v>46013.0</v>
      </c>
      <c r="B1573" s="6">
        <v>6391.0</v>
      </c>
      <c r="C1573" s="6">
        <v>1.859167695E9</v>
      </c>
      <c r="D1573" s="6">
        <v>6294846.0</v>
      </c>
      <c r="E1573" s="6" t="s">
        <v>208</v>
      </c>
      <c r="F1573" s="6" t="s">
        <v>209</v>
      </c>
      <c r="G1573" s="6">
        <v>9.958989761E9</v>
      </c>
      <c r="H1573" s="6">
        <v>270764.0</v>
      </c>
      <c r="I1573" s="6" t="s">
        <v>2400</v>
      </c>
      <c r="J1573" s="6" t="s">
        <v>21</v>
      </c>
      <c r="K1573" s="6" t="s">
        <v>22</v>
      </c>
      <c r="L1573" s="6">
        <v>19.5</v>
      </c>
      <c r="M1573" s="5">
        <v>46013.0</v>
      </c>
      <c r="N1573" s="6" t="s">
        <v>54</v>
      </c>
      <c r="O1573" s="6" t="str">
        <f>SUMIFS([1]order_sku_sales_bb2_report!P:P,[1]order_sku_sales_bb2_report!H:H,C29417,[1]order_sku_sales_bb2_report!J:J,H29417)</f>
        <v>#ERROR!</v>
      </c>
      <c r="P1573" s="6" t="str">
        <f>SUMIFS([1]order_sku_sales_bb2_report!O:O,[1]order_sku_sales_bb2_report!H:H,C29417,[1]order_sku_sales_bb2_report!J:J,H29417)</f>
        <v>#ERROR!</v>
      </c>
      <c r="Q1573" s="6" t="str">
        <f t="shared" si="1"/>
        <v>22-12-2025</v>
      </c>
      <c r="R1573" s="6" t="str">
        <f>IFERROR( VLOOKUP(C29417,[1]expressOrderReport!$S:$AZ,34,0),0)</f>
        <v>#ERROR!</v>
      </c>
      <c r="S1573" s="6" t="str">
        <f>ARRAY_CONSTRAIN(ARRAYFORMULA(_xludf.XLOOKUP(D29417,[1]order_Report_SA_ID_BB2.0!V:V,[1]order_Report_SA_ID_BB2.0!AM:AM,"")), 1, 1)</f>
        <v>#ERROR!</v>
      </c>
      <c r="T1573" s="6" t="str">
        <f t="shared" si="2"/>
        <v>Dec'25</v>
      </c>
    </row>
    <row r="1574" ht="15.75" customHeight="1">
      <c r="A1574" s="5">
        <v>46013.0</v>
      </c>
      <c r="B1574" s="6">
        <v>6392.0</v>
      </c>
      <c r="C1574" s="6">
        <v>1.859167695E9</v>
      </c>
      <c r="D1574" s="6">
        <v>6294846.0</v>
      </c>
      <c r="E1574" s="6" t="s">
        <v>208</v>
      </c>
      <c r="F1574" s="6" t="s">
        <v>209</v>
      </c>
      <c r="G1574" s="6">
        <v>9.958989761E9</v>
      </c>
      <c r="H1574" s="6">
        <v>2.0004456E7</v>
      </c>
      <c r="I1574" s="6" t="s">
        <v>2401</v>
      </c>
      <c r="J1574" s="6" t="s">
        <v>21</v>
      </c>
      <c r="K1574" s="6" t="s">
        <v>22</v>
      </c>
      <c r="L1574" s="6">
        <v>19.5</v>
      </c>
      <c r="M1574" s="5">
        <v>46013.0</v>
      </c>
      <c r="N1574" s="6" t="s">
        <v>54</v>
      </c>
      <c r="O1574" s="6" t="str">
        <f>SUMIFS([1]order_sku_sales_bb2_report!P:P,[1]order_sku_sales_bb2_report!H:H,C29418,[1]order_sku_sales_bb2_report!J:J,H29418)</f>
        <v>#ERROR!</v>
      </c>
      <c r="P1574" s="6" t="str">
        <f>SUMIFS([1]order_sku_sales_bb2_report!O:O,[1]order_sku_sales_bb2_report!H:H,C29418,[1]order_sku_sales_bb2_report!J:J,H29418)</f>
        <v>#ERROR!</v>
      </c>
      <c r="Q1574" s="6" t="str">
        <f t="shared" si="1"/>
        <v>22-12-2025</v>
      </c>
      <c r="R1574" s="6" t="str">
        <f>IFERROR( VLOOKUP(C29418,[1]expressOrderReport!$S:$AZ,34,0),0)</f>
        <v>#ERROR!</v>
      </c>
      <c r="S1574" s="6" t="str">
        <f>ARRAY_CONSTRAIN(ARRAYFORMULA(_xludf.XLOOKUP(D29418,[1]order_Report_SA_ID_BB2.0!V:V,[1]order_Report_SA_ID_BB2.0!AM:AM,"")), 1, 1)</f>
        <v>#ERROR!</v>
      </c>
      <c r="T1574" s="6" t="str">
        <f t="shared" si="2"/>
        <v>Dec'25</v>
      </c>
    </row>
    <row r="1575" ht="15.75" customHeight="1">
      <c r="A1575" s="5">
        <v>46013.0</v>
      </c>
      <c r="B1575" s="6">
        <v>6398.0</v>
      </c>
      <c r="C1575" s="6">
        <v>1.8591677E9</v>
      </c>
      <c r="D1575" s="6">
        <v>1.3571981E7</v>
      </c>
      <c r="E1575" s="6" t="s">
        <v>2402</v>
      </c>
      <c r="F1575" s="6" t="s">
        <v>2403</v>
      </c>
      <c r="G1575" s="6">
        <v>8.552939047E9</v>
      </c>
      <c r="H1575" s="6">
        <v>4.0149827E7</v>
      </c>
      <c r="I1575" s="6" t="s">
        <v>738</v>
      </c>
      <c r="J1575" s="6" t="s">
        <v>21</v>
      </c>
      <c r="K1575" s="6" t="s">
        <v>22</v>
      </c>
      <c r="L1575" s="6">
        <v>93.0</v>
      </c>
      <c r="M1575" s="5">
        <v>46013.0</v>
      </c>
      <c r="N1575" s="6" t="s">
        <v>23</v>
      </c>
      <c r="O1575" s="6" t="str">
        <f>SUMIFS([1]order_sku_sales_bb2_report!P:P,[1]order_sku_sales_bb2_report!H:H,C29419,[1]order_sku_sales_bb2_report!J:J,H29419)</f>
        <v>#ERROR!</v>
      </c>
      <c r="P1575" s="6" t="str">
        <f>SUMIFS([1]order_sku_sales_bb2_report!O:O,[1]order_sku_sales_bb2_report!H:H,C29419,[1]order_sku_sales_bb2_report!J:J,H29419)</f>
        <v>#ERROR!</v>
      </c>
      <c r="Q1575" s="6" t="str">
        <f t="shared" si="1"/>
        <v>22-12-2025</v>
      </c>
      <c r="R1575" s="6" t="str">
        <f>IFERROR( VLOOKUP(C29419,[1]expressOrderReport!$S:$AZ,34,0),0)</f>
        <v>#ERROR!</v>
      </c>
      <c r="S1575" s="6" t="str">
        <f>ARRAY_CONSTRAIN(ARRAYFORMULA(_xludf.XLOOKUP(D29419,[1]order_Report_SA_ID_BB2.0!V:V,[1]order_Report_SA_ID_BB2.0!AM:AM,"")), 1, 1)</f>
        <v>#ERROR!</v>
      </c>
      <c r="T1575" s="6" t="str">
        <f t="shared" si="2"/>
        <v>Dec'25</v>
      </c>
    </row>
    <row r="1576" ht="15.75" customHeight="1">
      <c r="A1576" s="5">
        <v>46013.0</v>
      </c>
      <c r="B1576" s="6">
        <v>10461.0</v>
      </c>
      <c r="C1576" s="6">
        <v>1.859167705E9</v>
      </c>
      <c r="D1576" s="6">
        <v>2.0534209E7</v>
      </c>
      <c r="E1576" s="6" t="s">
        <v>625</v>
      </c>
      <c r="F1576" s="6" t="s">
        <v>2404</v>
      </c>
      <c r="G1576" s="6">
        <v>9.845104754E9</v>
      </c>
      <c r="H1576" s="6">
        <v>4.0149831E7</v>
      </c>
      <c r="I1576" s="6" t="s">
        <v>65</v>
      </c>
      <c r="J1576" s="6" t="s">
        <v>21</v>
      </c>
      <c r="K1576" s="6" t="s">
        <v>22</v>
      </c>
      <c r="L1576" s="6">
        <v>26.0</v>
      </c>
      <c r="M1576" s="5">
        <v>46013.0</v>
      </c>
      <c r="N1576" s="6" t="s">
        <v>23</v>
      </c>
      <c r="O1576" s="6" t="str">
        <f>SUMIFS([1]order_sku_sales_bb2_report!P:P,[1]order_sku_sales_bb2_report!H:H,C29420,[1]order_sku_sales_bb2_report!J:J,H29420)</f>
        <v>#ERROR!</v>
      </c>
      <c r="P1576" s="6" t="str">
        <f>SUMIFS([1]order_sku_sales_bb2_report!O:O,[1]order_sku_sales_bb2_report!H:H,C29420,[1]order_sku_sales_bb2_report!J:J,H29420)</f>
        <v>#ERROR!</v>
      </c>
      <c r="Q1576" s="6" t="str">
        <f t="shared" si="1"/>
        <v>22-12-2025</v>
      </c>
      <c r="R1576" s="6" t="str">
        <f>IFERROR( VLOOKUP(C29420,[1]expressOrderReport!$S:$AZ,34,0),0)</f>
        <v>#ERROR!</v>
      </c>
      <c r="S1576" s="6" t="str">
        <f>ARRAY_CONSTRAIN(ARRAYFORMULA(_xludf.XLOOKUP(D29420,[1]order_Report_SA_ID_BB2.0!V:V,[1]order_Report_SA_ID_BB2.0!AM:AM,"")), 1, 1)</f>
        <v>#ERROR!</v>
      </c>
      <c r="T1576" s="6" t="str">
        <f t="shared" si="2"/>
        <v>Dec'25</v>
      </c>
    </row>
    <row r="1577" ht="15.75" customHeight="1">
      <c r="A1577" s="5">
        <v>46013.0</v>
      </c>
      <c r="B1577" s="6">
        <v>6431.0</v>
      </c>
      <c r="C1577" s="6">
        <v>1.859167714E9</v>
      </c>
      <c r="D1577" s="6">
        <v>2.1659039E7</v>
      </c>
      <c r="E1577" s="6" t="s">
        <v>625</v>
      </c>
      <c r="F1577" s="6" t="s">
        <v>2405</v>
      </c>
      <c r="G1577" s="6">
        <v>9.740836461E9</v>
      </c>
      <c r="H1577" s="6">
        <v>4.0158264E7</v>
      </c>
      <c r="I1577" s="6" t="s">
        <v>26</v>
      </c>
      <c r="J1577" s="6" t="s">
        <v>21</v>
      </c>
      <c r="K1577" s="6" t="s">
        <v>22</v>
      </c>
      <c r="L1577" s="6">
        <v>46.0</v>
      </c>
      <c r="M1577" s="5">
        <v>46013.0</v>
      </c>
      <c r="N1577" s="6" t="s">
        <v>23</v>
      </c>
      <c r="O1577" s="6" t="str">
        <f>SUMIFS([1]order_sku_sales_bb2_report!P:P,[1]order_sku_sales_bb2_report!H:H,C29421,[1]order_sku_sales_bb2_report!J:J,H29421)</f>
        <v>#ERROR!</v>
      </c>
      <c r="P1577" s="6" t="str">
        <f>SUMIFS([1]order_sku_sales_bb2_report!O:O,[1]order_sku_sales_bb2_report!H:H,C29421,[1]order_sku_sales_bb2_report!J:J,H29421)</f>
        <v>#ERROR!</v>
      </c>
      <c r="Q1577" s="6" t="str">
        <f t="shared" si="1"/>
        <v>22-12-2025</v>
      </c>
      <c r="R1577" s="6" t="str">
        <f>IFERROR( VLOOKUP(C29421,[1]expressOrderReport!$S:$AZ,34,0),0)</f>
        <v>#ERROR!</v>
      </c>
      <c r="S1577" s="6" t="str">
        <f>ARRAY_CONSTRAIN(ARRAYFORMULA(_xludf.XLOOKUP(D29421,[1]order_Report_SA_ID_BB2.0!V:V,[1]order_Report_SA_ID_BB2.0!AM:AM,"")), 1, 1)</f>
        <v>#ERROR!</v>
      </c>
      <c r="T1577" s="6" t="str">
        <f t="shared" si="2"/>
        <v>Dec'25</v>
      </c>
    </row>
    <row r="1578" ht="15.75" customHeight="1">
      <c r="A1578" s="5">
        <v>46013.0</v>
      </c>
      <c r="B1578" s="6">
        <v>6433.0</v>
      </c>
      <c r="C1578" s="6">
        <v>1.859167722E9</v>
      </c>
      <c r="D1578" s="6">
        <v>5096407.0</v>
      </c>
      <c r="E1578" s="6" t="s">
        <v>2406</v>
      </c>
      <c r="F1578" s="6" t="s">
        <v>2407</v>
      </c>
      <c r="G1578" s="6">
        <v>9.900028764E9</v>
      </c>
      <c r="H1578" s="6">
        <v>4.0149833E7</v>
      </c>
      <c r="I1578" s="6" t="s">
        <v>40</v>
      </c>
      <c r="J1578" s="6" t="s">
        <v>21</v>
      </c>
      <c r="K1578" s="6" t="s">
        <v>22</v>
      </c>
      <c r="L1578" s="6">
        <v>27.0</v>
      </c>
      <c r="M1578" s="5">
        <v>46013.0</v>
      </c>
      <c r="N1578" s="6" t="s">
        <v>23</v>
      </c>
      <c r="O1578" s="6" t="str">
        <f>SUMIFS([1]order_sku_sales_bb2_report!P:P,[1]order_sku_sales_bb2_report!H:H,C29422,[1]order_sku_sales_bb2_report!J:J,H29422)</f>
        <v>#ERROR!</v>
      </c>
      <c r="P1578" s="6" t="str">
        <f>SUMIFS([1]order_sku_sales_bb2_report!O:O,[1]order_sku_sales_bb2_report!H:H,C29422,[1]order_sku_sales_bb2_report!J:J,H29422)</f>
        <v>#ERROR!</v>
      </c>
      <c r="Q1578" s="6" t="str">
        <f t="shared" si="1"/>
        <v>22-12-2025</v>
      </c>
      <c r="R1578" s="6" t="str">
        <f>IFERROR( VLOOKUP(C29422,[1]expressOrderReport!$S:$AZ,34,0),0)</f>
        <v>#ERROR!</v>
      </c>
      <c r="S1578" s="6" t="str">
        <f>ARRAY_CONSTRAIN(ARRAYFORMULA(_xludf.XLOOKUP(D29422,[1]order_Report_SA_ID_BB2.0!V:V,[1]order_Report_SA_ID_BB2.0!AM:AM,"")), 1, 1)</f>
        <v>#ERROR!</v>
      </c>
      <c r="T1578" s="6" t="str">
        <f t="shared" si="2"/>
        <v>Dec'25</v>
      </c>
    </row>
    <row r="1579" ht="15.75" customHeight="1">
      <c r="A1579" s="5">
        <v>46013.0</v>
      </c>
      <c r="B1579" s="6">
        <v>6442.0</v>
      </c>
      <c r="C1579" s="6">
        <v>1.85916773E9</v>
      </c>
      <c r="D1579" s="6">
        <v>1.0943604E7</v>
      </c>
      <c r="E1579" s="6" t="s">
        <v>2408</v>
      </c>
      <c r="F1579" s="6" t="s">
        <v>2409</v>
      </c>
      <c r="G1579" s="6">
        <v>9.90209538E9</v>
      </c>
      <c r="H1579" s="6">
        <v>4.0149831E7</v>
      </c>
      <c r="I1579" s="6" t="s">
        <v>65</v>
      </c>
      <c r="J1579" s="6" t="s">
        <v>21</v>
      </c>
      <c r="K1579" s="6" t="s">
        <v>22</v>
      </c>
      <c r="L1579" s="6">
        <v>52.0</v>
      </c>
      <c r="M1579" s="5">
        <v>46013.0</v>
      </c>
      <c r="N1579" s="6" t="s">
        <v>23</v>
      </c>
      <c r="O1579" s="6" t="str">
        <f>SUMIFS([1]order_sku_sales_bb2_report!P:P,[1]order_sku_sales_bb2_report!H:H,C29424,[1]order_sku_sales_bb2_report!J:J,H29424)</f>
        <v>#ERROR!</v>
      </c>
      <c r="P1579" s="6" t="str">
        <f>SUMIFS([1]order_sku_sales_bb2_report!O:O,[1]order_sku_sales_bb2_report!H:H,C29424,[1]order_sku_sales_bb2_report!J:J,H29424)</f>
        <v>#ERROR!</v>
      </c>
      <c r="Q1579" s="6" t="str">
        <f t="shared" si="1"/>
        <v>22-12-2025</v>
      </c>
      <c r="R1579" s="6" t="str">
        <f>IFERROR( VLOOKUP(C29424,[1]expressOrderReport!$S:$AZ,34,0),0)</f>
        <v>#ERROR!</v>
      </c>
      <c r="S1579" s="6" t="str">
        <f>ARRAY_CONSTRAIN(ARRAYFORMULA(_xludf.XLOOKUP(D29424,[1]order_Report_SA_ID_BB2.0!V:V,[1]order_Report_SA_ID_BB2.0!AM:AM,"")), 1, 1)</f>
        <v>#ERROR!</v>
      </c>
      <c r="T1579" s="6" t="str">
        <f t="shared" si="2"/>
        <v>Dec'25</v>
      </c>
    </row>
    <row r="1580" ht="15.75" customHeight="1">
      <c r="A1580" s="5">
        <v>46013.0</v>
      </c>
      <c r="B1580" s="6">
        <v>10294.0</v>
      </c>
      <c r="C1580" s="6">
        <v>1.859167738E9</v>
      </c>
      <c r="D1580" s="6">
        <v>2.2813705E7</v>
      </c>
      <c r="E1580" s="6" t="s">
        <v>625</v>
      </c>
      <c r="F1580" s="6" t="s">
        <v>2410</v>
      </c>
      <c r="G1580" s="6">
        <v>9.449087998E9</v>
      </c>
      <c r="H1580" s="6">
        <v>4.0149832E7</v>
      </c>
      <c r="I1580" s="6" t="s">
        <v>26</v>
      </c>
      <c r="J1580" s="6" t="s">
        <v>21</v>
      </c>
      <c r="K1580" s="6" t="s">
        <v>22</v>
      </c>
      <c r="L1580" s="6">
        <v>24.0</v>
      </c>
      <c r="M1580" s="5">
        <v>46013.0</v>
      </c>
      <c r="N1580" s="6" t="s">
        <v>23</v>
      </c>
      <c r="O1580" s="6" t="str">
        <f>SUMIFS([1]order_sku_sales_bb2_report!P:P,[1]order_sku_sales_bb2_report!H:H,C29425,[1]order_sku_sales_bb2_report!J:J,H29425)</f>
        <v>#ERROR!</v>
      </c>
      <c r="P1580" s="6" t="str">
        <f>SUMIFS([1]order_sku_sales_bb2_report!O:O,[1]order_sku_sales_bb2_report!H:H,C29425,[1]order_sku_sales_bb2_report!J:J,H29425)</f>
        <v>#ERROR!</v>
      </c>
      <c r="Q1580" s="6" t="str">
        <f t="shared" si="1"/>
        <v>22-12-2025</v>
      </c>
      <c r="R1580" s="6" t="str">
        <f>IFERROR( VLOOKUP(C29425,[1]expressOrderReport!$S:$AZ,34,0),0)</f>
        <v>#ERROR!</v>
      </c>
      <c r="S1580" s="6" t="str">
        <f>ARRAY_CONSTRAIN(ARRAYFORMULA(_xludf.XLOOKUP(D29425,[1]order_Report_SA_ID_BB2.0!V:V,[1]order_Report_SA_ID_BB2.0!AM:AM,"")), 1, 1)</f>
        <v>#ERROR!</v>
      </c>
      <c r="T1580" s="6" t="str">
        <f t="shared" si="2"/>
        <v>Dec'25</v>
      </c>
    </row>
    <row r="1581" ht="15.75" customHeight="1">
      <c r="A1581" s="5">
        <v>46013.0</v>
      </c>
      <c r="B1581" s="6">
        <v>6462.0</v>
      </c>
      <c r="C1581" s="6">
        <v>1.859167742E9</v>
      </c>
      <c r="D1581" s="6">
        <v>3.3589218E7</v>
      </c>
      <c r="E1581" s="6" t="s">
        <v>625</v>
      </c>
      <c r="F1581" s="6" t="s">
        <v>2411</v>
      </c>
      <c r="G1581" s="6">
        <v>9.482222785E9</v>
      </c>
      <c r="H1581" s="6">
        <v>4.0149831E7</v>
      </c>
      <c r="I1581" s="6" t="s">
        <v>65</v>
      </c>
      <c r="J1581" s="6" t="s">
        <v>21</v>
      </c>
      <c r="K1581" s="6" t="s">
        <v>22</v>
      </c>
      <c r="L1581" s="6">
        <v>35.9</v>
      </c>
      <c r="M1581" s="5">
        <v>46013.0</v>
      </c>
      <c r="N1581" s="6" t="s">
        <v>23</v>
      </c>
      <c r="O1581" s="6" t="str">
        <f>SUMIFS([1]order_sku_sales_bb2_report!P:P,[1]order_sku_sales_bb2_report!H:H,C29426,[1]order_sku_sales_bb2_report!J:J,H29426)</f>
        <v>#ERROR!</v>
      </c>
      <c r="P1581" s="6" t="str">
        <f>SUMIFS([1]order_sku_sales_bb2_report!O:O,[1]order_sku_sales_bb2_report!H:H,C29426,[1]order_sku_sales_bb2_report!J:J,H29426)</f>
        <v>#ERROR!</v>
      </c>
      <c r="Q1581" s="6" t="str">
        <f t="shared" si="1"/>
        <v>22-12-2025</v>
      </c>
      <c r="R1581" s="6" t="str">
        <f>IFERROR( VLOOKUP(C29426,[1]expressOrderReport!$S:$AZ,34,0),0)</f>
        <v>#ERROR!</v>
      </c>
      <c r="S1581" s="6" t="str">
        <f>ARRAY_CONSTRAIN(ARRAYFORMULA(_xludf.XLOOKUP(D29426,[1]order_Report_SA_ID_BB2.0!V:V,[1]order_Report_SA_ID_BB2.0!AM:AM,"")), 1, 1)</f>
        <v>#ERROR!</v>
      </c>
      <c r="T1581" s="6" t="str">
        <f t="shared" si="2"/>
        <v>Dec'25</v>
      </c>
    </row>
    <row r="1582" ht="15.75" customHeight="1">
      <c r="A1582" s="5">
        <v>46013.0</v>
      </c>
      <c r="B1582" s="6">
        <v>10669.0</v>
      </c>
      <c r="C1582" s="6">
        <v>1.859167742E9</v>
      </c>
      <c r="D1582" s="6">
        <v>3.3589218E7</v>
      </c>
      <c r="E1582" s="6" t="s">
        <v>625</v>
      </c>
      <c r="F1582" s="6" t="s">
        <v>2411</v>
      </c>
      <c r="G1582" s="6">
        <v>9.482222785E9</v>
      </c>
      <c r="H1582" s="6">
        <v>1.0001237E8</v>
      </c>
      <c r="I1582" s="6" t="s">
        <v>2412</v>
      </c>
      <c r="J1582" s="6" t="s">
        <v>21</v>
      </c>
      <c r="K1582" s="6" t="s">
        <v>22</v>
      </c>
      <c r="L1582" s="6">
        <v>35.9</v>
      </c>
      <c r="M1582" s="5">
        <v>46013.0</v>
      </c>
      <c r="N1582" s="6" t="s">
        <v>23</v>
      </c>
      <c r="O1582" s="6" t="str">
        <f>SUMIFS([1]order_sku_sales_bb2_report!P:P,[1]order_sku_sales_bb2_report!H:H,C29427,[1]order_sku_sales_bb2_report!J:J,H29427)</f>
        <v>#ERROR!</v>
      </c>
      <c r="P1582" s="6" t="str">
        <f>SUMIFS([1]order_sku_sales_bb2_report!O:O,[1]order_sku_sales_bb2_report!H:H,C29427,[1]order_sku_sales_bb2_report!J:J,H29427)</f>
        <v>#ERROR!</v>
      </c>
      <c r="Q1582" s="6" t="str">
        <f t="shared" si="1"/>
        <v>22-12-2025</v>
      </c>
      <c r="R1582" s="6" t="str">
        <f>IFERROR( VLOOKUP(C29427,[1]expressOrderReport!$S:$AZ,34,0),0)</f>
        <v>#ERROR!</v>
      </c>
      <c r="S1582" s="6" t="str">
        <f>ARRAY_CONSTRAIN(ARRAYFORMULA(_xludf.XLOOKUP(D29427,[1]order_Report_SA_ID_BB2.0!V:V,[1]order_Report_SA_ID_BB2.0!AM:AM,"")), 1, 1)</f>
        <v>#ERROR!</v>
      </c>
      <c r="T1582" s="6" t="str">
        <f t="shared" si="2"/>
        <v>Dec'25</v>
      </c>
    </row>
    <row r="1583" ht="15.75" customHeight="1">
      <c r="A1583" s="5">
        <v>46013.0</v>
      </c>
      <c r="B1583" s="6">
        <v>6466.0</v>
      </c>
      <c r="C1583" s="6">
        <v>1.859167747E9</v>
      </c>
      <c r="D1583" s="6">
        <v>4.2132922E7</v>
      </c>
      <c r="E1583" s="6" t="s">
        <v>625</v>
      </c>
      <c r="F1583" s="6" t="s">
        <v>2413</v>
      </c>
      <c r="G1583" s="6">
        <v>9.769246752E9</v>
      </c>
      <c r="H1583" s="6">
        <v>4.0149833E7</v>
      </c>
      <c r="I1583" s="6" t="s">
        <v>40</v>
      </c>
      <c r="J1583" s="6" t="s">
        <v>21</v>
      </c>
      <c r="K1583" s="6" t="s">
        <v>22</v>
      </c>
      <c r="L1583" s="6">
        <v>54.0</v>
      </c>
      <c r="M1583" s="5">
        <v>46013.0</v>
      </c>
      <c r="N1583" s="6" t="s">
        <v>23</v>
      </c>
      <c r="O1583" s="6" t="str">
        <f>SUMIFS([1]order_sku_sales_bb2_report!P:P,[1]order_sku_sales_bb2_report!H:H,C29428,[1]order_sku_sales_bb2_report!J:J,H29428)</f>
        <v>#ERROR!</v>
      </c>
      <c r="P1583" s="6" t="str">
        <f>SUMIFS([1]order_sku_sales_bb2_report!O:O,[1]order_sku_sales_bb2_report!H:H,C29428,[1]order_sku_sales_bb2_report!J:J,H29428)</f>
        <v>#ERROR!</v>
      </c>
      <c r="Q1583" s="6" t="str">
        <f t="shared" si="1"/>
        <v>22-12-2025</v>
      </c>
      <c r="R1583" s="6" t="str">
        <f>IFERROR( VLOOKUP(C29428,[1]expressOrderReport!$S:$AZ,34,0),0)</f>
        <v>#ERROR!</v>
      </c>
      <c r="S1583" s="6" t="str">
        <f>ARRAY_CONSTRAIN(ARRAYFORMULA(_xludf.XLOOKUP(D29428,[1]order_Report_SA_ID_BB2.0!V:V,[1]order_Report_SA_ID_BB2.0!AM:AM,"")), 1, 1)</f>
        <v>#ERROR!</v>
      </c>
      <c r="T1583" s="6" t="str">
        <f t="shared" si="2"/>
        <v>Dec'25</v>
      </c>
    </row>
    <row r="1584" ht="15.75" customHeight="1">
      <c r="A1584" s="5">
        <v>46013.0</v>
      </c>
      <c r="B1584" s="6">
        <v>6483.0</v>
      </c>
      <c r="C1584" s="6">
        <v>1.859165286E9</v>
      </c>
      <c r="D1584" s="6">
        <v>5.6281352E7</v>
      </c>
      <c r="E1584" s="6" t="s">
        <v>625</v>
      </c>
      <c r="F1584" s="6" t="s">
        <v>2414</v>
      </c>
      <c r="G1584" s="6">
        <v>9.163597782E9</v>
      </c>
      <c r="H1584" s="6">
        <v>4.0149832E7</v>
      </c>
      <c r="I1584" s="6" t="s">
        <v>26</v>
      </c>
      <c r="J1584" s="6" t="s">
        <v>21</v>
      </c>
      <c r="K1584" s="6" t="s">
        <v>22</v>
      </c>
      <c r="L1584" s="6">
        <v>24.0</v>
      </c>
      <c r="M1584" s="5">
        <v>46013.0</v>
      </c>
      <c r="N1584" s="6" t="s">
        <v>23</v>
      </c>
      <c r="O1584" s="6" t="str">
        <f>SUMIFS([1]order_sku_sales_bb2_report!P:P,[1]order_sku_sales_bb2_report!H:H,C29429,[1]order_sku_sales_bb2_report!J:J,H29429)</f>
        <v>#ERROR!</v>
      </c>
      <c r="P1584" s="6" t="str">
        <f>SUMIFS([1]order_sku_sales_bb2_report!O:O,[1]order_sku_sales_bb2_report!H:H,C29429,[1]order_sku_sales_bb2_report!J:J,H29429)</f>
        <v>#ERROR!</v>
      </c>
      <c r="Q1584" s="6" t="str">
        <f t="shared" si="1"/>
        <v>22-12-2025</v>
      </c>
      <c r="R1584" s="6" t="str">
        <f>IFERROR( VLOOKUP(C29429,[1]expressOrderReport!$S:$AZ,34,0),0)</f>
        <v>#ERROR!</v>
      </c>
      <c r="S1584" s="6" t="str">
        <f>ARRAY_CONSTRAIN(ARRAYFORMULA(_xludf.XLOOKUP(D29429,[1]order_Report_SA_ID_BB2.0!V:V,[1]order_Report_SA_ID_BB2.0!AM:AM,"")), 1, 1)</f>
        <v>#ERROR!</v>
      </c>
      <c r="T1584" s="6" t="str">
        <f t="shared" si="2"/>
        <v>Dec'25</v>
      </c>
    </row>
    <row r="1585" ht="15.75" customHeight="1">
      <c r="A1585" s="5">
        <v>46013.0</v>
      </c>
      <c r="B1585" s="6">
        <v>6484.0</v>
      </c>
      <c r="C1585" s="6">
        <v>1.859165296E9</v>
      </c>
      <c r="D1585" s="6">
        <v>4.7962416E7</v>
      </c>
      <c r="E1585" s="6" t="s">
        <v>625</v>
      </c>
      <c r="F1585" s="6" t="s">
        <v>2415</v>
      </c>
      <c r="G1585" s="6">
        <v>9.972509386E9</v>
      </c>
      <c r="H1585" s="6">
        <v>4.0158264E7</v>
      </c>
      <c r="I1585" s="6" t="s">
        <v>26</v>
      </c>
      <c r="J1585" s="6" t="s">
        <v>21</v>
      </c>
      <c r="K1585" s="6" t="s">
        <v>22</v>
      </c>
      <c r="L1585" s="6">
        <v>46.0</v>
      </c>
      <c r="M1585" s="5">
        <v>46013.0</v>
      </c>
      <c r="N1585" s="6" t="s">
        <v>23</v>
      </c>
      <c r="O1585" s="6" t="str">
        <f>SUMIFS([1]order_sku_sales_bb2_report!P:P,[1]order_sku_sales_bb2_report!H:H,C29430,[1]order_sku_sales_bb2_report!J:J,H29430)</f>
        <v>#ERROR!</v>
      </c>
      <c r="P1585" s="6" t="str">
        <f>SUMIFS([1]order_sku_sales_bb2_report!O:O,[1]order_sku_sales_bb2_report!H:H,C29430,[1]order_sku_sales_bb2_report!J:J,H29430)</f>
        <v>#ERROR!</v>
      </c>
      <c r="Q1585" s="6" t="str">
        <f t="shared" si="1"/>
        <v>22-12-2025</v>
      </c>
      <c r="R1585" s="6" t="str">
        <f>IFERROR( VLOOKUP(C29430,[1]expressOrderReport!$S:$AZ,34,0),0)</f>
        <v>#ERROR!</v>
      </c>
      <c r="S1585" s="6" t="str">
        <f>ARRAY_CONSTRAIN(ARRAYFORMULA(_xludf.XLOOKUP(D29430,[1]order_Report_SA_ID_BB2.0!V:V,[1]order_Report_SA_ID_BB2.0!AM:AM,"")), 1, 1)</f>
        <v>#ERROR!</v>
      </c>
      <c r="T1585" s="6" t="str">
        <f t="shared" si="2"/>
        <v>Dec'25</v>
      </c>
    </row>
    <row r="1586" ht="15.75" customHeight="1">
      <c r="A1586" s="5">
        <v>46013.0</v>
      </c>
      <c r="B1586" s="6">
        <v>9686.0</v>
      </c>
      <c r="C1586" s="6">
        <v>1.859165304E9</v>
      </c>
      <c r="D1586" s="6">
        <v>19326.0</v>
      </c>
      <c r="E1586" s="6" t="s">
        <v>2416</v>
      </c>
      <c r="F1586" s="6" t="s">
        <v>2417</v>
      </c>
      <c r="G1586" s="6">
        <v>9.449031268E9</v>
      </c>
      <c r="H1586" s="6">
        <v>4.0149834E7</v>
      </c>
      <c r="I1586" s="6" t="s">
        <v>40</v>
      </c>
      <c r="J1586" s="6" t="s">
        <v>21</v>
      </c>
      <c r="K1586" s="6" t="s">
        <v>22</v>
      </c>
      <c r="L1586" s="6">
        <v>52.0</v>
      </c>
      <c r="M1586" s="5">
        <v>46013.0</v>
      </c>
      <c r="N1586" s="6" t="s">
        <v>23</v>
      </c>
      <c r="O1586" s="6" t="str">
        <f>SUMIFS([1]order_sku_sales_bb2_report!P:P,[1]order_sku_sales_bb2_report!H:H,C29431,[1]order_sku_sales_bb2_report!J:J,H29431)</f>
        <v>#ERROR!</v>
      </c>
      <c r="P1586" s="6" t="str">
        <f>SUMIFS([1]order_sku_sales_bb2_report!O:O,[1]order_sku_sales_bb2_report!H:H,C29431,[1]order_sku_sales_bb2_report!J:J,H29431)</f>
        <v>#ERROR!</v>
      </c>
      <c r="Q1586" s="6" t="str">
        <f t="shared" si="1"/>
        <v>22-12-2025</v>
      </c>
      <c r="R1586" s="6" t="str">
        <f>IFERROR( VLOOKUP(C29431,[1]expressOrderReport!$S:$AZ,34,0),0)</f>
        <v>#ERROR!</v>
      </c>
      <c r="S1586" s="6" t="str">
        <f>ARRAY_CONSTRAIN(ARRAYFORMULA(_xludf.XLOOKUP(D29431,[1]order_Report_SA_ID_BB2.0!V:V,[1]order_Report_SA_ID_BB2.0!AM:AM,"")), 1, 1)</f>
        <v>#ERROR!</v>
      </c>
      <c r="T1586" s="6" t="str">
        <f t="shared" si="2"/>
        <v>Dec'25</v>
      </c>
    </row>
    <row r="1587" ht="15.75" customHeight="1">
      <c r="A1587" s="5">
        <v>46013.0</v>
      </c>
      <c r="B1587" s="6">
        <v>8939.0</v>
      </c>
      <c r="C1587" s="6">
        <v>1.859165311E9</v>
      </c>
      <c r="D1587" s="6">
        <v>8228169.0</v>
      </c>
      <c r="E1587" s="6" t="s">
        <v>2418</v>
      </c>
      <c r="F1587" s="6" t="s">
        <v>2419</v>
      </c>
      <c r="G1587" s="6">
        <v>9.9017555E9</v>
      </c>
      <c r="H1587" s="6">
        <v>4.0149833E7</v>
      </c>
      <c r="I1587" s="6" t="s">
        <v>40</v>
      </c>
      <c r="J1587" s="6" t="s">
        <v>21</v>
      </c>
      <c r="K1587" s="6" t="s">
        <v>22</v>
      </c>
      <c r="L1587" s="6">
        <v>27.0</v>
      </c>
      <c r="M1587" s="5">
        <v>46013.0</v>
      </c>
      <c r="N1587" s="6" t="s">
        <v>23</v>
      </c>
      <c r="O1587" s="6" t="str">
        <f>SUMIFS([1]order_sku_sales_bb2_report!P:P,[1]order_sku_sales_bb2_report!H:H,C29432,[1]order_sku_sales_bb2_report!J:J,H29432)</f>
        <v>#ERROR!</v>
      </c>
      <c r="P1587" s="6" t="str">
        <f>SUMIFS([1]order_sku_sales_bb2_report!O:O,[1]order_sku_sales_bb2_report!H:H,C29432,[1]order_sku_sales_bb2_report!J:J,H29432)</f>
        <v>#ERROR!</v>
      </c>
      <c r="Q1587" s="6" t="str">
        <f t="shared" si="1"/>
        <v>22-12-2025</v>
      </c>
      <c r="R1587" s="6" t="str">
        <f>IFERROR( VLOOKUP(C29432,[1]expressOrderReport!$S:$AZ,34,0),0)</f>
        <v>#ERROR!</v>
      </c>
      <c r="S1587" s="6" t="str">
        <f>ARRAY_CONSTRAIN(ARRAYFORMULA(_xludf.XLOOKUP(D29432,[1]order_Report_SA_ID_BB2.0!V:V,[1]order_Report_SA_ID_BB2.0!AM:AM,"")), 1, 1)</f>
        <v>#ERROR!</v>
      </c>
      <c r="T1587" s="6" t="str">
        <f t="shared" si="2"/>
        <v>Dec'25</v>
      </c>
    </row>
    <row r="1588" ht="15.75" customHeight="1">
      <c r="A1588" s="5">
        <v>46013.0</v>
      </c>
      <c r="B1588" s="6">
        <v>10780.0</v>
      </c>
      <c r="C1588" s="6">
        <v>1.859165317E9</v>
      </c>
      <c r="D1588" s="6">
        <v>2.0239211E7</v>
      </c>
      <c r="E1588" s="6" t="s">
        <v>2420</v>
      </c>
      <c r="F1588" s="6" t="s">
        <v>2421</v>
      </c>
      <c r="G1588" s="6">
        <v>9.663312439E9</v>
      </c>
      <c r="H1588" s="6">
        <v>4.0149832E7</v>
      </c>
      <c r="I1588" s="6" t="s">
        <v>26</v>
      </c>
      <c r="J1588" s="6" t="s">
        <v>21</v>
      </c>
      <c r="K1588" s="6" t="s">
        <v>22</v>
      </c>
      <c r="L1588" s="6">
        <v>24.0</v>
      </c>
      <c r="M1588" s="5">
        <v>46013.0</v>
      </c>
      <c r="N1588" s="6" t="s">
        <v>23</v>
      </c>
      <c r="O1588" s="6" t="str">
        <f>SUMIFS([1]order_sku_sales_bb2_report!P:P,[1]order_sku_sales_bb2_report!H:H,C29433,[1]order_sku_sales_bb2_report!J:J,H29433)</f>
        <v>#ERROR!</v>
      </c>
      <c r="P1588" s="6" t="str">
        <f>SUMIFS([1]order_sku_sales_bb2_report!O:O,[1]order_sku_sales_bb2_report!H:H,C29433,[1]order_sku_sales_bb2_report!J:J,H29433)</f>
        <v>#ERROR!</v>
      </c>
      <c r="Q1588" s="6" t="str">
        <f t="shared" si="1"/>
        <v>22-12-2025</v>
      </c>
      <c r="R1588" s="6" t="str">
        <f>IFERROR( VLOOKUP(C29433,[1]expressOrderReport!$S:$AZ,34,0),0)</f>
        <v>#ERROR!</v>
      </c>
      <c r="S1588" s="6" t="str">
        <f>ARRAY_CONSTRAIN(ARRAYFORMULA(_xludf.XLOOKUP(D29433,[1]order_Report_SA_ID_BB2.0!V:V,[1]order_Report_SA_ID_BB2.0!AM:AM,"")), 1, 1)</f>
        <v>#ERROR!</v>
      </c>
      <c r="T1588" s="6" t="str">
        <f t="shared" si="2"/>
        <v>Dec'25</v>
      </c>
    </row>
    <row r="1589" ht="15.75" customHeight="1">
      <c r="A1589" s="5">
        <v>46013.0</v>
      </c>
      <c r="B1589" s="6">
        <v>6742.0</v>
      </c>
      <c r="C1589" s="6">
        <v>1.859165327E9</v>
      </c>
      <c r="D1589" s="6">
        <v>6228108.0</v>
      </c>
      <c r="E1589" s="6" t="s">
        <v>2422</v>
      </c>
      <c r="F1589" s="6" t="s">
        <v>2423</v>
      </c>
      <c r="G1589" s="6">
        <v>9.398397747E9</v>
      </c>
      <c r="H1589" s="6">
        <v>4.0147597E7</v>
      </c>
      <c r="I1589" s="6" t="s">
        <v>59</v>
      </c>
      <c r="J1589" s="6" t="s">
        <v>21</v>
      </c>
      <c r="K1589" s="6" t="s">
        <v>22</v>
      </c>
      <c r="L1589" s="6">
        <v>86.0</v>
      </c>
      <c r="M1589" s="5">
        <v>46013.0</v>
      </c>
      <c r="N1589" s="6" t="s">
        <v>23</v>
      </c>
      <c r="O1589" s="6" t="str">
        <f>SUMIFS([1]order_sku_sales_bb2_report!P:P,[1]order_sku_sales_bb2_report!H:H,C29434,[1]order_sku_sales_bb2_report!J:J,H29434)</f>
        <v>#ERROR!</v>
      </c>
      <c r="P1589" s="6" t="str">
        <f>SUMIFS([1]order_sku_sales_bb2_report!O:O,[1]order_sku_sales_bb2_report!H:H,C29434,[1]order_sku_sales_bb2_report!J:J,H29434)</f>
        <v>#ERROR!</v>
      </c>
      <c r="Q1589" s="6" t="str">
        <f t="shared" si="1"/>
        <v>22-12-2025</v>
      </c>
      <c r="R1589" s="6" t="str">
        <f>IFERROR( VLOOKUP(C29434,[1]expressOrderReport!$S:$AZ,34,0),0)</f>
        <v>#ERROR!</v>
      </c>
      <c r="S1589" s="6" t="str">
        <f>ARRAY_CONSTRAIN(ARRAYFORMULA(_xludf.XLOOKUP(D29434,[1]order_Report_SA_ID_BB2.0!V:V,[1]order_Report_SA_ID_BB2.0!AM:AM,"")), 1, 1)</f>
        <v>#ERROR!</v>
      </c>
      <c r="T1589" s="6" t="str">
        <f t="shared" si="2"/>
        <v>Dec'25</v>
      </c>
    </row>
    <row r="1590" ht="15.75" customHeight="1">
      <c r="A1590" s="5">
        <v>46013.0</v>
      </c>
      <c r="B1590" s="6">
        <v>6743.0</v>
      </c>
      <c r="C1590" s="6">
        <v>1.859165327E9</v>
      </c>
      <c r="D1590" s="6">
        <v>6228108.0</v>
      </c>
      <c r="E1590" s="6" t="s">
        <v>2422</v>
      </c>
      <c r="F1590" s="6" t="s">
        <v>2423</v>
      </c>
      <c r="G1590" s="6">
        <v>9.398397747E9</v>
      </c>
      <c r="H1590" s="6">
        <v>4.0162924E7</v>
      </c>
      <c r="I1590" s="6" t="s">
        <v>922</v>
      </c>
      <c r="J1590" s="6" t="s">
        <v>21</v>
      </c>
      <c r="K1590" s="6" t="s">
        <v>22</v>
      </c>
      <c r="L1590" s="6">
        <v>86.0</v>
      </c>
      <c r="M1590" s="5">
        <v>46013.0</v>
      </c>
      <c r="N1590" s="6" t="s">
        <v>23</v>
      </c>
      <c r="O1590" s="6" t="str">
        <f>SUMIFS([1]order_sku_sales_bb2_report!P:P,[1]order_sku_sales_bb2_report!H:H,C29435,[1]order_sku_sales_bb2_report!J:J,H29435)</f>
        <v>#ERROR!</v>
      </c>
      <c r="P1590" s="6" t="str">
        <f>SUMIFS([1]order_sku_sales_bb2_report!O:O,[1]order_sku_sales_bb2_report!H:H,C29435,[1]order_sku_sales_bb2_report!J:J,H29435)</f>
        <v>#ERROR!</v>
      </c>
      <c r="Q1590" s="6" t="str">
        <f t="shared" si="1"/>
        <v>22-12-2025</v>
      </c>
      <c r="R1590" s="6" t="str">
        <f>IFERROR( VLOOKUP(C29435,[1]expressOrderReport!$S:$AZ,34,0),0)</f>
        <v>#ERROR!</v>
      </c>
      <c r="S1590" s="6" t="str">
        <f>ARRAY_CONSTRAIN(ARRAYFORMULA(_xludf.XLOOKUP(D29435,[1]order_Report_SA_ID_BB2.0!V:V,[1]order_Report_SA_ID_BB2.0!AM:AM,"")), 1, 1)</f>
        <v>#ERROR!</v>
      </c>
      <c r="T1590" s="6" t="str">
        <f t="shared" si="2"/>
        <v>Dec'25</v>
      </c>
    </row>
    <row r="1591" ht="15.75" customHeight="1">
      <c r="A1591" s="5">
        <v>46013.0</v>
      </c>
      <c r="B1591" s="6">
        <v>6750.0</v>
      </c>
      <c r="C1591" s="6">
        <v>1.859165338E9</v>
      </c>
      <c r="D1591" s="6">
        <v>2810669.0</v>
      </c>
      <c r="E1591" s="6" t="s">
        <v>2424</v>
      </c>
      <c r="F1591" s="6" t="s">
        <v>2425</v>
      </c>
      <c r="G1591" s="6">
        <v>9.71158011E9</v>
      </c>
      <c r="H1591" s="6">
        <v>4.0158264E7</v>
      </c>
      <c r="I1591" s="6" t="s">
        <v>26</v>
      </c>
      <c r="J1591" s="6" t="s">
        <v>21</v>
      </c>
      <c r="K1591" s="6" t="s">
        <v>22</v>
      </c>
      <c r="L1591" s="6">
        <v>46.0</v>
      </c>
      <c r="M1591" s="5">
        <v>46013.0</v>
      </c>
      <c r="N1591" s="6" t="s">
        <v>23</v>
      </c>
      <c r="O1591" s="6" t="str">
        <f>SUMIFS([1]order_sku_sales_bb2_report!P:P,[1]order_sku_sales_bb2_report!H:H,C29436,[1]order_sku_sales_bb2_report!J:J,H29436)</f>
        <v>#ERROR!</v>
      </c>
      <c r="P1591" s="6" t="str">
        <f>SUMIFS([1]order_sku_sales_bb2_report!O:O,[1]order_sku_sales_bb2_report!H:H,C29436,[1]order_sku_sales_bb2_report!J:J,H29436)</f>
        <v>#ERROR!</v>
      </c>
      <c r="Q1591" s="6" t="str">
        <f t="shared" si="1"/>
        <v>22-12-2025</v>
      </c>
      <c r="R1591" s="6" t="str">
        <f>IFERROR( VLOOKUP(C29436,[1]expressOrderReport!$S:$AZ,34,0),0)</f>
        <v>#ERROR!</v>
      </c>
      <c r="S1591" s="6" t="str">
        <f>ARRAY_CONSTRAIN(ARRAYFORMULA(_xludf.XLOOKUP(D29436,[1]order_Report_SA_ID_BB2.0!V:V,[1]order_Report_SA_ID_BB2.0!AM:AM,"")), 1, 1)</f>
        <v>#ERROR!</v>
      </c>
      <c r="T1591" s="6" t="str">
        <f t="shared" si="2"/>
        <v>Dec'25</v>
      </c>
    </row>
    <row r="1592" ht="15.75" customHeight="1">
      <c r="A1592" s="5">
        <v>46013.0</v>
      </c>
      <c r="B1592" s="6">
        <v>6797.0</v>
      </c>
      <c r="C1592" s="6">
        <v>1.859165347E9</v>
      </c>
      <c r="D1592" s="6">
        <v>6641182.0</v>
      </c>
      <c r="E1592" s="6" t="s">
        <v>2426</v>
      </c>
      <c r="F1592" s="6" t="s">
        <v>2427</v>
      </c>
      <c r="G1592" s="6">
        <v>8.884428129E9</v>
      </c>
      <c r="H1592" s="6">
        <v>1.0000103E7</v>
      </c>
      <c r="I1592" s="6" t="s">
        <v>741</v>
      </c>
      <c r="J1592" s="6" t="s">
        <v>21</v>
      </c>
      <c r="K1592" s="6" t="s">
        <v>22</v>
      </c>
      <c r="L1592" s="6">
        <v>20.8</v>
      </c>
      <c r="M1592" s="5">
        <v>46013.0</v>
      </c>
      <c r="N1592" s="6" t="s">
        <v>23</v>
      </c>
      <c r="O1592" s="6" t="str">
        <f>SUMIFS([1]order_sku_sales_bb2_report!P:P,[1]order_sku_sales_bb2_report!H:H,C29437,[1]order_sku_sales_bb2_report!J:J,H29437)</f>
        <v>#ERROR!</v>
      </c>
      <c r="P1592" s="6" t="str">
        <f>SUMIFS([1]order_sku_sales_bb2_report!O:O,[1]order_sku_sales_bb2_report!H:H,C29437,[1]order_sku_sales_bb2_report!J:J,H29437)</f>
        <v>#ERROR!</v>
      </c>
      <c r="Q1592" s="6" t="str">
        <f t="shared" si="1"/>
        <v>22-12-2025</v>
      </c>
      <c r="R1592" s="6" t="str">
        <f>IFERROR( VLOOKUP(C29437,[1]expressOrderReport!$S:$AZ,34,0),0)</f>
        <v>#ERROR!</v>
      </c>
      <c r="S1592" s="6" t="str">
        <f>ARRAY_CONSTRAIN(ARRAYFORMULA(_xludf.XLOOKUP(D29437,[1]order_Report_SA_ID_BB2.0!V:V,[1]order_Report_SA_ID_BB2.0!AM:AM,"")), 1, 1)</f>
        <v>#ERROR!</v>
      </c>
      <c r="T1592" s="6" t="str">
        <f t="shared" si="2"/>
        <v>Dec'25</v>
      </c>
    </row>
    <row r="1593" ht="15.75" customHeight="1">
      <c r="A1593" s="5">
        <v>46013.0</v>
      </c>
      <c r="B1593" s="6">
        <v>6810.0</v>
      </c>
      <c r="C1593" s="6">
        <v>1.859165357E9</v>
      </c>
      <c r="D1593" s="6">
        <v>1.00053E7</v>
      </c>
      <c r="E1593" s="6" t="s">
        <v>2428</v>
      </c>
      <c r="F1593" s="6" t="s">
        <v>2429</v>
      </c>
      <c r="G1593" s="6">
        <v>9.663200683E9</v>
      </c>
      <c r="H1593" s="6">
        <v>4.0149833E7</v>
      </c>
      <c r="I1593" s="6" t="s">
        <v>40</v>
      </c>
      <c r="J1593" s="6" t="s">
        <v>21</v>
      </c>
      <c r="K1593" s="6" t="s">
        <v>22</v>
      </c>
      <c r="L1593" s="6">
        <v>27.0</v>
      </c>
      <c r="M1593" s="5">
        <v>46013.0</v>
      </c>
      <c r="N1593" s="6" t="s">
        <v>23</v>
      </c>
      <c r="O1593" s="6" t="str">
        <f>SUMIFS([1]order_sku_sales_bb2_report!P:P,[1]order_sku_sales_bb2_report!H:H,C29438,[1]order_sku_sales_bb2_report!J:J,H29438)</f>
        <v>#ERROR!</v>
      </c>
      <c r="P1593" s="6" t="str">
        <f>SUMIFS([1]order_sku_sales_bb2_report!O:O,[1]order_sku_sales_bb2_report!H:H,C29438,[1]order_sku_sales_bb2_report!J:J,H29438)</f>
        <v>#ERROR!</v>
      </c>
      <c r="Q1593" s="6" t="str">
        <f t="shared" si="1"/>
        <v>22-12-2025</v>
      </c>
      <c r="R1593" s="6" t="str">
        <f>IFERROR( VLOOKUP(C29438,[1]expressOrderReport!$S:$AZ,34,0),0)</f>
        <v>#ERROR!</v>
      </c>
      <c r="S1593" s="6" t="str">
        <f>ARRAY_CONSTRAIN(ARRAYFORMULA(_xludf.XLOOKUP(D29438,[1]order_Report_SA_ID_BB2.0!V:V,[1]order_Report_SA_ID_BB2.0!AM:AM,"")), 1, 1)</f>
        <v>#ERROR!</v>
      </c>
      <c r="T1593" s="6" t="str">
        <f t="shared" si="2"/>
        <v>Dec'25</v>
      </c>
    </row>
    <row r="1594" ht="15.75" customHeight="1">
      <c r="A1594" s="5">
        <v>46013.0</v>
      </c>
      <c r="B1594" s="6">
        <v>6811.0</v>
      </c>
      <c r="C1594" s="6">
        <v>1.859165369E9</v>
      </c>
      <c r="D1594" s="6">
        <v>505652.0</v>
      </c>
      <c r="E1594" s="6" t="s">
        <v>2430</v>
      </c>
      <c r="F1594" s="6" t="s">
        <v>2431</v>
      </c>
      <c r="G1594" s="6">
        <v>9.84580494E9</v>
      </c>
      <c r="H1594" s="6">
        <v>4.0149832E7</v>
      </c>
      <c r="I1594" s="6" t="s">
        <v>26</v>
      </c>
      <c r="J1594" s="6" t="s">
        <v>21</v>
      </c>
      <c r="K1594" s="6" t="s">
        <v>22</v>
      </c>
      <c r="L1594" s="6">
        <v>120.0</v>
      </c>
      <c r="M1594" s="5">
        <v>46013.0</v>
      </c>
      <c r="N1594" s="6" t="s">
        <v>23</v>
      </c>
      <c r="O1594" s="6" t="str">
        <f>SUMIFS([1]order_sku_sales_bb2_report!P:P,[1]order_sku_sales_bb2_report!H:H,C29439,[1]order_sku_sales_bb2_report!J:J,H29439)</f>
        <v>#ERROR!</v>
      </c>
      <c r="P1594" s="6" t="str">
        <f>SUMIFS([1]order_sku_sales_bb2_report!O:O,[1]order_sku_sales_bb2_report!H:H,C29439,[1]order_sku_sales_bb2_report!J:J,H29439)</f>
        <v>#ERROR!</v>
      </c>
      <c r="Q1594" s="6" t="str">
        <f t="shared" si="1"/>
        <v>22-12-2025</v>
      </c>
      <c r="R1594" s="6" t="str">
        <f>IFERROR( VLOOKUP(C29439,[1]expressOrderReport!$S:$AZ,34,0),0)</f>
        <v>#ERROR!</v>
      </c>
      <c r="S1594" s="6" t="str">
        <f>ARRAY_CONSTRAIN(ARRAYFORMULA(_xludf.XLOOKUP(D29439,[1]order_Report_SA_ID_BB2.0!V:V,[1]order_Report_SA_ID_BB2.0!AM:AM,"")), 1, 1)</f>
        <v>#ERROR!</v>
      </c>
      <c r="T1594" s="6" t="str">
        <f t="shared" si="2"/>
        <v>Dec'25</v>
      </c>
    </row>
    <row r="1595" ht="15.75" customHeight="1">
      <c r="A1595" s="5">
        <v>46013.0</v>
      </c>
      <c r="B1595" s="6">
        <v>6812.0</v>
      </c>
      <c r="C1595" s="6">
        <v>1.859165375E9</v>
      </c>
      <c r="D1595" s="6">
        <v>7925845.0</v>
      </c>
      <c r="E1595" s="6" t="s">
        <v>2432</v>
      </c>
      <c r="F1595" s="6" t="s">
        <v>2433</v>
      </c>
      <c r="G1595" s="6">
        <v>9.448260623E9</v>
      </c>
      <c r="H1595" s="6">
        <v>4.0147597E7</v>
      </c>
      <c r="I1595" s="6" t="s">
        <v>59</v>
      </c>
      <c r="J1595" s="6" t="s">
        <v>21</v>
      </c>
      <c r="K1595" s="6" t="s">
        <v>22</v>
      </c>
      <c r="L1595" s="6">
        <v>52.0</v>
      </c>
      <c r="M1595" s="5">
        <v>46013.0</v>
      </c>
      <c r="N1595" s="6" t="s">
        <v>23</v>
      </c>
      <c r="O1595" s="6" t="str">
        <f>SUMIFS([1]order_sku_sales_bb2_report!P:P,[1]order_sku_sales_bb2_report!H:H,C29440,[1]order_sku_sales_bb2_report!J:J,H29440)</f>
        <v>#ERROR!</v>
      </c>
      <c r="P1595" s="6" t="str">
        <f>SUMIFS([1]order_sku_sales_bb2_report!O:O,[1]order_sku_sales_bb2_report!H:H,C29440,[1]order_sku_sales_bb2_report!J:J,H29440)</f>
        <v>#ERROR!</v>
      </c>
      <c r="Q1595" s="6" t="str">
        <f t="shared" si="1"/>
        <v>22-12-2025</v>
      </c>
      <c r="R1595" s="6" t="str">
        <f>IFERROR( VLOOKUP(C29440,[1]expressOrderReport!$S:$AZ,34,0),0)</f>
        <v>#ERROR!</v>
      </c>
      <c r="S1595" s="6" t="str">
        <f>ARRAY_CONSTRAIN(ARRAYFORMULA(_xludf.XLOOKUP(D29440,[1]order_Report_SA_ID_BB2.0!V:V,[1]order_Report_SA_ID_BB2.0!AM:AM,"")), 1, 1)</f>
        <v>#ERROR!</v>
      </c>
      <c r="T1595" s="6" t="str">
        <f t="shared" si="2"/>
        <v>Dec'25</v>
      </c>
    </row>
    <row r="1596" ht="15.75" customHeight="1">
      <c r="A1596" s="5">
        <v>46013.0</v>
      </c>
      <c r="B1596" s="6">
        <v>6814.0</v>
      </c>
      <c r="C1596" s="6">
        <v>1.859165389E9</v>
      </c>
      <c r="D1596" s="6">
        <v>1.645876E7</v>
      </c>
      <c r="E1596" s="6" t="s">
        <v>2434</v>
      </c>
      <c r="F1596" s="6" t="s">
        <v>2435</v>
      </c>
      <c r="G1596" s="6">
        <v>8.073001072E9</v>
      </c>
      <c r="H1596" s="6">
        <v>4.0147597E7</v>
      </c>
      <c r="I1596" s="6" t="s">
        <v>59</v>
      </c>
      <c r="J1596" s="6" t="s">
        <v>21</v>
      </c>
      <c r="K1596" s="6" t="s">
        <v>22</v>
      </c>
      <c r="L1596" s="6">
        <v>52.0</v>
      </c>
      <c r="M1596" s="5">
        <v>46013.0</v>
      </c>
      <c r="N1596" s="6" t="s">
        <v>23</v>
      </c>
      <c r="O1596" s="6" t="str">
        <f>SUMIFS([1]order_sku_sales_bb2_report!P:P,[1]order_sku_sales_bb2_report!H:H,C29441,[1]order_sku_sales_bb2_report!J:J,H29441)</f>
        <v>#ERROR!</v>
      </c>
      <c r="P1596" s="6" t="str">
        <f>SUMIFS([1]order_sku_sales_bb2_report!O:O,[1]order_sku_sales_bb2_report!H:H,C29441,[1]order_sku_sales_bb2_report!J:J,H29441)</f>
        <v>#ERROR!</v>
      </c>
      <c r="Q1596" s="6" t="str">
        <f t="shared" si="1"/>
        <v>22-12-2025</v>
      </c>
      <c r="R1596" s="6" t="str">
        <f>IFERROR( VLOOKUP(C29441,[1]expressOrderReport!$S:$AZ,34,0),0)</f>
        <v>#ERROR!</v>
      </c>
      <c r="S1596" s="6" t="str">
        <f>ARRAY_CONSTRAIN(ARRAYFORMULA(_xludf.XLOOKUP(D29441,[1]order_Report_SA_ID_BB2.0!V:V,[1]order_Report_SA_ID_BB2.0!AM:AM,"")), 1, 1)</f>
        <v>#ERROR!</v>
      </c>
      <c r="T1596" s="6" t="str">
        <f t="shared" si="2"/>
        <v>Dec'25</v>
      </c>
    </row>
    <row r="1597" ht="15.75" customHeight="1">
      <c r="A1597" s="5">
        <v>46013.0</v>
      </c>
      <c r="B1597" s="6">
        <v>7911.0</v>
      </c>
      <c r="C1597" s="6">
        <v>1.85916639E9</v>
      </c>
      <c r="D1597" s="6">
        <v>385922.0</v>
      </c>
      <c r="E1597" s="6" t="s">
        <v>2436</v>
      </c>
      <c r="F1597" s="6" t="s">
        <v>2437</v>
      </c>
      <c r="G1597" s="6">
        <v>8.05013271E9</v>
      </c>
      <c r="H1597" s="6">
        <v>4.0149832E7</v>
      </c>
      <c r="I1597" s="6" t="s">
        <v>26</v>
      </c>
      <c r="J1597" s="6" t="s">
        <v>21</v>
      </c>
      <c r="K1597" s="6" t="s">
        <v>22</v>
      </c>
      <c r="L1597" s="6">
        <v>48.0</v>
      </c>
      <c r="M1597" s="5">
        <v>46013.0</v>
      </c>
      <c r="N1597" s="6" t="s">
        <v>23</v>
      </c>
      <c r="O1597" s="6" t="str">
        <f>SUMIFS([1]order_sku_sales_bb2_report!P:P,[1]order_sku_sales_bb2_report!H:H,C29442,[1]order_sku_sales_bb2_report!J:J,H29442)</f>
        <v>#ERROR!</v>
      </c>
      <c r="P1597" s="6" t="str">
        <f>SUMIFS([1]order_sku_sales_bb2_report!O:O,[1]order_sku_sales_bb2_report!H:H,C29442,[1]order_sku_sales_bb2_report!J:J,H29442)</f>
        <v>#ERROR!</v>
      </c>
      <c r="Q1597" s="6" t="str">
        <f t="shared" si="1"/>
        <v>22-12-2025</v>
      </c>
      <c r="R1597" s="6" t="str">
        <f>IFERROR( VLOOKUP(C29442,[1]expressOrderReport!$S:$AZ,34,0),0)</f>
        <v>#ERROR!</v>
      </c>
      <c r="S1597" s="6" t="str">
        <f>ARRAY_CONSTRAIN(ARRAYFORMULA(_xludf.XLOOKUP(D29442,[1]order_Report_SA_ID_BB2.0!V:V,[1]order_Report_SA_ID_BB2.0!AM:AM,"")), 1, 1)</f>
        <v>#ERROR!</v>
      </c>
      <c r="T1597" s="6" t="str">
        <f t="shared" si="2"/>
        <v>Dec'25</v>
      </c>
    </row>
    <row r="1598" ht="15.75" customHeight="1">
      <c r="A1598" s="5">
        <v>46013.0</v>
      </c>
      <c r="B1598" s="6">
        <v>7927.0</v>
      </c>
      <c r="C1598" s="6">
        <v>1.8591664E9</v>
      </c>
      <c r="D1598" s="6">
        <v>1984826.0</v>
      </c>
      <c r="E1598" s="6" t="s">
        <v>2438</v>
      </c>
      <c r="F1598" s="6" t="s">
        <v>2439</v>
      </c>
      <c r="G1598" s="6">
        <v>9.945224745E9</v>
      </c>
      <c r="H1598" s="6">
        <v>4.0149832E7</v>
      </c>
      <c r="I1598" s="6" t="s">
        <v>26</v>
      </c>
      <c r="J1598" s="6" t="s">
        <v>21</v>
      </c>
      <c r="K1598" s="6" t="s">
        <v>22</v>
      </c>
      <c r="L1598" s="6">
        <v>24.0</v>
      </c>
      <c r="M1598" s="5">
        <v>46013.0</v>
      </c>
      <c r="N1598" s="6" t="s">
        <v>23</v>
      </c>
      <c r="O1598" s="6" t="str">
        <f>SUMIFS([1]order_sku_sales_bb2_report!P:P,[1]order_sku_sales_bb2_report!H:H,C29443,[1]order_sku_sales_bb2_report!J:J,H29443)</f>
        <v>#ERROR!</v>
      </c>
      <c r="P1598" s="6" t="str">
        <f>SUMIFS([1]order_sku_sales_bb2_report!O:O,[1]order_sku_sales_bb2_report!H:H,C29443,[1]order_sku_sales_bb2_report!J:J,H29443)</f>
        <v>#ERROR!</v>
      </c>
      <c r="Q1598" s="6" t="str">
        <f t="shared" si="1"/>
        <v>22-12-2025</v>
      </c>
      <c r="R1598" s="6" t="str">
        <f>IFERROR( VLOOKUP(C29443,[1]expressOrderReport!$S:$AZ,34,0),0)</f>
        <v>#ERROR!</v>
      </c>
      <c r="S1598" s="6" t="str">
        <f>ARRAY_CONSTRAIN(ARRAYFORMULA(_xludf.XLOOKUP(D29443,[1]order_Report_SA_ID_BB2.0!V:V,[1]order_Report_SA_ID_BB2.0!AM:AM,"")), 1, 1)</f>
        <v>#ERROR!</v>
      </c>
      <c r="T1598" s="6" t="str">
        <f t="shared" si="2"/>
        <v>Dec'25</v>
      </c>
    </row>
    <row r="1599" ht="15.75" customHeight="1">
      <c r="A1599" s="5">
        <v>46013.0</v>
      </c>
      <c r="B1599" s="6">
        <v>7938.0</v>
      </c>
      <c r="C1599" s="6">
        <v>1.859166405E9</v>
      </c>
      <c r="D1599" s="6">
        <v>6.0024179E7</v>
      </c>
      <c r="E1599" s="6" t="s">
        <v>625</v>
      </c>
      <c r="F1599" s="6" t="s">
        <v>2440</v>
      </c>
      <c r="G1599" s="6">
        <v>8.87094898E9</v>
      </c>
      <c r="H1599" s="6">
        <v>4.0149834E7</v>
      </c>
      <c r="I1599" s="6" t="s">
        <v>40</v>
      </c>
      <c r="J1599" s="6" t="s">
        <v>21</v>
      </c>
      <c r="K1599" s="6" t="s">
        <v>22</v>
      </c>
      <c r="L1599" s="6">
        <v>79.0</v>
      </c>
      <c r="M1599" s="5">
        <v>46013.0</v>
      </c>
      <c r="N1599" s="6" t="s">
        <v>23</v>
      </c>
      <c r="O1599" s="6" t="str">
        <f>SUMIFS([1]order_sku_sales_bb2_report!P:P,[1]order_sku_sales_bb2_report!H:H,C29444,[1]order_sku_sales_bb2_report!J:J,H29444)</f>
        <v>#ERROR!</v>
      </c>
      <c r="P1599" s="6" t="str">
        <f>SUMIFS([1]order_sku_sales_bb2_report!O:O,[1]order_sku_sales_bb2_report!H:H,C29444,[1]order_sku_sales_bb2_report!J:J,H29444)</f>
        <v>#ERROR!</v>
      </c>
      <c r="Q1599" s="6" t="str">
        <f t="shared" si="1"/>
        <v>22-12-2025</v>
      </c>
      <c r="R1599" s="6" t="str">
        <f>IFERROR( VLOOKUP(C29444,[1]expressOrderReport!$S:$AZ,34,0),0)</f>
        <v>#ERROR!</v>
      </c>
      <c r="S1599" s="6" t="str">
        <f>ARRAY_CONSTRAIN(ARRAYFORMULA(_xludf.XLOOKUP(D29444,[1]order_Report_SA_ID_BB2.0!V:V,[1]order_Report_SA_ID_BB2.0!AM:AM,"")), 1, 1)</f>
        <v>#ERROR!</v>
      </c>
      <c r="T1599" s="6" t="str">
        <f t="shared" si="2"/>
        <v>Dec'25</v>
      </c>
    </row>
    <row r="1600" ht="15.75" customHeight="1">
      <c r="A1600" s="5">
        <v>46013.0</v>
      </c>
      <c r="B1600" s="6">
        <v>10679.0</v>
      </c>
      <c r="C1600" s="6">
        <v>1.859166405E9</v>
      </c>
      <c r="D1600" s="6">
        <v>6.0024179E7</v>
      </c>
      <c r="E1600" s="6" t="s">
        <v>625</v>
      </c>
      <c r="F1600" s="6" t="s">
        <v>2440</v>
      </c>
      <c r="G1600" s="6">
        <v>8.87094898E9</v>
      </c>
      <c r="H1600" s="6">
        <v>4.0149833E7</v>
      </c>
      <c r="I1600" s="6" t="s">
        <v>40</v>
      </c>
      <c r="J1600" s="6" t="s">
        <v>21</v>
      </c>
      <c r="K1600" s="6" t="s">
        <v>22</v>
      </c>
      <c r="L1600" s="6">
        <v>79.0</v>
      </c>
      <c r="M1600" s="5">
        <v>46013.0</v>
      </c>
      <c r="N1600" s="6" t="s">
        <v>23</v>
      </c>
      <c r="O1600" s="6" t="str">
        <f>SUMIFS([1]order_sku_sales_bb2_report!P:P,[1]order_sku_sales_bb2_report!H:H,C29445,[1]order_sku_sales_bb2_report!J:J,H29445)</f>
        <v>#ERROR!</v>
      </c>
      <c r="P1600" s="6" t="str">
        <f>SUMIFS([1]order_sku_sales_bb2_report!O:O,[1]order_sku_sales_bb2_report!H:H,C29445,[1]order_sku_sales_bb2_report!J:J,H29445)</f>
        <v>#ERROR!</v>
      </c>
      <c r="Q1600" s="6" t="str">
        <f t="shared" si="1"/>
        <v>22-12-2025</v>
      </c>
      <c r="R1600" s="6" t="str">
        <f>IFERROR( VLOOKUP(C29445,[1]expressOrderReport!$S:$AZ,34,0),0)</f>
        <v>#ERROR!</v>
      </c>
      <c r="S1600" s="6" t="str">
        <f>ARRAY_CONSTRAIN(ARRAYFORMULA(_xludf.XLOOKUP(D29445,[1]order_Report_SA_ID_BB2.0!V:V,[1]order_Report_SA_ID_BB2.0!AM:AM,"")), 1, 1)</f>
        <v>#ERROR!</v>
      </c>
      <c r="T1600" s="6" t="str">
        <f t="shared" si="2"/>
        <v>Dec'25</v>
      </c>
    </row>
    <row r="1601" ht="15.75" customHeight="1">
      <c r="A1601" s="5">
        <v>46013.0</v>
      </c>
      <c r="B1601" s="6">
        <v>7939.0</v>
      </c>
      <c r="C1601" s="6">
        <v>1.859166411E9</v>
      </c>
      <c r="D1601" s="6">
        <v>4255146.0</v>
      </c>
      <c r="E1601" s="6" t="s">
        <v>2441</v>
      </c>
      <c r="F1601" s="6" t="s">
        <v>2442</v>
      </c>
      <c r="G1601" s="6">
        <v>9.611896563E9</v>
      </c>
      <c r="H1601" s="6">
        <v>4.0149833E7</v>
      </c>
      <c r="I1601" s="6" t="s">
        <v>40</v>
      </c>
      <c r="J1601" s="6" t="s">
        <v>21</v>
      </c>
      <c r="K1601" s="6" t="s">
        <v>22</v>
      </c>
      <c r="L1601" s="6">
        <v>54.0</v>
      </c>
      <c r="M1601" s="5">
        <v>46013.0</v>
      </c>
      <c r="N1601" s="6" t="s">
        <v>23</v>
      </c>
      <c r="O1601" s="6" t="str">
        <f>SUMIFS([1]order_sku_sales_bb2_report!P:P,[1]order_sku_sales_bb2_report!H:H,C29446,[1]order_sku_sales_bb2_report!J:J,H29446)</f>
        <v>#ERROR!</v>
      </c>
      <c r="P1601" s="6" t="str">
        <f>SUMIFS([1]order_sku_sales_bb2_report!O:O,[1]order_sku_sales_bb2_report!H:H,C29446,[1]order_sku_sales_bb2_report!J:J,H29446)</f>
        <v>#ERROR!</v>
      </c>
      <c r="Q1601" s="6" t="str">
        <f t="shared" si="1"/>
        <v>22-12-2025</v>
      </c>
      <c r="R1601" s="6" t="str">
        <f>IFERROR( VLOOKUP(C29446,[1]expressOrderReport!$S:$AZ,34,0),0)</f>
        <v>#ERROR!</v>
      </c>
      <c r="S1601" s="6" t="str">
        <f>ARRAY_CONSTRAIN(ARRAYFORMULA(_xludf.XLOOKUP(D29446,[1]order_Report_SA_ID_BB2.0!V:V,[1]order_Report_SA_ID_BB2.0!AM:AM,"")), 1, 1)</f>
        <v>#ERROR!</v>
      </c>
      <c r="T1601" s="6" t="str">
        <f t="shared" si="2"/>
        <v>Dec'25</v>
      </c>
    </row>
    <row r="1602" ht="15.75" customHeight="1">
      <c r="A1602" s="5">
        <v>46013.0</v>
      </c>
      <c r="B1602" s="6">
        <v>7945.0</v>
      </c>
      <c r="C1602" s="6">
        <v>1.85916642E9</v>
      </c>
      <c r="D1602" s="6">
        <v>1.5864593E7</v>
      </c>
      <c r="E1602" s="6" t="s">
        <v>2443</v>
      </c>
      <c r="F1602" s="6" t="s">
        <v>2444</v>
      </c>
      <c r="G1602" s="6">
        <v>9.108486777E9</v>
      </c>
      <c r="H1602" s="6">
        <v>4.0149833E7</v>
      </c>
      <c r="I1602" s="6" t="s">
        <v>40</v>
      </c>
      <c r="J1602" s="6" t="s">
        <v>21</v>
      </c>
      <c r="K1602" s="6" t="s">
        <v>22</v>
      </c>
      <c r="L1602" s="6">
        <v>27.0</v>
      </c>
      <c r="M1602" s="5">
        <v>46013.0</v>
      </c>
      <c r="N1602" s="6" t="s">
        <v>23</v>
      </c>
      <c r="O1602" s="6" t="str">
        <f>SUMIFS([1]order_sku_sales_bb2_report!P:P,[1]order_sku_sales_bb2_report!H:H,C29447,[1]order_sku_sales_bb2_report!J:J,H29447)</f>
        <v>#ERROR!</v>
      </c>
      <c r="P1602" s="6" t="str">
        <f>SUMIFS([1]order_sku_sales_bb2_report!O:O,[1]order_sku_sales_bb2_report!H:H,C29447,[1]order_sku_sales_bb2_report!J:J,H29447)</f>
        <v>#ERROR!</v>
      </c>
      <c r="Q1602" s="6" t="str">
        <f t="shared" si="1"/>
        <v>22-12-2025</v>
      </c>
      <c r="R1602" s="6" t="str">
        <f>IFERROR( VLOOKUP(C29447,[1]expressOrderReport!$S:$AZ,34,0),0)</f>
        <v>#ERROR!</v>
      </c>
      <c r="S1602" s="6" t="str">
        <f>ARRAY_CONSTRAIN(ARRAYFORMULA(_xludf.XLOOKUP(D29447,[1]order_Report_SA_ID_BB2.0!V:V,[1]order_Report_SA_ID_BB2.0!AM:AM,"")), 1, 1)</f>
        <v>#ERROR!</v>
      </c>
      <c r="T1602" s="6" t="str">
        <f t="shared" si="2"/>
        <v>Dec'25</v>
      </c>
    </row>
    <row r="1603" ht="15.75" customHeight="1">
      <c r="A1603" s="5">
        <v>46013.0</v>
      </c>
      <c r="B1603" s="6">
        <v>7951.0</v>
      </c>
      <c r="C1603" s="6">
        <v>1.859166427E9</v>
      </c>
      <c r="D1603" s="6">
        <v>1155584.0</v>
      </c>
      <c r="E1603" s="6" t="s">
        <v>1387</v>
      </c>
      <c r="F1603" s="6" t="s">
        <v>1388</v>
      </c>
      <c r="G1603" s="6">
        <v>8.123541196E9</v>
      </c>
      <c r="H1603" s="6">
        <v>4.0308499E7</v>
      </c>
      <c r="I1603" s="6" t="s">
        <v>371</v>
      </c>
      <c r="J1603" s="6" t="s">
        <v>21</v>
      </c>
      <c r="K1603" s="6" t="s">
        <v>22</v>
      </c>
      <c r="L1603" s="6">
        <v>94.0</v>
      </c>
      <c r="M1603" s="5">
        <v>46013.0</v>
      </c>
      <c r="N1603" s="6" t="s">
        <v>23</v>
      </c>
      <c r="O1603" s="6" t="str">
        <f>SUMIFS([1]order_sku_sales_bb2_report!P:P,[1]order_sku_sales_bb2_report!H:H,C29448,[1]order_sku_sales_bb2_report!J:J,H29448)</f>
        <v>#ERROR!</v>
      </c>
      <c r="P1603" s="6" t="str">
        <f>SUMIFS([1]order_sku_sales_bb2_report!O:O,[1]order_sku_sales_bb2_report!H:H,C29448,[1]order_sku_sales_bb2_report!J:J,H29448)</f>
        <v>#ERROR!</v>
      </c>
      <c r="Q1603" s="6" t="str">
        <f t="shared" si="1"/>
        <v>22-12-2025</v>
      </c>
      <c r="R1603" s="6" t="str">
        <f>IFERROR( VLOOKUP(C29448,[1]expressOrderReport!$S:$AZ,34,0),0)</f>
        <v>#ERROR!</v>
      </c>
      <c r="S1603" s="6" t="str">
        <f>ARRAY_CONSTRAIN(ARRAYFORMULA(_xludf.XLOOKUP(D29448,[1]order_Report_SA_ID_BB2.0!V:V,[1]order_Report_SA_ID_BB2.0!AM:AM,"")), 1, 1)</f>
        <v>#ERROR!</v>
      </c>
      <c r="T1603" s="6" t="str">
        <f t="shared" si="2"/>
        <v>Dec'25</v>
      </c>
    </row>
    <row r="1604" ht="15.75" customHeight="1">
      <c r="A1604" s="5">
        <v>46013.0</v>
      </c>
      <c r="B1604" s="6">
        <v>7952.0</v>
      </c>
      <c r="C1604" s="6">
        <v>1.859166427E9</v>
      </c>
      <c r="D1604" s="6">
        <v>1155584.0</v>
      </c>
      <c r="E1604" s="6" t="s">
        <v>1387</v>
      </c>
      <c r="F1604" s="6" t="s">
        <v>1388</v>
      </c>
      <c r="G1604" s="6">
        <v>8.123541196E9</v>
      </c>
      <c r="H1604" s="6">
        <v>4.0162924E7</v>
      </c>
      <c r="I1604" s="6" t="s">
        <v>922</v>
      </c>
      <c r="J1604" s="6" t="s">
        <v>21</v>
      </c>
      <c r="K1604" s="6" t="s">
        <v>22</v>
      </c>
      <c r="L1604" s="6">
        <v>94.0</v>
      </c>
      <c r="M1604" s="5">
        <v>46013.0</v>
      </c>
      <c r="N1604" s="6" t="s">
        <v>23</v>
      </c>
      <c r="O1604" s="6" t="str">
        <f>SUMIFS([1]order_sku_sales_bb2_report!P:P,[1]order_sku_sales_bb2_report!H:H,C29449,[1]order_sku_sales_bb2_report!J:J,H29449)</f>
        <v>#ERROR!</v>
      </c>
      <c r="P1604" s="6" t="str">
        <f>SUMIFS([1]order_sku_sales_bb2_report!O:O,[1]order_sku_sales_bb2_report!H:H,C29449,[1]order_sku_sales_bb2_report!J:J,H29449)</f>
        <v>#ERROR!</v>
      </c>
      <c r="Q1604" s="6" t="str">
        <f t="shared" si="1"/>
        <v>22-12-2025</v>
      </c>
      <c r="R1604" s="6" t="str">
        <f>IFERROR( VLOOKUP(C29449,[1]expressOrderReport!$S:$AZ,34,0),0)</f>
        <v>#ERROR!</v>
      </c>
      <c r="S1604" s="6" t="str">
        <f>ARRAY_CONSTRAIN(ARRAYFORMULA(_xludf.XLOOKUP(D29449,[1]order_Report_SA_ID_BB2.0!V:V,[1]order_Report_SA_ID_BB2.0!AM:AM,"")), 1, 1)</f>
        <v>#ERROR!</v>
      </c>
      <c r="T1604" s="6" t="str">
        <f t="shared" si="2"/>
        <v>Dec'25</v>
      </c>
    </row>
    <row r="1605" ht="15.75" customHeight="1">
      <c r="A1605" s="5">
        <v>46013.0</v>
      </c>
      <c r="B1605" s="6">
        <v>7954.0</v>
      </c>
      <c r="C1605" s="6">
        <v>1.85916644E9</v>
      </c>
      <c r="D1605" s="6">
        <v>3.10371E7</v>
      </c>
      <c r="E1605" s="6" t="s">
        <v>625</v>
      </c>
      <c r="F1605" s="6" t="s">
        <v>2445</v>
      </c>
      <c r="G1605" s="6">
        <v>9.826395725E9</v>
      </c>
      <c r="H1605" s="6">
        <v>4.0149827E7</v>
      </c>
      <c r="I1605" s="6" t="s">
        <v>738</v>
      </c>
      <c r="J1605" s="6" t="s">
        <v>21</v>
      </c>
      <c r="K1605" s="6" t="s">
        <v>22</v>
      </c>
      <c r="L1605" s="6">
        <v>62.0</v>
      </c>
      <c r="M1605" s="5">
        <v>46013.0</v>
      </c>
      <c r="N1605" s="6" t="s">
        <v>23</v>
      </c>
      <c r="O1605" s="6" t="str">
        <f>SUMIFS([1]order_sku_sales_bb2_report!P:P,[1]order_sku_sales_bb2_report!H:H,C29450,[1]order_sku_sales_bb2_report!J:J,H29450)</f>
        <v>#ERROR!</v>
      </c>
      <c r="P1605" s="6" t="str">
        <f>SUMIFS([1]order_sku_sales_bb2_report!O:O,[1]order_sku_sales_bb2_report!H:H,C29450,[1]order_sku_sales_bb2_report!J:J,H29450)</f>
        <v>#ERROR!</v>
      </c>
      <c r="Q1605" s="6" t="str">
        <f t="shared" si="1"/>
        <v>22-12-2025</v>
      </c>
      <c r="R1605" s="6" t="str">
        <f>IFERROR( VLOOKUP(C29450,[1]expressOrderReport!$S:$AZ,34,0),0)</f>
        <v>#ERROR!</v>
      </c>
      <c r="S1605" s="6" t="str">
        <f>ARRAY_CONSTRAIN(ARRAYFORMULA(_xludf.XLOOKUP(D29450,[1]order_Report_SA_ID_BB2.0!V:V,[1]order_Report_SA_ID_BB2.0!AM:AM,"")), 1, 1)</f>
        <v>#ERROR!</v>
      </c>
      <c r="T1605" s="6" t="str">
        <f t="shared" si="2"/>
        <v>Dec'25</v>
      </c>
    </row>
    <row r="1606" ht="15.75" customHeight="1">
      <c r="A1606" s="5">
        <v>46013.0</v>
      </c>
      <c r="B1606" s="6">
        <v>7976.0</v>
      </c>
      <c r="C1606" s="6">
        <v>1.859166449E9</v>
      </c>
      <c r="D1606" s="6">
        <v>3.2690422E7</v>
      </c>
      <c r="E1606" s="6" t="s">
        <v>625</v>
      </c>
      <c r="F1606" s="6" t="s">
        <v>2446</v>
      </c>
      <c r="G1606" s="6">
        <v>9.400402272E9</v>
      </c>
      <c r="H1606" s="6">
        <v>4.0149832E7</v>
      </c>
      <c r="I1606" s="6" t="s">
        <v>26</v>
      </c>
      <c r="J1606" s="6" t="s">
        <v>21</v>
      </c>
      <c r="K1606" s="6" t="s">
        <v>22</v>
      </c>
      <c r="L1606" s="6">
        <v>48.0</v>
      </c>
      <c r="M1606" s="5">
        <v>46013.0</v>
      </c>
      <c r="N1606" s="6" t="s">
        <v>23</v>
      </c>
      <c r="O1606" s="6" t="str">
        <f>SUMIFS([1]order_sku_sales_bb2_report!P:P,[1]order_sku_sales_bb2_report!H:H,C29451,[1]order_sku_sales_bb2_report!J:J,H29451)</f>
        <v>#ERROR!</v>
      </c>
      <c r="P1606" s="6" t="str">
        <f>SUMIFS([1]order_sku_sales_bb2_report!O:O,[1]order_sku_sales_bb2_report!H:H,C29451,[1]order_sku_sales_bb2_report!J:J,H29451)</f>
        <v>#ERROR!</v>
      </c>
      <c r="Q1606" s="6" t="str">
        <f t="shared" si="1"/>
        <v>22-12-2025</v>
      </c>
      <c r="R1606" s="6" t="str">
        <f>IFERROR( VLOOKUP(C29451,[1]expressOrderReport!$S:$AZ,34,0),0)</f>
        <v>#ERROR!</v>
      </c>
      <c r="S1606" s="6" t="str">
        <f>ARRAY_CONSTRAIN(ARRAYFORMULA(_xludf.XLOOKUP(D29451,[1]order_Report_SA_ID_BB2.0!V:V,[1]order_Report_SA_ID_BB2.0!AM:AM,"")), 1, 1)</f>
        <v>#ERROR!</v>
      </c>
      <c r="T1606" s="6" t="str">
        <f t="shared" si="2"/>
        <v>Dec'25</v>
      </c>
    </row>
    <row r="1607" ht="15.75" customHeight="1">
      <c r="A1607" s="5">
        <v>46013.0</v>
      </c>
      <c r="B1607" s="6">
        <v>7998.0</v>
      </c>
      <c r="C1607" s="6">
        <v>1.859166459E9</v>
      </c>
      <c r="D1607" s="6">
        <v>9258025.0</v>
      </c>
      <c r="E1607" s="6" t="s">
        <v>2447</v>
      </c>
      <c r="F1607" s="6" t="s">
        <v>2448</v>
      </c>
      <c r="G1607" s="6">
        <v>9.896919299E9</v>
      </c>
      <c r="H1607" s="6">
        <v>4.0161616E7</v>
      </c>
      <c r="I1607" s="6" t="s">
        <v>20</v>
      </c>
      <c r="J1607" s="6" t="s">
        <v>21</v>
      </c>
      <c r="K1607" s="6" t="s">
        <v>22</v>
      </c>
      <c r="L1607" s="6">
        <v>56.0</v>
      </c>
      <c r="M1607" s="5">
        <v>46013.0</v>
      </c>
      <c r="N1607" s="6" t="s">
        <v>23</v>
      </c>
      <c r="O1607" s="6" t="str">
        <f>SUMIFS([1]order_sku_sales_bb2_report!P:P,[1]order_sku_sales_bb2_report!H:H,C29452,[1]order_sku_sales_bb2_report!J:J,H29452)</f>
        <v>#ERROR!</v>
      </c>
      <c r="P1607" s="6" t="str">
        <f>SUMIFS([1]order_sku_sales_bb2_report!O:O,[1]order_sku_sales_bb2_report!H:H,C29452,[1]order_sku_sales_bb2_report!J:J,H29452)</f>
        <v>#ERROR!</v>
      </c>
      <c r="Q1607" s="6" t="str">
        <f t="shared" si="1"/>
        <v>22-12-2025</v>
      </c>
      <c r="R1607" s="6" t="str">
        <f>IFERROR( VLOOKUP(C29452,[1]expressOrderReport!$S:$AZ,34,0),0)</f>
        <v>#ERROR!</v>
      </c>
      <c r="S1607" s="6" t="str">
        <f>ARRAY_CONSTRAIN(ARRAYFORMULA(_xludf.XLOOKUP(D29452,[1]order_Report_SA_ID_BB2.0!V:V,[1]order_Report_SA_ID_BB2.0!AM:AM,"")), 1, 1)</f>
        <v>#ERROR!</v>
      </c>
      <c r="T1607" s="6" t="str">
        <f t="shared" si="2"/>
        <v>Dec'25</v>
      </c>
    </row>
    <row r="1608" ht="15.75" customHeight="1">
      <c r="A1608" s="5">
        <v>46013.0</v>
      </c>
      <c r="B1608" s="6">
        <v>7999.0</v>
      </c>
      <c r="C1608" s="6">
        <v>1.859166459E9</v>
      </c>
      <c r="D1608" s="6">
        <v>9258025.0</v>
      </c>
      <c r="E1608" s="6" t="s">
        <v>2447</v>
      </c>
      <c r="F1608" s="6" t="s">
        <v>2448</v>
      </c>
      <c r="G1608" s="6">
        <v>9.896919299E9</v>
      </c>
      <c r="H1608" s="6">
        <v>4.014983E7</v>
      </c>
      <c r="I1608" s="6" t="s">
        <v>30</v>
      </c>
      <c r="J1608" s="6" t="s">
        <v>21</v>
      </c>
      <c r="K1608" s="6" t="s">
        <v>22</v>
      </c>
      <c r="L1608" s="6">
        <v>56.0</v>
      </c>
      <c r="M1608" s="5">
        <v>46013.0</v>
      </c>
      <c r="N1608" s="6" t="s">
        <v>23</v>
      </c>
      <c r="O1608" s="6" t="str">
        <f>SUMIFS([1]order_sku_sales_bb2_report!P:P,[1]order_sku_sales_bb2_report!H:H,C29453,[1]order_sku_sales_bb2_report!J:J,H29453)</f>
        <v>#ERROR!</v>
      </c>
      <c r="P1608" s="6" t="str">
        <f>SUMIFS([1]order_sku_sales_bb2_report!O:O,[1]order_sku_sales_bb2_report!H:H,C29453,[1]order_sku_sales_bb2_report!J:J,H29453)</f>
        <v>#ERROR!</v>
      </c>
      <c r="Q1608" s="6" t="str">
        <f t="shared" si="1"/>
        <v>22-12-2025</v>
      </c>
      <c r="R1608" s="6" t="str">
        <f>IFERROR( VLOOKUP(C29453,[1]expressOrderReport!$S:$AZ,34,0),0)</f>
        <v>#ERROR!</v>
      </c>
      <c r="S1608" s="6" t="str">
        <f>ARRAY_CONSTRAIN(ARRAYFORMULA(_xludf.XLOOKUP(D29453,[1]order_Report_SA_ID_BB2.0!V:V,[1]order_Report_SA_ID_BB2.0!AM:AM,"")), 1, 1)</f>
        <v>#ERROR!</v>
      </c>
      <c r="T1608" s="6" t="str">
        <f t="shared" si="2"/>
        <v>Dec'25</v>
      </c>
    </row>
    <row r="1609" ht="15.75" customHeight="1">
      <c r="A1609" s="5">
        <v>46013.0</v>
      </c>
      <c r="B1609" s="6">
        <v>8023.0</v>
      </c>
      <c r="C1609" s="6">
        <v>1.859166467E9</v>
      </c>
      <c r="D1609" s="6">
        <v>8565384.0</v>
      </c>
      <c r="E1609" s="6" t="s">
        <v>2449</v>
      </c>
      <c r="F1609" s="6" t="s">
        <v>2450</v>
      </c>
      <c r="G1609" s="6">
        <v>9.923704002E9</v>
      </c>
      <c r="H1609" s="6">
        <v>4.0149834E7</v>
      </c>
      <c r="I1609" s="6" t="s">
        <v>40</v>
      </c>
      <c r="J1609" s="6" t="s">
        <v>21</v>
      </c>
      <c r="K1609" s="6" t="s">
        <v>22</v>
      </c>
      <c r="L1609" s="6">
        <v>52.0</v>
      </c>
      <c r="M1609" s="5">
        <v>46013.0</v>
      </c>
      <c r="N1609" s="6" t="s">
        <v>23</v>
      </c>
      <c r="O1609" s="6" t="str">
        <f>SUMIFS([1]order_sku_sales_bb2_report!P:P,[1]order_sku_sales_bb2_report!H:H,C29454,[1]order_sku_sales_bb2_report!J:J,H29454)</f>
        <v>#ERROR!</v>
      </c>
      <c r="P1609" s="6" t="str">
        <f>SUMIFS([1]order_sku_sales_bb2_report!O:O,[1]order_sku_sales_bb2_report!H:H,C29454,[1]order_sku_sales_bb2_report!J:J,H29454)</f>
        <v>#ERROR!</v>
      </c>
      <c r="Q1609" s="6" t="str">
        <f t="shared" si="1"/>
        <v>22-12-2025</v>
      </c>
      <c r="R1609" s="6" t="str">
        <f>IFERROR( VLOOKUP(C29454,[1]expressOrderReport!$S:$AZ,34,0),0)</f>
        <v>#ERROR!</v>
      </c>
      <c r="S1609" s="6" t="str">
        <f>ARRAY_CONSTRAIN(ARRAYFORMULA(_xludf.XLOOKUP(D29454,[1]order_Report_SA_ID_BB2.0!V:V,[1]order_Report_SA_ID_BB2.0!AM:AM,"")), 1, 1)</f>
        <v>#ERROR!</v>
      </c>
      <c r="T1609" s="6" t="str">
        <f t="shared" si="2"/>
        <v>Dec'25</v>
      </c>
    </row>
    <row r="1610" ht="15.75" customHeight="1">
      <c r="A1610" s="5">
        <v>46013.0</v>
      </c>
      <c r="B1610" s="6">
        <v>8084.0</v>
      </c>
      <c r="C1610" s="6">
        <v>1.859166474E9</v>
      </c>
      <c r="D1610" s="6">
        <v>6.2549751E7</v>
      </c>
      <c r="E1610" s="6" t="s">
        <v>625</v>
      </c>
      <c r="F1610" s="6" t="s">
        <v>2451</v>
      </c>
      <c r="G1610" s="6">
        <v>8.248565004E9</v>
      </c>
      <c r="H1610" s="6">
        <v>4.0090893E7</v>
      </c>
      <c r="I1610" s="6" t="s">
        <v>35</v>
      </c>
      <c r="J1610" s="6" t="s">
        <v>21</v>
      </c>
      <c r="K1610" s="6" t="s">
        <v>22</v>
      </c>
      <c r="L1610" s="6">
        <v>33.0</v>
      </c>
      <c r="M1610" s="5">
        <v>46013.0</v>
      </c>
      <c r="N1610" s="6" t="s">
        <v>23</v>
      </c>
      <c r="O1610" s="6" t="str">
        <f>SUMIFS([1]order_sku_sales_bb2_report!P:P,[1]order_sku_sales_bb2_report!H:H,C29455,[1]order_sku_sales_bb2_report!J:J,H29455)</f>
        <v>#ERROR!</v>
      </c>
      <c r="P1610" s="6" t="str">
        <f>SUMIFS([1]order_sku_sales_bb2_report!O:O,[1]order_sku_sales_bb2_report!H:H,C29455,[1]order_sku_sales_bb2_report!J:J,H29455)</f>
        <v>#ERROR!</v>
      </c>
      <c r="Q1610" s="6" t="str">
        <f t="shared" si="1"/>
        <v>22-12-2025</v>
      </c>
      <c r="R1610" s="6" t="str">
        <f>IFERROR( VLOOKUP(C29455,[1]expressOrderReport!$S:$AZ,34,0),0)</f>
        <v>#ERROR!</v>
      </c>
      <c r="S1610" s="6" t="str">
        <f>ARRAY_CONSTRAIN(ARRAYFORMULA(_xludf.XLOOKUP(D29455,[1]order_Report_SA_ID_BB2.0!V:V,[1]order_Report_SA_ID_BB2.0!AM:AM,"")), 1, 1)</f>
        <v>#ERROR!</v>
      </c>
      <c r="T1610" s="6" t="str">
        <f t="shared" si="2"/>
        <v>Dec'25</v>
      </c>
    </row>
    <row r="1611" ht="15.75" customHeight="1">
      <c r="A1611" s="5">
        <v>46013.0</v>
      </c>
      <c r="B1611" s="6">
        <v>8109.0</v>
      </c>
      <c r="C1611" s="6">
        <v>1.85916655E9</v>
      </c>
      <c r="D1611" s="6">
        <v>9812659.0</v>
      </c>
      <c r="E1611" s="6" t="s">
        <v>2452</v>
      </c>
      <c r="F1611" s="6" t="s">
        <v>2453</v>
      </c>
      <c r="G1611" s="6">
        <v>9.583171878E9</v>
      </c>
      <c r="H1611" s="6">
        <v>4.0148716E7</v>
      </c>
      <c r="I1611" s="6" t="s">
        <v>148</v>
      </c>
      <c r="J1611" s="6" t="s">
        <v>21</v>
      </c>
      <c r="K1611" s="6" t="s">
        <v>22</v>
      </c>
      <c r="L1611" s="6">
        <v>52.56</v>
      </c>
      <c r="M1611" s="5">
        <v>46013.0</v>
      </c>
      <c r="N1611" s="6" t="s">
        <v>23</v>
      </c>
      <c r="O1611" s="6" t="str">
        <f>SUMIFS([1]order_sku_sales_bb2_report!P:P,[1]order_sku_sales_bb2_report!H:H,C29456,[1]order_sku_sales_bb2_report!J:J,H29456)</f>
        <v>#ERROR!</v>
      </c>
      <c r="P1611" s="6" t="str">
        <f>SUMIFS([1]order_sku_sales_bb2_report!O:O,[1]order_sku_sales_bb2_report!H:H,C29456,[1]order_sku_sales_bb2_report!J:J,H29456)</f>
        <v>#ERROR!</v>
      </c>
      <c r="Q1611" s="6" t="str">
        <f t="shared" si="1"/>
        <v>22-12-2025</v>
      </c>
      <c r="R1611" s="6" t="str">
        <f>IFERROR( VLOOKUP(C29456,[1]expressOrderReport!$S:$AZ,34,0),0)</f>
        <v>#ERROR!</v>
      </c>
      <c r="S1611" s="6" t="str">
        <f>ARRAY_CONSTRAIN(ARRAYFORMULA(_xludf.XLOOKUP(D29456,[1]order_Report_SA_ID_BB2.0!V:V,[1]order_Report_SA_ID_BB2.0!AM:AM,"")), 1, 1)</f>
        <v>#ERROR!</v>
      </c>
      <c r="T1611" s="6" t="str">
        <f t="shared" si="2"/>
        <v>Dec'25</v>
      </c>
    </row>
    <row r="1612" ht="15.75" customHeight="1">
      <c r="A1612" s="5">
        <v>46013.0</v>
      </c>
      <c r="B1612" s="6">
        <v>8110.0</v>
      </c>
      <c r="C1612" s="6">
        <v>1.85916655E9</v>
      </c>
      <c r="D1612" s="6">
        <v>9812659.0</v>
      </c>
      <c r="E1612" s="6" t="s">
        <v>2452</v>
      </c>
      <c r="F1612" s="6" t="s">
        <v>2453</v>
      </c>
      <c r="G1612" s="6">
        <v>9.583171878E9</v>
      </c>
      <c r="H1612" s="6">
        <v>2.0001186E7</v>
      </c>
      <c r="I1612" s="6" t="s">
        <v>430</v>
      </c>
      <c r="J1612" s="6" t="s">
        <v>21</v>
      </c>
      <c r="K1612" s="6" t="s">
        <v>22</v>
      </c>
      <c r="L1612" s="6">
        <v>52.56</v>
      </c>
      <c r="M1612" s="5">
        <v>46013.0</v>
      </c>
      <c r="N1612" s="6" t="s">
        <v>23</v>
      </c>
      <c r="O1612" s="6" t="str">
        <f>SUMIFS([1]order_sku_sales_bb2_report!P:P,[1]order_sku_sales_bb2_report!H:H,C29457,[1]order_sku_sales_bb2_report!J:J,H29457)</f>
        <v>#ERROR!</v>
      </c>
      <c r="P1612" s="6" t="str">
        <f>SUMIFS([1]order_sku_sales_bb2_report!O:O,[1]order_sku_sales_bb2_report!H:H,C29457,[1]order_sku_sales_bb2_report!J:J,H29457)</f>
        <v>#ERROR!</v>
      </c>
      <c r="Q1612" s="6" t="str">
        <f t="shared" si="1"/>
        <v>22-12-2025</v>
      </c>
      <c r="R1612" s="6" t="str">
        <f>IFERROR( VLOOKUP(C29457,[1]expressOrderReport!$S:$AZ,34,0),0)</f>
        <v>#ERROR!</v>
      </c>
      <c r="S1612" s="6" t="str">
        <f>ARRAY_CONSTRAIN(ARRAYFORMULA(_xludf.XLOOKUP(D29457,[1]order_Report_SA_ID_BB2.0!V:V,[1]order_Report_SA_ID_BB2.0!AM:AM,"")), 1, 1)</f>
        <v>#ERROR!</v>
      </c>
      <c r="T1612" s="6" t="str">
        <f t="shared" si="2"/>
        <v>Dec'25</v>
      </c>
    </row>
    <row r="1613" ht="15.75" customHeight="1">
      <c r="A1613" s="5">
        <v>46013.0</v>
      </c>
      <c r="B1613" s="6">
        <v>8112.0</v>
      </c>
      <c r="C1613" s="6">
        <v>1.859166554E9</v>
      </c>
      <c r="D1613" s="6">
        <v>6.3787069E7</v>
      </c>
      <c r="E1613" s="6" t="s">
        <v>625</v>
      </c>
      <c r="F1613" s="6" t="s">
        <v>2454</v>
      </c>
      <c r="G1613" s="6">
        <v>8.329166567E9</v>
      </c>
      <c r="H1613" s="6">
        <v>4.0276324E7</v>
      </c>
      <c r="I1613" s="6" t="s">
        <v>30</v>
      </c>
      <c r="J1613" s="6" t="s">
        <v>21</v>
      </c>
      <c r="K1613" s="6" t="s">
        <v>22</v>
      </c>
      <c r="L1613" s="6">
        <v>39.0</v>
      </c>
      <c r="M1613" s="5">
        <v>46013.0</v>
      </c>
      <c r="N1613" s="6" t="s">
        <v>23</v>
      </c>
      <c r="O1613" s="6" t="str">
        <f>SUMIFS([1]order_sku_sales_bb2_report!P:P,[1]order_sku_sales_bb2_report!H:H,C29458,[1]order_sku_sales_bb2_report!J:J,H29458)</f>
        <v>#ERROR!</v>
      </c>
      <c r="P1613" s="6" t="str">
        <f>SUMIFS([1]order_sku_sales_bb2_report!O:O,[1]order_sku_sales_bb2_report!H:H,C29458,[1]order_sku_sales_bb2_report!J:J,H29458)</f>
        <v>#ERROR!</v>
      </c>
      <c r="Q1613" s="6" t="str">
        <f t="shared" si="1"/>
        <v>22-12-2025</v>
      </c>
      <c r="R1613" s="6" t="str">
        <f>IFERROR( VLOOKUP(C29458,[1]expressOrderReport!$S:$AZ,34,0),0)</f>
        <v>#ERROR!</v>
      </c>
      <c r="S1613" s="6" t="str">
        <f>ARRAY_CONSTRAIN(ARRAYFORMULA(_xludf.XLOOKUP(D29458,[1]order_Report_SA_ID_BB2.0!V:V,[1]order_Report_SA_ID_BB2.0!AM:AM,"")), 1, 1)</f>
        <v>#ERROR!</v>
      </c>
      <c r="T1613" s="6" t="str">
        <f t="shared" si="2"/>
        <v>Dec'25</v>
      </c>
    </row>
    <row r="1614" ht="15.75" customHeight="1">
      <c r="A1614" s="5">
        <v>46013.0</v>
      </c>
      <c r="B1614" s="6">
        <v>8125.0</v>
      </c>
      <c r="C1614" s="6">
        <v>1.859166557E9</v>
      </c>
      <c r="D1614" s="6">
        <v>2.1562345E7</v>
      </c>
      <c r="E1614" s="6" t="s">
        <v>2455</v>
      </c>
      <c r="F1614" s="6" t="s">
        <v>2456</v>
      </c>
      <c r="G1614" s="6">
        <v>7.676677657E9</v>
      </c>
      <c r="H1614" s="6">
        <v>4.0149831E7</v>
      </c>
      <c r="I1614" s="6" t="s">
        <v>65</v>
      </c>
      <c r="J1614" s="6" t="s">
        <v>21</v>
      </c>
      <c r="K1614" s="6" t="s">
        <v>22</v>
      </c>
      <c r="L1614" s="6">
        <v>26.0</v>
      </c>
      <c r="M1614" s="5">
        <v>46013.0</v>
      </c>
      <c r="N1614" s="6" t="s">
        <v>23</v>
      </c>
      <c r="O1614" s="6" t="str">
        <f>SUMIFS([1]order_sku_sales_bb2_report!P:P,[1]order_sku_sales_bb2_report!H:H,C29459,[1]order_sku_sales_bb2_report!J:J,H29459)</f>
        <v>#ERROR!</v>
      </c>
      <c r="P1614" s="6" t="str">
        <f>SUMIFS([1]order_sku_sales_bb2_report!O:O,[1]order_sku_sales_bb2_report!H:H,C29459,[1]order_sku_sales_bb2_report!J:J,H29459)</f>
        <v>#ERROR!</v>
      </c>
      <c r="Q1614" s="6" t="str">
        <f t="shared" si="1"/>
        <v>22-12-2025</v>
      </c>
      <c r="R1614" s="6" t="str">
        <f>IFERROR( VLOOKUP(C29459,[1]expressOrderReport!$S:$AZ,34,0),0)</f>
        <v>#ERROR!</v>
      </c>
      <c r="S1614" s="6" t="str">
        <f>ARRAY_CONSTRAIN(ARRAYFORMULA(_xludf.XLOOKUP(D29459,[1]order_Report_SA_ID_BB2.0!V:V,[1]order_Report_SA_ID_BB2.0!AM:AM,"")), 1, 1)</f>
        <v>#ERROR!</v>
      </c>
      <c r="T1614" s="6" t="str">
        <f t="shared" si="2"/>
        <v>Dec'25</v>
      </c>
    </row>
    <row r="1615" ht="15.75" customHeight="1">
      <c r="A1615" s="5">
        <v>46013.0</v>
      </c>
      <c r="B1615" s="6">
        <v>9618.0</v>
      </c>
      <c r="C1615" s="6">
        <v>1.859166561E9</v>
      </c>
      <c r="D1615" s="6">
        <v>2.3016483E7</v>
      </c>
      <c r="E1615" s="6" t="s">
        <v>625</v>
      </c>
      <c r="F1615" s="6" t="s">
        <v>2457</v>
      </c>
      <c r="G1615" s="6">
        <v>9.945234667E9</v>
      </c>
      <c r="H1615" s="6">
        <v>4.0158264E7</v>
      </c>
      <c r="I1615" s="6" t="s">
        <v>26</v>
      </c>
      <c r="J1615" s="6" t="s">
        <v>21</v>
      </c>
      <c r="K1615" s="6" t="s">
        <v>22</v>
      </c>
      <c r="L1615" s="6">
        <v>46.0</v>
      </c>
      <c r="M1615" s="5">
        <v>46013.0</v>
      </c>
      <c r="N1615" s="6" t="s">
        <v>23</v>
      </c>
      <c r="O1615" s="6" t="str">
        <f>SUMIFS([1]order_sku_sales_bb2_report!P:P,[1]order_sku_sales_bb2_report!H:H,C29460,[1]order_sku_sales_bb2_report!J:J,H29460)</f>
        <v>#ERROR!</v>
      </c>
      <c r="P1615" s="6" t="str">
        <f>SUMIFS([1]order_sku_sales_bb2_report!O:O,[1]order_sku_sales_bb2_report!H:H,C29460,[1]order_sku_sales_bb2_report!J:J,H29460)</f>
        <v>#ERROR!</v>
      </c>
      <c r="Q1615" s="6" t="str">
        <f t="shared" si="1"/>
        <v>22-12-2025</v>
      </c>
      <c r="R1615" s="6" t="str">
        <f>IFERROR( VLOOKUP(C29460,[1]expressOrderReport!$S:$AZ,34,0),0)</f>
        <v>#ERROR!</v>
      </c>
      <c r="S1615" s="6" t="str">
        <f>ARRAY_CONSTRAIN(ARRAYFORMULA(_xludf.XLOOKUP(D29460,[1]order_Report_SA_ID_BB2.0!V:V,[1]order_Report_SA_ID_BB2.0!AM:AM,"")), 1, 1)</f>
        <v>#ERROR!</v>
      </c>
      <c r="T1615" s="6" t="str">
        <f t="shared" si="2"/>
        <v>Dec'25</v>
      </c>
    </row>
    <row r="1616" ht="15.75" customHeight="1">
      <c r="A1616" s="5">
        <v>46013.0</v>
      </c>
      <c r="B1616" s="6">
        <v>8129.0</v>
      </c>
      <c r="C1616" s="6">
        <v>1.859166564E9</v>
      </c>
      <c r="D1616" s="6">
        <v>4057430.0</v>
      </c>
      <c r="E1616" s="6" t="s">
        <v>2458</v>
      </c>
      <c r="F1616" s="6" t="s">
        <v>2459</v>
      </c>
      <c r="G1616" s="6">
        <v>9.717070827E9</v>
      </c>
      <c r="H1616" s="6">
        <v>4.0161616E7</v>
      </c>
      <c r="I1616" s="6" t="s">
        <v>20</v>
      </c>
      <c r="J1616" s="6" t="s">
        <v>21</v>
      </c>
      <c r="K1616" s="6" t="s">
        <v>22</v>
      </c>
      <c r="L1616" s="6">
        <v>56.0</v>
      </c>
      <c r="M1616" s="5">
        <v>46013.0</v>
      </c>
      <c r="N1616" s="6" t="s">
        <v>23</v>
      </c>
      <c r="O1616" s="6" t="str">
        <f>SUMIFS([1]order_sku_sales_bb2_report!P:P,[1]order_sku_sales_bb2_report!H:H,C29461,[1]order_sku_sales_bb2_report!J:J,H29461)</f>
        <v>#ERROR!</v>
      </c>
      <c r="P1616" s="6" t="str">
        <f>SUMIFS([1]order_sku_sales_bb2_report!O:O,[1]order_sku_sales_bb2_report!H:H,C29461,[1]order_sku_sales_bb2_report!J:J,H29461)</f>
        <v>#ERROR!</v>
      </c>
      <c r="Q1616" s="6" t="str">
        <f t="shared" si="1"/>
        <v>22-12-2025</v>
      </c>
      <c r="R1616" s="6" t="str">
        <f>IFERROR( VLOOKUP(C29461,[1]expressOrderReport!$S:$AZ,34,0),0)</f>
        <v>#ERROR!</v>
      </c>
      <c r="S1616" s="6" t="str">
        <f>ARRAY_CONSTRAIN(ARRAYFORMULA(_xludf.XLOOKUP(D29461,[1]order_Report_SA_ID_BB2.0!V:V,[1]order_Report_SA_ID_BB2.0!AM:AM,"")), 1, 1)</f>
        <v>#ERROR!</v>
      </c>
      <c r="T1616" s="6" t="str">
        <f t="shared" si="2"/>
        <v>Dec'25</v>
      </c>
    </row>
    <row r="1617" ht="15.75" customHeight="1">
      <c r="A1617" s="5">
        <v>46013.0</v>
      </c>
      <c r="B1617" s="6">
        <v>8134.0</v>
      </c>
      <c r="C1617" s="6">
        <v>1.859166572E9</v>
      </c>
      <c r="D1617" s="6">
        <v>2.0841283E7</v>
      </c>
      <c r="E1617" s="6" t="s">
        <v>2460</v>
      </c>
      <c r="F1617" s="6" t="s">
        <v>2461</v>
      </c>
      <c r="G1617" s="6">
        <v>8.853365796E9</v>
      </c>
      <c r="H1617" s="6">
        <v>4.0090893E7</v>
      </c>
      <c r="I1617" s="6" t="s">
        <v>35</v>
      </c>
      <c r="J1617" s="6" t="s">
        <v>21</v>
      </c>
      <c r="K1617" s="6" t="s">
        <v>22</v>
      </c>
      <c r="L1617" s="6">
        <v>100.0</v>
      </c>
      <c r="M1617" s="5">
        <v>46013.0</v>
      </c>
      <c r="N1617" s="6" t="s">
        <v>23</v>
      </c>
      <c r="O1617" s="6" t="str">
        <f>SUMIFS([1]order_sku_sales_bb2_report!P:P,[1]order_sku_sales_bb2_report!H:H,C29462,[1]order_sku_sales_bb2_report!J:J,H29462)</f>
        <v>#ERROR!</v>
      </c>
      <c r="P1617" s="6" t="str">
        <f>SUMIFS([1]order_sku_sales_bb2_report!O:O,[1]order_sku_sales_bb2_report!H:H,C29462,[1]order_sku_sales_bb2_report!J:J,H29462)</f>
        <v>#ERROR!</v>
      </c>
      <c r="Q1617" s="6" t="str">
        <f t="shared" si="1"/>
        <v>22-12-2025</v>
      </c>
      <c r="R1617" s="6" t="str">
        <f>IFERROR( VLOOKUP(C29462,[1]expressOrderReport!$S:$AZ,34,0),0)</f>
        <v>#ERROR!</v>
      </c>
      <c r="S1617" s="6" t="str">
        <f>ARRAY_CONSTRAIN(ARRAYFORMULA(_xludf.XLOOKUP(D29462,[1]order_Report_SA_ID_BB2.0!V:V,[1]order_Report_SA_ID_BB2.0!AM:AM,"")), 1, 1)</f>
        <v>#ERROR!</v>
      </c>
      <c r="T1617" s="6" t="str">
        <f t="shared" si="2"/>
        <v>Dec'25</v>
      </c>
    </row>
    <row r="1618" ht="15.75" customHeight="1">
      <c r="A1618" s="5">
        <v>46013.0</v>
      </c>
      <c r="B1618" s="6">
        <v>8135.0</v>
      </c>
      <c r="C1618" s="6">
        <v>1.859166572E9</v>
      </c>
      <c r="D1618" s="6">
        <v>2.0841283E7</v>
      </c>
      <c r="E1618" s="6" t="s">
        <v>2460</v>
      </c>
      <c r="F1618" s="6" t="s">
        <v>2461</v>
      </c>
      <c r="G1618" s="6">
        <v>8.853365796E9</v>
      </c>
      <c r="H1618" s="6">
        <v>4.0308499E7</v>
      </c>
      <c r="I1618" s="6" t="s">
        <v>371</v>
      </c>
      <c r="J1618" s="6" t="s">
        <v>21</v>
      </c>
      <c r="K1618" s="6" t="s">
        <v>22</v>
      </c>
      <c r="L1618" s="6">
        <v>100.0</v>
      </c>
      <c r="M1618" s="5">
        <v>46013.0</v>
      </c>
      <c r="N1618" s="6" t="s">
        <v>23</v>
      </c>
      <c r="O1618" s="6" t="str">
        <f>SUMIFS([1]order_sku_sales_bb2_report!P:P,[1]order_sku_sales_bb2_report!H:H,C29463,[1]order_sku_sales_bb2_report!J:J,H29463)</f>
        <v>#ERROR!</v>
      </c>
      <c r="P1618" s="6" t="str">
        <f>SUMIFS([1]order_sku_sales_bb2_report!O:O,[1]order_sku_sales_bb2_report!H:H,C29463,[1]order_sku_sales_bb2_report!J:J,H29463)</f>
        <v>#ERROR!</v>
      </c>
      <c r="Q1618" s="6" t="str">
        <f t="shared" si="1"/>
        <v>22-12-2025</v>
      </c>
      <c r="R1618" s="6" t="str">
        <f>IFERROR( VLOOKUP(C29463,[1]expressOrderReport!$S:$AZ,34,0),0)</f>
        <v>#ERROR!</v>
      </c>
      <c r="S1618" s="6" t="str">
        <f>ARRAY_CONSTRAIN(ARRAYFORMULA(_xludf.XLOOKUP(D29463,[1]order_Report_SA_ID_BB2.0!V:V,[1]order_Report_SA_ID_BB2.0!AM:AM,"")), 1, 1)</f>
        <v>#ERROR!</v>
      </c>
      <c r="T1618" s="6" t="str">
        <f t="shared" si="2"/>
        <v>Dec'25</v>
      </c>
    </row>
    <row r="1619" ht="15.75" customHeight="1">
      <c r="A1619" s="5">
        <v>46013.0</v>
      </c>
      <c r="B1619" s="6">
        <v>8139.0</v>
      </c>
      <c r="C1619" s="6">
        <v>1.859166581E9</v>
      </c>
      <c r="D1619" s="6">
        <v>1.6389089E7</v>
      </c>
      <c r="E1619" s="6" t="s">
        <v>2462</v>
      </c>
      <c r="F1619" s="6" t="s">
        <v>2463</v>
      </c>
      <c r="G1619" s="6">
        <v>9.632223327E9</v>
      </c>
      <c r="H1619" s="6">
        <v>4.0149832E7</v>
      </c>
      <c r="I1619" s="6" t="s">
        <v>26</v>
      </c>
      <c r="J1619" s="6" t="s">
        <v>21</v>
      </c>
      <c r="K1619" s="6" t="s">
        <v>27</v>
      </c>
      <c r="L1619" s="6">
        <v>24.0</v>
      </c>
      <c r="M1619" s="5">
        <v>46013.0</v>
      </c>
      <c r="N1619" s="6" t="s">
        <v>23</v>
      </c>
      <c r="O1619" s="6" t="str">
        <f>SUMIFS([1]order_sku_sales_bb2_report!P:P,[1]order_sku_sales_bb2_report!H:H,C29464,[1]order_sku_sales_bb2_report!J:J,H29464)</f>
        <v>#ERROR!</v>
      </c>
      <c r="P1619" s="6" t="str">
        <f>SUMIFS([1]order_sku_sales_bb2_report!O:O,[1]order_sku_sales_bb2_report!H:H,C29464,[1]order_sku_sales_bb2_report!J:J,H29464)</f>
        <v>#ERROR!</v>
      </c>
      <c r="Q1619" s="6" t="str">
        <f t="shared" si="1"/>
        <v>22-12-2025</v>
      </c>
      <c r="R1619" s="6" t="str">
        <f>IFERROR( VLOOKUP(C29464,[1]expressOrderReport!$S:$AZ,34,0),0)</f>
        <v>#ERROR!</v>
      </c>
      <c r="S1619" s="6" t="str">
        <f>ARRAY_CONSTRAIN(ARRAYFORMULA(_xludf.XLOOKUP(D29464,[1]order_Report_SA_ID_BB2.0!V:V,[1]order_Report_SA_ID_BB2.0!AM:AM,"")), 1, 1)</f>
        <v>#ERROR!</v>
      </c>
      <c r="T1619" s="6" t="str">
        <f t="shared" si="2"/>
        <v>Dec'25</v>
      </c>
    </row>
    <row r="1620" ht="15.75" customHeight="1">
      <c r="A1620" s="5">
        <v>46013.0</v>
      </c>
      <c r="B1620" s="6">
        <v>9627.0</v>
      </c>
      <c r="C1620" s="6">
        <v>1.859166587E9</v>
      </c>
      <c r="D1620" s="6">
        <v>2.9683563E7</v>
      </c>
      <c r="E1620" s="6" t="s">
        <v>2464</v>
      </c>
      <c r="F1620" s="6" t="s">
        <v>2465</v>
      </c>
      <c r="G1620" s="6">
        <v>7.225018046E9</v>
      </c>
      <c r="H1620" s="6">
        <v>4.0158264E7</v>
      </c>
      <c r="I1620" s="6" t="s">
        <v>26</v>
      </c>
      <c r="J1620" s="6" t="s">
        <v>21</v>
      </c>
      <c r="K1620" s="6" t="s">
        <v>22</v>
      </c>
      <c r="L1620" s="6">
        <v>92.0</v>
      </c>
      <c r="M1620" s="5">
        <v>46013.0</v>
      </c>
      <c r="N1620" s="6" t="s">
        <v>23</v>
      </c>
      <c r="O1620" s="6" t="str">
        <f>SUMIFS([1]order_sku_sales_bb2_report!P:P,[1]order_sku_sales_bb2_report!H:H,C29465,[1]order_sku_sales_bb2_report!J:J,H29465)</f>
        <v>#ERROR!</v>
      </c>
      <c r="P1620" s="6" t="str">
        <f>SUMIFS([1]order_sku_sales_bb2_report!O:O,[1]order_sku_sales_bb2_report!H:H,C29465,[1]order_sku_sales_bb2_report!J:J,H29465)</f>
        <v>#ERROR!</v>
      </c>
      <c r="Q1620" s="6" t="str">
        <f t="shared" si="1"/>
        <v>22-12-2025</v>
      </c>
      <c r="R1620" s="6" t="str">
        <f>IFERROR( VLOOKUP(C29465,[1]expressOrderReport!$S:$AZ,34,0),0)</f>
        <v>#ERROR!</v>
      </c>
      <c r="S1620" s="6" t="str">
        <f>ARRAY_CONSTRAIN(ARRAYFORMULA(_xludf.XLOOKUP(D29465,[1]order_Report_SA_ID_BB2.0!V:V,[1]order_Report_SA_ID_BB2.0!AM:AM,"")), 1, 1)</f>
        <v>#ERROR!</v>
      </c>
      <c r="T1620" s="6" t="str">
        <f t="shared" si="2"/>
        <v>Dec'25</v>
      </c>
    </row>
    <row r="1621" ht="15.75" customHeight="1">
      <c r="A1621" s="5">
        <v>46013.0</v>
      </c>
      <c r="B1621" s="6">
        <v>10206.0</v>
      </c>
      <c r="C1621" s="6">
        <v>1.85916659E9</v>
      </c>
      <c r="D1621" s="6">
        <v>8943727.0</v>
      </c>
      <c r="E1621" s="6" t="s">
        <v>2466</v>
      </c>
      <c r="F1621" s="6" t="s">
        <v>2467</v>
      </c>
      <c r="G1621" s="6">
        <v>9.916636919E9</v>
      </c>
      <c r="H1621" s="6">
        <v>4.0158264E7</v>
      </c>
      <c r="I1621" s="6" t="s">
        <v>26</v>
      </c>
      <c r="J1621" s="6" t="s">
        <v>21</v>
      </c>
      <c r="K1621" s="6" t="s">
        <v>22</v>
      </c>
      <c r="L1621" s="6">
        <v>46.0</v>
      </c>
      <c r="M1621" s="5">
        <v>46013.0</v>
      </c>
      <c r="N1621" s="6" t="s">
        <v>23</v>
      </c>
      <c r="O1621" s="6" t="str">
        <f>SUMIFS([1]order_sku_sales_bb2_report!P:P,[1]order_sku_sales_bb2_report!H:H,C29466,[1]order_sku_sales_bb2_report!J:J,H29466)</f>
        <v>#ERROR!</v>
      </c>
      <c r="P1621" s="6" t="str">
        <f>SUMIFS([1]order_sku_sales_bb2_report!O:O,[1]order_sku_sales_bb2_report!H:H,C29466,[1]order_sku_sales_bb2_report!J:J,H29466)</f>
        <v>#ERROR!</v>
      </c>
      <c r="Q1621" s="6" t="str">
        <f t="shared" si="1"/>
        <v>22-12-2025</v>
      </c>
      <c r="R1621" s="6" t="str">
        <f>IFERROR( VLOOKUP(C29466,[1]expressOrderReport!$S:$AZ,34,0),0)</f>
        <v>#ERROR!</v>
      </c>
      <c r="S1621" s="6" t="str">
        <f>ARRAY_CONSTRAIN(ARRAYFORMULA(_xludf.XLOOKUP(D29466,[1]order_Report_SA_ID_BB2.0!V:V,[1]order_Report_SA_ID_BB2.0!AM:AM,"")), 1, 1)</f>
        <v>#ERROR!</v>
      </c>
      <c r="T1621" s="6" t="str">
        <f t="shared" si="2"/>
        <v>Dec'25</v>
      </c>
    </row>
    <row r="1622" ht="15.75" customHeight="1">
      <c r="A1622" s="5">
        <v>46013.0</v>
      </c>
      <c r="B1622" s="6">
        <v>8275.0</v>
      </c>
      <c r="C1622" s="6">
        <v>1.859166596E9</v>
      </c>
      <c r="D1622" s="6">
        <v>2.0392893E7</v>
      </c>
      <c r="E1622" s="6" t="s">
        <v>2468</v>
      </c>
      <c r="F1622" s="6" t="s">
        <v>2469</v>
      </c>
      <c r="G1622" s="6">
        <v>8.086463622E9</v>
      </c>
      <c r="H1622" s="6">
        <v>4.0158264E7</v>
      </c>
      <c r="I1622" s="6" t="s">
        <v>26</v>
      </c>
      <c r="J1622" s="6" t="s">
        <v>21</v>
      </c>
      <c r="K1622" s="6" t="s">
        <v>22</v>
      </c>
      <c r="L1622" s="6">
        <v>70.0</v>
      </c>
      <c r="M1622" s="5">
        <v>46013.0</v>
      </c>
      <c r="N1622" s="6" t="s">
        <v>23</v>
      </c>
      <c r="O1622" s="6" t="str">
        <f>SUMIFS([1]order_sku_sales_bb2_report!P:P,[1]order_sku_sales_bb2_report!H:H,C29467,[1]order_sku_sales_bb2_report!J:J,H29467)</f>
        <v>#ERROR!</v>
      </c>
      <c r="P1622" s="6" t="str">
        <f>SUMIFS([1]order_sku_sales_bb2_report!O:O,[1]order_sku_sales_bb2_report!H:H,C29467,[1]order_sku_sales_bb2_report!J:J,H29467)</f>
        <v>#ERROR!</v>
      </c>
      <c r="Q1622" s="6" t="str">
        <f t="shared" si="1"/>
        <v>22-12-2025</v>
      </c>
      <c r="R1622" s="6" t="str">
        <f>IFERROR( VLOOKUP(C29467,[1]expressOrderReport!$S:$AZ,34,0),0)</f>
        <v>#ERROR!</v>
      </c>
      <c r="S1622" s="6" t="str">
        <f>ARRAY_CONSTRAIN(ARRAYFORMULA(_xludf.XLOOKUP(D29467,[1]order_Report_SA_ID_BB2.0!V:V,[1]order_Report_SA_ID_BB2.0!AM:AM,"")), 1, 1)</f>
        <v>#ERROR!</v>
      </c>
      <c r="T1622" s="6" t="str">
        <f t="shared" si="2"/>
        <v>Dec'25</v>
      </c>
    </row>
    <row r="1623" ht="15.75" customHeight="1">
      <c r="A1623" s="5">
        <v>46013.0</v>
      </c>
      <c r="B1623" s="6">
        <v>8276.0</v>
      </c>
      <c r="C1623" s="6">
        <v>1.859166596E9</v>
      </c>
      <c r="D1623" s="6">
        <v>2.0392893E7</v>
      </c>
      <c r="E1623" s="6" t="s">
        <v>2468</v>
      </c>
      <c r="F1623" s="6" t="s">
        <v>2469</v>
      </c>
      <c r="G1623" s="6">
        <v>8.086463622E9</v>
      </c>
      <c r="H1623" s="6">
        <v>4.0149832E7</v>
      </c>
      <c r="I1623" s="6" t="s">
        <v>26</v>
      </c>
      <c r="J1623" s="6" t="s">
        <v>21</v>
      </c>
      <c r="K1623" s="6" t="s">
        <v>22</v>
      </c>
      <c r="L1623" s="6">
        <v>70.0</v>
      </c>
      <c r="M1623" s="5">
        <v>46013.0</v>
      </c>
      <c r="N1623" s="6" t="s">
        <v>23</v>
      </c>
      <c r="O1623" s="6" t="str">
        <f>SUMIFS([1]order_sku_sales_bb2_report!P:P,[1]order_sku_sales_bb2_report!H:H,C29468,[1]order_sku_sales_bb2_report!J:J,H29468)</f>
        <v>#ERROR!</v>
      </c>
      <c r="P1623" s="6" t="str">
        <f>SUMIFS([1]order_sku_sales_bb2_report!O:O,[1]order_sku_sales_bb2_report!H:H,C29468,[1]order_sku_sales_bb2_report!J:J,H29468)</f>
        <v>#ERROR!</v>
      </c>
      <c r="Q1623" s="6" t="str">
        <f t="shared" si="1"/>
        <v>22-12-2025</v>
      </c>
      <c r="R1623" s="6" t="str">
        <f>IFERROR( VLOOKUP(C29468,[1]expressOrderReport!$S:$AZ,34,0),0)</f>
        <v>#ERROR!</v>
      </c>
      <c r="S1623" s="6" t="str">
        <f>ARRAY_CONSTRAIN(ARRAYFORMULA(_xludf.XLOOKUP(D29468,[1]order_Report_SA_ID_BB2.0!V:V,[1]order_Report_SA_ID_BB2.0!AM:AM,"")), 1, 1)</f>
        <v>#ERROR!</v>
      </c>
      <c r="T1623" s="6" t="str">
        <f t="shared" si="2"/>
        <v>Dec'25</v>
      </c>
    </row>
    <row r="1624" ht="15.75" customHeight="1">
      <c r="A1624" s="5">
        <v>46013.0</v>
      </c>
      <c r="B1624" s="6">
        <v>8281.0</v>
      </c>
      <c r="C1624" s="6">
        <v>1.859166601E9</v>
      </c>
      <c r="D1624" s="6">
        <v>1.0695093E7</v>
      </c>
      <c r="E1624" s="6" t="s">
        <v>2470</v>
      </c>
      <c r="F1624" s="6" t="s">
        <v>2471</v>
      </c>
      <c r="G1624" s="6">
        <v>9.243862718E9</v>
      </c>
      <c r="H1624" s="6">
        <v>4.0057966E7</v>
      </c>
      <c r="I1624" s="6" t="s">
        <v>173</v>
      </c>
      <c r="J1624" s="6" t="s">
        <v>21</v>
      </c>
      <c r="K1624" s="6" t="s">
        <v>22</v>
      </c>
      <c r="L1624" s="6">
        <v>53.6</v>
      </c>
      <c r="M1624" s="5">
        <v>46013.0</v>
      </c>
      <c r="N1624" s="6" t="s">
        <v>23</v>
      </c>
      <c r="O1624" s="6" t="str">
        <f>SUMIFS([1]order_sku_sales_bb2_report!P:P,[1]order_sku_sales_bb2_report!H:H,C29469,[1]order_sku_sales_bb2_report!J:J,H29469)</f>
        <v>#ERROR!</v>
      </c>
      <c r="P1624" s="6" t="str">
        <f>SUMIFS([1]order_sku_sales_bb2_report!O:O,[1]order_sku_sales_bb2_report!H:H,C29469,[1]order_sku_sales_bb2_report!J:J,H29469)</f>
        <v>#ERROR!</v>
      </c>
      <c r="Q1624" s="6" t="str">
        <f t="shared" si="1"/>
        <v>22-12-2025</v>
      </c>
      <c r="R1624" s="6" t="str">
        <f>IFERROR( VLOOKUP(C29469,[1]expressOrderReport!$S:$AZ,34,0),0)</f>
        <v>#ERROR!</v>
      </c>
      <c r="S1624" s="6" t="str">
        <f>ARRAY_CONSTRAIN(ARRAYFORMULA(_xludf.XLOOKUP(D29469,[1]order_Report_SA_ID_BB2.0!V:V,[1]order_Report_SA_ID_BB2.0!AM:AM,"")), 1, 1)</f>
        <v>#ERROR!</v>
      </c>
      <c r="T1624" s="6" t="str">
        <f t="shared" si="2"/>
        <v>Dec'25</v>
      </c>
    </row>
    <row r="1625" ht="15.75" customHeight="1">
      <c r="A1625" s="5">
        <v>46013.0</v>
      </c>
      <c r="B1625" s="6">
        <v>8292.0</v>
      </c>
      <c r="C1625" s="6">
        <v>1.859166611E9</v>
      </c>
      <c r="D1625" s="6">
        <v>80905.0</v>
      </c>
      <c r="E1625" s="6" t="s">
        <v>2472</v>
      </c>
      <c r="F1625" s="6"/>
      <c r="G1625" s="6">
        <v>9.73115403E9</v>
      </c>
      <c r="H1625" s="6">
        <v>4.0158264E7</v>
      </c>
      <c r="I1625" s="6" t="s">
        <v>26</v>
      </c>
      <c r="J1625" s="6" t="s">
        <v>21</v>
      </c>
      <c r="K1625" s="6" t="s">
        <v>22</v>
      </c>
      <c r="L1625" s="6">
        <v>114.0</v>
      </c>
      <c r="M1625" s="5">
        <v>46013.0</v>
      </c>
      <c r="N1625" s="6" t="s">
        <v>23</v>
      </c>
      <c r="O1625" s="6" t="str">
        <f>SUMIFS([1]order_sku_sales_bb2_report!P:P,[1]order_sku_sales_bb2_report!H:H,C29470,[1]order_sku_sales_bb2_report!J:J,H29470)</f>
        <v>#ERROR!</v>
      </c>
      <c r="P1625" s="6" t="str">
        <f>SUMIFS([1]order_sku_sales_bb2_report!O:O,[1]order_sku_sales_bb2_report!H:H,C29470,[1]order_sku_sales_bb2_report!J:J,H29470)</f>
        <v>#ERROR!</v>
      </c>
      <c r="Q1625" s="6" t="str">
        <f t="shared" si="1"/>
        <v>22-12-2025</v>
      </c>
      <c r="R1625" s="6" t="str">
        <f>IFERROR( VLOOKUP(C29470,[1]expressOrderReport!$S:$AZ,34,0),0)</f>
        <v>#ERROR!</v>
      </c>
      <c r="S1625" s="6" t="str">
        <f>ARRAY_CONSTRAIN(ARRAYFORMULA(_xludf.XLOOKUP(D29470,[1]order_Report_SA_ID_BB2.0!V:V,[1]order_Report_SA_ID_BB2.0!AM:AM,"")), 1, 1)</f>
        <v>#ERROR!</v>
      </c>
      <c r="T1625" s="6" t="str">
        <f t="shared" si="2"/>
        <v>Dec'25</v>
      </c>
    </row>
    <row r="1626" ht="15.75" customHeight="1">
      <c r="A1626" s="5">
        <v>46013.0</v>
      </c>
      <c r="B1626" s="6">
        <v>8293.0</v>
      </c>
      <c r="C1626" s="6">
        <v>1.859166611E9</v>
      </c>
      <c r="D1626" s="6">
        <v>80905.0</v>
      </c>
      <c r="E1626" s="6" t="s">
        <v>2472</v>
      </c>
      <c r="F1626" s="6"/>
      <c r="G1626" s="6">
        <v>9.73115403E9</v>
      </c>
      <c r="H1626" s="6">
        <v>4.0308499E7</v>
      </c>
      <c r="I1626" s="6" t="s">
        <v>371</v>
      </c>
      <c r="J1626" s="6" t="s">
        <v>21</v>
      </c>
      <c r="K1626" s="6" t="s">
        <v>22</v>
      </c>
      <c r="L1626" s="6">
        <v>114.0</v>
      </c>
      <c r="M1626" s="5">
        <v>46013.0</v>
      </c>
      <c r="N1626" s="6" t="s">
        <v>23</v>
      </c>
      <c r="O1626" s="6" t="str">
        <f>SUMIFS([1]order_sku_sales_bb2_report!P:P,[1]order_sku_sales_bb2_report!H:H,C29471,[1]order_sku_sales_bb2_report!J:J,H29471)</f>
        <v>#ERROR!</v>
      </c>
      <c r="P1626" s="6" t="str">
        <f>SUMIFS([1]order_sku_sales_bb2_report!O:O,[1]order_sku_sales_bb2_report!H:H,C29471,[1]order_sku_sales_bb2_report!J:J,H29471)</f>
        <v>#ERROR!</v>
      </c>
      <c r="Q1626" s="6" t="str">
        <f t="shared" si="1"/>
        <v>22-12-2025</v>
      </c>
      <c r="R1626" s="6" t="str">
        <f>IFERROR( VLOOKUP(C29471,[1]expressOrderReport!$S:$AZ,34,0),0)</f>
        <v>#ERROR!</v>
      </c>
      <c r="S1626" s="6" t="str">
        <f>ARRAY_CONSTRAIN(ARRAYFORMULA(_xludf.XLOOKUP(D29471,[1]order_Report_SA_ID_BB2.0!V:V,[1]order_Report_SA_ID_BB2.0!AM:AM,"")), 1, 1)</f>
        <v>#ERROR!</v>
      </c>
      <c r="T1626" s="6" t="str">
        <f t="shared" si="2"/>
        <v>Dec'25</v>
      </c>
    </row>
    <row r="1627" ht="15.75" customHeight="1">
      <c r="A1627" s="5">
        <v>46013.0</v>
      </c>
      <c r="B1627" s="6">
        <v>8301.0</v>
      </c>
      <c r="C1627" s="6">
        <v>1.859166622E9</v>
      </c>
      <c r="D1627" s="6">
        <v>8050161.0</v>
      </c>
      <c r="E1627" s="6" t="s">
        <v>2473</v>
      </c>
      <c r="F1627" s="6" t="s">
        <v>2474</v>
      </c>
      <c r="G1627" s="6">
        <v>8.106341307E9</v>
      </c>
      <c r="H1627" s="6">
        <v>4.014983E7</v>
      </c>
      <c r="I1627" s="6" t="s">
        <v>30</v>
      </c>
      <c r="J1627" s="6" t="s">
        <v>21</v>
      </c>
      <c r="K1627" s="6" t="s">
        <v>22</v>
      </c>
      <c r="L1627" s="6">
        <v>150.0</v>
      </c>
      <c r="M1627" s="5">
        <v>46013.0</v>
      </c>
      <c r="N1627" s="6" t="s">
        <v>23</v>
      </c>
      <c r="O1627" s="6" t="str">
        <f>SUMIFS([1]order_sku_sales_bb2_report!P:P,[1]order_sku_sales_bb2_report!H:H,C29472,[1]order_sku_sales_bb2_report!J:J,H29472)</f>
        <v>#ERROR!</v>
      </c>
      <c r="P1627" s="6" t="str">
        <f>SUMIFS([1]order_sku_sales_bb2_report!O:O,[1]order_sku_sales_bb2_report!H:H,C29472,[1]order_sku_sales_bb2_report!J:J,H29472)</f>
        <v>#ERROR!</v>
      </c>
      <c r="Q1627" s="6" t="str">
        <f t="shared" si="1"/>
        <v>22-12-2025</v>
      </c>
      <c r="R1627" s="6" t="str">
        <f>IFERROR( VLOOKUP(C29472,[1]expressOrderReport!$S:$AZ,34,0),0)</f>
        <v>#ERROR!</v>
      </c>
      <c r="S1627" s="6" t="str">
        <f>ARRAY_CONSTRAIN(ARRAYFORMULA(_xludf.XLOOKUP(D29472,[1]order_Report_SA_ID_BB2.0!V:V,[1]order_Report_SA_ID_BB2.0!AM:AM,"")), 1, 1)</f>
        <v>#ERROR!</v>
      </c>
      <c r="T1627" s="6" t="str">
        <f t="shared" si="2"/>
        <v>Dec'25</v>
      </c>
    </row>
    <row r="1628" ht="15.75" customHeight="1">
      <c r="A1628" s="5">
        <v>46013.0</v>
      </c>
      <c r="B1628" s="6">
        <v>8302.0</v>
      </c>
      <c r="C1628" s="6">
        <v>1.859166622E9</v>
      </c>
      <c r="D1628" s="6">
        <v>8050161.0</v>
      </c>
      <c r="E1628" s="6" t="s">
        <v>2473</v>
      </c>
      <c r="F1628" s="6" t="s">
        <v>2474</v>
      </c>
      <c r="G1628" s="6">
        <v>8.106341307E9</v>
      </c>
      <c r="H1628" s="6">
        <v>4.0148714E7</v>
      </c>
      <c r="I1628" s="6" t="s">
        <v>183</v>
      </c>
      <c r="J1628" s="6" t="s">
        <v>21</v>
      </c>
      <c r="K1628" s="6" t="s">
        <v>22</v>
      </c>
      <c r="L1628" s="6">
        <v>150.0</v>
      </c>
      <c r="M1628" s="5">
        <v>46013.0</v>
      </c>
      <c r="N1628" s="6" t="s">
        <v>23</v>
      </c>
      <c r="O1628" s="6" t="str">
        <f>SUMIFS([1]order_sku_sales_bb2_report!P:P,[1]order_sku_sales_bb2_report!H:H,C29473,[1]order_sku_sales_bb2_report!J:J,H29473)</f>
        <v>#ERROR!</v>
      </c>
      <c r="P1628" s="6" t="str">
        <f>SUMIFS([1]order_sku_sales_bb2_report!O:O,[1]order_sku_sales_bb2_report!H:H,C29473,[1]order_sku_sales_bb2_report!J:J,H29473)</f>
        <v>#ERROR!</v>
      </c>
      <c r="Q1628" s="6" t="str">
        <f t="shared" si="1"/>
        <v>22-12-2025</v>
      </c>
      <c r="R1628" s="6" t="str">
        <f>IFERROR( VLOOKUP(C29473,[1]expressOrderReport!$S:$AZ,34,0),0)</f>
        <v>#ERROR!</v>
      </c>
      <c r="S1628" s="6" t="str">
        <f>ARRAY_CONSTRAIN(ARRAYFORMULA(_xludf.XLOOKUP(D29473,[1]order_Report_SA_ID_BB2.0!V:V,[1]order_Report_SA_ID_BB2.0!AM:AM,"")), 1, 1)</f>
        <v>#ERROR!</v>
      </c>
      <c r="T1628" s="6" t="str">
        <f t="shared" si="2"/>
        <v>Dec'25</v>
      </c>
    </row>
    <row r="1629" ht="15.75" customHeight="1">
      <c r="A1629" s="5">
        <v>46013.0</v>
      </c>
      <c r="B1629" s="6">
        <v>8305.0</v>
      </c>
      <c r="C1629" s="6">
        <v>1.859166627E9</v>
      </c>
      <c r="D1629" s="6">
        <v>2.2311754E7</v>
      </c>
      <c r="E1629" s="6" t="s">
        <v>2475</v>
      </c>
      <c r="F1629" s="6" t="s">
        <v>2476</v>
      </c>
      <c r="G1629" s="6">
        <v>9.966001748E9</v>
      </c>
      <c r="H1629" s="6">
        <v>4.0090893E7</v>
      </c>
      <c r="I1629" s="6" t="s">
        <v>35</v>
      </c>
      <c r="J1629" s="6" t="s">
        <v>21</v>
      </c>
      <c r="K1629" s="6" t="s">
        <v>22</v>
      </c>
      <c r="L1629" s="6">
        <v>66.0</v>
      </c>
      <c r="M1629" s="5">
        <v>46013.0</v>
      </c>
      <c r="N1629" s="6" t="s">
        <v>23</v>
      </c>
      <c r="O1629" s="6" t="str">
        <f>SUMIFS([1]order_sku_sales_bb2_report!P:P,[1]order_sku_sales_bb2_report!H:H,C29474,[1]order_sku_sales_bb2_report!J:J,H29474)</f>
        <v>#ERROR!</v>
      </c>
      <c r="P1629" s="6" t="str">
        <f>SUMIFS([1]order_sku_sales_bb2_report!O:O,[1]order_sku_sales_bb2_report!H:H,C29474,[1]order_sku_sales_bb2_report!J:J,H29474)</f>
        <v>#ERROR!</v>
      </c>
      <c r="Q1629" s="6" t="str">
        <f t="shared" si="1"/>
        <v>22-12-2025</v>
      </c>
      <c r="R1629" s="6" t="str">
        <f>IFERROR( VLOOKUP(C29474,[1]expressOrderReport!$S:$AZ,34,0),0)</f>
        <v>#ERROR!</v>
      </c>
      <c r="S1629" s="6" t="str">
        <f>ARRAY_CONSTRAIN(ARRAYFORMULA(_xludf.XLOOKUP(D29474,[1]order_Report_SA_ID_BB2.0!V:V,[1]order_Report_SA_ID_BB2.0!AM:AM,"")), 1, 1)</f>
        <v>#ERROR!</v>
      </c>
      <c r="T1629" s="6" t="str">
        <f t="shared" si="2"/>
        <v>Dec'25</v>
      </c>
    </row>
    <row r="1630" ht="15.75" customHeight="1">
      <c r="A1630" s="5">
        <v>46013.0</v>
      </c>
      <c r="B1630" s="6">
        <v>8313.0</v>
      </c>
      <c r="C1630" s="6">
        <v>1.859166639E9</v>
      </c>
      <c r="D1630" s="6">
        <v>2.673797E7</v>
      </c>
      <c r="E1630" s="6" t="s">
        <v>625</v>
      </c>
      <c r="F1630" s="6" t="s">
        <v>2477</v>
      </c>
      <c r="G1630" s="6">
        <v>8.762302866E9</v>
      </c>
      <c r="H1630" s="6">
        <v>4.0149832E7</v>
      </c>
      <c r="I1630" s="6" t="s">
        <v>26</v>
      </c>
      <c r="J1630" s="6" t="s">
        <v>21</v>
      </c>
      <c r="K1630" s="6" t="s">
        <v>22</v>
      </c>
      <c r="L1630" s="6">
        <v>24.0</v>
      </c>
      <c r="M1630" s="5">
        <v>46013.0</v>
      </c>
      <c r="N1630" s="6" t="s">
        <v>23</v>
      </c>
      <c r="O1630" s="6" t="str">
        <f>SUMIFS([1]order_sku_sales_bb2_report!P:P,[1]order_sku_sales_bb2_report!H:H,C29475,[1]order_sku_sales_bb2_report!J:J,H29475)</f>
        <v>#ERROR!</v>
      </c>
      <c r="P1630" s="6" t="str">
        <f>SUMIFS([1]order_sku_sales_bb2_report!O:O,[1]order_sku_sales_bb2_report!H:H,C29475,[1]order_sku_sales_bb2_report!J:J,H29475)</f>
        <v>#ERROR!</v>
      </c>
      <c r="Q1630" s="6" t="str">
        <f t="shared" si="1"/>
        <v>22-12-2025</v>
      </c>
      <c r="R1630" s="6" t="str">
        <f>IFERROR( VLOOKUP(C29475,[1]expressOrderReport!$S:$AZ,34,0),0)</f>
        <v>#ERROR!</v>
      </c>
      <c r="S1630" s="6" t="str">
        <f>ARRAY_CONSTRAIN(ARRAYFORMULA(_xludf.XLOOKUP(D29475,[1]order_Report_SA_ID_BB2.0!V:V,[1]order_Report_SA_ID_BB2.0!AM:AM,"")), 1, 1)</f>
        <v>#ERROR!</v>
      </c>
      <c r="T1630" s="6" t="str">
        <f t="shared" si="2"/>
        <v>Dec'25</v>
      </c>
    </row>
    <row r="1631" ht="15.75" customHeight="1">
      <c r="A1631" s="5">
        <v>46013.0</v>
      </c>
      <c r="B1631" s="6">
        <v>8314.0</v>
      </c>
      <c r="C1631" s="6">
        <v>1.859166648E9</v>
      </c>
      <c r="D1631" s="6">
        <v>2.6738498E7</v>
      </c>
      <c r="E1631" s="6" t="s">
        <v>625</v>
      </c>
      <c r="F1631" s="6" t="s">
        <v>2478</v>
      </c>
      <c r="G1631" s="6">
        <v>9.731318045E9</v>
      </c>
      <c r="H1631" s="6">
        <v>4.0149833E7</v>
      </c>
      <c r="I1631" s="6" t="s">
        <v>40</v>
      </c>
      <c r="J1631" s="6" t="s">
        <v>21</v>
      </c>
      <c r="K1631" s="6" t="s">
        <v>22</v>
      </c>
      <c r="L1631" s="6">
        <v>27.0</v>
      </c>
      <c r="M1631" s="5">
        <v>46013.0</v>
      </c>
      <c r="N1631" s="6" t="s">
        <v>23</v>
      </c>
      <c r="O1631" s="6" t="str">
        <f>SUMIFS([1]order_sku_sales_bb2_report!P:P,[1]order_sku_sales_bb2_report!H:H,C29476,[1]order_sku_sales_bb2_report!J:J,H29476)</f>
        <v>#ERROR!</v>
      </c>
      <c r="P1631" s="6" t="str">
        <f>SUMIFS([1]order_sku_sales_bb2_report!O:O,[1]order_sku_sales_bb2_report!H:H,C29476,[1]order_sku_sales_bb2_report!J:J,H29476)</f>
        <v>#ERROR!</v>
      </c>
      <c r="Q1631" s="6" t="str">
        <f t="shared" si="1"/>
        <v>22-12-2025</v>
      </c>
      <c r="R1631" s="6" t="str">
        <f>IFERROR( VLOOKUP(C29476,[1]expressOrderReport!$S:$AZ,34,0),0)</f>
        <v>#ERROR!</v>
      </c>
      <c r="S1631" s="6" t="str">
        <f>ARRAY_CONSTRAIN(ARRAYFORMULA(_xludf.XLOOKUP(D29476,[1]order_Report_SA_ID_BB2.0!V:V,[1]order_Report_SA_ID_BB2.0!AM:AM,"")), 1, 1)</f>
        <v>#ERROR!</v>
      </c>
      <c r="T1631" s="6" t="str">
        <f t="shared" si="2"/>
        <v>Dec'25</v>
      </c>
    </row>
    <row r="1632" ht="15.75" customHeight="1">
      <c r="A1632" s="5">
        <v>46013.0</v>
      </c>
      <c r="B1632" s="6">
        <v>8315.0</v>
      </c>
      <c r="C1632" s="6">
        <v>1.859166658E9</v>
      </c>
      <c r="D1632" s="6">
        <v>482857.0</v>
      </c>
      <c r="E1632" s="6" t="s">
        <v>2479</v>
      </c>
      <c r="F1632" s="6" t="s">
        <v>2480</v>
      </c>
      <c r="G1632" s="6">
        <v>9.741836174E9</v>
      </c>
      <c r="H1632" s="6">
        <v>4.0149833E7</v>
      </c>
      <c r="I1632" s="6" t="s">
        <v>40</v>
      </c>
      <c r="J1632" s="6" t="s">
        <v>21</v>
      </c>
      <c r="K1632" s="6" t="s">
        <v>22</v>
      </c>
      <c r="L1632" s="6">
        <v>54.0</v>
      </c>
      <c r="M1632" s="5">
        <v>46013.0</v>
      </c>
      <c r="N1632" s="6" t="s">
        <v>23</v>
      </c>
      <c r="O1632" s="6" t="str">
        <f>SUMIFS([1]order_sku_sales_bb2_report!P:P,[1]order_sku_sales_bb2_report!H:H,C29477,[1]order_sku_sales_bb2_report!J:J,H29477)</f>
        <v>#ERROR!</v>
      </c>
      <c r="P1632" s="6" t="str">
        <f>SUMIFS([1]order_sku_sales_bb2_report!O:O,[1]order_sku_sales_bb2_report!H:H,C29477,[1]order_sku_sales_bb2_report!J:J,H29477)</f>
        <v>#ERROR!</v>
      </c>
      <c r="Q1632" s="6" t="str">
        <f t="shared" si="1"/>
        <v>22-12-2025</v>
      </c>
      <c r="R1632" s="6" t="str">
        <f>IFERROR( VLOOKUP(C29477,[1]expressOrderReport!$S:$AZ,34,0),0)</f>
        <v>#ERROR!</v>
      </c>
      <c r="S1632" s="6" t="str">
        <f>ARRAY_CONSTRAIN(ARRAYFORMULA(_xludf.XLOOKUP(D29477,[1]order_Report_SA_ID_BB2.0!V:V,[1]order_Report_SA_ID_BB2.0!AM:AM,"")), 1, 1)</f>
        <v>#ERROR!</v>
      </c>
      <c r="T1632" s="6" t="str">
        <f t="shared" si="2"/>
        <v>Dec'25</v>
      </c>
    </row>
    <row r="1633" ht="15.75" customHeight="1">
      <c r="A1633" s="5">
        <v>46013.0</v>
      </c>
      <c r="B1633" s="6">
        <v>8316.0</v>
      </c>
      <c r="C1633" s="6">
        <v>1.859166667E9</v>
      </c>
      <c r="D1633" s="6">
        <v>2.3829349E7</v>
      </c>
      <c r="E1633" s="6" t="s">
        <v>625</v>
      </c>
      <c r="F1633" s="6" t="s">
        <v>2481</v>
      </c>
      <c r="G1633" s="6">
        <v>7.046046031E9</v>
      </c>
      <c r="H1633" s="6">
        <v>4.0161616E7</v>
      </c>
      <c r="I1633" s="6" t="s">
        <v>20</v>
      </c>
      <c r="J1633" s="6" t="s">
        <v>21</v>
      </c>
      <c r="K1633" s="6" t="s">
        <v>22</v>
      </c>
      <c r="L1633" s="6">
        <v>185.0</v>
      </c>
      <c r="M1633" s="5">
        <v>46013.0</v>
      </c>
      <c r="N1633" s="6" t="s">
        <v>23</v>
      </c>
      <c r="O1633" s="6" t="str">
        <f>SUMIFS([1]order_sku_sales_bb2_report!P:P,[1]order_sku_sales_bb2_report!H:H,C29478,[1]order_sku_sales_bb2_report!J:J,H29478)</f>
        <v>#ERROR!</v>
      </c>
      <c r="P1633" s="6" t="str">
        <f>SUMIFS([1]order_sku_sales_bb2_report!O:O,[1]order_sku_sales_bb2_report!H:H,C29478,[1]order_sku_sales_bb2_report!J:J,H29478)</f>
        <v>#ERROR!</v>
      </c>
      <c r="Q1633" s="6" t="str">
        <f t="shared" si="1"/>
        <v>22-12-2025</v>
      </c>
      <c r="R1633" s="6" t="str">
        <f>IFERROR( VLOOKUP(C29478,[1]expressOrderReport!$S:$AZ,34,0),0)</f>
        <v>#ERROR!</v>
      </c>
      <c r="S1633" s="6" t="str">
        <f>ARRAY_CONSTRAIN(ARRAYFORMULA(_xludf.XLOOKUP(D29478,[1]order_Report_SA_ID_BB2.0!V:V,[1]order_Report_SA_ID_BB2.0!AM:AM,"")), 1, 1)</f>
        <v>#ERROR!</v>
      </c>
      <c r="T1633" s="6" t="str">
        <f t="shared" si="2"/>
        <v>Dec'25</v>
      </c>
    </row>
    <row r="1634" ht="15.75" customHeight="1">
      <c r="A1634" s="5">
        <v>46013.0</v>
      </c>
      <c r="B1634" s="6">
        <v>8317.0</v>
      </c>
      <c r="C1634" s="6">
        <v>1.859166667E9</v>
      </c>
      <c r="D1634" s="6">
        <v>2.3829349E7</v>
      </c>
      <c r="E1634" s="6" t="s">
        <v>625</v>
      </c>
      <c r="F1634" s="6" t="s">
        <v>2481</v>
      </c>
      <c r="G1634" s="6">
        <v>7.046046031E9</v>
      </c>
      <c r="H1634" s="6">
        <v>4.0148716E7</v>
      </c>
      <c r="I1634" s="6" t="s">
        <v>148</v>
      </c>
      <c r="J1634" s="6" t="s">
        <v>21</v>
      </c>
      <c r="K1634" s="6" t="s">
        <v>22</v>
      </c>
      <c r="L1634" s="6">
        <v>185.0</v>
      </c>
      <c r="M1634" s="5">
        <v>46013.0</v>
      </c>
      <c r="N1634" s="6" t="s">
        <v>23</v>
      </c>
      <c r="O1634" s="6" t="str">
        <f>SUMIFS([1]order_sku_sales_bb2_report!P:P,[1]order_sku_sales_bb2_report!H:H,C29479,[1]order_sku_sales_bb2_report!J:J,H29479)</f>
        <v>#ERROR!</v>
      </c>
      <c r="P1634" s="6" t="str">
        <f>SUMIFS([1]order_sku_sales_bb2_report!O:O,[1]order_sku_sales_bb2_report!H:H,C29479,[1]order_sku_sales_bb2_report!J:J,H29479)</f>
        <v>#ERROR!</v>
      </c>
      <c r="Q1634" s="6" t="str">
        <f t="shared" si="1"/>
        <v>22-12-2025</v>
      </c>
      <c r="R1634" s="6" t="str">
        <f>IFERROR( VLOOKUP(C29479,[1]expressOrderReport!$S:$AZ,34,0),0)</f>
        <v>#ERROR!</v>
      </c>
      <c r="S1634" s="6" t="str">
        <f>ARRAY_CONSTRAIN(ARRAYFORMULA(_xludf.XLOOKUP(D29479,[1]order_Report_SA_ID_BB2.0!V:V,[1]order_Report_SA_ID_BB2.0!AM:AM,"")), 1, 1)</f>
        <v>#ERROR!</v>
      </c>
      <c r="T1634" s="6" t="str">
        <f t="shared" si="2"/>
        <v>Dec'25</v>
      </c>
    </row>
    <row r="1635" ht="15.75" customHeight="1">
      <c r="A1635" s="5">
        <v>46013.0</v>
      </c>
      <c r="B1635" s="6">
        <v>8328.0</v>
      </c>
      <c r="C1635" s="6">
        <v>1.85916668E9</v>
      </c>
      <c r="D1635" s="6">
        <v>2.368853E7</v>
      </c>
      <c r="E1635" s="6" t="s">
        <v>2482</v>
      </c>
      <c r="F1635" s="6" t="s">
        <v>2483</v>
      </c>
      <c r="G1635" s="6">
        <v>9.939804754E9</v>
      </c>
      <c r="H1635" s="6">
        <v>4.0149831E7</v>
      </c>
      <c r="I1635" s="6" t="s">
        <v>65</v>
      </c>
      <c r="J1635" s="6" t="s">
        <v>21</v>
      </c>
      <c r="K1635" s="6" t="s">
        <v>22</v>
      </c>
      <c r="L1635" s="6">
        <v>52.0</v>
      </c>
      <c r="M1635" s="5">
        <v>46013.0</v>
      </c>
      <c r="N1635" s="6" t="s">
        <v>23</v>
      </c>
      <c r="O1635" s="6" t="str">
        <f>SUMIFS([1]order_sku_sales_bb2_report!P:P,[1]order_sku_sales_bb2_report!H:H,C29480,[1]order_sku_sales_bb2_report!J:J,H29480)</f>
        <v>#ERROR!</v>
      </c>
      <c r="P1635" s="6" t="str">
        <f>SUMIFS([1]order_sku_sales_bb2_report!O:O,[1]order_sku_sales_bb2_report!H:H,C29480,[1]order_sku_sales_bb2_report!J:J,H29480)</f>
        <v>#ERROR!</v>
      </c>
      <c r="Q1635" s="6" t="str">
        <f t="shared" si="1"/>
        <v>22-12-2025</v>
      </c>
      <c r="R1635" s="6" t="str">
        <f>IFERROR( VLOOKUP(C29480,[1]expressOrderReport!$S:$AZ,34,0),0)</f>
        <v>#ERROR!</v>
      </c>
      <c r="S1635" s="6" t="str">
        <f>ARRAY_CONSTRAIN(ARRAYFORMULA(_xludf.XLOOKUP(D29480,[1]order_Report_SA_ID_BB2.0!V:V,[1]order_Report_SA_ID_BB2.0!AM:AM,"")), 1, 1)</f>
        <v>#ERROR!</v>
      </c>
      <c r="T1635" s="6" t="str">
        <f t="shared" si="2"/>
        <v>Dec'25</v>
      </c>
    </row>
    <row r="1636" ht="15.75" customHeight="1">
      <c r="A1636" s="5">
        <v>46013.0</v>
      </c>
      <c r="B1636" s="6">
        <v>8332.0</v>
      </c>
      <c r="C1636" s="6">
        <v>1.859166689E9</v>
      </c>
      <c r="D1636" s="6">
        <v>2.8801492E7</v>
      </c>
      <c r="E1636" s="6" t="s">
        <v>2484</v>
      </c>
      <c r="F1636" s="6" t="s">
        <v>2485</v>
      </c>
      <c r="G1636" s="6">
        <v>7.259710032E9</v>
      </c>
      <c r="H1636" s="6">
        <v>4.0158264E7</v>
      </c>
      <c r="I1636" s="6" t="s">
        <v>26</v>
      </c>
      <c r="J1636" s="6" t="s">
        <v>21</v>
      </c>
      <c r="K1636" s="6" t="s">
        <v>22</v>
      </c>
      <c r="L1636" s="6">
        <v>138.0</v>
      </c>
      <c r="M1636" s="5">
        <v>46013.0</v>
      </c>
      <c r="N1636" s="6" t="s">
        <v>23</v>
      </c>
      <c r="O1636" s="6" t="str">
        <f>SUMIFS([1]order_sku_sales_bb2_report!P:P,[1]order_sku_sales_bb2_report!H:H,C29481,[1]order_sku_sales_bb2_report!J:J,H29481)</f>
        <v>#ERROR!</v>
      </c>
      <c r="P1636" s="6" t="str">
        <f>SUMIFS([1]order_sku_sales_bb2_report!O:O,[1]order_sku_sales_bb2_report!H:H,C29481,[1]order_sku_sales_bb2_report!J:J,H29481)</f>
        <v>#ERROR!</v>
      </c>
      <c r="Q1636" s="6" t="str">
        <f t="shared" si="1"/>
        <v>22-12-2025</v>
      </c>
      <c r="R1636" s="6" t="str">
        <f>IFERROR( VLOOKUP(C29481,[1]expressOrderReport!$S:$AZ,34,0),0)</f>
        <v>#ERROR!</v>
      </c>
      <c r="S1636" s="6" t="str">
        <f>ARRAY_CONSTRAIN(ARRAYFORMULA(_xludf.XLOOKUP(D29481,[1]order_Report_SA_ID_BB2.0!V:V,[1]order_Report_SA_ID_BB2.0!AM:AM,"")), 1, 1)</f>
        <v>#ERROR!</v>
      </c>
      <c r="T1636" s="6" t="str">
        <f t="shared" si="2"/>
        <v>Dec'25</v>
      </c>
    </row>
    <row r="1637" ht="15.75" customHeight="1">
      <c r="A1637" s="5">
        <v>46013.0</v>
      </c>
      <c r="B1637" s="6">
        <v>8356.0</v>
      </c>
      <c r="C1637" s="6">
        <v>1.859166701E9</v>
      </c>
      <c r="D1637" s="6">
        <v>3.0994401E7</v>
      </c>
      <c r="E1637" s="6" t="s">
        <v>625</v>
      </c>
      <c r="F1637" s="6" t="s">
        <v>2486</v>
      </c>
      <c r="G1637" s="6">
        <v>6.36401651E9</v>
      </c>
      <c r="H1637" s="6">
        <v>4.0158264E7</v>
      </c>
      <c r="I1637" s="6" t="s">
        <v>26</v>
      </c>
      <c r="J1637" s="6" t="s">
        <v>21</v>
      </c>
      <c r="K1637" s="6" t="s">
        <v>22</v>
      </c>
      <c r="L1637" s="6">
        <v>46.0</v>
      </c>
      <c r="M1637" s="5">
        <v>46013.0</v>
      </c>
      <c r="N1637" s="6" t="s">
        <v>23</v>
      </c>
      <c r="O1637" s="6" t="str">
        <f>SUMIFS([1]order_sku_sales_bb2_report!P:P,[1]order_sku_sales_bb2_report!H:H,C29483,[1]order_sku_sales_bb2_report!J:J,H29483)</f>
        <v>#ERROR!</v>
      </c>
      <c r="P1637" s="6" t="str">
        <f>SUMIFS([1]order_sku_sales_bb2_report!O:O,[1]order_sku_sales_bb2_report!H:H,C29483,[1]order_sku_sales_bb2_report!J:J,H29483)</f>
        <v>#ERROR!</v>
      </c>
      <c r="Q1637" s="6" t="str">
        <f t="shared" si="1"/>
        <v>22-12-2025</v>
      </c>
      <c r="R1637" s="6" t="str">
        <f>IFERROR( VLOOKUP(C29483,[1]expressOrderReport!$S:$AZ,34,0),0)</f>
        <v>#ERROR!</v>
      </c>
      <c r="S1637" s="6" t="str">
        <f>ARRAY_CONSTRAIN(ARRAYFORMULA(_xludf.XLOOKUP(D29483,[1]order_Report_SA_ID_BB2.0!V:V,[1]order_Report_SA_ID_BB2.0!AM:AM,"")), 1, 1)</f>
        <v>#ERROR!</v>
      </c>
      <c r="T1637" s="6" t="str">
        <f t="shared" si="2"/>
        <v>Dec'25</v>
      </c>
    </row>
    <row r="1638" ht="15.75" customHeight="1">
      <c r="A1638" s="5">
        <v>46013.0</v>
      </c>
      <c r="B1638" s="6">
        <v>9868.0</v>
      </c>
      <c r="C1638" s="6">
        <v>1.859166717E9</v>
      </c>
      <c r="D1638" s="6">
        <v>2760417.0</v>
      </c>
      <c r="E1638" s="6" t="s">
        <v>2487</v>
      </c>
      <c r="F1638" s="6" t="s">
        <v>2488</v>
      </c>
      <c r="G1638" s="6">
        <v>8.686585007E9</v>
      </c>
      <c r="H1638" s="6">
        <v>4.0147597E7</v>
      </c>
      <c r="I1638" s="6" t="s">
        <v>59</v>
      </c>
      <c r="J1638" s="6" t="s">
        <v>21</v>
      </c>
      <c r="K1638" s="6" t="s">
        <v>22</v>
      </c>
      <c r="L1638" s="6">
        <v>26.0</v>
      </c>
      <c r="M1638" s="5">
        <v>46013.0</v>
      </c>
      <c r="N1638" s="6" t="s">
        <v>23</v>
      </c>
      <c r="O1638" s="6" t="str">
        <f>SUMIFS([1]order_sku_sales_bb2_report!P:P,[1]order_sku_sales_bb2_report!H:H,C29488,[1]order_sku_sales_bb2_report!J:J,H29488)</f>
        <v>#ERROR!</v>
      </c>
      <c r="P1638" s="6" t="str">
        <f>SUMIFS([1]order_sku_sales_bb2_report!O:O,[1]order_sku_sales_bb2_report!H:H,C29488,[1]order_sku_sales_bb2_report!J:J,H29488)</f>
        <v>#ERROR!</v>
      </c>
      <c r="Q1638" s="6" t="str">
        <f t="shared" si="1"/>
        <v>22-12-2025</v>
      </c>
      <c r="R1638" s="6" t="str">
        <f>IFERROR( VLOOKUP(C29488,[1]expressOrderReport!$S:$AZ,34,0),0)</f>
        <v>#ERROR!</v>
      </c>
      <c r="S1638" s="6" t="str">
        <f>ARRAY_CONSTRAIN(ARRAYFORMULA(_xludf.XLOOKUP(D29488,[1]order_Report_SA_ID_BB2.0!V:V,[1]order_Report_SA_ID_BB2.0!AM:AM,"")), 1, 1)</f>
        <v>#ERROR!</v>
      </c>
      <c r="T1638" s="6" t="str">
        <f t="shared" si="2"/>
        <v>Dec'25</v>
      </c>
    </row>
    <row r="1639" ht="15.75" customHeight="1">
      <c r="A1639" s="5">
        <v>46013.0</v>
      </c>
      <c r="B1639" s="6">
        <v>8413.0</v>
      </c>
      <c r="C1639" s="6">
        <v>1.859166721E9</v>
      </c>
      <c r="D1639" s="6">
        <v>2.542575E7</v>
      </c>
      <c r="E1639" s="6" t="s">
        <v>2489</v>
      </c>
      <c r="F1639" s="6" t="s">
        <v>2490</v>
      </c>
      <c r="G1639" s="6">
        <v>9.742031717E9</v>
      </c>
      <c r="H1639" s="6">
        <v>4.0149831E7</v>
      </c>
      <c r="I1639" s="6" t="s">
        <v>65</v>
      </c>
      <c r="J1639" s="6" t="s">
        <v>21</v>
      </c>
      <c r="K1639" s="6" t="s">
        <v>22</v>
      </c>
      <c r="L1639" s="6">
        <v>26.0</v>
      </c>
      <c r="M1639" s="5">
        <v>46013.0</v>
      </c>
      <c r="N1639" s="6" t="s">
        <v>23</v>
      </c>
      <c r="O1639" s="6" t="str">
        <f>SUMIFS([1]order_sku_sales_bb2_report!P:P,[1]order_sku_sales_bb2_report!H:H,C29489,[1]order_sku_sales_bb2_report!J:J,H29489)</f>
        <v>#ERROR!</v>
      </c>
      <c r="P1639" s="6" t="str">
        <f>SUMIFS([1]order_sku_sales_bb2_report!O:O,[1]order_sku_sales_bb2_report!H:H,C29489,[1]order_sku_sales_bb2_report!J:J,H29489)</f>
        <v>#ERROR!</v>
      </c>
      <c r="Q1639" s="6" t="str">
        <f t="shared" si="1"/>
        <v>22-12-2025</v>
      </c>
      <c r="R1639" s="6" t="str">
        <f>IFERROR( VLOOKUP(C29489,[1]expressOrderReport!$S:$AZ,34,0),0)</f>
        <v>#ERROR!</v>
      </c>
      <c r="S1639" s="6" t="str">
        <f>ARRAY_CONSTRAIN(ARRAYFORMULA(_xludf.XLOOKUP(D29489,[1]order_Report_SA_ID_BB2.0!V:V,[1]order_Report_SA_ID_BB2.0!AM:AM,"")), 1, 1)</f>
        <v>#ERROR!</v>
      </c>
      <c r="T1639" s="6" t="str">
        <f t="shared" si="2"/>
        <v>Dec'25</v>
      </c>
    </row>
    <row r="1640" ht="15.75" customHeight="1">
      <c r="A1640" s="5">
        <v>46013.0</v>
      </c>
      <c r="B1640" s="6">
        <v>8414.0</v>
      </c>
      <c r="C1640" s="6">
        <v>1.859166721E9</v>
      </c>
      <c r="D1640" s="6">
        <v>2.542575E7</v>
      </c>
      <c r="E1640" s="6" t="s">
        <v>2489</v>
      </c>
      <c r="F1640" s="6" t="s">
        <v>2490</v>
      </c>
      <c r="G1640" s="6">
        <v>9.742031717E9</v>
      </c>
      <c r="H1640" s="6">
        <v>4.0194547E7</v>
      </c>
      <c r="I1640" s="6" t="s">
        <v>259</v>
      </c>
      <c r="J1640" s="6" t="s">
        <v>21</v>
      </c>
      <c r="K1640" s="6" t="s">
        <v>22</v>
      </c>
      <c r="L1640" s="6">
        <v>26.0</v>
      </c>
      <c r="M1640" s="5">
        <v>46013.0</v>
      </c>
      <c r="N1640" s="6" t="s">
        <v>23</v>
      </c>
      <c r="O1640" s="6" t="str">
        <f>SUMIFS([1]order_sku_sales_bb2_report!P:P,[1]order_sku_sales_bb2_report!H:H,C29490,[1]order_sku_sales_bb2_report!J:J,H29490)</f>
        <v>#ERROR!</v>
      </c>
      <c r="P1640" s="6" t="str">
        <f>SUMIFS([1]order_sku_sales_bb2_report!O:O,[1]order_sku_sales_bb2_report!H:H,C29490,[1]order_sku_sales_bb2_report!J:J,H29490)</f>
        <v>#ERROR!</v>
      </c>
      <c r="Q1640" s="6" t="str">
        <f t="shared" si="1"/>
        <v>22-12-2025</v>
      </c>
      <c r="R1640" s="6" t="str">
        <f>IFERROR( VLOOKUP(C29490,[1]expressOrderReport!$S:$AZ,34,0),0)</f>
        <v>#ERROR!</v>
      </c>
      <c r="S1640" s="6" t="str">
        <f>ARRAY_CONSTRAIN(ARRAYFORMULA(_xludf.XLOOKUP(D29490,[1]order_Report_SA_ID_BB2.0!V:V,[1]order_Report_SA_ID_BB2.0!AM:AM,"")), 1, 1)</f>
        <v>#ERROR!</v>
      </c>
      <c r="T1640" s="6" t="str">
        <f t="shared" si="2"/>
        <v>Dec'25</v>
      </c>
    </row>
    <row r="1641" ht="15.75" customHeight="1">
      <c r="A1641" s="5">
        <v>46013.0</v>
      </c>
      <c r="B1641" s="6">
        <v>8417.0</v>
      </c>
      <c r="C1641" s="6">
        <v>1.859166727E9</v>
      </c>
      <c r="D1641" s="6">
        <v>5.0139185E7</v>
      </c>
      <c r="E1641" s="6" t="s">
        <v>2491</v>
      </c>
      <c r="F1641" s="6" t="s">
        <v>2492</v>
      </c>
      <c r="G1641" s="6">
        <v>8.45985666E9</v>
      </c>
      <c r="H1641" s="6">
        <v>4.0149832E7</v>
      </c>
      <c r="I1641" s="6" t="s">
        <v>26</v>
      </c>
      <c r="J1641" s="6" t="s">
        <v>21</v>
      </c>
      <c r="K1641" s="6" t="s">
        <v>22</v>
      </c>
      <c r="L1641" s="6">
        <v>24.0</v>
      </c>
      <c r="M1641" s="5">
        <v>46013.0</v>
      </c>
      <c r="N1641" s="6" t="s">
        <v>23</v>
      </c>
      <c r="O1641" s="6" t="str">
        <f>SUMIFS([1]order_sku_sales_bb2_report!P:P,[1]order_sku_sales_bb2_report!H:H,C29491,[1]order_sku_sales_bb2_report!J:J,H29491)</f>
        <v>#ERROR!</v>
      </c>
      <c r="P1641" s="6" t="str">
        <f>SUMIFS([1]order_sku_sales_bb2_report!O:O,[1]order_sku_sales_bb2_report!H:H,C29491,[1]order_sku_sales_bb2_report!J:J,H29491)</f>
        <v>#ERROR!</v>
      </c>
      <c r="Q1641" s="6" t="str">
        <f t="shared" si="1"/>
        <v>22-12-2025</v>
      </c>
      <c r="R1641" s="6" t="str">
        <f>IFERROR( VLOOKUP(C29491,[1]expressOrderReport!$S:$AZ,34,0),0)</f>
        <v>#ERROR!</v>
      </c>
      <c r="S1641" s="6" t="str">
        <f>ARRAY_CONSTRAIN(ARRAYFORMULA(_xludf.XLOOKUP(D29491,[1]order_Report_SA_ID_BB2.0!V:V,[1]order_Report_SA_ID_BB2.0!AM:AM,"")), 1, 1)</f>
        <v>#ERROR!</v>
      </c>
      <c r="T1641" s="6" t="str">
        <f t="shared" si="2"/>
        <v>Dec'25</v>
      </c>
    </row>
    <row r="1642" ht="15.75" customHeight="1">
      <c r="A1642" s="5">
        <v>46013.0</v>
      </c>
      <c r="B1642" s="6">
        <v>12042.0</v>
      </c>
      <c r="C1642" s="6">
        <v>1.859166737E9</v>
      </c>
      <c r="D1642" s="6">
        <v>2.8839878E7</v>
      </c>
      <c r="E1642" s="6" t="s">
        <v>625</v>
      </c>
      <c r="F1642" s="6" t="s">
        <v>2493</v>
      </c>
      <c r="G1642" s="6">
        <v>7.892515253E9</v>
      </c>
      <c r="H1642" s="6">
        <v>4.0149834E7</v>
      </c>
      <c r="I1642" s="6" t="s">
        <v>40</v>
      </c>
      <c r="J1642" s="6" t="s">
        <v>21</v>
      </c>
      <c r="K1642" s="6" t="s">
        <v>22</v>
      </c>
      <c r="L1642" s="6">
        <v>52.0</v>
      </c>
      <c r="M1642" s="5">
        <v>46013.0</v>
      </c>
      <c r="N1642" s="6" t="s">
        <v>23</v>
      </c>
      <c r="O1642" s="6" t="str">
        <f>SUMIFS([1]order_sku_sales_bb2_report!P:P,[1]order_sku_sales_bb2_report!H:H,C29492,[1]order_sku_sales_bb2_report!J:J,H29492)</f>
        <v>#ERROR!</v>
      </c>
      <c r="P1642" s="6" t="str">
        <f>SUMIFS([1]order_sku_sales_bb2_report!O:O,[1]order_sku_sales_bb2_report!H:H,C29492,[1]order_sku_sales_bb2_report!J:J,H29492)</f>
        <v>#ERROR!</v>
      </c>
      <c r="Q1642" s="6" t="str">
        <f t="shared" si="1"/>
        <v>22-12-2025</v>
      </c>
      <c r="R1642" s="6" t="str">
        <f>IFERROR( VLOOKUP(C29492,[1]expressOrderReport!$S:$AZ,34,0),0)</f>
        <v>#ERROR!</v>
      </c>
      <c r="S1642" s="6" t="str">
        <f>ARRAY_CONSTRAIN(ARRAYFORMULA(_xludf.XLOOKUP(D29492,[1]order_Report_SA_ID_BB2.0!V:V,[1]order_Report_SA_ID_BB2.0!AM:AM,"")), 1, 1)</f>
        <v>#ERROR!</v>
      </c>
      <c r="T1642" s="6" t="str">
        <f t="shared" si="2"/>
        <v>Dec'25</v>
      </c>
    </row>
    <row r="1643" ht="15.75" customHeight="1">
      <c r="A1643" s="5">
        <v>46013.0</v>
      </c>
      <c r="B1643" s="6">
        <v>11087.0</v>
      </c>
      <c r="C1643" s="6">
        <v>1.859166743E9</v>
      </c>
      <c r="D1643" s="6">
        <v>5632663.0</v>
      </c>
      <c r="E1643" s="6" t="s">
        <v>2494</v>
      </c>
      <c r="F1643" s="6" t="s">
        <v>2495</v>
      </c>
      <c r="G1643" s="6">
        <v>8.939446182E9</v>
      </c>
      <c r="H1643" s="6">
        <v>4.0163721E7</v>
      </c>
      <c r="I1643" s="6" t="s">
        <v>445</v>
      </c>
      <c r="J1643" s="6" t="s">
        <v>21</v>
      </c>
      <c r="K1643" s="6" t="s">
        <v>22</v>
      </c>
      <c r="L1643" s="6">
        <v>57.0</v>
      </c>
      <c r="M1643" s="5">
        <v>46013.0</v>
      </c>
      <c r="N1643" s="6" t="s">
        <v>23</v>
      </c>
      <c r="O1643" s="6" t="str">
        <f>SUMIFS([1]order_sku_sales_bb2_report!P:P,[1]order_sku_sales_bb2_report!H:H,C29493,[1]order_sku_sales_bb2_report!J:J,H29493)</f>
        <v>#ERROR!</v>
      </c>
      <c r="P1643" s="6" t="str">
        <f>SUMIFS([1]order_sku_sales_bb2_report!O:O,[1]order_sku_sales_bb2_report!H:H,C29493,[1]order_sku_sales_bb2_report!J:J,H29493)</f>
        <v>#ERROR!</v>
      </c>
      <c r="Q1643" s="6" t="str">
        <f t="shared" si="1"/>
        <v>22-12-2025</v>
      </c>
      <c r="R1643" s="6" t="str">
        <f>IFERROR( VLOOKUP(C29493,[1]expressOrderReport!$S:$AZ,34,0),0)</f>
        <v>#ERROR!</v>
      </c>
      <c r="S1643" s="6" t="str">
        <f>ARRAY_CONSTRAIN(ARRAYFORMULA(_xludf.XLOOKUP(D29493,[1]order_Report_SA_ID_BB2.0!V:V,[1]order_Report_SA_ID_BB2.0!AM:AM,"")), 1, 1)</f>
        <v>#ERROR!</v>
      </c>
      <c r="T1643" s="6" t="str">
        <f t="shared" si="2"/>
        <v>Dec'25</v>
      </c>
    </row>
    <row r="1644" ht="15.75" customHeight="1">
      <c r="A1644" s="5">
        <v>46013.0</v>
      </c>
      <c r="B1644" s="6">
        <v>8432.0</v>
      </c>
      <c r="C1644" s="6">
        <v>1.85916675E9</v>
      </c>
      <c r="D1644" s="6">
        <v>7614033.0</v>
      </c>
      <c r="E1644" s="6" t="s">
        <v>2496</v>
      </c>
      <c r="F1644" s="6" t="s">
        <v>2497</v>
      </c>
      <c r="G1644" s="6">
        <v>9.7730051E9</v>
      </c>
      <c r="H1644" s="6">
        <v>4.0198739E7</v>
      </c>
      <c r="I1644" s="6" t="s">
        <v>103</v>
      </c>
      <c r="J1644" s="6" t="s">
        <v>21</v>
      </c>
      <c r="K1644" s="6" t="s">
        <v>22</v>
      </c>
      <c r="L1644" s="6">
        <v>45.0</v>
      </c>
      <c r="M1644" s="5">
        <v>46013.0</v>
      </c>
      <c r="N1644" s="6" t="s">
        <v>23</v>
      </c>
      <c r="O1644" s="6" t="str">
        <f>SUMIFS([1]order_sku_sales_bb2_report!P:P,[1]order_sku_sales_bb2_report!H:H,C29494,[1]order_sku_sales_bb2_report!J:J,H29494)</f>
        <v>#ERROR!</v>
      </c>
      <c r="P1644" s="6" t="str">
        <f>SUMIFS([1]order_sku_sales_bb2_report!O:O,[1]order_sku_sales_bb2_report!H:H,C29494,[1]order_sku_sales_bb2_report!J:J,H29494)</f>
        <v>#ERROR!</v>
      </c>
      <c r="Q1644" s="6" t="str">
        <f t="shared" si="1"/>
        <v>22-12-2025</v>
      </c>
      <c r="R1644" s="6" t="str">
        <f>IFERROR( VLOOKUP(C29494,[1]expressOrderReport!$S:$AZ,34,0),0)</f>
        <v>#ERROR!</v>
      </c>
      <c r="S1644" s="6" t="str">
        <f>ARRAY_CONSTRAIN(ARRAYFORMULA(_xludf.XLOOKUP(D29494,[1]order_Report_SA_ID_BB2.0!V:V,[1]order_Report_SA_ID_BB2.0!AM:AM,"")), 1, 1)</f>
        <v>#ERROR!</v>
      </c>
      <c r="T1644" s="6" t="str">
        <f t="shared" si="2"/>
        <v>Dec'25</v>
      </c>
    </row>
    <row r="1645" ht="15.75" customHeight="1">
      <c r="A1645" s="5">
        <v>46013.0</v>
      </c>
      <c r="B1645" s="6">
        <v>10123.0</v>
      </c>
      <c r="C1645" s="6">
        <v>1.85916675E9</v>
      </c>
      <c r="D1645" s="6">
        <v>7614033.0</v>
      </c>
      <c r="E1645" s="6" t="s">
        <v>2496</v>
      </c>
      <c r="F1645" s="6" t="s">
        <v>2497</v>
      </c>
      <c r="G1645" s="6">
        <v>9.7730051E9</v>
      </c>
      <c r="H1645" s="6">
        <v>4.0148716E7</v>
      </c>
      <c r="I1645" s="6" t="s">
        <v>148</v>
      </c>
      <c r="J1645" s="6" t="s">
        <v>21</v>
      </c>
      <c r="K1645" s="6" t="s">
        <v>22</v>
      </c>
      <c r="L1645" s="6">
        <v>45.0</v>
      </c>
      <c r="M1645" s="5">
        <v>46013.0</v>
      </c>
      <c r="N1645" s="6" t="s">
        <v>23</v>
      </c>
      <c r="O1645" s="6" t="str">
        <f>SUMIFS([1]order_sku_sales_bb2_report!P:P,[1]order_sku_sales_bb2_report!H:H,C29495,[1]order_sku_sales_bb2_report!J:J,H29495)</f>
        <v>#ERROR!</v>
      </c>
      <c r="P1645" s="6" t="str">
        <f>SUMIFS([1]order_sku_sales_bb2_report!O:O,[1]order_sku_sales_bb2_report!H:H,C29495,[1]order_sku_sales_bb2_report!J:J,H29495)</f>
        <v>#ERROR!</v>
      </c>
      <c r="Q1645" s="6" t="str">
        <f t="shared" si="1"/>
        <v>22-12-2025</v>
      </c>
      <c r="R1645" s="6" t="str">
        <f>IFERROR( VLOOKUP(C29495,[1]expressOrderReport!$S:$AZ,34,0),0)</f>
        <v>#ERROR!</v>
      </c>
      <c r="S1645" s="6" t="str">
        <f>ARRAY_CONSTRAIN(ARRAYFORMULA(_xludf.XLOOKUP(D29495,[1]order_Report_SA_ID_BB2.0!V:V,[1]order_Report_SA_ID_BB2.0!AM:AM,"")), 1, 1)</f>
        <v>#ERROR!</v>
      </c>
      <c r="T1645" s="6" t="str">
        <f t="shared" si="2"/>
        <v>Dec'25</v>
      </c>
    </row>
    <row r="1646" ht="15.75" customHeight="1">
      <c r="A1646" s="5">
        <v>46013.0</v>
      </c>
      <c r="B1646" s="6">
        <v>8434.0</v>
      </c>
      <c r="C1646" s="6">
        <v>1.85916676E9</v>
      </c>
      <c r="D1646" s="6">
        <v>2.2662234E7</v>
      </c>
      <c r="E1646" s="6" t="s">
        <v>2498</v>
      </c>
      <c r="F1646" s="6" t="s">
        <v>2499</v>
      </c>
      <c r="G1646" s="6">
        <v>9.588685067E9</v>
      </c>
      <c r="H1646" s="6">
        <v>4.0149832E7</v>
      </c>
      <c r="I1646" s="6" t="s">
        <v>26</v>
      </c>
      <c r="J1646" s="6" t="s">
        <v>21</v>
      </c>
      <c r="K1646" s="6" t="s">
        <v>22</v>
      </c>
      <c r="L1646" s="6">
        <v>24.0</v>
      </c>
      <c r="M1646" s="5">
        <v>46013.0</v>
      </c>
      <c r="N1646" s="6" t="s">
        <v>23</v>
      </c>
      <c r="O1646" s="6" t="str">
        <f>SUMIFS([1]order_sku_sales_bb2_report!P:P,[1]order_sku_sales_bb2_report!H:H,C29496,[1]order_sku_sales_bb2_report!J:J,H29496)</f>
        <v>#ERROR!</v>
      </c>
      <c r="P1646" s="6" t="str">
        <f>SUMIFS([1]order_sku_sales_bb2_report!O:O,[1]order_sku_sales_bb2_report!H:H,C29496,[1]order_sku_sales_bb2_report!J:J,H29496)</f>
        <v>#ERROR!</v>
      </c>
      <c r="Q1646" s="6" t="str">
        <f t="shared" si="1"/>
        <v>22-12-2025</v>
      </c>
      <c r="R1646" s="6" t="str">
        <f>IFERROR( VLOOKUP(C29496,[1]expressOrderReport!$S:$AZ,34,0),0)</f>
        <v>#ERROR!</v>
      </c>
      <c r="S1646" s="6" t="str">
        <f>ARRAY_CONSTRAIN(ARRAYFORMULA(_xludf.XLOOKUP(D29496,[1]order_Report_SA_ID_BB2.0!V:V,[1]order_Report_SA_ID_BB2.0!AM:AM,"")), 1, 1)</f>
        <v>#ERROR!</v>
      </c>
      <c r="T1646" s="6" t="str">
        <f t="shared" si="2"/>
        <v>Dec'25</v>
      </c>
    </row>
    <row r="1647" ht="15.75" customHeight="1">
      <c r="A1647" s="5">
        <v>46013.0</v>
      </c>
      <c r="B1647" s="6">
        <v>8451.0</v>
      </c>
      <c r="C1647" s="6">
        <v>1.859166766E9</v>
      </c>
      <c r="D1647" s="6">
        <v>7.5677229E7</v>
      </c>
      <c r="E1647" s="6" t="s">
        <v>2500</v>
      </c>
      <c r="F1647" s="6" t="s">
        <v>2501</v>
      </c>
      <c r="G1647" s="6">
        <v>9.986733037E9</v>
      </c>
      <c r="H1647" s="6">
        <v>4.0149831E7</v>
      </c>
      <c r="I1647" s="6" t="s">
        <v>65</v>
      </c>
      <c r="J1647" s="6" t="s">
        <v>21</v>
      </c>
      <c r="K1647" s="6" t="s">
        <v>22</v>
      </c>
      <c r="L1647" s="6">
        <v>26.0</v>
      </c>
      <c r="M1647" s="5">
        <v>46013.0</v>
      </c>
      <c r="N1647" s="6" t="s">
        <v>23</v>
      </c>
      <c r="O1647" s="6" t="str">
        <f>SUMIFS([1]order_sku_sales_bb2_report!P:P,[1]order_sku_sales_bb2_report!H:H,C29497,[1]order_sku_sales_bb2_report!J:J,H29497)</f>
        <v>#ERROR!</v>
      </c>
      <c r="P1647" s="6" t="str">
        <f>SUMIFS([1]order_sku_sales_bb2_report!O:O,[1]order_sku_sales_bb2_report!H:H,C29497,[1]order_sku_sales_bb2_report!J:J,H29497)</f>
        <v>#ERROR!</v>
      </c>
      <c r="Q1647" s="6" t="str">
        <f t="shared" si="1"/>
        <v>22-12-2025</v>
      </c>
      <c r="R1647" s="6" t="str">
        <f>IFERROR( VLOOKUP(C29497,[1]expressOrderReport!$S:$AZ,34,0),0)</f>
        <v>#ERROR!</v>
      </c>
      <c r="S1647" s="6" t="str">
        <f>ARRAY_CONSTRAIN(ARRAYFORMULA(_xludf.XLOOKUP(D29497,[1]order_Report_SA_ID_BB2.0!V:V,[1]order_Report_SA_ID_BB2.0!AM:AM,"")), 1, 1)</f>
        <v>#ERROR!</v>
      </c>
      <c r="T1647" s="6" t="str">
        <f t="shared" si="2"/>
        <v>Dec'25</v>
      </c>
    </row>
    <row r="1648" ht="15.75" customHeight="1">
      <c r="A1648" s="5">
        <v>46013.0</v>
      </c>
      <c r="B1648" s="6">
        <v>8492.0</v>
      </c>
      <c r="C1648" s="6">
        <v>1.859166776E9</v>
      </c>
      <c r="D1648" s="6">
        <v>4.3763233E7</v>
      </c>
      <c r="E1648" s="6" t="s">
        <v>625</v>
      </c>
      <c r="F1648" s="6" t="s">
        <v>2502</v>
      </c>
      <c r="G1648" s="6">
        <v>8.655376803E9</v>
      </c>
      <c r="H1648" s="6">
        <v>4.0090893E7</v>
      </c>
      <c r="I1648" s="6" t="s">
        <v>35</v>
      </c>
      <c r="J1648" s="6" t="s">
        <v>21</v>
      </c>
      <c r="K1648" s="6" t="s">
        <v>22</v>
      </c>
      <c r="L1648" s="6">
        <v>165.0</v>
      </c>
      <c r="M1648" s="5">
        <v>46013.0</v>
      </c>
      <c r="N1648" s="6" t="s">
        <v>23</v>
      </c>
      <c r="O1648" s="6" t="str">
        <f>SUMIFS([1]order_sku_sales_bb2_report!P:P,[1]order_sku_sales_bb2_report!H:H,C29500,[1]order_sku_sales_bb2_report!J:J,H29500)</f>
        <v>#ERROR!</v>
      </c>
      <c r="P1648" s="6" t="str">
        <f>SUMIFS([1]order_sku_sales_bb2_report!O:O,[1]order_sku_sales_bb2_report!H:H,C29500,[1]order_sku_sales_bb2_report!J:J,H29500)</f>
        <v>#ERROR!</v>
      </c>
      <c r="Q1648" s="6" t="str">
        <f t="shared" si="1"/>
        <v>22-12-2025</v>
      </c>
      <c r="R1648" s="6" t="str">
        <f>IFERROR( VLOOKUP(C29500,[1]expressOrderReport!$S:$AZ,34,0),0)</f>
        <v>#ERROR!</v>
      </c>
      <c r="S1648" s="6" t="str">
        <f>ARRAY_CONSTRAIN(ARRAYFORMULA(_xludf.XLOOKUP(D29500,[1]order_Report_SA_ID_BB2.0!V:V,[1]order_Report_SA_ID_BB2.0!AM:AM,"")), 1, 1)</f>
        <v>#ERROR!</v>
      </c>
      <c r="T1648" s="6" t="str">
        <f t="shared" si="2"/>
        <v>Dec'25</v>
      </c>
    </row>
    <row r="1649" ht="15.75" customHeight="1">
      <c r="A1649" s="5">
        <v>46013.0</v>
      </c>
      <c r="B1649" s="6">
        <v>10581.0</v>
      </c>
      <c r="C1649" s="6">
        <v>1.859166792E9</v>
      </c>
      <c r="D1649" s="6">
        <v>5.2919273E7</v>
      </c>
      <c r="E1649" s="6" t="s">
        <v>625</v>
      </c>
      <c r="F1649" s="6" t="s">
        <v>2503</v>
      </c>
      <c r="G1649" s="6">
        <v>9.606024864E9</v>
      </c>
      <c r="H1649" s="6">
        <v>4.0147597E7</v>
      </c>
      <c r="I1649" s="6" t="s">
        <v>59</v>
      </c>
      <c r="J1649" s="6" t="s">
        <v>21</v>
      </c>
      <c r="K1649" s="6" t="s">
        <v>22</v>
      </c>
      <c r="L1649" s="6">
        <v>26.0</v>
      </c>
      <c r="M1649" s="5">
        <v>46013.0</v>
      </c>
      <c r="N1649" s="6" t="s">
        <v>23</v>
      </c>
      <c r="O1649" s="6" t="str">
        <f>SUMIFS([1]order_sku_sales_bb2_report!P:P,[1]order_sku_sales_bb2_report!H:H,C29501,[1]order_sku_sales_bb2_report!J:J,H29501)</f>
        <v>#ERROR!</v>
      </c>
      <c r="P1649" s="6" t="str">
        <f>SUMIFS([1]order_sku_sales_bb2_report!O:O,[1]order_sku_sales_bb2_report!H:H,C29501,[1]order_sku_sales_bb2_report!J:J,H29501)</f>
        <v>#ERROR!</v>
      </c>
      <c r="Q1649" s="6" t="str">
        <f t="shared" si="1"/>
        <v>22-12-2025</v>
      </c>
      <c r="R1649" s="6" t="str">
        <f>IFERROR( VLOOKUP(C29501,[1]expressOrderReport!$S:$AZ,34,0),0)</f>
        <v>#ERROR!</v>
      </c>
      <c r="S1649" s="6" t="str">
        <f>ARRAY_CONSTRAIN(ARRAYFORMULA(_xludf.XLOOKUP(D29501,[1]order_Report_SA_ID_BB2.0!V:V,[1]order_Report_SA_ID_BB2.0!AM:AM,"")), 1, 1)</f>
        <v>#ERROR!</v>
      </c>
      <c r="T1649" s="6" t="str">
        <f t="shared" si="2"/>
        <v>Dec'25</v>
      </c>
    </row>
    <row r="1650" ht="15.75" customHeight="1">
      <c r="A1650" s="5">
        <v>46013.0</v>
      </c>
      <c r="B1650" s="6">
        <v>11096.0</v>
      </c>
      <c r="C1650" s="6">
        <v>1.859166802E9</v>
      </c>
      <c r="D1650" s="6">
        <v>4.4660663E7</v>
      </c>
      <c r="E1650" s="6" t="s">
        <v>2504</v>
      </c>
      <c r="F1650" s="6" t="s">
        <v>2505</v>
      </c>
      <c r="G1650" s="6">
        <v>8.296161934E9</v>
      </c>
      <c r="H1650" s="6">
        <v>4.0090893E7</v>
      </c>
      <c r="I1650" s="6" t="s">
        <v>35</v>
      </c>
      <c r="J1650" s="6" t="s">
        <v>21</v>
      </c>
      <c r="K1650" s="6" t="s">
        <v>22</v>
      </c>
      <c r="L1650" s="6">
        <v>66.0</v>
      </c>
      <c r="M1650" s="5">
        <v>46013.0</v>
      </c>
      <c r="N1650" s="6" t="s">
        <v>23</v>
      </c>
      <c r="O1650" s="6" t="str">
        <f>SUMIFS([1]order_sku_sales_bb2_report!P:P,[1]order_sku_sales_bb2_report!H:H,C29502,[1]order_sku_sales_bb2_report!J:J,H29502)</f>
        <v>#ERROR!</v>
      </c>
      <c r="P1650" s="6" t="str">
        <f>SUMIFS([1]order_sku_sales_bb2_report!O:O,[1]order_sku_sales_bb2_report!H:H,C29502,[1]order_sku_sales_bb2_report!J:J,H29502)</f>
        <v>#ERROR!</v>
      </c>
      <c r="Q1650" s="6" t="str">
        <f t="shared" si="1"/>
        <v>22-12-2025</v>
      </c>
      <c r="R1650" s="6" t="str">
        <f>IFERROR( VLOOKUP(C29502,[1]expressOrderReport!$S:$AZ,34,0),0)</f>
        <v>#ERROR!</v>
      </c>
      <c r="S1650" s="6" t="str">
        <f>ARRAY_CONSTRAIN(ARRAYFORMULA(_xludf.XLOOKUP(D29502,[1]order_Report_SA_ID_BB2.0!V:V,[1]order_Report_SA_ID_BB2.0!AM:AM,"")), 1, 1)</f>
        <v>#ERROR!</v>
      </c>
      <c r="T1650" s="6" t="str">
        <f t="shared" si="2"/>
        <v>Dec'25</v>
      </c>
    </row>
    <row r="1651" ht="15.75" customHeight="1">
      <c r="A1651" s="5">
        <v>46013.0</v>
      </c>
      <c r="B1651" s="6">
        <v>8548.0</v>
      </c>
      <c r="C1651" s="6">
        <v>1.859166809E9</v>
      </c>
      <c r="D1651" s="6">
        <v>722146.0</v>
      </c>
      <c r="E1651" s="6" t="s">
        <v>2506</v>
      </c>
      <c r="F1651" s="6" t="s">
        <v>2507</v>
      </c>
      <c r="G1651" s="6">
        <v>9.866956464E9</v>
      </c>
      <c r="H1651" s="6">
        <v>4.0047739E7</v>
      </c>
      <c r="I1651" s="6" t="s">
        <v>180</v>
      </c>
      <c r="J1651" s="6" t="s">
        <v>21</v>
      </c>
      <c r="K1651" s="6" t="s">
        <v>22</v>
      </c>
      <c r="L1651" s="6">
        <v>34.0</v>
      </c>
      <c r="M1651" s="5">
        <v>46013.0</v>
      </c>
      <c r="N1651" s="6" t="s">
        <v>23</v>
      </c>
      <c r="O1651" s="6" t="str">
        <f>SUMIFS([1]order_sku_sales_bb2_report!P:P,[1]order_sku_sales_bb2_report!H:H,C29503,[1]order_sku_sales_bb2_report!J:J,H29503)</f>
        <v>#ERROR!</v>
      </c>
      <c r="P1651" s="6" t="str">
        <f>SUMIFS([1]order_sku_sales_bb2_report!O:O,[1]order_sku_sales_bb2_report!H:H,C29503,[1]order_sku_sales_bb2_report!J:J,H29503)</f>
        <v>#ERROR!</v>
      </c>
      <c r="Q1651" s="6" t="str">
        <f t="shared" si="1"/>
        <v>22-12-2025</v>
      </c>
      <c r="R1651" s="6" t="str">
        <f>IFERROR( VLOOKUP(C29503,[1]expressOrderReport!$S:$AZ,34,0),0)</f>
        <v>#ERROR!</v>
      </c>
      <c r="S1651" s="6" t="str">
        <f>ARRAY_CONSTRAIN(ARRAYFORMULA(_xludf.XLOOKUP(D29503,[1]order_Report_SA_ID_BB2.0!V:V,[1]order_Report_SA_ID_BB2.0!AM:AM,"")), 1, 1)</f>
        <v>#ERROR!</v>
      </c>
      <c r="T1651" s="6" t="str">
        <f t="shared" si="2"/>
        <v>Dec'25</v>
      </c>
    </row>
    <row r="1652" ht="15.75" customHeight="1">
      <c r="A1652" s="5">
        <v>46013.0</v>
      </c>
      <c r="B1652" s="6">
        <v>9633.0</v>
      </c>
      <c r="C1652" s="6">
        <v>1.859166817E9</v>
      </c>
      <c r="D1652" s="6">
        <v>6.0910341E7</v>
      </c>
      <c r="E1652" s="6" t="s">
        <v>625</v>
      </c>
      <c r="F1652" s="6" t="s">
        <v>2508</v>
      </c>
      <c r="G1652" s="6">
        <v>9.654917914E9</v>
      </c>
      <c r="H1652" s="6">
        <v>4.0158264E7</v>
      </c>
      <c r="I1652" s="6" t="s">
        <v>26</v>
      </c>
      <c r="J1652" s="6" t="s">
        <v>21</v>
      </c>
      <c r="K1652" s="6" t="s">
        <v>22</v>
      </c>
      <c r="L1652" s="6">
        <v>46.0</v>
      </c>
      <c r="M1652" s="5">
        <v>46013.0</v>
      </c>
      <c r="N1652" s="6" t="s">
        <v>23</v>
      </c>
      <c r="O1652" s="6" t="str">
        <f>SUMIFS([1]order_sku_sales_bb2_report!P:P,[1]order_sku_sales_bb2_report!H:H,C29504,[1]order_sku_sales_bb2_report!J:J,H29504)</f>
        <v>#ERROR!</v>
      </c>
      <c r="P1652" s="6" t="str">
        <f>SUMIFS([1]order_sku_sales_bb2_report!O:O,[1]order_sku_sales_bb2_report!H:H,C29504,[1]order_sku_sales_bb2_report!J:J,H29504)</f>
        <v>#ERROR!</v>
      </c>
      <c r="Q1652" s="6" t="str">
        <f t="shared" si="1"/>
        <v>22-12-2025</v>
      </c>
      <c r="R1652" s="6" t="str">
        <f>IFERROR( VLOOKUP(C29504,[1]expressOrderReport!$S:$AZ,34,0),0)</f>
        <v>#ERROR!</v>
      </c>
      <c r="S1652" s="6" t="str">
        <f>ARRAY_CONSTRAIN(ARRAYFORMULA(_xludf.XLOOKUP(D29504,[1]order_Report_SA_ID_BB2.0!V:V,[1]order_Report_SA_ID_BB2.0!AM:AM,"")), 1, 1)</f>
        <v>#ERROR!</v>
      </c>
      <c r="T1652" s="6" t="str">
        <f t="shared" si="2"/>
        <v>Dec'25</v>
      </c>
    </row>
    <row r="1653" ht="15.75" customHeight="1">
      <c r="A1653" s="5">
        <v>46013.0</v>
      </c>
      <c r="B1653" s="6">
        <v>8558.0</v>
      </c>
      <c r="C1653" s="6">
        <v>1.859166824E9</v>
      </c>
      <c r="D1653" s="6">
        <v>7.3926986E7</v>
      </c>
      <c r="E1653" s="6" t="s">
        <v>625</v>
      </c>
      <c r="F1653" s="6" t="s">
        <v>2509</v>
      </c>
      <c r="G1653" s="6">
        <v>9.326176922E9</v>
      </c>
      <c r="H1653" s="6">
        <v>4.0148716E7</v>
      </c>
      <c r="I1653" s="6" t="s">
        <v>148</v>
      </c>
      <c r="J1653" s="6" t="s">
        <v>21</v>
      </c>
      <c r="K1653" s="6" t="s">
        <v>22</v>
      </c>
      <c r="L1653" s="6">
        <v>45.0</v>
      </c>
      <c r="M1653" s="5">
        <v>46013.0</v>
      </c>
      <c r="N1653" s="6" t="s">
        <v>23</v>
      </c>
      <c r="O1653" s="6" t="str">
        <f>SUMIFS([1]order_sku_sales_bb2_report!P:P,[1]order_sku_sales_bb2_report!H:H,C29505,[1]order_sku_sales_bb2_report!J:J,H29505)</f>
        <v>#ERROR!</v>
      </c>
      <c r="P1653" s="6" t="str">
        <f>SUMIFS([1]order_sku_sales_bb2_report!O:O,[1]order_sku_sales_bb2_report!H:H,C29505,[1]order_sku_sales_bb2_report!J:J,H29505)</f>
        <v>#ERROR!</v>
      </c>
      <c r="Q1653" s="6" t="str">
        <f t="shared" si="1"/>
        <v>22-12-2025</v>
      </c>
      <c r="R1653" s="6" t="str">
        <f>IFERROR( VLOOKUP(C29505,[1]expressOrderReport!$S:$AZ,34,0),0)</f>
        <v>#ERROR!</v>
      </c>
      <c r="S1653" s="6" t="str">
        <f>ARRAY_CONSTRAIN(ARRAYFORMULA(_xludf.XLOOKUP(D29505,[1]order_Report_SA_ID_BB2.0!V:V,[1]order_Report_SA_ID_BB2.0!AM:AM,"")), 1, 1)</f>
        <v>#ERROR!</v>
      </c>
      <c r="T1653" s="6" t="str">
        <f t="shared" si="2"/>
        <v>Dec'25</v>
      </c>
    </row>
    <row r="1654" ht="15.75" customHeight="1">
      <c r="A1654" s="5">
        <v>46013.0</v>
      </c>
      <c r="B1654" s="6">
        <v>11211.0</v>
      </c>
      <c r="C1654" s="6">
        <v>1.859166833E9</v>
      </c>
      <c r="D1654" s="6">
        <v>1.5746841E7</v>
      </c>
      <c r="E1654" s="6" t="s">
        <v>2510</v>
      </c>
      <c r="F1654" s="6" t="s">
        <v>2511</v>
      </c>
      <c r="G1654" s="6">
        <v>8.508758228E9</v>
      </c>
      <c r="H1654" s="6">
        <v>4.0149833E7</v>
      </c>
      <c r="I1654" s="6" t="s">
        <v>40</v>
      </c>
      <c r="J1654" s="6" t="s">
        <v>21</v>
      </c>
      <c r="K1654" s="6" t="s">
        <v>22</v>
      </c>
      <c r="L1654" s="6">
        <v>27.0</v>
      </c>
      <c r="M1654" s="5">
        <v>46013.0</v>
      </c>
      <c r="N1654" s="6" t="s">
        <v>23</v>
      </c>
      <c r="O1654" s="6" t="str">
        <f>SUMIFS([1]order_sku_sales_bb2_report!P:P,[1]order_sku_sales_bb2_report!H:H,C29506,[1]order_sku_sales_bb2_report!J:J,H29506)</f>
        <v>#ERROR!</v>
      </c>
      <c r="P1654" s="6" t="str">
        <f>SUMIFS([1]order_sku_sales_bb2_report!O:O,[1]order_sku_sales_bb2_report!H:H,C29506,[1]order_sku_sales_bb2_report!J:J,H29506)</f>
        <v>#ERROR!</v>
      </c>
      <c r="Q1654" s="6" t="str">
        <f t="shared" si="1"/>
        <v>22-12-2025</v>
      </c>
      <c r="R1654" s="6" t="str">
        <f>IFERROR( VLOOKUP(C29506,[1]expressOrderReport!$S:$AZ,34,0),0)</f>
        <v>#ERROR!</v>
      </c>
      <c r="S1654" s="6" t="str">
        <f>ARRAY_CONSTRAIN(ARRAYFORMULA(_xludf.XLOOKUP(D29506,[1]order_Report_SA_ID_BB2.0!V:V,[1]order_Report_SA_ID_BB2.0!AM:AM,"")), 1, 1)</f>
        <v>#ERROR!</v>
      </c>
      <c r="T1654" s="6" t="str">
        <f t="shared" si="2"/>
        <v>Dec'25</v>
      </c>
    </row>
    <row r="1655" ht="15.75" customHeight="1">
      <c r="A1655" s="5">
        <v>46013.0</v>
      </c>
      <c r="B1655" s="6">
        <v>8578.0</v>
      </c>
      <c r="C1655" s="6">
        <v>1.859166839E9</v>
      </c>
      <c r="D1655" s="6">
        <v>1241268.0</v>
      </c>
      <c r="E1655" s="6" t="s">
        <v>2512</v>
      </c>
      <c r="F1655" s="6" t="s">
        <v>2513</v>
      </c>
      <c r="G1655" s="6">
        <v>9.840751875E9</v>
      </c>
      <c r="H1655" s="6">
        <v>4.0149831E7</v>
      </c>
      <c r="I1655" s="6" t="s">
        <v>65</v>
      </c>
      <c r="J1655" s="6" t="s">
        <v>21</v>
      </c>
      <c r="K1655" s="6" t="s">
        <v>22</v>
      </c>
      <c r="L1655" s="6">
        <v>26.0</v>
      </c>
      <c r="M1655" s="5">
        <v>46013.0</v>
      </c>
      <c r="N1655" s="6" t="s">
        <v>23</v>
      </c>
      <c r="O1655" s="6" t="str">
        <f>SUMIFS([1]order_sku_sales_bb2_report!P:P,[1]order_sku_sales_bb2_report!H:H,C29507,[1]order_sku_sales_bb2_report!J:J,H29507)</f>
        <v>#ERROR!</v>
      </c>
      <c r="P1655" s="6" t="str">
        <f>SUMIFS([1]order_sku_sales_bb2_report!O:O,[1]order_sku_sales_bb2_report!H:H,C29507,[1]order_sku_sales_bb2_report!J:J,H29507)</f>
        <v>#ERROR!</v>
      </c>
      <c r="Q1655" s="6" t="str">
        <f t="shared" si="1"/>
        <v>22-12-2025</v>
      </c>
      <c r="R1655" s="6" t="str">
        <f>IFERROR( VLOOKUP(C29507,[1]expressOrderReport!$S:$AZ,34,0),0)</f>
        <v>#ERROR!</v>
      </c>
      <c r="S1655" s="6" t="str">
        <f>ARRAY_CONSTRAIN(ARRAYFORMULA(_xludf.XLOOKUP(D29507,[1]order_Report_SA_ID_BB2.0!V:V,[1]order_Report_SA_ID_BB2.0!AM:AM,"")), 1, 1)</f>
        <v>#ERROR!</v>
      </c>
      <c r="T1655" s="6" t="str">
        <f t="shared" si="2"/>
        <v>Dec'25</v>
      </c>
    </row>
    <row r="1656" ht="15.75" customHeight="1">
      <c r="A1656" s="5">
        <v>46013.0</v>
      </c>
      <c r="B1656" s="6">
        <v>8591.0</v>
      </c>
      <c r="C1656" s="6">
        <v>1.859166846E9</v>
      </c>
      <c r="D1656" s="6">
        <v>1.9529986E7</v>
      </c>
      <c r="E1656" s="6" t="s">
        <v>2514</v>
      </c>
      <c r="F1656" s="6" t="s">
        <v>2515</v>
      </c>
      <c r="G1656" s="6">
        <v>7.338476262E9</v>
      </c>
      <c r="H1656" s="6">
        <v>4.0149832E7</v>
      </c>
      <c r="I1656" s="6" t="s">
        <v>26</v>
      </c>
      <c r="J1656" s="6" t="s">
        <v>21</v>
      </c>
      <c r="K1656" s="6" t="s">
        <v>22</v>
      </c>
      <c r="L1656" s="6">
        <v>48.0</v>
      </c>
      <c r="M1656" s="5">
        <v>46013.0</v>
      </c>
      <c r="N1656" s="6" t="s">
        <v>23</v>
      </c>
      <c r="O1656" s="6" t="str">
        <f>SUMIFS([1]order_sku_sales_bb2_report!P:P,[1]order_sku_sales_bb2_report!H:H,C29508,[1]order_sku_sales_bb2_report!J:J,H29508)</f>
        <v>#ERROR!</v>
      </c>
      <c r="P1656" s="6" t="str">
        <f>SUMIFS([1]order_sku_sales_bb2_report!O:O,[1]order_sku_sales_bb2_report!H:H,C29508,[1]order_sku_sales_bb2_report!J:J,H29508)</f>
        <v>#ERROR!</v>
      </c>
      <c r="Q1656" s="6" t="str">
        <f t="shared" si="1"/>
        <v>22-12-2025</v>
      </c>
      <c r="R1656" s="6" t="str">
        <f>IFERROR( VLOOKUP(C29508,[1]expressOrderReport!$S:$AZ,34,0),0)</f>
        <v>#ERROR!</v>
      </c>
      <c r="S1656" s="6" t="str">
        <f>ARRAY_CONSTRAIN(ARRAYFORMULA(_xludf.XLOOKUP(D29508,[1]order_Report_SA_ID_BB2.0!V:V,[1]order_Report_SA_ID_BB2.0!AM:AM,"")), 1, 1)</f>
        <v>#ERROR!</v>
      </c>
      <c r="T1656" s="6" t="str">
        <f t="shared" si="2"/>
        <v>Dec'25</v>
      </c>
    </row>
    <row r="1657" ht="15.75" customHeight="1">
      <c r="A1657" s="5">
        <v>46013.0</v>
      </c>
      <c r="B1657" s="6">
        <v>8599.0</v>
      </c>
      <c r="C1657" s="6">
        <v>1.859166854E9</v>
      </c>
      <c r="D1657" s="6">
        <v>2.0748756E7</v>
      </c>
      <c r="E1657" s="6" t="s">
        <v>2516</v>
      </c>
      <c r="F1657" s="6" t="s">
        <v>2517</v>
      </c>
      <c r="G1657" s="6">
        <v>9.972772621E9</v>
      </c>
      <c r="H1657" s="6">
        <v>4.0158264E7</v>
      </c>
      <c r="I1657" s="6" t="s">
        <v>26</v>
      </c>
      <c r="J1657" s="6" t="s">
        <v>21</v>
      </c>
      <c r="K1657" s="6" t="s">
        <v>22</v>
      </c>
      <c r="L1657" s="6">
        <v>98.0</v>
      </c>
      <c r="M1657" s="5">
        <v>46013.0</v>
      </c>
      <c r="N1657" s="6" t="s">
        <v>23</v>
      </c>
      <c r="O1657" s="6" t="str">
        <f>SUMIFS([1]order_sku_sales_bb2_report!P:P,[1]order_sku_sales_bb2_report!H:H,C29509,[1]order_sku_sales_bb2_report!J:J,H29509)</f>
        <v>#ERROR!</v>
      </c>
      <c r="P1657" s="6" t="str">
        <f>SUMIFS([1]order_sku_sales_bb2_report!O:O,[1]order_sku_sales_bb2_report!H:H,C29509,[1]order_sku_sales_bb2_report!J:J,H29509)</f>
        <v>#ERROR!</v>
      </c>
      <c r="Q1657" s="6" t="str">
        <f t="shared" si="1"/>
        <v>22-12-2025</v>
      </c>
      <c r="R1657" s="6" t="str">
        <f>IFERROR( VLOOKUP(C29509,[1]expressOrderReport!$S:$AZ,34,0),0)</f>
        <v>#ERROR!</v>
      </c>
      <c r="S1657" s="6" t="str">
        <f>ARRAY_CONSTRAIN(ARRAYFORMULA(_xludf.XLOOKUP(D29509,[1]order_Report_SA_ID_BB2.0!V:V,[1]order_Report_SA_ID_BB2.0!AM:AM,"")), 1, 1)</f>
        <v>#ERROR!</v>
      </c>
      <c r="T1657" s="6" t="str">
        <f t="shared" si="2"/>
        <v>Dec'25</v>
      </c>
    </row>
    <row r="1658" ht="15.75" customHeight="1">
      <c r="A1658" s="5">
        <v>46013.0</v>
      </c>
      <c r="B1658" s="6">
        <v>8600.0</v>
      </c>
      <c r="C1658" s="6">
        <v>1.859166854E9</v>
      </c>
      <c r="D1658" s="6">
        <v>2.0748756E7</v>
      </c>
      <c r="E1658" s="6" t="s">
        <v>2516</v>
      </c>
      <c r="F1658" s="6" t="s">
        <v>2517</v>
      </c>
      <c r="G1658" s="6">
        <v>9.972772621E9</v>
      </c>
      <c r="H1658" s="6">
        <v>4.014983E7</v>
      </c>
      <c r="I1658" s="6" t="s">
        <v>30</v>
      </c>
      <c r="J1658" s="6" t="s">
        <v>21</v>
      </c>
      <c r="K1658" s="6" t="s">
        <v>22</v>
      </c>
      <c r="L1658" s="6">
        <v>98.0</v>
      </c>
      <c r="M1658" s="5">
        <v>46013.0</v>
      </c>
      <c r="N1658" s="6" t="s">
        <v>23</v>
      </c>
      <c r="O1658" s="6" t="str">
        <f>SUMIFS([1]order_sku_sales_bb2_report!P:P,[1]order_sku_sales_bb2_report!H:H,C29510,[1]order_sku_sales_bb2_report!J:J,H29510)</f>
        <v>#ERROR!</v>
      </c>
      <c r="P1658" s="6" t="str">
        <f>SUMIFS([1]order_sku_sales_bb2_report!O:O,[1]order_sku_sales_bb2_report!H:H,C29510,[1]order_sku_sales_bb2_report!J:J,H29510)</f>
        <v>#ERROR!</v>
      </c>
      <c r="Q1658" s="6" t="str">
        <f t="shared" si="1"/>
        <v>22-12-2025</v>
      </c>
      <c r="R1658" s="6" t="str">
        <f>IFERROR( VLOOKUP(C29510,[1]expressOrderReport!$S:$AZ,34,0),0)</f>
        <v>#ERROR!</v>
      </c>
      <c r="S1658" s="6" t="str">
        <f>ARRAY_CONSTRAIN(ARRAYFORMULA(_xludf.XLOOKUP(D29510,[1]order_Report_SA_ID_BB2.0!V:V,[1]order_Report_SA_ID_BB2.0!AM:AM,"")), 1, 1)</f>
        <v>#ERROR!</v>
      </c>
      <c r="T1658" s="6" t="str">
        <f t="shared" si="2"/>
        <v>Dec'25</v>
      </c>
    </row>
    <row r="1659" ht="15.75" customHeight="1">
      <c r="A1659" s="5">
        <v>46013.0</v>
      </c>
      <c r="B1659" s="6">
        <v>8601.0</v>
      </c>
      <c r="C1659" s="6">
        <v>1.859166854E9</v>
      </c>
      <c r="D1659" s="6">
        <v>2.0748756E7</v>
      </c>
      <c r="E1659" s="6" t="s">
        <v>2516</v>
      </c>
      <c r="F1659" s="6" t="s">
        <v>2517</v>
      </c>
      <c r="G1659" s="6">
        <v>9.972772621E9</v>
      </c>
      <c r="H1659" s="6">
        <v>4.0149832E7</v>
      </c>
      <c r="I1659" s="6" t="s">
        <v>26</v>
      </c>
      <c r="J1659" s="6" t="s">
        <v>21</v>
      </c>
      <c r="K1659" s="6" t="s">
        <v>22</v>
      </c>
      <c r="L1659" s="6">
        <v>98.0</v>
      </c>
      <c r="M1659" s="5">
        <v>46013.0</v>
      </c>
      <c r="N1659" s="6" t="s">
        <v>23</v>
      </c>
      <c r="O1659" s="6" t="str">
        <f>SUMIFS([1]order_sku_sales_bb2_report!P:P,[1]order_sku_sales_bb2_report!H:H,C29511,[1]order_sku_sales_bb2_report!J:J,H29511)</f>
        <v>#ERROR!</v>
      </c>
      <c r="P1659" s="6" t="str">
        <f>SUMIFS([1]order_sku_sales_bb2_report!O:O,[1]order_sku_sales_bb2_report!H:H,C29511,[1]order_sku_sales_bb2_report!J:J,H29511)</f>
        <v>#ERROR!</v>
      </c>
      <c r="Q1659" s="6" t="str">
        <f t="shared" si="1"/>
        <v>22-12-2025</v>
      </c>
      <c r="R1659" s="6" t="str">
        <f>IFERROR( VLOOKUP(C29511,[1]expressOrderReport!$S:$AZ,34,0),0)</f>
        <v>#ERROR!</v>
      </c>
      <c r="S1659" s="6" t="str">
        <f>ARRAY_CONSTRAIN(ARRAYFORMULA(_xludf.XLOOKUP(D29511,[1]order_Report_SA_ID_BB2.0!V:V,[1]order_Report_SA_ID_BB2.0!AM:AM,"")), 1, 1)</f>
        <v>#ERROR!</v>
      </c>
      <c r="T1659" s="6" t="str">
        <f t="shared" si="2"/>
        <v>Dec'25</v>
      </c>
    </row>
    <row r="1660" ht="15.75" customHeight="1">
      <c r="A1660" s="5">
        <v>46013.0</v>
      </c>
      <c r="B1660" s="6">
        <v>8602.0</v>
      </c>
      <c r="C1660" s="6">
        <v>1.859166862E9</v>
      </c>
      <c r="D1660" s="6">
        <v>4954773.0</v>
      </c>
      <c r="E1660" s="6" t="s">
        <v>2518</v>
      </c>
      <c r="F1660" s="6" t="s">
        <v>2519</v>
      </c>
      <c r="G1660" s="6">
        <v>9.545327967E9</v>
      </c>
      <c r="H1660" s="6">
        <v>4.0149833E7</v>
      </c>
      <c r="I1660" s="6" t="s">
        <v>40</v>
      </c>
      <c r="J1660" s="6" t="s">
        <v>21</v>
      </c>
      <c r="K1660" s="6" t="s">
        <v>22</v>
      </c>
      <c r="L1660" s="6">
        <v>27.0</v>
      </c>
      <c r="M1660" s="5">
        <v>46013.0</v>
      </c>
      <c r="N1660" s="6" t="s">
        <v>23</v>
      </c>
      <c r="O1660" s="6" t="str">
        <f>SUMIFS([1]order_sku_sales_bb2_report!P:P,[1]order_sku_sales_bb2_report!H:H,C29512,[1]order_sku_sales_bb2_report!J:J,H29512)</f>
        <v>#ERROR!</v>
      </c>
      <c r="P1660" s="6" t="str">
        <f>SUMIFS([1]order_sku_sales_bb2_report!O:O,[1]order_sku_sales_bb2_report!H:H,C29512,[1]order_sku_sales_bb2_report!J:J,H29512)</f>
        <v>#ERROR!</v>
      </c>
      <c r="Q1660" s="6" t="str">
        <f t="shared" si="1"/>
        <v>22-12-2025</v>
      </c>
      <c r="R1660" s="6" t="str">
        <f>IFERROR( VLOOKUP(C29512,[1]expressOrderReport!$S:$AZ,34,0),0)</f>
        <v>#ERROR!</v>
      </c>
      <c r="S1660" s="6" t="str">
        <f>ARRAY_CONSTRAIN(ARRAYFORMULA(_xludf.XLOOKUP(D29512,[1]order_Report_SA_ID_BB2.0!V:V,[1]order_Report_SA_ID_BB2.0!AM:AM,"")), 1, 1)</f>
        <v>#ERROR!</v>
      </c>
      <c r="T1660" s="6" t="str">
        <f t="shared" si="2"/>
        <v>Dec'25</v>
      </c>
    </row>
    <row r="1661" ht="15.75" customHeight="1">
      <c r="A1661" s="5">
        <v>46013.0</v>
      </c>
      <c r="B1661" s="6">
        <v>8604.0</v>
      </c>
      <c r="C1661" s="6">
        <v>1.85916687E9</v>
      </c>
      <c r="D1661" s="6">
        <v>2638119.0</v>
      </c>
      <c r="E1661" s="6" t="s">
        <v>2520</v>
      </c>
      <c r="F1661" s="6" t="s">
        <v>2521</v>
      </c>
      <c r="G1661" s="6">
        <v>9.81011075E9</v>
      </c>
      <c r="H1661" s="6">
        <v>4.0147597E7</v>
      </c>
      <c r="I1661" s="6" t="s">
        <v>59</v>
      </c>
      <c r="J1661" s="6" t="s">
        <v>21</v>
      </c>
      <c r="K1661" s="6" t="s">
        <v>22</v>
      </c>
      <c r="L1661" s="6">
        <v>26.0</v>
      </c>
      <c r="M1661" s="5">
        <v>46013.0</v>
      </c>
      <c r="N1661" s="6" t="s">
        <v>23</v>
      </c>
      <c r="O1661" s="6" t="str">
        <f>SUMIFS([1]order_sku_sales_bb2_report!P:P,[1]order_sku_sales_bb2_report!H:H,C29513,[1]order_sku_sales_bb2_report!J:J,H29513)</f>
        <v>#ERROR!</v>
      </c>
      <c r="P1661" s="6" t="str">
        <f>SUMIFS([1]order_sku_sales_bb2_report!O:O,[1]order_sku_sales_bb2_report!H:H,C29513,[1]order_sku_sales_bb2_report!J:J,H29513)</f>
        <v>#ERROR!</v>
      </c>
      <c r="Q1661" s="6" t="str">
        <f t="shared" si="1"/>
        <v>22-12-2025</v>
      </c>
      <c r="R1661" s="6" t="str">
        <f>IFERROR( VLOOKUP(C29513,[1]expressOrderReport!$S:$AZ,34,0),0)</f>
        <v>#ERROR!</v>
      </c>
      <c r="S1661" s="6" t="str">
        <f>ARRAY_CONSTRAIN(ARRAYFORMULA(_xludf.XLOOKUP(D29513,[1]order_Report_SA_ID_BB2.0!V:V,[1]order_Report_SA_ID_BB2.0!AM:AM,"")), 1, 1)</f>
        <v>#ERROR!</v>
      </c>
      <c r="T1661" s="6" t="str">
        <f t="shared" si="2"/>
        <v>Dec'25</v>
      </c>
    </row>
    <row r="1662" ht="15.75" customHeight="1">
      <c r="A1662" s="5">
        <v>46013.0</v>
      </c>
      <c r="B1662" s="6">
        <v>8623.0</v>
      </c>
      <c r="C1662" s="6">
        <v>1.85916688E9</v>
      </c>
      <c r="D1662" s="6">
        <v>2.7154356E7</v>
      </c>
      <c r="E1662" s="6" t="s">
        <v>1904</v>
      </c>
      <c r="F1662" s="6" t="s">
        <v>1905</v>
      </c>
      <c r="G1662" s="6">
        <v>9.742745628E9</v>
      </c>
      <c r="H1662" s="6">
        <v>4.0149833E7</v>
      </c>
      <c r="I1662" s="6" t="s">
        <v>40</v>
      </c>
      <c r="J1662" s="6" t="s">
        <v>21</v>
      </c>
      <c r="K1662" s="6" t="s">
        <v>22</v>
      </c>
      <c r="L1662" s="6">
        <v>104.14</v>
      </c>
      <c r="M1662" s="5">
        <v>46013.0</v>
      </c>
      <c r="N1662" s="6" t="s">
        <v>23</v>
      </c>
      <c r="O1662" s="6" t="str">
        <f>SUMIFS([1]order_sku_sales_bb2_report!P:P,[1]order_sku_sales_bb2_report!H:H,C29514,[1]order_sku_sales_bb2_report!J:J,H29514)</f>
        <v>#ERROR!</v>
      </c>
      <c r="P1662" s="6" t="str">
        <f>SUMIFS([1]order_sku_sales_bb2_report!O:O,[1]order_sku_sales_bb2_report!H:H,C29514,[1]order_sku_sales_bb2_report!J:J,H29514)</f>
        <v>#ERROR!</v>
      </c>
      <c r="Q1662" s="6" t="str">
        <f t="shared" si="1"/>
        <v>22-12-2025</v>
      </c>
      <c r="R1662" s="6" t="str">
        <f>IFERROR( VLOOKUP(C29514,[1]expressOrderReport!$S:$AZ,34,0),0)</f>
        <v>#ERROR!</v>
      </c>
      <c r="S1662" s="6" t="str">
        <f>ARRAY_CONSTRAIN(ARRAYFORMULA(_xludf.XLOOKUP(D29514,[1]order_Report_SA_ID_BB2.0!V:V,[1]order_Report_SA_ID_BB2.0!AM:AM,"")), 1, 1)</f>
        <v>#ERROR!</v>
      </c>
      <c r="T1662" s="6" t="str">
        <f t="shared" si="2"/>
        <v>Dec'25</v>
      </c>
    </row>
    <row r="1663" ht="15.75" customHeight="1">
      <c r="A1663" s="5">
        <v>46013.0</v>
      </c>
      <c r="B1663" s="6">
        <v>8625.0</v>
      </c>
      <c r="C1663" s="6">
        <v>1.85916688E9</v>
      </c>
      <c r="D1663" s="6">
        <v>2.7154356E7</v>
      </c>
      <c r="E1663" s="6" t="s">
        <v>1904</v>
      </c>
      <c r="F1663" s="6" t="s">
        <v>1905</v>
      </c>
      <c r="G1663" s="6">
        <v>9.742745628E9</v>
      </c>
      <c r="H1663" s="6">
        <v>4.0149834E7</v>
      </c>
      <c r="I1663" s="6" t="s">
        <v>40</v>
      </c>
      <c r="J1663" s="6" t="s">
        <v>21</v>
      </c>
      <c r="K1663" s="6" t="s">
        <v>22</v>
      </c>
      <c r="L1663" s="6">
        <v>104.14</v>
      </c>
      <c r="M1663" s="5">
        <v>46013.0</v>
      </c>
      <c r="N1663" s="6" t="s">
        <v>23</v>
      </c>
      <c r="O1663" s="6" t="str">
        <f>SUMIFS([1]order_sku_sales_bb2_report!P:P,[1]order_sku_sales_bb2_report!H:H,C29515,[1]order_sku_sales_bb2_report!J:J,H29515)</f>
        <v>#ERROR!</v>
      </c>
      <c r="P1663" s="6" t="str">
        <f>SUMIFS([1]order_sku_sales_bb2_report!O:O,[1]order_sku_sales_bb2_report!H:H,C29515,[1]order_sku_sales_bb2_report!J:J,H29515)</f>
        <v>#ERROR!</v>
      </c>
      <c r="Q1663" s="6" t="str">
        <f t="shared" si="1"/>
        <v>22-12-2025</v>
      </c>
      <c r="R1663" s="6" t="str">
        <f>IFERROR( VLOOKUP(C29515,[1]expressOrderReport!$S:$AZ,34,0),0)</f>
        <v>#ERROR!</v>
      </c>
      <c r="S1663" s="6" t="str">
        <f>ARRAY_CONSTRAIN(ARRAYFORMULA(_xludf.XLOOKUP(D29515,[1]order_Report_SA_ID_BB2.0!V:V,[1]order_Report_SA_ID_BB2.0!AM:AM,"")), 1, 1)</f>
        <v>#ERROR!</v>
      </c>
      <c r="T1663" s="6" t="str">
        <f t="shared" si="2"/>
        <v>Dec'25</v>
      </c>
    </row>
    <row r="1664" ht="15.75" customHeight="1">
      <c r="A1664" s="5">
        <v>46013.0</v>
      </c>
      <c r="B1664" s="6">
        <v>8626.0</v>
      </c>
      <c r="C1664" s="6">
        <v>1.85916688E9</v>
      </c>
      <c r="D1664" s="6">
        <v>2.7154356E7</v>
      </c>
      <c r="E1664" s="6" t="s">
        <v>1904</v>
      </c>
      <c r="F1664" s="6" t="s">
        <v>1905</v>
      </c>
      <c r="G1664" s="6">
        <v>9.742745628E9</v>
      </c>
      <c r="H1664" s="6">
        <v>2.0001184E7</v>
      </c>
      <c r="I1664" s="6" t="s">
        <v>377</v>
      </c>
      <c r="J1664" s="6" t="s">
        <v>21</v>
      </c>
      <c r="K1664" s="6" t="s">
        <v>22</v>
      </c>
      <c r="L1664" s="6">
        <v>104.14</v>
      </c>
      <c r="M1664" s="5">
        <v>46013.0</v>
      </c>
      <c r="N1664" s="6" t="s">
        <v>23</v>
      </c>
      <c r="O1664" s="6" t="str">
        <f>SUMIFS([1]order_sku_sales_bb2_report!P:P,[1]order_sku_sales_bb2_report!H:H,C29516,[1]order_sku_sales_bb2_report!J:J,H29516)</f>
        <v>#ERROR!</v>
      </c>
      <c r="P1664" s="6" t="str">
        <f>SUMIFS([1]order_sku_sales_bb2_report!O:O,[1]order_sku_sales_bb2_report!H:H,C29516,[1]order_sku_sales_bb2_report!J:J,H29516)</f>
        <v>#ERROR!</v>
      </c>
      <c r="Q1664" s="6" t="str">
        <f t="shared" si="1"/>
        <v>22-12-2025</v>
      </c>
      <c r="R1664" s="6" t="str">
        <f>IFERROR( VLOOKUP(C29516,[1]expressOrderReport!$S:$AZ,34,0),0)</f>
        <v>#ERROR!</v>
      </c>
      <c r="S1664" s="6" t="str">
        <f>ARRAY_CONSTRAIN(ARRAYFORMULA(_xludf.XLOOKUP(D29516,[1]order_Report_SA_ID_BB2.0!V:V,[1]order_Report_SA_ID_BB2.0!AM:AM,"")), 1, 1)</f>
        <v>#ERROR!</v>
      </c>
      <c r="T1664" s="6" t="str">
        <f t="shared" si="2"/>
        <v>Dec'25</v>
      </c>
    </row>
    <row r="1665" ht="15.75" customHeight="1">
      <c r="A1665" s="5">
        <v>46013.0</v>
      </c>
      <c r="B1665" s="6">
        <v>8627.0</v>
      </c>
      <c r="C1665" s="6">
        <v>1.85916688E9</v>
      </c>
      <c r="D1665" s="6">
        <v>2.7154356E7</v>
      </c>
      <c r="E1665" s="6" t="s">
        <v>1904</v>
      </c>
      <c r="F1665" s="6" t="s">
        <v>1905</v>
      </c>
      <c r="G1665" s="6">
        <v>9.742745628E9</v>
      </c>
      <c r="H1665" s="6">
        <v>4.0054183E7</v>
      </c>
      <c r="I1665" s="6" t="s">
        <v>157</v>
      </c>
      <c r="J1665" s="6" t="s">
        <v>21</v>
      </c>
      <c r="K1665" s="6" t="s">
        <v>22</v>
      </c>
      <c r="L1665" s="6">
        <v>104.14</v>
      </c>
      <c r="M1665" s="5">
        <v>46013.0</v>
      </c>
      <c r="N1665" s="6" t="s">
        <v>23</v>
      </c>
      <c r="O1665" s="6" t="str">
        <f>SUMIFS([1]order_sku_sales_bb2_report!P:P,[1]order_sku_sales_bb2_report!H:H,C29517,[1]order_sku_sales_bb2_report!J:J,H29517)</f>
        <v>#ERROR!</v>
      </c>
      <c r="P1665" s="6" t="str">
        <f>SUMIFS([1]order_sku_sales_bb2_report!O:O,[1]order_sku_sales_bb2_report!H:H,C29517,[1]order_sku_sales_bb2_report!J:J,H29517)</f>
        <v>#ERROR!</v>
      </c>
      <c r="Q1665" s="6" t="str">
        <f t="shared" si="1"/>
        <v>22-12-2025</v>
      </c>
      <c r="R1665" s="6" t="str">
        <f>IFERROR( VLOOKUP(C29517,[1]expressOrderReport!$S:$AZ,34,0),0)</f>
        <v>#ERROR!</v>
      </c>
      <c r="S1665" s="6" t="str">
        <f>ARRAY_CONSTRAIN(ARRAYFORMULA(_xludf.XLOOKUP(D29517,[1]order_Report_SA_ID_BB2.0!V:V,[1]order_Report_SA_ID_BB2.0!AM:AM,"")), 1, 1)</f>
        <v>#ERROR!</v>
      </c>
      <c r="T1665" s="6" t="str">
        <f t="shared" si="2"/>
        <v>Dec'25</v>
      </c>
    </row>
    <row r="1666" ht="15.75" customHeight="1">
      <c r="A1666" s="5">
        <v>46013.0</v>
      </c>
      <c r="B1666" s="6">
        <v>10956.0</v>
      </c>
      <c r="C1666" s="6">
        <v>1.859166888E9</v>
      </c>
      <c r="D1666" s="6">
        <v>1.8506368E7</v>
      </c>
      <c r="E1666" s="6" t="s">
        <v>2522</v>
      </c>
      <c r="F1666" s="6" t="s">
        <v>2523</v>
      </c>
      <c r="G1666" s="6">
        <v>7.057397726E9</v>
      </c>
      <c r="H1666" s="6">
        <v>4.0148717E7</v>
      </c>
      <c r="I1666" s="6" t="s">
        <v>226</v>
      </c>
      <c r="J1666" s="6" t="s">
        <v>21</v>
      </c>
      <c r="K1666" s="6" t="s">
        <v>22</v>
      </c>
      <c r="L1666" s="6">
        <v>53.0</v>
      </c>
      <c r="M1666" s="5">
        <v>46013.0</v>
      </c>
      <c r="N1666" s="6" t="s">
        <v>23</v>
      </c>
      <c r="O1666" s="6" t="str">
        <f>SUMIFS([1]order_sku_sales_bb2_report!P:P,[1]order_sku_sales_bb2_report!H:H,C29518,[1]order_sku_sales_bb2_report!J:J,H29518)</f>
        <v>#ERROR!</v>
      </c>
      <c r="P1666" s="6" t="str">
        <f>SUMIFS([1]order_sku_sales_bb2_report!O:O,[1]order_sku_sales_bb2_report!H:H,C29518,[1]order_sku_sales_bb2_report!J:J,H29518)</f>
        <v>#ERROR!</v>
      </c>
      <c r="Q1666" s="6" t="str">
        <f t="shared" si="1"/>
        <v>22-12-2025</v>
      </c>
      <c r="R1666" s="6" t="str">
        <f>IFERROR( VLOOKUP(C29518,[1]expressOrderReport!$S:$AZ,34,0),0)</f>
        <v>#ERROR!</v>
      </c>
      <c r="S1666" s="6" t="str">
        <f>ARRAY_CONSTRAIN(ARRAYFORMULA(_xludf.XLOOKUP(D29518,[1]order_Report_SA_ID_BB2.0!V:V,[1]order_Report_SA_ID_BB2.0!AM:AM,"")), 1, 1)</f>
        <v>#ERROR!</v>
      </c>
      <c r="T1666" s="6" t="str">
        <f t="shared" si="2"/>
        <v>Dec'25</v>
      </c>
    </row>
    <row r="1667" ht="15.75" customHeight="1">
      <c r="A1667" s="5">
        <v>46013.0</v>
      </c>
      <c r="B1667" s="6">
        <v>8651.0</v>
      </c>
      <c r="C1667" s="6">
        <v>1.859166894E9</v>
      </c>
      <c r="D1667" s="6">
        <v>1786392.0</v>
      </c>
      <c r="E1667" s="6" t="s">
        <v>2524</v>
      </c>
      <c r="F1667" s="6" t="s">
        <v>2525</v>
      </c>
      <c r="G1667" s="6">
        <v>8.867561874E9</v>
      </c>
      <c r="H1667" s="6">
        <v>4.0147597E7</v>
      </c>
      <c r="I1667" s="6" t="s">
        <v>59</v>
      </c>
      <c r="J1667" s="6" t="s">
        <v>21</v>
      </c>
      <c r="K1667" s="6" t="s">
        <v>22</v>
      </c>
      <c r="L1667" s="6">
        <v>26.0</v>
      </c>
      <c r="M1667" s="5">
        <v>46013.0</v>
      </c>
      <c r="N1667" s="6" t="s">
        <v>23</v>
      </c>
      <c r="O1667" s="6" t="str">
        <f>SUMIFS([1]order_sku_sales_bb2_report!P:P,[1]order_sku_sales_bb2_report!H:H,C29519,[1]order_sku_sales_bb2_report!J:J,H29519)</f>
        <v>#ERROR!</v>
      </c>
      <c r="P1667" s="6" t="str">
        <f>SUMIFS([1]order_sku_sales_bb2_report!O:O,[1]order_sku_sales_bb2_report!H:H,C29519,[1]order_sku_sales_bb2_report!J:J,H29519)</f>
        <v>#ERROR!</v>
      </c>
      <c r="Q1667" s="6" t="str">
        <f t="shared" si="1"/>
        <v>22-12-2025</v>
      </c>
      <c r="R1667" s="6" t="str">
        <f>IFERROR( VLOOKUP(C29519,[1]expressOrderReport!$S:$AZ,34,0),0)</f>
        <v>#ERROR!</v>
      </c>
      <c r="S1667" s="6" t="str">
        <f>ARRAY_CONSTRAIN(ARRAYFORMULA(_xludf.XLOOKUP(D29519,[1]order_Report_SA_ID_BB2.0!V:V,[1]order_Report_SA_ID_BB2.0!AM:AM,"")), 1, 1)</f>
        <v>#ERROR!</v>
      </c>
      <c r="T1667" s="6" t="str">
        <f t="shared" si="2"/>
        <v>Dec'25</v>
      </c>
    </row>
    <row r="1668" ht="15.75" customHeight="1">
      <c r="A1668" s="5">
        <v>46013.0</v>
      </c>
      <c r="B1668" s="6">
        <v>8655.0</v>
      </c>
      <c r="C1668" s="6">
        <v>1.859166899E9</v>
      </c>
      <c r="D1668" s="6">
        <v>1.5908325E7</v>
      </c>
      <c r="E1668" s="6" t="s">
        <v>994</v>
      </c>
      <c r="F1668" s="6" t="s">
        <v>995</v>
      </c>
      <c r="G1668" s="6">
        <v>9.442344974E9</v>
      </c>
      <c r="H1668" s="6">
        <v>4.0149833E7</v>
      </c>
      <c r="I1668" s="6" t="s">
        <v>40</v>
      </c>
      <c r="J1668" s="6" t="s">
        <v>21</v>
      </c>
      <c r="K1668" s="6" t="s">
        <v>22</v>
      </c>
      <c r="L1668" s="6">
        <v>27.0</v>
      </c>
      <c r="M1668" s="5">
        <v>46013.0</v>
      </c>
      <c r="N1668" s="6" t="s">
        <v>23</v>
      </c>
      <c r="O1668" s="6" t="str">
        <f>SUMIFS([1]order_sku_sales_bb2_report!P:P,[1]order_sku_sales_bb2_report!H:H,C29520,[1]order_sku_sales_bb2_report!J:J,H29520)</f>
        <v>#ERROR!</v>
      </c>
      <c r="P1668" s="6" t="str">
        <f>SUMIFS([1]order_sku_sales_bb2_report!O:O,[1]order_sku_sales_bb2_report!H:H,C29520,[1]order_sku_sales_bb2_report!J:J,H29520)</f>
        <v>#ERROR!</v>
      </c>
      <c r="Q1668" s="6" t="str">
        <f t="shared" si="1"/>
        <v>22-12-2025</v>
      </c>
      <c r="R1668" s="6" t="str">
        <f>IFERROR( VLOOKUP(C29520,[1]expressOrderReport!$S:$AZ,34,0),0)</f>
        <v>#ERROR!</v>
      </c>
      <c r="S1668" s="6" t="str">
        <f>ARRAY_CONSTRAIN(ARRAYFORMULA(_xludf.XLOOKUP(D29520,[1]order_Report_SA_ID_BB2.0!V:V,[1]order_Report_SA_ID_BB2.0!AM:AM,"")), 1, 1)</f>
        <v>#ERROR!</v>
      </c>
      <c r="T1668" s="6" t="str">
        <f t="shared" si="2"/>
        <v>Dec'25</v>
      </c>
    </row>
    <row r="1669" ht="15.75" customHeight="1">
      <c r="A1669" s="5">
        <v>46013.0</v>
      </c>
      <c r="B1669" s="6">
        <v>8669.0</v>
      </c>
      <c r="C1669" s="6">
        <v>1.859165397E9</v>
      </c>
      <c r="D1669" s="6">
        <v>2.4173601E7</v>
      </c>
      <c r="E1669" s="6" t="s">
        <v>2526</v>
      </c>
      <c r="F1669" s="6" t="s">
        <v>2527</v>
      </c>
      <c r="G1669" s="6">
        <v>9.901048975E9</v>
      </c>
      <c r="H1669" s="6">
        <v>4.0149834E7</v>
      </c>
      <c r="I1669" s="6" t="s">
        <v>40</v>
      </c>
      <c r="J1669" s="6" t="s">
        <v>21</v>
      </c>
      <c r="K1669" s="6" t="s">
        <v>22</v>
      </c>
      <c r="L1669" s="6">
        <v>52.0</v>
      </c>
      <c r="M1669" s="5">
        <v>46013.0</v>
      </c>
      <c r="N1669" s="6" t="s">
        <v>23</v>
      </c>
      <c r="O1669" s="6" t="str">
        <f>SUMIFS([1]order_sku_sales_bb2_report!P:P,[1]order_sku_sales_bb2_report!H:H,C29521,[1]order_sku_sales_bb2_report!J:J,H29521)</f>
        <v>#ERROR!</v>
      </c>
      <c r="P1669" s="6" t="str">
        <f>SUMIFS([1]order_sku_sales_bb2_report!O:O,[1]order_sku_sales_bb2_report!H:H,C29521,[1]order_sku_sales_bb2_report!J:J,H29521)</f>
        <v>#ERROR!</v>
      </c>
      <c r="Q1669" s="6" t="str">
        <f t="shared" si="1"/>
        <v>22-12-2025</v>
      </c>
      <c r="R1669" s="6" t="str">
        <f>IFERROR( VLOOKUP(C29521,[1]expressOrderReport!$S:$AZ,34,0),0)</f>
        <v>#ERROR!</v>
      </c>
      <c r="S1669" s="6" t="str">
        <f>ARRAY_CONSTRAIN(ARRAYFORMULA(_xludf.XLOOKUP(D29521,[1]order_Report_SA_ID_BB2.0!V:V,[1]order_Report_SA_ID_BB2.0!AM:AM,"")), 1, 1)</f>
        <v>#ERROR!</v>
      </c>
      <c r="T1669" s="6" t="str">
        <f t="shared" si="2"/>
        <v>Dec'25</v>
      </c>
    </row>
    <row r="1670" ht="15.75" customHeight="1">
      <c r="A1670" s="5">
        <v>46013.0</v>
      </c>
      <c r="B1670" s="6">
        <v>8673.0</v>
      </c>
      <c r="C1670" s="6">
        <v>1.85916541E9</v>
      </c>
      <c r="D1670" s="6">
        <v>183874.0</v>
      </c>
      <c r="E1670" s="6" t="s">
        <v>1213</v>
      </c>
      <c r="F1670" s="6" t="s">
        <v>1214</v>
      </c>
      <c r="G1670" s="6">
        <v>8.373912881E9</v>
      </c>
      <c r="H1670" s="6">
        <v>4.0149834E7</v>
      </c>
      <c r="I1670" s="6" t="s">
        <v>40</v>
      </c>
      <c r="J1670" s="6" t="s">
        <v>21</v>
      </c>
      <c r="K1670" s="6" t="s">
        <v>22</v>
      </c>
      <c r="L1670" s="6">
        <v>52.0</v>
      </c>
      <c r="M1670" s="5">
        <v>46013.0</v>
      </c>
      <c r="N1670" s="6" t="s">
        <v>23</v>
      </c>
      <c r="O1670" s="6" t="str">
        <f>SUMIFS([1]order_sku_sales_bb2_report!P:P,[1]order_sku_sales_bb2_report!H:H,C29522,[1]order_sku_sales_bb2_report!J:J,H29522)</f>
        <v>#ERROR!</v>
      </c>
      <c r="P1670" s="6" t="str">
        <f>SUMIFS([1]order_sku_sales_bb2_report!O:O,[1]order_sku_sales_bb2_report!H:H,C29522,[1]order_sku_sales_bb2_report!J:J,H29522)</f>
        <v>#ERROR!</v>
      </c>
      <c r="Q1670" s="6" t="str">
        <f t="shared" si="1"/>
        <v>22-12-2025</v>
      </c>
      <c r="R1670" s="6" t="str">
        <f>IFERROR( VLOOKUP(C29522,[1]expressOrderReport!$S:$AZ,34,0),0)</f>
        <v>#ERROR!</v>
      </c>
      <c r="S1670" s="6" t="str">
        <f>ARRAY_CONSTRAIN(ARRAYFORMULA(_xludf.XLOOKUP(D29522,[1]order_Report_SA_ID_BB2.0!V:V,[1]order_Report_SA_ID_BB2.0!AM:AM,"")), 1, 1)</f>
        <v>#ERROR!</v>
      </c>
      <c r="T1670" s="6" t="str">
        <f t="shared" si="2"/>
        <v>Dec'25</v>
      </c>
    </row>
    <row r="1671" ht="15.75" customHeight="1">
      <c r="A1671" s="5">
        <v>46013.0</v>
      </c>
      <c r="B1671" s="6">
        <v>8674.0</v>
      </c>
      <c r="C1671" s="6">
        <v>1.85916541E9</v>
      </c>
      <c r="D1671" s="6">
        <v>183874.0</v>
      </c>
      <c r="E1671" s="6" t="s">
        <v>1213</v>
      </c>
      <c r="F1671" s="6" t="s">
        <v>1214</v>
      </c>
      <c r="G1671" s="6">
        <v>8.373912881E9</v>
      </c>
      <c r="H1671" s="6">
        <v>4.0001602E7</v>
      </c>
      <c r="I1671" s="6" t="s">
        <v>2399</v>
      </c>
      <c r="J1671" s="6" t="s">
        <v>21</v>
      </c>
      <c r="K1671" s="6" t="s">
        <v>22</v>
      </c>
      <c r="L1671" s="6">
        <v>52.0</v>
      </c>
      <c r="M1671" s="5">
        <v>46013.0</v>
      </c>
      <c r="N1671" s="6" t="s">
        <v>23</v>
      </c>
      <c r="O1671" s="6" t="str">
        <f>SUMIFS([1]order_sku_sales_bb2_report!P:P,[1]order_sku_sales_bb2_report!H:H,C29523,[1]order_sku_sales_bb2_report!J:J,H29523)</f>
        <v>#ERROR!</v>
      </c>
      <c r="P1671" s="6" t="str">
        <f>SUMIFS([1]order_sku_sales_bb2_report!O:O,[1]order_sku_sales_bb2_report!H:H,C29523,[1]order_sku_sales_bb2_report!J:J,H29523)</f>
        <v>#ERROR!</v>
      </c>
      <c r="Q1671" s="6" t="str">
        <f t="shared" si="1"/>
        <v>22-12-2025</v>
      </c>
      <c r="R1671" s="6" t="str">
        <f>IFERROR( VLOOKUP(C29523,[1]expressOrderReport!$S:$AZ,34,0),0)</f>
        <v>#ERROR!</v>
      </c>
      <c r="S1671" s="6" t="str">
        <f>ARRAY_CONSTRAIN(ARRAYFORMULA(_xludf.XLOOKUP(D29523,[1]order_Report_SA_ID_BB2.0!V:V,[1]order_Report_SA_ID_BB2.0!AM:AM,"")), 1, 1)</f>
        <v>#ERROR!</v>
      </c>
      <c r="T1671" s="6" t="str">
        <f t="shared" si="2"/>
        <v>Dec'25</v>
      </c>
    </row>
    <row r="1672" ht="15.75" customHeight="1">
      <c r="A1672" s="5">
        <v>46013.0</v>
      </c>
      <c r="B1672" s="6">
        <v>8684.0</v>
      </c>
      <c r="C1672" s="6">
        <v>1.859165424E9</v>
      </c>
      <c r="D1672" s="6">
        <v>7186310.0</v>
      </c>
      <c r="E1672" s="6" t="s">
        <v>2528</v>
      </c>
      <c r="F1672" s="6" t="s">
        <v>2529</v>
      </c>
      <c r="G1672" s="6">
        <v>9.980168926E9</v>
      </c>
      <c r="H1672" s="6">
        <v>4.0149834E7</v>
      </c>
      <c r="I1672" s="6" t="s">
        <v>40</v>
      </c>
      <c r="J1672" s="6" t="s">
        <v>21</v>
      </c>
      <c r="K1672" s="6" t="s">
        <v>22</v>
      </c>
      <c r="L1672" s="6">
        <v>52.0</v>
      </c>
      <c r="M1672" s="5">
        <v>46013.0</v>
      </c>
      <c r="N1672" s="6" t="s">
        <v>23</v>
      </c>
      <c r="O1672" s="6" t="str">
        <f>SUMIFS([1]order_sku_sales_bb2_report!P:P,[1]order_sku_sales_bb2_report!H:H,C29524,[1]order_sku_sales_bb2_report!J:J,H29524)</f>
        <v>#ERROR!</v>
      </c>
      <c r="P1672" s="6" t="str">
        <f>SUMIFS([1]order_sku_sales_bb2_report!O:O,[1]order_sku_sales_bb2_report!H:H,C29524,[1]order_sku_sales_bb2_report!J:J,H29524)</f>
        <v>#ERROR!</v>
      </c>
      <c r="Q1672" s="6" t="str">
        <f t="shared" si="1"/>
        <v>22-12-2025</v>
      </c>
      <c r="R1672" s="6" t="str">
        <f>IFERROR( VLOOKUP(C29524,[1]expressOrderReport!$S:$AZ,34,0),0)</f>
        <v>#ERROR!</v>
      </c>
      <c r="S1672" s="6" t="str">
        <f>ARRAY_CONSTRAIN(ARRAYFORMULA(_xludf.XLOOKUP(D29524,[1]order_Report_SA_ID_BB2.0!V:V,[1]order_Report_SA_ID_BB2.0!AM:AM,"")), 1, 1)</f>
        <v>#ERROR!</v>
      </c>
      <c r="T1672" s="6" t="str">
        <f t="shared" si="2"/>
        <v>Dec'25</v>
      </c>
    </row>
    <row r="1673" ht="15.75" customHeight="1">
      <c r="A1673" s="5">
        <v>46013.0</v>
      </c>
      <c r="B1673" s="6">
        <v>8689.0</v>
      </c>
      <c r="C1673" s="6">
        <v>1.859165435E9</v>
      </c>
      <c r="D1673" s="6">
        <v>26677.0</v>
      </c>
      <c r="E1673" s="6" t="s">
        <v>2530</v>
      </c>
      <c r="F1673" s="6"/>
      <c r="G1673" s="6">
        <v>9.98011647E9</v>
      </c>
      <c r="H1673" s="6">
        <v>4.0149834E7</v>
      </c>
      <c r="I1673" s="6" t="s">
        <v>40</v>
      </c>
      <c r="J1673" s="6" t="s">
        <v>21</v>
      </c>
      <c r="K1673" s="6" t="s">
        <v>22</v>
      </c>
      <c r="L1673" s="6">
        <v>52.0</v>
      </c>
      <c r="M1673" s="5">
        <v>46013.0</v>
      </c>
      <c r="N1673" s="6" t="s">
        <v>23</v>
      </c>
      <c r="O1673" s="6" t="str">
        <f>SUMIFS([1]order_sku_sales_bb2_report!P:P,[1]order_sku_sales_bb2_report!H:H,C29525,[1]order_sku_sales_bb2_report!J:J,H29525)</f>
        <v>#ERROR!</v>
      </c>
      <c r="P1673" s="6" t="str">
        <f>SUMIFS([1]order_sku_sales_bb2_report!O:O,[1]order_sku_sales_bb2_report!H:H,C29525,[1]order_sku_sales_bb2_report!J:J,H29525)</f>
        <v>#ERROR!</v>
      </c>
      <c r="Q1673" s="6" t="str">
        <f t="shared" si="1"/>
        <v>22-12-2025</v>
      </c>
      <c r="R1673" s="6" t="str">
        <f>IFERROR( VLOOKUP(C29525,[1]expressOrderReport!$S:$AZ,34,0),0)</f>
        <v>#ERROR!</v>
      </c>
      <c r="S1673" s="6" t="str">
        <f>ARRAY_CONSTRAIN(ARRAYFORMULA(_xludf.XLOOKUP(D29525,[1]order_Report_SA_ID_BB2.0!V:V,[1]order_Report_SA_ID_BB2.0!AM:AM,"")), 1, 1)</f>
        <v>#ERROR!</v>
      </c>
      <c r="T1673" s="6" t="str">
        <f t="shared" si="2"/>
        <v>Dec'25</v>
      </c>
    </row>
    <row r="1674" ht="15.75" customHeight="1">
      <c r="A1674" s="5">
        <v>46013.0</v>
      </c>
      <c r="B1674" s="6">
        <v>8695.0</v>
      </c>
      <c r="C1674" s="6">
        <v>1.859165443E9</v>
      </c>
      <c r="D1674" s="6">
        <v>4.3152072E7</v>
      </c>
      <c r="E1674" s="6" t="s">
        <v>2531</v>
      </c>
      <c r="F1674" s="6" t="s">
        <v>2532</v>
      </c>
      <c r="G1674" s="6">
        <v>7.020429339E9</v>
      </c>
      <c r="H1674" s="6">
        <v>4.0149831E7</v>
      </c>
      <c r="I1674" s="6" t="s">
        <v>65</v>
      </c>
      <c r="J1674" s="6" t="s">
        <v>21</v>
      </c>
      <c r="K1674" s="6" t="s">
        <v>22</v>
      </c>
      <c r="L1674" s="6">
        <v>26.0</v>
      </c>
      <c r="M1674" s="5">
        <v>46013.0</v>
      </c>
      <c r="N1674" s="6" t="s">
        <v>23</v>
      </c>
      <c r="O1674" s="6" t="str">
        <f>SUMIFS([1]order_sku_sales_bb2_report!P:P,[1]order_sku_sales_bb2_report!H:H,C29526,[1]order_sku_sales_bb2_report!J:J,H29526)</f>
        <v>#ERROR!</v>
      </c>
      <c r="P1674" s="6" t="str">
        <f>SUMIFS([1]order_sku_sales_bb2_report!O:O,[1]order_sku_sales_bb2_report!H:H,C29526,[1]order_sku_sales_bb2_report!J:J,H29526)</f>
        <v>#ERROR!</v>
      </c>
      <c r="Q1674" s="6" t="str">
        <f t="shared" si="1"/>
        <v>22-12-2025</v>
      </c>
      <c r="R1674" s="6" t="str">
        <f>IFERROR( VLOOKUP(C29526,[1]expressOrderReport!$S:$AZ,34,0),0)</f>
        <v>#ERROR!</v>
      </c>
      <c r="S1674" s="6" t="str">
        <f>ARRAY_CONSTRAIN(ARRAYFORMULA(_xludf.XLOOKUP(D29526,[1]order_Report_SA_ID_BB2.0!V:V,[1]order_Report_SA_ID_BB2.0!AM:AM,"")), 1, 1)</f>
        <v>#ERROR!</v>
      </c>
      <c r="T1674" s="6" t="str">
        <f t="shared" si="2"/>
        <v>Dec'25</v>
      </c>
    </row>
    <row r="1675" ht="15.75" customHeight="1">
      <c r="A1675" s="5">
        <v>46013.0</v>
      </c>
      <c r="B1675" s="6">
        <v>8710.0</v>
      </c>
      <c r="C1675" s="6">
        <v>1.859165449E9</v>
      </c>
      <c r="D1675" s="6">
        <v>6.1970417E7</v>
      </c>
      <c r="E1675" s="6" t="s">
        <v>625</v>
      </c>
      <c r="F1675" s="6" t="s">
        <v>2533</v>
      </c>
      <c r="G1675" s="6">
        <v>9.500322311E9</v>
      </c>
      <c r="H1675" s="6">
        <v>4.0149832E7</v>
      </c>
      <c r="I1675" s="6" t="s">
        <v>26</v>
      </c>
      <c r="J1675" s="6" t="s">
        <v>21</v>
      </c>
      <c r="K1675" s="6" t="s">
        <v>22</v>
      </c>
      <c r="L1675" s="6">
        <v>96.0</v>
      </c>
      <c r="M1675" s="5">
        <v>46013.0</v>
      </c>
      <c r="N1675" s="6" t="s">
        <v>23</v>
      </c>
      <c r="O1675" s="6" t="str">
        <f>SUMIFS([1]order_sku_sales_bb2_report!P:P,[1]order_sku_sales_bb2_report!H:H,C29527,[1]order_sku_sales_bb2_report!J:J,H29527)</f>
        <v>#ERROR!</v>
      </c>
      <c r="P1675" s="6" t="str">
        <f>SUMIFS([1]order_sku_sales_bb2_report!O:O,[1]order_sku_sales_bb2_report!H:H,C29527,[1]order_sku_sales_bb2_report!J:J,H29527)</f>
        <v>#ERROR!</v>
      </c>
      <c r="Q1675" s="6" t="str">
        <f t="shared" si="1"/>
        <v>22-12-2025</v>
      </c>
      <c r="R1675" s="6" t="str">
        <f>IFERROR( VLOOKUP(C29527,[1]expressOrderReport!$S:$AZ,34,0),0)</f>
        <v>#ERROR!</v>
      </c>
      <c r="S1675" s="6" t="str">
        <f>ARRAY_CONSTRAIN(ARRAYFORMULA(_xludf.XLOOKUP(D29527,[1]order_Report_SA_ID_BB2.0!V:V,[1]order_Report_SA_ID_BB2.0!AM:AM,"")), 1, 1)</f>
        <v>#ERROR!</v>
      </c>
      <c r="T1675" s="6" t="str">
        <f t="shared" si="2"/>
        <v>Dec'25</v>
      </c>
    </row>
    <row r="1676" ht="15.75" customHeight="1">
      <c r="A1676" s="5">
        <v>46013.0</v>
      </c>
      <c r="B1676" s="6">
        <v>8713.0</v>
      </c>
      <c r="C1676" s="6">
        <v>1.859165457E9</v>
      </c>
      <c r="D1676" s="6">
        <v>1.3104149E7</v>
      </c>
      <c r="E1676" s="6" t="s">
        <v>2534</v>
      </c>
      <c r="F1676" s="6" t="s">
        <v>2535</v>
      </c>
      <c r="G1676" s="6">
        <v>9.742097033E9</v>
      </c>
      <c r="H1676" s="6">
        <v>4.0149834E7</v>
      </c>
      <c r="I1676" s="6" t="s">
        <v>40</v>
      </c>
      <c r="J1676" s="6" t="s">
        <v>21</v>
      </c>
      <c r="K1676" s="6" t="s">
        <v>22</v>
      </c>
      <c r="L1676" s="6">
        <v>52.0</v>
      </c>
      <c r="M1676" s="5">
        <v>46013.0</v>
      </c>
      <c r="N1676" s="6" t="s">
        <v>23</v>
      </c>
      <c r="O1676" s="6" t="str">
        <f>SUMIFS([1]order_sku_sales_bb2_report!P:P,[1]order_sku_sales_bb2_report!H:H,C29528,[1]order_sku_sales_bb2_report!J:J,H29528)</f>
        <v>#ERROR!</v>
      </c>
      <c r="P1676" s="6" t="str">
        <f>SUMIFS([1]order_sku_sales_bb2_report!O:O,[1]order_sku_sales_bb2_report!H:H,C29528,[1]order_sku_sales_bb2_report!J:J,H29528)</f>
        <v>#ERROR!</v>
      </c>
      <c r="Q1676" s="6" t="str">
        <f t="shared" si="1"/>
        <v>22-12-2025</v>
      </c>
      <c r="R1676" s="6" t="str">
        <f>IFERROR( VLOOKUP(C29528,[1]expressOrderReport!$S:$AZ,34,0),0)</f>
        <v>#ERROR!</v>
      </c>
      <c r="S1676" s="6" t="str">
        <f>ARRAY_CONSTRAIN(ARRAYFORMULA(_xludf.XLOOKUP(D29528,[1]order_Report_SA_ID_BB2.0!V:V,[1]order_Report_SA_ID_BB2.0!AM:AM,"")), 1, 1)</f>
        <v>#ERROR!</v>
      </c>
      <c r="T1676" s="6" t="str">
        <f t="shared" si="2"/>
        <v>Dec'25</v>
      </c>
    </row>
    <row r="1677" ht="15.75" customHeight="1">
      <c r="A1677" s="5">
        <v>46013.0</v>
      </c>
      <c r="B1677" s="6">
        <v>8718.0</v>
      </c>
      <c r="C1677" s="6">
        <v>1.859165466E9</v>
      </c>
      <c r="D1677" s="6">
        <v>2.4527753E7</v>
      </c>
      <c r="E1677" s="6" t="s">
        <v>625</v>
      </c>
      <c r="F1677" s="6" t="s">
        <v>2536</v>
      </c>
      <c r="G1677" s="6">
        <v>8.884152984E9</v>
      </c>
      <c r="H1677" s="6">
        <v>4.0161616E7</v>
      </c>
      <c r="I1677" s="6" t="s">
        <v>20</v>
      </c>
      <c r="J1677" s="6" t="s">
        <v>21</v>
      </c>
      <c r="K1677" s="6" t="s">
        <v>22</v>
      </c>
      <c r="L1677" s="6">
        <v>56.0</v>
      </c>
      <c r="M1677" s="5">
        <v>46013.0</v>
      </c>
      <c r="N1677" s="6" t="s">
        <v>23</v>
      </c>
      <c r="O1677" s="6" t="str">
        <f>SUMIFS([1]order_sku_sales_bb2_report!P:P,[1]order_sku_sales_bb2_report!H:H,C29529,[1]order_sku_sales_bb2_report!J:J,H29529)</f>
        <v>#ERROR!</v>
      </c>
      <c r="P1677" s="6" t="str">
        <f>SUMIFS([1]order_sku_sales_bb2_report!O:O,[1]order_sku_sales_bb2_report!H:H,C29529,[1]order_sku_sales_bb2_report!J:J,H29529)</f>
        <v>#ERROR!</v>
      </c>
      <c r="Q1677" s="6" t="str">
        <f t="shared" si="1"/>
        <v>22-12-2025</v>
      </c>
      <c r="R1677" s="6" t="str">
        <f>IFERROR( VLOOKUP(C29529,[1]expressOrderReport!$S:$AZ,34,0),0)</f>
        <v>#ERROR!</v>
      </c>
      <c r="S1677" s="6" t="str">
        <f>ARRAY_CONSTRAIN(ARRAYFORMULA(_xludf.XLOOKUP(D29529,[1]order_Report_SA_ID_BB2.0!V:V,[1]order_Report_SA_ID_BB2.0!AM:AM,"")), 1, 1)</f>
        <v>#ERROR!</v>
      </c>
      <c r="T1677" s="6" t="str">
        <f t="shared" si="2"/>
        <v>Dec'25</v>
      </c>
    </row>
    <row r="1678" ht="15.75" customHeight="1">
      <c r="A1678" s="5">
        <v>46013.0</v>
      </c>
      <c r="B1678" s="6">
        <v>8719.0</v>
      </c>
      <c r="C1678" s="6">
        <v>1.859165477E9</v>
      </c>
      <c r="D1678" s="6">
        <v>1.6500211E7</v>
      </c>
      <c r="E1678" s="6" t="s">
        <v>2537</v>
      </c>
      <c r="F1678" s="6" t="s">
        <v>2538</v>
      </c>
      <c r="G1678" s="6">
        <v>8.147088893E9</v>
      </c>
      <c r="H1678" s="6">
        <v>4.0149832E7</v>
      </c>
      <c r="I1678" s="6" t="s">
        <v>26</v>
      </c>
      <c r="J1678" s="6" t="s">
        <v>21</v>
      </c>
      <c r="K1678" s="6" t="s">
        <v>22</v>
      </c>
      <c r="L1678" s="6">
        <v>120.0</v>
      </c>
      <c r="M1678" s="5">
        <v>46013.0</v>
      </c>
      <c r="N1678" s="6" t="s">
        <v>23</v>
      </c>
      <c r="O1678" s="6" t="str">
        <f>SUMIFS([1]order_sku_sales_bb2_report!P:P,[1]order_sku_sales_bb2_report!H:H,C29530,[1]order_sku_sales_bb2_report!J:J,H29530)</f>
        <v>#ERROR!</v>
      </c>
      <c r="P1678" s="6" t="str">
        <f>SUMIFS([1]order_sku_sales_bb2_report!O:O,[1]order_sku_sales_bb2_report!H:H,C29530,[1]order_sku_sales_bb2_report!J:J,H29530)</f>
        <v>#ERROR!</v>
      </c>
      <c r="Q1678" s="6" t="str">
        <f t="shared" si="1"/>
        <v>22-12-2025</v>
      </c>
      <c r="R1678" s="6" t="str">
        <f>IFERROR( VLOOKUP(C29530,[1]expressOrderReport!$S:$AZ,34,0),0)</f>
        <v>#ERROR!</v>
      </c>
      <c r="S1678" s="6" t="str">
        <f>ARRAY_CONSTRAIN(ARRAYFORMULA(_xludf.XLOOKUP(D29530,[1]order_Report_SA_ID_BB2.0!V:V,[1]order_Report_SA_ID_BB2.0!AM:AM,"")), 1, 1)</f>
        <v>#ERROR!</v>
      </c>
      <c r="T1678" s="6" t="str">
        <f t="shared" si="2"/>
        <v>Dec'25</v>
      </c>
    </row>
    <row r="1679" ht="15.75" customHeight="1">
      <c r="A1679" s="5">
        <v>46013.0</v>
      </c>
      <c r="B1679" s="6">
        <v>8736.0</v>
      </c>
      <c r="C1679" s="6">
        <v>1.859165495E9</v>
      </c>
      <c r="D1679" s="6">
        <v>189685.0</v>
      </c>
      <c r="E1679" s="6" t="s">
        <v>2539</v>
      </c>
      <c r="F1679" s="6" t="s">
        <v>2540</v>
      </c>
      <c r="G1679" s="6">
        <v>9.844490271E9</v>
      </c>
      <c r="H1679" s="6">
        <v>4.0174324E7</v>
      </c>
      <c r="I1679" s="6" t="s">
        <v>2541</v>
      </c>
      <c r="J1679" s="6" t="s">
        <v>21</v>
      </c>
      <c r="K1679" s="6" t="s">
        <v>22</v>
      </c>
      <c r="L1679" s="6">
        <v>9.0</v>
      </c>
      <c r="M1679" s="5">
        <v>46013.0</v>
      </c>
      <c r="N1679" s="6" t="s">
        <v>23</v>
      </c>
      <c r="O1679" s="6" t="str">
        <f>SUMIFS([1]order_sku_sales_bb2_report!P:P,[1]order_sku_sales_bb2_report!H:H,C29533,[1]order_sku_sales_bb2_report!J:J,H29533)</f>
        <v>#ERROR!</v>
      </c>
      <c r="P1679" s="6" t="str">
        <f>SUMIFS([1]order_sku_sales_bb2_report!O:O,[1]order_sku_sales_bb2_report!H:H,C29533,[1]order_sku_sales_bb2_report!J:J,H29533)</f>
        <v>#ERROR!</v>
      </c>
      <c r="Q1679" s="6" t="str">
        <f t="shared" si="1"/>
        <v>22-12-2025</v>
      </c>
      <c r="R1679" s="6" t="str">
        <f>IFERROR( VLOOKUP(C29533,[1]expressOrderReport!$S:$AZ,34,0),0)</f>
        <v>#ERROR!</v>
      </c>
      <c r="S1679" s="6" t="str">
        <f>ARRAY_CONSTRAIN(ARRAYFORMULA(_xludf.XLOOKUP(D29533,[1]order_Report_SA_ID_BB2.0!V:V,[1]order_Report_SA_ID_BB2.0!AM:AM,"")), 1, 1)</f>
        <v>#ERROR!</v>
      </c>
      <c r="T1679" s="6" t="str">
        <f t="shared" si="2"/>
        <v>Dec'25</v>
      </c>
    </row>
    <row r="1680" ht="15.75" customHeight="1">
      <c r="A1680" s="5">
        <v>46013.0</v>
      </c>
      <c r="B1680" s="6">
        <v>8767.0</v>
      </c>
      <c r="C1680" s="6">
        <v>1.859165506E9</v>
      </c>
      <c r="D1680" s="6">
        <v>5.3293418E7</v>
      </c>
      <c r="E1680" s="6" t="s">
        <v>625</v>
      </c>
      <c r="F1680" s="6" t="s">
        <v>2542</v>
      </c>
      <c r="G1680" s="6">
        <v>9.595888076E9</v>
      </c>
      <c r="H1680" s="6">
        <v>4.0090893E7</v>
      </c>
      <c r="I1680" s="6" t="s">
        <v>35</v>
      </c>
      <c r="J1680" s="6" t="s">
        <v>21</v>
      </c>
      <c r="K1680" s="6" t="s">
        <v>22</v>
      </c>
      <c r="L1680" s="6">
        <v>66.0</v>
      </c>
      <c r="M1680" s="5">
        <v>46013.0</v>
      </c>
      <c r="N1680" s="6" t="s">
        <v>23</v>
      </c>
      <c r="O1680" s="6" t="str">
        <f>SUMIFS([1]order_sku_sales_bb2_report!P:P,[1]order_sku_sales_bb2_report!H:H,C29534,[1]order_sku_sales_bb2_report!J:J,H29534)</f>
        <v>#ERROR!</v>
      </c>
      <c r="P1680" s="6" t="str">
        <f>SUMIFS([1]order_sku_sales_bb2_report!O:O,[1]order_sku_sales_bb2_report!H:H,C29534,[1]order_sku_sales_bb2_report!J:J,H29534)</f>
        <v>#ERROR!</v>
      </c>
      <c r="Q1680" s="6" t="str">
        <f t="shared" si="1"/>
        <v>22-12-2025</v>
      </c>
      <c r="R1680" s="6" t="str">
        <f>IFERROR( VLOOKUP(C29534,[1]expressOrderReport!$S:$AZ,34,0),0)</f>
        <v>#ERROR!</v>
      </c>
      <c r="S1680" s="6" t="str">
        <f>ARRAY_CONSTRAIN(ARRAYFORMULA(_xludf.XLOOKUP(D29534,[1]order_Report_SA_ID_BB2.0!V:V,[1]order_Report_SA_ID_BB2.0!AM:AM,"")), 1, 1)</f>
        <v>#ERROR!</v>
      </c>
      <c r="T1680" s="6" t="str">
        <f t="shared" si="2"/>
        <v>Dec'25</v>
      </c>
    </row>
    <row r="1681" ht="15.75" customHeight="1">
      <c r="A1681" s="5">
        <v>46013.0</v>
      </c>
      <c r="B1681" s="6">
        <v>8771.0</v>
      </c>
      <c r="C1681" s="6">
        <v>1.859165517E9</v>
      </c>
      <c r="D1681" s="6">
        <v>1.1177774E7</v>
      </c>
      <c r="E1681" s="6" t="s">
        <v>2543</v>
      </c>
      <c r="F1681" s="6"/>
      <c r="G1681" s="6">
        <v>9.886995288E9</v>
      </c>
      <c r="H1681" s="6">
        <v>4.0149832E7</v>
      </c>
      <c r="I1681" s="6" t="s">
        <v>26</v>
      </c>
      <c r="J1681" s="6" t="s">
        <v>21</v>
      </c>
      <c r="K1681" s="6" t="s">
        <v>22</v>
      </c>
      <c r="L1681" s="6">
        <v>24.0</v>
      </c>
      <c r="M1681" s="5">
        <v>46013.0</v>
      </c>
      <c r="N1681" s="6" t="s">
        <v>23</v>
      </c>
      <c r="O1681" s="6" t="str">
        <f>SUMIFS([1]order_sku_sales_bb2_report!P:P,[1]order_sku_sales_bb2_report!H:H,C29535,[1]order_sku_sales_bb2_report!J:J,H29535)</f>
        <v>#ERROR!</v>
      </c>
      <c r="P1681" s="6" t="str">
        <f>SUMIFS([1]order_sku_sales_bb2_report!O:O,[1]order_sku_sales_bb2_report!H:H,C29535,[1]order_sku_sales_bb2_report!J:J,H29535)</f>
        <v>#ERROR!</v>
      </c>
      <c r="Q1681" s="6" t="str">
        <f t="shared" si="1"/>
        <v>22-12-2025</v>
      </c>
      <c r="R1681" s="6" t="str">
        <f>IFERROR( VLOOKUP(C29535,[1]expressOrderReport!$S:$AZ,34,0),0)</f>
        <v>#ERROR!</v>
      </c>
      <c r="S1681" s="6" t="str">
        <f>ARRAY_CONSTRAIN(ARRAYFORMULA(_xludf.XLOOKUP(D29535,[1]order_Report_SA_ID_BB2.0!V:V,[1]order_Report_SA_ID_BB2.0!AM:AM,"")), 1, 1)</f>
        <v>#ERROR!</v>
      </c>
      <c r="T1681" s="6" t="str">
        <f t="shared" si="2"/>
        <v>Dec'25</v>
      </c>
    </row>
    <row r="1682" ht="15.75" customHeight="1">
      <c r="A1682" s="5">
        <v>46013.0</v>
      </c>
      <c r="B1682" s="6">
        <v>8820.0</v>
      </c>
      <c r="C1682" s="6">
        <v>1.859165528E9</v>
      </c>
      <c r="D1682" s="6">
        <v>9246236.0</v>
      </c>
      <c r="E1682" s="6" t="s">
        <v>2544</v>
      </c>
      <c r="F1682" s="6" t="s">
        <v>2545</v>
      </c>
      <c r="G1682" s="6">
        <v>9.6638277E9</v>
      </c>
      <c r="H1682" s="6">
        <v>4.014983E7</v>
      </c>
      <c r="I1682" s="6" t="s">
        <v>30</v>
      </c>
      <c r="J1682" s="6" t="s">
        <v>21</v>
      </c>
      <c r="K1682" s="6" t="s">
        <v>22</v>
      </c>
      <c r="L1682" s="6">
        <v>28.0</v>
      </c>
      <c r="M1682" s="5">
        <v>46013.0</v>
      </c>
      <c r="N1682" s="6" t="s">
        <v>23</v>
      </c>
      <c r="O1682" s="6" t="str">
        <f>SUMIFS([1]order_sku_sales_bb2_report!P:P,[1]order_sku_sales_bb2_report!H:H,C29536,[1]order_sku_sales_bb2_report!J:J,H29536)</f>
        <v>#ERROR!</v>
      </c>
      <c r="P1682" s="6" t="str">
        <f>SUMIFS([1]order_sku_sales_bb2_report!O:O,[1]order_sku_sales_bb2_report!H:H,C29536,[1]order_sku_sales_bb2_report!J:J,H29536)</f>
        <v>#ERROR!</v>
      </c>
      <c r="Q1682" s="6" t="str">
        <f t="shared" si="1"/>
        <v>22-12-2025</v>
      </c>
      <c r="R1682" s="6" t="str">
        <f>IFERROR( VLOOKUP(C29536,[1]expressOrderReport!$S:$AZ,34,0),0)</f>
        <v>#ERROR!</v>
      </c>
      <c r="S1682" s="6" t="str">
        <f>ARRAY_CONSTRAIN(ARRAYFORMULA(_xludf.XLOOKUP(D29536,[1]order_Report_SA_ID_BB2.0!V:V,[1]order_Report_SA_ID_BB2.0!AM:AM,"")), 1, 1)</f>
        <v>#ERROR!</v>
      </c>
      <c r="T1682" s="6" t="str">
        <f t="shared" si="2"/>
        <v>Dec'25</v>
      </c>
    </row>
    <row r="1683" ht="15.75" customHeight="1">
      <c r="A1683" s="5">
        <v>46013.0</v>
      </c>
      <c r="B1683" s="6">
        <v>8836.0</v>
      </c>
      <c r="C1683" s="6">
        <v>1.859165535E9</v>
      </c>
      <c r="D1683" s="6">
        <v>5.6603357E7</v>
      </c>
      <c r="E1683" s="6" t="s">
        <v>625</v>
      </c>
      <c r="F1683" s="6" t="s">
        <v>2546</v>
      </c>
      <c r="G1683" s="6">
        <v>7.845767722E9</v>
      </c>
      <c r="H1683" s="6">
        <v>4.0149831E7</v>
      </c>
      <c r="I1683" s="6" t="s">
        <v>65</v>
      </c>
      <c r="J1683" s="6" t="s">
        <v>21</v>
      </c>
      <c r="K1683" s="6" t="s">
        <v>22</v>
      </c>
      <c r="L1683" s="6">
        <v>52.0</v>
      </c>
      <c r="M1683" s="5">
        <v>46013.0</v>
      </c>
      <c r="N1683" s="6" t="s">
        <v>23</v>
      </c>
      <c r="O1683" s="6" t="str">
        <f>SUMIFS([1]order_sku_sales_bb2_report!P:P,[1]order_sku_sales_bb2_report!H:H,C29537,[1]order_sku_sales_bb2_report!J:J,H29537)</f>
        <v>#ERROR!</v>
      </c>
      <c r="P1683" s="6" t="str">
        <f>SUMIFS([1]order_sku_sales_bb2_report!O:O,[1]order_sku_sales_bb2_report!H:H,C29537,[1]order_sku_sales_bb2_report!J:J,H29537)</f>
        <v>#ERROR!</v>
      </c>
      <c r="Q1683" s="6" t="str">
        <f t="shared" si="1"/>
        <v>22-12-2025</v>
      </c>
      <c r="R1683" s="6" t="str">
        <f>IFERROR( VLOOKUP(C29537,[1]expressOrderReport!$S:$AZ,34,0),0)</f>
        <v>#ERROR!</v>
      </c>
      <c r="S1683" s="6" t="str">
        <f>ARRAY_CONSTRAIN(ARRAYFORMULA(_xludf.XLOOKUP(D29537,[1]order_Report_SA_ID_BB2.0!V:V,[1]order_Report_SA_ID_BB2.0!AM:AM,"")), 1, 1)</f>
        <v>#ERROR!</v>
      </c>
      <c r="T1683" s="6" t="str">
        <f t="shared" si="2"/>
        <v>Dec'25</v>
      </c>
    </row>
    <row r="1684" ht="15.75" customHeight="1">
      <c r="A1684" s="5">
        <v>46013.0</v>
      </c>
      <c r="B1684" s="6">
        <v>8842.0</v>
      </c>
      <c r="C1684" s="6">
        <v>1.85916554E9</v>
      </c>
      <c r="D1684" s="6">
        <v>1.1809213E7</v>
      </c>
      <c r="E1684" s="6" t="s">
        <v>2547</v>
      </c>
      <c r="F1684" s="6" t="s">
        <v>2548</v>
      </c>
      <c r="G1684" s="6">
        <v>9.629103416E9</v>
      </c>
      <c r="H1684" s="6">
        <v>4.0147597E7</v>
      </c>
      <c r="I1684" s="6" t="s">
        <v>59</v>
      </c>
      <c r="J1684" s="6" t="s">
        <v>21</v>
      </c>
      <c r="K1684" s="6" t="s">
        <v>22</v>
      </c>
      <c r="L1684" s="6">
        <v>78.0</v>
      </c>
      <c r="M1684" s="5">
        <v>46013.0</v>
      </c>
      <c r="N1684" s="6" t="s">
        <v>23</v>
      </c>
      <c r="O1684" s="6" t="str">
        <f>SUMIFS([1]order_sku_sales_bb2_report!P:P,[1]order_sku_sales_bb2_report!H:H,C29538,[1]order_sku_sales_bb2_report!J:J,H29538)</f>
        <v>#ERROR!</v>
      </c>
      <c r="P1684" s="6" t="str">
        <f>SUMIFS([1]order_sku_sales_bb2_report!O:O,[1]order_sku_sales_bb2_report!H:H,C29538,[1]order_sku_sales_bb2_report!J:J,H29538)</f>
        <v>#ERROR!</v>
      </c>
      <c r="Q1684" s="6" t="str">
        <f t="shared" si="1"/>
        <v>22-12-2025</v>
      </c>
      <c r="R1684" s="6" t="str">
        <f>IFERROR( VLOOKUP(C29538,[1]expressOrderReport!$S:$AZ,34,0),0)</f>
        <v>#ERROR!</v>
      </c>
      <c r="S1684" s="6" t="str">
        <f>ARRAY_CONSTRAIN(ARRAYFORMULA(_xludf.XLOOKUP(D29538,[1]order_Report_SA_ID_BB2.0!V:V,[1]order_Report_SA_ID_BB2.0!AM:AM,"")), 1, 1)</f>
        <v>#ERROR!</v>
      </c>
      <c r="T1684" s="6" t="str">
        <f t="shared" si="2"/>
        <v>Dec'25</v>
      </c>
    </row>
    <row r="1685" ht="15.75" customHeight="1">
      <c r="A1685" s="5">
        <v>46013.0</v>
      </c>
      <c r="B1685" s="6">
        <v>8880.0</v>
      </c>
      <c r="C1685" s="6">
        <v>1.859165548E9</v>
      </c>
      <c r="D1685" s="6">
        <v>6.891943E7</v>
      </c>
      <c r="E1685" s="6" t="s">
        <v>625</v>
      </c>
      <c r="F1685" s="6"/>
      <c r="G1685" s="6">
        <v>7.411718345E9</v>
      </c>
      <c r="H1685" s="6">
        <v>4.0149833E7</v>
      </c>
      <c r="I1685" s="6" t="s">
        <v>40</v>
      </c>
      <c r="J1685" s="6" t="s">
        <v>21</v>
      </c>
      <c r="K1685" s="6" t="s">
        <v>22</v>
      </c>
      <c r="L1685" s="6">
        <v>54.0</v>
      </c>
      <c r="M1685" s="5">
        <v>46013.0</v>
      </c>
      <c r="N1685" s="6" t="s">
        <v>23</v>
      </c>
      <c r="O1685" s="6" t="str">
        <f>SUMIFS([1]order_sku_sales_bb2_report!P:P,[1]order_sku_sales_bb2_report!H:H,C29539,[1]order_sku_sales_bb2_report!J:J,H29539)</f>
        <v>#ERROR!</v>
      </c>
      <c r="P1685" s="6" t="str">
        <f>SUMIFS([1]order_sku_sales_bb2_report!O:O,[1]order_sku_sales_bb2_report!H:H,C29539,[1]order_sku_sales_bb2_report!J:J,H29539)</f>
        <v>#ERROR!</v>
      </c>
      <c r="Q1685" s="6" t="str">
        <f t="shared" si="1"/>
        <v>22-12-2025</v>
      </c>
      <c r="R1685" s="6" t="str">
        <f>IFERROR( VLOOKUP(C29539,[1]expressOrderReport!$S:$AZ,34,0),0)</f>
        <v>#ERROR!</v>
      </c>
      <c r="S1685" s="6" t="str">
        <f>ARRAY_CONSTRAIN(ARRAYFORMULA(_xludf.XLOOKUP(D29539,[1]order_Report_SA_ID_BB2.0!V:V,[1]order_Report_SA_ID_BB2.0!AM:AM,"")), 1, 1)</f>
        <v>#ERROR!</v>
      </c>
      <c r="T1685" s="6" t="str">
        <f t="shared" si="2"/>
        <v>Dec'25</v>
      </c>
    </row>
    <row r="1686" ht="15.75" customHeight="1">
      <c r="A1686" s="5">
        <v>46013.0</v>
      </c>
      <c r="B1686" s="6">
        <v>8899.0</v>
      </c>
      <c r="C1686" s="6">
        <v>1.859165555E9</v>
      </c>
      <c r="D1686" s="6">
        <v>4.7523928E7</v>
      </c>
      <c r="E1686" s="6" t="s">
        <v>2549</v>
      </c>
      <c r="F1686" s="6" t="s">
        <v>2550</v>
      </c>
      <c r="G1686" s="6">
        <v>8.277036036E9</v>
      </c>
      <c r="H1686" s="6">
        <v>4.0198739E7</v>
      </c>
      <c r="I1686" s="6" t="s">
        <v>103</v>
      </c>
      <c r="J1686" s="6" t="s">
        <v>21</v>
      </c>
      <c r="K1686" s="6" t="s">
        <v>22</v>
      </c>
      <c r="L1686" s="6">
        <v>40.0</v>
      </c>
      <c r="M1686" s="5">
        <v>46013.0</v>
      </c>
      <c r="N1686" s="6" t="s">
        <v>54</v>
      </c>
      <c r="O1686" s="6" t="str">
        <f>SUMIFS([1]order_sku_sales_bb2_report!P:P,[1]order_sku_sales_bb2_report!H:H,C29540,[1]order_sku_sales_bb2_report!J:J,H29540)</f>
        <v>#ERROR!</v>
      </c>
      <c r="P1686" s="6" t="str">
        <f>SUMIFS([1]order_sku_sales_bb2_report!O:O,[1]order_sku_sales_bb2_report!H:H,C29540,[1]order_sku_sales_bb2_report!J:J,H29540)</f>
        <v>#ERROR!</v>
      </c>
      <c r="Q1686" s="6" t="str">
        <f t="shared" si="1"/>
        <v>22-12-2025</v>
      </c>
      <c r="R1686" s="6" t="str">
        <f>IFERROR( VLOOKUP(C29540,[1]expressOrderReport!$S:$AZ,34,0),0)</f>
        <v>#ERROR!</v>
      </c>
      <c r="S1686" s="6" t="str">
        <f>ARRAY_CONSTRAIN(ARRAYFORMULA(_xludf.XLOOKUP(D29540,[1]order_Report_SA_ID_BB2.0!V:V,[1]order_Report_SA_ID_BB2.0!AM:AM,"")), 1, 1)</f>
        <v>#ERROR!</v>
      </c>
      <c r="T1686" s="6" t="str">
        <f t="shared" si="2"/>
        <v>Dec'25</v>
      </c>
    </row>
    <row r="1687" ht="15.75" customHeight="1">
      <c r="A1687" s="5">
        <v>46013.0</v>
      </c>
      <c r="B1687" s="6">
        <v>8923.0</v>
      </c>
      <c r="C1687" s="6">
        <v>1.859165567E9</v>
      </c>
      <c r="D1687" s="6">
        <v>5084963.0</v>
      </c>
      <c r="E1687" s="6" t="s">
        <v>2551</v>
      </c>
      <c r="F1687" s="6" t="s">
        <v>2552</v>
      </c>
      <c r="G1687" s="6">
        <v>8.050061977E9</v>
      </c>
      <c r="H1687" s="6">
        <v>4.0154337E7</v>
      </c>
      <c r="I1687" s="6" t="s">
        <v>1590</v>
      </c>
      <c r="J1687" s="6" t="s">
        <v>21</v>
      </c>
      <c r="K1687" s="6" t="s">
        <v>22</v>
      </c>
      <c r="L1687" s="6">
        <v>47.0</v>
      </c>
      <c r="M1687" s="5">
        <v>46013.0</v>
      </c>
      <c r="N1687" s="6" t="s">
        <v>23</v>
      </c>
      <c r="O1687" s="6" t="str">
        <f>SUMIFS([1]order_sku_sales_bb2_report!P:P,[1]order_sku_sales_bb2_report!H:H,C29542,[1]order_sku_sales_bb2_report!J:J,H29542)</f>
        <v>#ERROR!</v>
      </c>
      <c r="P1687" s="6" t="str">
        <f>SUMIFS([1]order_sku_sales_bb2_report!O:O,[1]order_sku_sales_bb2_report!H:H,C29542,[1]order_sku_sales_bb2_report!J:J,H29542)</f>
        <v>#ERROR!</v>
      </c>
      <c r="Q1687" s="6" t="str">
        <f t="shared" si="1"/>
        <v>22-12-2025</v>
      </c>
      <c r="R1687" s="6" t="str">
        <f>IFERROR( VLOOKUP(C29542,[1]expressOrderReport!$S:$AZ,34,0),0)</f>
        <v>#ERROR!</v>
      </c>
      <c r="S1687" s="6" t="str">
        <f>ARRAY_CONSTRAIN(ARRAYFORMULA(_xludf.XLOOKUP(D29542,[1]order_Report_SA_ID_BB2.0!V:V,[1]order_Report_SA_ID_BB2.0!AM:AM,"")), 1, 1)</f>
        <v>#ERROR!</v>
      </c>
      <c r="T1687" s="6" t="str">
        <f t="shared" si="2"/>
        <v>Dec'25</v>
      </c>
    </row>
    <row r="1688" ht="15.75" customHeight="1">
      <c r="A1688" s="5">
        <v>46013.0</v>
      </c>
      <c r="B1688" s="6">
        <v>10401.0</v>
      </c>
      <c r="C1688" s="6">
        <v>1.859165576E9</v>
      </c>
      <c r="D1688" s="6">
        <v>5.2830098E7</v>
      </c>
      <c r="E1688" s="6" t="s">
        <v>625</v>
      </c>
      <c r="F1688" s="6" t="s">
        <v>2553</v>
      </c>
      <c r="G1688" s="6">
        <v>9.535492419E9</v>
      </c>
      <c r="H1688" s="6">
        <v>4.0149833E7</v>
      </c>
      <c r="I1688" s="6" t="s">
        <v>40</v>
      </c>
      <c r="J1688" s="6" t="s">
        <v>21</v>
      </c>
      <c r="K1688" s="6" t="s">
        <v>22</v>
      </c>
      <c r="L1688" s="6">
        <v>27.0</v>
      </c>
      <c r="M1688" s="5">
        <v>46013.0</v>
      </c>
      <c r="N1688" s="6" t="s">
        <v>23</v>
      </c>
      <c r="O1688" s="6" t="str">
        <f>SUMIFS([1]order_sku_sales_bb2_report!P:P,[1]order_sku_sales_bb2_report!H:H,C29543,[1]order_sku_sales_bb2_report!J:J,H29543)</f>
        <v>#ERROR!</v>
      </c>
      <c r="P1688" s="6" t="str">
        <f>SUMIFS([1]order_sku_sales_bb2_report!O:O,[1]order_sku_sales_bb2_report!H:H,C29543,[1]order_sku_sales_bb2_report!J:J,H29543)</f>
        <v>#ERROR!</v>
      </c>
      <c r="Q1688" s="6" t="str">
        <f t="shared" si="1"/>
        <v>22-12-2025</v>
      </c>
      <c r="R1688" s="6" t="str">
        <f>IFERROR( VLOOKUP(C29543,[1]expressOrderReport!$S:$AZ,34,0),0)</f>
        <v>#ERROR!</v>
      </c>
      <c r="S1688" s="6" t="str">
        <f>ARRAY_CONSTRAIN(ARRAYFORMULA(_xludf.XLOOKUP(D29543,[1]order_Report_SA_ID_BB2.0!V:V,[1]order_Report_SA_ID_BB2.0!AM:AM,"")), 1, 1)</f>
        <v>#ERROR!</v>
      </c>
      <c r="T1688" s="6" t="str">
        <f t="shared" si="2"/>
        <v>Dec'25</v>
      </c>
    </row>
    <row r="1689" ht="15.75" customHeight="1">
      <c r="A1689" s="5">
        <v>46013.0</v>
      </c>
      <c r="B1689" s="6">
        <v>8936.0</v>
      </c>
      <c r="C1689" s="6">
        <v>1.859165584E9</v>
      </c>
      <c r="D1689" s="6">
        <v>122257.0</v>
      </c>
      <c r="E1689" s="6" t="s">
        <v>2554</v>
      </c>
      <c r="F1689" s="6" t="s">
        <v>2555</v>
      </c>
      <c r="G1689" s="6">
        <v>8.884745888E9</v>
      </c>
      <c r="H1689" s="6">
        <v>4.0149832E7</v>
      </c>
      <c r="I1689" s="6" t="s">
        <v>26</v>
      </c>
      <c r="J1689" s="6" t="s">
        <v>21</v>
      </c>
      <c r="K1689" s="6" t="s">
        <v>22</v>
      </c>
      <c r="L1689" s="6">
        <v>24.0</v>
      </c>
      <c r="M1689" s="5">
        <v>46013.0</v>
      </c>
      <c r="N1689" s="6" t="s">
        <v>23</v>
      </c>
      <c r="O1689" s="6" t="str">
        <f>SUMIFS([1]order_sku_sales_bb2_report!P:P,[1]order_sku_sales_bb2_report!H:H,C29544,[1]order_sku_sales_bb2_report!J:J,H29544)</f>
        <v>#ERROR!</v>
      </c>
      <c r="P1689" s="6" t="str">
        <f>SUMIFS([1]order_sku_sales_bb2_report!O:O,[1]order_sku_sales_bb2_report!H:H,C29544,[1]order_sku_sales_bb2_report!J:J,H29544)</f>
        <v>#ERROR!</v>
      </c>
      <c r="Q1689" s="6" t="str">
        <f t="shared" si="1"/>
        <v>22-12-2025</v>
      </c>
      <c r="R1689" s="6" t="str">
        <f>IFERROR( VLOOKUP(C29544,[1]expressOrderReport!$S:$AZ,34,0),0)</f>
        <v>#ERROR!</v>
      </c>
      <c r="S1689" s="6" t="str">
        <f>ARRAY_CONSTRAIN(ARRAYFORMULA(_xludf.XLOOKUP(D29544,[1]order_Report_SA_ID_BB2.0!V:V,[1]order_Report_SA_ID_BB2.0!AM:AM,"")), 1, 1)</f>
        <v>#ERROR!</v>
      </c>
      <c r="T1689" s="6" t="str">
        <f t="shared" si="2"/>
        <v>Dec'25</v>
      </c>
    </row>
    <row r="1690" ht="15.75" customHeight="1">
      <c r="A1690" s="5">
        <v>46013.0</v>
      </c>
      <c r="B1690" s="6">
        <v>9013.0</v>
      </c>
      <c r="C1690" s="6">
        <v>1.859165596E9</v>
      </c>
      <c r="D1690" s="6">
        <v>121041.0</v>
      </c>
      <c r="E1690" s="6" t="s">
        <v>2556</v>
      </c>
      <c r="F1690" s="6" t="s">
        <v>2557</v>
      </c>
      <c r="G1690" s="6">
        <v>9.986661412E9</v>
      </c>
      <c r="H1690" s="6">
        <v>4.0185392E7</v>
      </c>
      <c r="I1690" s="6" t="s">
        <v>1265</v>
      </c>
      <c r="J1690" s="6" t="s">
        <v>21</v>
      </c>
      <c r="K1690" s="6" t="s">
        <v>22</v>
      </c>
      <c r="L1690" s="6">
        <v>104.0</v>
      </c>
      <c r="M1690" s="5">
        <v>46013.0</v>
      </c>
      <c r="N1690" s="6" t="s">
        <v>23</v>
      </c>
      <c r="O1690" s="6" t="str">
        <f>SUMIFS([1]order_sku_sales_bb2_report!P:P,[1]order_sku_sales_bb2_report!H:H,C29546,[1]order_sku_sales_bb2_report!J:J,H29546)</f>
        <v>#ERROR!</v>
      </c>
      <c r="P1690" s="6" t="str">
        <f>SUMIFS([1]order_sku_sales_bb2_report!O:O,[1]order_sku_sales_bb2_report!H:H,C29546,[1]order_sku_sales_bb2_report!J:J,H29546)</f>
        <v>#ERROR!</v>
      </c>
      <c r="Q1690" s="6" t="str">
        <f t="shared" si="1"/>
        <v>22-12-2025</v>
      </c>
      <c r="R1690" s="6" t="str">
        <f>IFERROR( VLOOKUP(C29546,[1]expressOrderReport!$S:$AZ,34,0),0)</f>
        <v>#ERROR!</v>
      </c>
      <c r="S1690" s="6" t="str">
        <f>ARRAY_CONSTRAIN(ARRAYFORMULA(_xludf.XLOOKUP(D29546,[1]order_Report_SA_ID_BB2.0!V:V,[1]order_Report_SA_ID_BB2.0!AM:AM,"")), 1, 1)</f>
        <v>#ERROR!</v>
      </c>
      <c r="T1690" s="6" t="str">
        <f t="shared" si="2"/>
        <v>Dec'25</v>
      </c>
    </row>
    <row r="1691" ht="15.75" customHeight="1">
      <c r="A1691" s="5">
        <v>46013.0</v>
      </c>
      <c r="B1691" s="6">
        <v>10196.0</v>
      </c>
      <c r="C1691" s="6">
        <v>1.859165596E9</v>
      </c>
      <c r="D1691" s="6">
        <v>121041.0</v>
      </c>
      <c r="E1691" s="6" t="s">
        <v>2556</v>
      </c>
      <c r="F1691" s="6" t="s">
        <v>2557</v>
      </c>
      <c r="G1691" s="6">
        <v>9.986661412E9</v>
      </c>
      <c r="H1691" s="6">
        <v>4.0147597E7</v>
      </c>
      <c r="I1691" s="6" t="s">
        <v>59</v>
      </c>
      <c r="J1691" s="6" t="s">
        <v>21</v>
      </c>
      <c r="K1691" s="6" t="s">
        <v>22</v>
      </c>
      <c r="L1691" s="6">
        <v>104.0</v>
      </c>
      <c r="M1691" s="5">
        <v>46013.0</v>
      </c>
      <c r="N1691" s="6" t="s">
        <v>23</v>
      </c>
      <c r="O1691" s="6" t="str">
        <f>SUMIFS([1]order_sku_sales_bb2_report!P:P,[1]order_sku_sales_bb2_report!H:H,C29547,[1]order_sku_sales_bb2_report!J:J,H29547)</f>
        <v>#ERROR!</v>
      </c>
      <c r="P1691" s="6" t="str">
        <f>SUMIFS([1]order_sku_sales_bb2_report!O:O,[1]order_sku_sales_bb2_report!H:H,C29547,[1]order_sku_sales_bb2_report!J:J,H29547)</f>
        <v>#ERROR!</v>
      </c>
      <c r="Q1691" s="6" t="str">
        <f t="shared" si="1"/>
        <v>22-12-2025</v>
      </c>
      <c r="R1691" s="6" t="str">
        <f>IFERROR( VLOOKUP(C29547,[1]expressOrderReport!$S:$AZ,34,0),0)</f>
        <v>#ERROR!</v>
      </c>
      <c r="S1691" s="6" t="str">
        <f>ARRAY_CONSTRAIN(ARRAYFORMULA(_xludf.XLOOKUP(D29547,[1]order_Report_SA_ID_BB2.0!V:V,[1]order_Report_SA_ID_BB2.0!AM:AM,"")), 1, 1)</f>
        <v>#ERROR!</v>
      </c>
      <c r="T1691" s="6" t="str">
        <f t="shared" si="2"/>
        <v>Dec'25</v>
      </c>
    </row>
    <row r="1692" ht="15.75" customHeight="1">
      <c r="A1692" s="5">
        <v>46013.0</v>
      </c>
      <c r="B1692" s="6">
        <v>9014.0</v>
      </c>
      <c r="C1692" s="6">
        <v>1.85916561E9</v>
      </c>
      <c r="D1692" s="6">
        <v>992404.0</v>
      </c>
      <c r="E1692" s="6" t="s">
        <v>2558</v>
      </c>
      <c r="F1692" s="6" t="s">
        <v>2559</v>
      </c>
      <c r="G1692" s="6">
        <v>9.900932216E9</v>
      </c>
      <c r="H1692" s="6">
        <v>4.0161616E7</v>
      </c>
      <c r="I1692" s="6" t="s">
        <v>20</v>
      </c>
      <c r="J1692" s="6" t="s">
        <v>21</v>
      </c>
      <c r="K1692" s="6" t="s">
        <v>22</v>
      </c>
      <c r="L1692" s="6">
        <v>117.0</v>
      </c>
      <c r="M1692" s="5">
        <v>46013.0</v>
      </c>
      <c r="N1692" s="6" t="s">
        <v>23</v>
      </c>
      <c r="O1692" s="6" t="str">
        <f>SUMIFS([1]order_sku_sales_bb2_report!P:P,[1]order_sku_sales_bb2_report!H:H,C29548,[1]order_sku_sales_bb2_report!J:J,H29548)</f>
        <v>#ERROR!</v>
      </c>
      <c r="P1692" s="6" t="str">
        <f>SUMIFS([1]order_sku_sales_bb2_report!O:O,[1]order_sku_sales_bb2_report!H:H,C29548,[1]order_sku_sales_bb2_report!J:J,H29548)</f>
        <v>#ERROR!</v>
      </c>
      <c r="Q1692" s="6" t="str">
        <f t="shared" si="1"/>
        <v>22-12-2025</v>
      </c>
      <c r="R1692" s="6" t="str">
        <f>IFERROR( VLOOKUP(C29548,[1]expressOrderReport!$S:$AZ,34,0),0)</f>
        <v>#ERROR!</v>
      </c>
      <c r="S1692" s="6" t="str">
        <f>ARRAY_CONSTRAIN(ARRAYFORMULA(_xludf.XLOOKUP(D29548,[1]order_Report_SA_ID_BB2.0!V:V,[1]order_Report_SA_ID_BB2.0!AM:AM,"")), 1, 1)</f>
        <v>#ERROR!</v>
      </c>
      <c r="T1692" s="6" t="str">
        <f t="shared" si="2"/>
        <v>Dec'25</v>
      </c>
    </row>
    <row r="1693" ht="15.75" customHeight="1">
      <c r="A1693" s="5">
        <v>46013.0</v>
      </c>
      <c r="B1693" s="6">
        <v>9015.0</v>
      </c>
      <c r="C1693" s="6">
        <v>1.85916561E9</v>
      </c>
      <c r="D1693" s="6">
        <v>992404.0</v>
      </c>
      <c r="E1693" s="6" t="s">
        <v>2558</v>
      </c>
      <c r="F1693" s="6" t="s">
        <v>2559</v>
      </c>
      <c r="G1693" s="6">
        <v>9.900932216E9</v>
      </c>
      <c r="H1693" s="6">
        <v>4.0090893E7</v>
      </c>
      <c r="I1693" s="6" t="s">
        <v>35</v>
      </c>
      <c r="J1693" s="6" t="s">
        <v>21</v>
      </c>
      <c r="K1693" s="6" t="s">
        <v>22</v>
      </c>
      <c r="L1693" s="6">
        <v>117.0</v>
      </c>
      <c r="M1693" s="5">
        <v>46013.0</v>
      </c>
      <c r="N1693" s="6" t="s">
        <v>23</v>
      </c>
      <c r="O1693" s="6" t="str">
        <f>SUMIFS([1]order_sku_sales_bb2_report!P:P,[1]order_sku_sales_bb2_report!H:H,C29549,[1]order_sku_sales_bb2_report!J:J,H29549)</f>
        <v>#ERROR!</v>
      </c>
      <c r="P1693" s="6" t="str">
        <f>SUMIFS([1]order_sku_sales_bb2_report!O:O,[1]order_sku_sales_bb2_report!H:H,C29549,[1]order_sku_sales_bb2_report!J:J,H29549)</f>
        <v>#ERROR!</v>
      </c>
      <c r="Q1693" s="6" t="str">
        <f t="shared" si="1"/>
        <v>22-12-2025</v>
      </c>
      <c r="R1693" s="6" t="str">
        <f>IFERROR( VLOOKUP(C29549,[1]expressOrderReport!$S:$AZ,34,0),0)</f>
        <v>#ERROR!</v>
      </c>
      <c r="S1693" s="6" t="str">
        <f>ARRAY_CONSTRAIN(ARRAYFORMULA(_xludf.XLOOKUP(D29549,[1]order_Report_SA_ID_BB2.0!V:V,[1]order_Report_SA_ID_BB2.0!AM:AM,"")), 1, 1)</f>
        <v>#ERROR!</v>
      </c>
      <c r="T1693" s="6" t="str">
        <f t="shared" si="2"/>
        <v>Dec'25</v>
      </c>
    </row>
    <row r="1694" ht="15.75" customHeight="1">
      <c r="A1694" s="5">
        <v>46013.0</v>
      </c>
      <c r="B1694" s="6">
        <v>9016.0</v>
      </c>
      <c r="C1694" s="6">
        <v>1.859165619E9</v>
      </c>
      <c r="D1694" s="6">
        <v>1570168.0</v>
      </c>
      <c r="E1694" s="6" t="s">
        <v>2560</v>
      </c>
      <c r="F1694" s="6" t="s">
        <v>2561</v>
      </c>
      <c r="G1694" s="6">
        <v>9.243498051E9</v>
      </c>
      <c r="H1694" s="6">
        <v>4.0149833E7</v>
      </c>
      <c r="I1694" s="6" t="s">
        <v>40</v>
      </c>
      <c r="J1694" s="6" t="s">
        <v>21</v>
      </c>
      <c r="K1694" s="6" t="s">
        <v>27</v>
      </c>
      <c r="L1694" s="6">
        <v>27.0</v>
      </c>
      <c r="M1694" s="5">
        <v>46013.0</v>
      </c>
      <c r="N1694" s="6" t="s">
        <v>23</v>
      </c>
      <c r="O1694" s="6" t="str">
        <f>SUMIFS([1]order_sku_sales_bb2_report!P:P,[1]order_sku_sales_bb2_report!H:H,C29550,[1]order_sku_sales_bb2_report!J:J,H29550)</f>
        <v>#ERROR!</v>
      </c>
      <c r="P1694" s="6" t="str">
        <f>SUMIFS([1]order_sku_sales_bb2_report!O:O,[1]order_sku_sales_bb2_report!H:H,C29550,[1]order_sku_sales_bb2_report!J:J,H29550)</f>
        <v>#ERROR!</v>
      </c>
      <c r="Q1694" s="6" t="str">
        <f t="shared" si="1"/>
        <v>22-12-2025</v>
      </c>
      <c r="R1694" s="6" t="str">
        <f>IFERROR( VLOOKUP(C29550,[1]expressOrderReport!$S:$AZ,34,0),0)</f>
        <v>#ERROR!</v>
      </c>
      <c r="S1694" s="6" t="str">
        <f>ARRAY_CONSTRAIN(ARRAYFORMULA(_xludf.XLOOKUP(D29550,[1]order_Report_SA_ID_BB2.0!V:V,[1]order_Report_SA_ID_BB2.0!AM:AM,"")), 1, 1)</f>
        <v>#ERROR!</v>
      </c>
      <c r="T1694" s="6" t="str">
        <f t="shared" si="2"/>
        <v>Dec'25</v>
      </c>
    </row>
    <row r="1695" ht="15.75" customHeight="1">
      <c r="A1695" s="5">
        <v>46013.0</v>
      </c>
      <c r="B1695" s="6">
        <v>9027.0</v>
      </c>
      <c r="C1695" s="6">
        <v>1.859165628E9</v>
      </c>
      <c r="D1695" s="6">
        <v>1.5985542E7</v>
      </c>
      <c r="E1695" s="6" t="s">
        <v>2562</v>
      </c>
      <c r="F1695" s="6" t="s">
        <v>2563</v>
      </c>
      <c r="G1695" s="6">
        <v>8.86162534E9</v>
      </c>
      <c r="H1695" s="6">
        <v>4.0149832E7</v>
      </c>
      <c r="I1695" s="6" t="s">
        <v>26</v>
      </c>
      <c r="J1695" s="6" t="s">
        <v>21</v>
      </c>
      <c r="K1695" s="6" t="s">
        <v>22</v>
      </c>
      <c r="L1695" s="6">
        <v>24.0</v>
      </c>
      <c r="M1695" s="5">
        <v>46013.0</v>
      </c>
      <c r="N1695" s="6" t="s">
        <v>23</v>
      </c>
      <c r="O1695" s="6" t="str">
        <f>SUMIFS([1]order_sku_sales_bb2_report!P:P,[1]order_sku_sales_bb2_report!H:H,C29551,[1]order_sku_sales_bb2_report!J:J,H29551)</f>
        <v>#ERROR!</v>
      </c>
      <c r="P1695" s="6" t="str">
        <f>SUMIFS([1]order_sku_sales_bb2_report!O:O,[1]order_sku_sales_bb2_report!H:H,C29551,[1]order_sku_sales_bb2_report!J:J,H29551)</f>
        <v>#ERROR!</v>
      </c>
      <c r="Q1695" s="6" t="str">
        <f t="shared" si="1"/>
        <v>22-12-2025</v>
      </c>
      <c r="R1695" s="6" t="str">
        <f>IFERROR( VLOOKUP(C29551,[1]expressOrderReport!$S:$AZ,34,0),0)</f>
        <v>#ERROR!</v>
      </c>
      <c r="S1695" s="6" t="str">
        <f>ARRAY_CONSTRAIN(ARRAYFORMULA(_xludf.XLOOKUP(D29551,[1]order_Report_SA_ID_BB2.0!V:V,[1]order_Report_SA_ID_BB2.0!AM:AM,"")), 1, 1)</f>
        <v>#ERROR!</v>
      </c>
      <c r="T1695" s="6" t="str">
        <f t="shared" si="2"/>
        <v>Dec'25</v>
      </c>
    </row>
    <row r="1696" ht="15.75" customHeight="1">
      <c r="A1696" s="5">
        <v>46013.0</v>
      </c>
      <c r="B1696" s="6">
        <v>10210.0</v>
      </c>
      <c r="C1696" s="6">
        <v>1.859165637E9</v>
      </c>
      <c r="D1696" s="6">
        <v>2.0096417E7</v>
      </c>
      <c r="E1696" s="6" t="s">
        <v>2564</v>
      </c>
      <c r="F1696" s="6" t="s">
        <v>2565</v>
      </c>
      <c r="G1696" s="6">
        <v>9.844925105E9</v>
      </c>
      <c r="H1696" s="6">
        <v>4.0148715E7</v>
      </c>
      <c r="I1696" s="6" t="s">
        <v>398</v>
      </c>
      <c r="J1696" s="6" t="s">
        <v>21</v>
      </c>
      <c r="K1696" s="6" t="s">
        <v>22</v>
      </c>
      <c r="L1696" s="6">
        <v>74.0</v>
      </c>
      <c r="M1696" s="5">
        <v>46013.0</v>
      </c>
      <c r="N1696" s="6" t="s">
        <v>23</v>
      </c>
      <c r="O1696" s="6" t="str">
        <f>SUMIFS([1]order_sku_sales_bb2_report!P:P,[1]order_sku_sales_bb2_report!H:H,C29552,[1]order_sku_sales_bb2_report!J:J,H29552)</f>
        <v>#ERROR!</v>
      </c>
      <c r="P1696" s="6" t="str">
        <f>SUMIFS([1]order_sku_sales_bb2_report!O:O,[1]order_sku_sales_bb2_report!H:H,C29552,[1]order_sku_sales_bb2_report!J:J,H29552)</f>
        <v>#ERROR!</v>
      </c>
      <c r="Q1696" s="6" t="str">
        <f t="shared" si="1"/>
        <v>22-12-2025</v>
      </c>
      <c r="R1696" s="6" t="str">
        <f>IFERROR( VLOOKUP(C29552,[1]expressOrderReport!$S:$AZ,34,0),0)</f>
        <v>#ERROR!</v>
      </c>
      <c r="S1696" s="6" t="str">
        <f>ARRAY_CONSTRAIN(ARRAYFORMULA(_xludf.XLOOKUP(D29552,[1]order_Report_SA_ID_BB2.0!V:V,[1]order_Report_SA_ID_BB2.0!AM:AM,"")), 1, 1)</f>
        <v>#ERROR!</v>
      </c>
      <c r="T1696" s="6" t="str">
        <f t="shared" si="2"/>
        <v>Dec'25</v>
      </c>
    </row>
    <row r="1697" ht="15.75" customHeight="1">
      <c r="A1697" s="5">
        <v>46013.0</v>
      </c>
      <c r="B1697" s="6">
        <v>9042.0</v>
      </c>
      <c r="C1697" s="6">
        <v>1.859165644E9</v>
      </c>
      <c r="D1697" s="6">
        <v>7.321895E7</v>
      </c>
      <c r="E1697" s="6" t="s">
        <v>625</v>
      </c>
      <c r="F1697" s="6" t="s">
        <v>2566</v>
      </c>
      <c r="G1697" s="6">
        <v>9.37250266E9</v>
      </c>
      <c r="H1697" s="6">
        <v>4.0090893E7</v>
      </c>
      <c r="I1697" s="6" t="s">
        <v>35</v>
      </c>
      <c r="J1697" s="6" t="s">
        <v>21</v>
      </c>
      <c r="K1697" s="6" t="s">
        <v>22</v>
      </c>
      <c r="L1697" s="6">
        <v>33.0</v>
      </c>
      <c r="M1697" s="5">
        <v>46013.0</v>
      </c>
      <c r="N1697" s="6" t="s">
        <v>23</v>
      </c>
      <c r="O1697" s="6" t="str">
        <f>SUMIFS([1]order_sku_sales_bb2_report!P:P,[1]order_sku_sales_bb2_report!H:H,C29553,[1]order_sku_sales_bb2_report!J:J,H29553)</f>
        <v>#ERROR!</v>
      </c>
      <c r="P1697" s="6" t="str">
        <f>SUMIFS([1]order_sku_sales_bb2_report!O:O,[1]order_sku_sales_bb2_report!H:H,C29553,[1]order_sku_sales_bb2_report!J:J,H29553)</f>
        <v>#ERROR!</v>
      </c>
      <c r="Q1697" s="6" t="str">
        <f t="shared" si="1"/>
        <v>22-12-2025</v>
      </c>
      <c r="R1697" s="6" t="str">
        <f>IFERROR( VLOOKUP(C29553,[1]expressOrderReport!$S:$AZ,34,0),0)</f>
        <v>#ERROR!</v>
      </c>
      <c r="S1697" s="6" t="str">
        <f>ARRAY_CONSTRAIN(ARRAYFORMULA(_xludf.XLOOKUP(D29553,[1]order_Report_SA_ID_BB2.0!V:V,[1]order_Report_SA_ID_BB2.0!AM:AM,"")), 1, 1)</f>
        <v>#ERROR!</v>
      </c>
      <c r="T1697" s="6" t="str">
        <f t="shared" si="2"/>
        <v>Dec'25</v>
      </c>
    </row>
    <row r="1698" ht="15.75" customHeight="1">
      <c r="A1698" s="5">
        <v>46013.0</v>
      </c>
      <c r="B1698" s="6">
        <v>9059.0</v>
      </c>
      <c r="C1698" s="6">
        <v>1.85916565E9</v>
      </c>
      <c r="D1698" s="6">
        <v>5.5116522E7</v>
      </c>
      <c r="E1698" s="6" t="s">
        <v>625</v>
      </c>
      <c r="F1698" s="6" t="s">
        <v>2567</v>
      </c>
      <c r="G1698" s="6">
        <v>9.789932926E9</v>
      </c>
      <c r="H1698" s="6">
        <v>4.0148717E7</v>
      </c>
      <c r="I1698" s="6" t="s">
        <v>226</v>
      </c>
      <c r="J1698" s="6" t="s">
        <v>21</v>
      </c>
      <c r="K1698" s="6" t="s">
        <v>22</v>
      </c>
      <c r="L1698" s="6">
        <v>128.0</v>
      </c>
      <c r="M1698" s="5">
        <v>46013.0</v>
      </c>
      <c r="N1698" s="6" t="s">
        <v>23</v>
      </c>
      <c r="O1698" s="6" t="str">
        <f>SUMIFS([1]order_sku_sales_bb2_report!P:P,[1]order_sku_sales_bb2_report!H:H,C29554,[1]order_sku_sales_bb2_report!J:J,H29554)</f>
        <v>#ERROR!</v>
      </c>
      <c r="P1698" s="6" t="str">
        <f>SUMIFS([1]order_sku_sales_bb2_report!O:O,[1]order_sku_sales_bb2_report!H:H,C29554,[1]order_sku_sales_bb2_report!J:J,H29554)</f>
        <v>#ERROR!</v>
      </c>
      <c r="Q1698" s="6" t="str">
        <f t="shared" si="1"/>
        <v>22-12-2025</v>
      </c>
      <c r="R1698" s="6" t="str">
        <f>IFERROR( VLOOKUP(C29554,[1]expressOrderReport!$S:$AZ,34,0),0)</f>
        <v>#ERROR!</v>
      </c>
      <c r="S1698" s="6" t="str">
        <f>ARRAY_CONSTRAIN(ARRAYFORMULA(_xludf.XLOOKUP(D29554,[1]order_Report_SA_ID_BB2.0!V:V,[1]order_Report_SA_ID_BB2.0!AM:AM,"")), 1, 1)</f>
        <v>#ERROR!</v>
      </c>
      <c r="T1698" s="6" t="str">
        <f t="shared" si="2"/>
        <v>Dec'25</v>
      </c>
    </row>
    <row r="1699" ht="15.75" customHeight="1">
      <c r="A1699" s="5">
        <v>46013.0</v>
      </c>
      <c r="B1699" s="6">
        <v>9060.0</v>
      </c>
      <c r="C1699" s="6">
        <v>1.85916565E9</v>
      </c>
      <c r="D1699" s="6">
        <v>5.5116522E7</v>
      </c>
      <c r="E1699" s="6" t="s">
        <v>625</v>
      </c>
      <c r="F1699" s="6" t="s">
        <v>2567</v>
      </c>
      <c r="G1699" s="6">
        <v>9.789932926E9</v>
      </c>
      <c r="H1699" s="6">
        <v>4.0148719E7</v>
      </c>
      <c r="I1699" s="6" t="s">
        <v>1948</v>
      </c>
      <c r="J1699" s="6" t="s">
        <v>21</v>
      </c>
      <c r="K1699" s="6" t="s">
        <v>22</v>
      </c>
      <c r="L1699" s="6">
        <v>128.0</v>
      </c>
      <c r="M1699" s="5">
        <v>46013.0</v>
      </c>
      <c r="N1699" s="6" t="s">
        <v>23</v>
      </c>
      <c r="O1699" s="6" t="str">
        <f>SUMIFS([1]order_sku_sales_bb2_report!P:P,[1]order_sku_sales_bb2_report!H:H,C29555,[1]order_sku_sales_bb2_report!J:J,H29555)</f>
        <v>#ERROR!</v>
      </c>
      <c r="P1699" s="6" t="str">
        <f>SUMIFS([1]order_sku_sales_bb2_report!O:O,[1]order_sku_sales_bb2_report!H:H,C29555,[1]order_sku_sales_bb2_report!J:J,H29555)</f>
        <v>#ERROR!</v>
      </c>
      <c r="Q1699" s="6" t="str">
        <f t="shared" si="1"/>
        <v>22-12-2025</v>
      </c>
      <c r="R1699" s="6" t="str">
        <f>IFERROR( VLOOKUP(C29555,[1]expressOrderReport!$S:$AZ,34,0),0)</f>
        <v>#ERROR!</v>
      </c>
      <c r="S1699" s="6" t="str">
        <f>ARRAY_CONSTRAIN(ARRAYFORMULA(_xludf.XLOOKUP(D29555,[1]order_Report_SA_ID_BB2.0!V:V,[1]order_Report_SA_ID_BB2.0!AM:AM,"")), 1, 1)</f>
        <v>#ERROR!</v>
      </c>
      <c r="T1699" s="6" t="str">
        <f t="shared" si="2"/>
        <v>Dec'25</v>
      </c>
    </row>
    <row r="1700" ht="15.75" customHeight="1">
      <c r="A1700" s="5">
        <v>46013.0</v>
      </c>
      <c r="B1700" s="6">
        <v>9061.0</v>
      </c>
      <c r="C1700" s="6">
        <v>1.85916565E9</v>
      </c>
      <c r="D1700" s="6">
        <v>5.5116522E7</v>
      </c>
      <c r="E1700" s="6" t="s">
        <v>625</v>
      </c>
      <c r="F1700" s="6" t="s">
        <v>2567</v>
      </c>
      <c r="G1700" s="6">
        <v>9.789932926E9</v>
      </c>
      <c r="H1700" s="6">
        <v>4.0149832E7</v>
      </c>
      <c r="I1700" s="6" t="s">
        <v>26</v>
      </c>
      <c r="J1700" s="6" t="s">
        <v>21</v>
      </c>
      <c r="K1700" s="6" t="s">
        <v>22</v>
      </c>
      <c r="L1700" s="6">
        <v>128.0</v>
      </c>
      <c r="M1700" s="5">
        <v>46013.0</v>
      </c>
      <c r="N1700" s="6" t="s">
        <v>23</v>
      </c>
      <c r="O1700" s="6" t="str">
        <f>SUMIFS([1]order_sku_sales_bb2_report!P:P,[1]order_sku_sales_bb2_report!H:H,C29556,[1]order_sku_sales_bb2_report!J:J,H29556)</f>
        <v>#ERROR!</v>
      </c>
      <c r="P1700" s="6" t="str">
        <f>SUMIFS([1]order_sku_sales_bb2_report!O:O,[1]order_sku_sales_bb2_report!H:H,C29556,[1]order_sku_sales_bb2_report!J:J,H29556)</f>
        <v>#ERROR!</v>
      </c>
      <c r="Q1700" s="6" t="str">
        <f t="shared" si="1"/>
        <v>22-12-2025</v>
      </c>
      <c r="R1700" s="6" t="str">
        <f>IFERROR( VLOOKUP(C29556,[1]expressOrderReport!$S:$AZ,34,0),0)</f>
        <v>#ERROR!</v>
      </c>
      <c r="S1700" s="6" t="str">
        <f>ARRAY_CONSTRAIN(ARRAYFORMULA(_xludf.XLOOKUP(D29556,[1]order_Report_SA_ID_BB2.0!V:V,[1]order_Report_SA_ID_BB2.0!AM:AM,"")), 1, 1)</f>
        <v>#ERROR!</v>
      </c>
      <c r="T1700" s="6" t="str">
        <f t="shared" si="2"/>
        <v>Dec'25</v>
      </c>
    </row>
    <row r="1701" ht="15.75" customHeight="1">
      <c r="A1701" s="5">
        <v>46013.0</v>
      </c>
      <c r="B1701" s="6">
        <v>9626.0</v>
      </c>
      <c r="C1701" s="6">
        <v>1.85916565E9</v>
      </c>
      <c r="D1701" s="6">
        <v>5.5116522E7</v>
      </c>
      <c r="E1701" s="6" t="s">
        <v>625</v>
      </c>
      <c r="F1701" s="6" t="s">
        <v>2567</v>
      </c>
      <c r="G1701" s="6">
        <v>9.789932926E9</v>
      </c>
      <c r="H1701" s="6">
        <v>4.014983E7</v>
      </c>
      <c r="I1701" s="6" t="s">
        <v>30</v>
      </c>
      <c r="J1701" s="6" t="s">
        <v>21</v>
      </c>
      <c r="K1701" s="6" t="s">
        <v>22</v>
      </c>
      <c r="L1701" s="6">
        <v>128.0</v>
      </c>
      <c r="M1701" s="5">
        <v>46013.0</v>
      </c>
      <c r="N1701" s="6" t="s">
        <v>23</v>
      </c>
      <c r="O1701" s="6" t="str">
        <f>SUMIFS([1]order_sku_sales_bb2_report!P:P,[1]order_sku_sales_bb2_report!H:H,C29557,[1]order_sku_sales_bb2_report!J:J,H29557)</f>
        <v>#ERROR!</v>
      </c>
      <c r="P1701" s="6" t="str">
        <f>SUMIFS([1]order_sku_sales_bb2_report!O:O,[1]order_sku_sales_bb2_report!H:H,C29557,[1]order_sku_sales_bb2_report!J:J,H29557)</f>
        <v>#ERROR!</v>
      </c>
      <c r="Q1701" s="6" t="str">
        <f t="shared" si="1"/>
        <v>22-12-2025</v>
      </c>
      <c r="R1701" s="6" t="str">
        <f>IFERROR( VLOOKUP(C29557,[1]expressOrderReport!$S:$AZ,34,0),0)</f>
        <v>#ERROR!</v>
      </c>
      <c r="S1701" s="6" t="str">
        <f>ARRAY_CONSTRAIN(ARRAYFORMULA(_xludf.XLOOKUP(D29557,[1]order_Report_SA_ID_BB2.0!V:V,[1]order_Report_SA_ID_BB2.0!AM:AM,"")), 1, 1)</f>
        <v>#ERROR!</v>
      </c>
      <c r="T1701" s="6" t="str">
        <f t="shared" si="2"/>
        <v>Dec'25</v>
      </c>
    </row>
    <row r="1702" ht="15.75" customHeight="1">
      <c r="A1702" s="5">
        <v>46013.0</v>
      </c>
      <c r="B1702" s="6">
        <v>9075.0</v>
      </c>
      <c r="C1702" s="6">
        <v>1.859165116E9</v>
      </c>
      <c r="D1702" s="6">
        <v>2.1056562E7</v>
      </c>
      <c r="E1702" s="6" t="s">
        <v>2568</v>
      </c>
      <c r="F1702" s="6" t="s">
        <v>2569</v>
      </c>
      <c r="G1702" s="6">
        <v>9.457445259E9</v>
      </c>
      <c r="H1702" s="6">
        <v>4.0025355E7</v>
      </c>
      <c r="I1702" s="6" t="s">
        <v>2570</v>
      </c>
      <c r="J1702" s="6" t="s">
        <v>21</v>
      </c>
      <c r="K1702" s="6" t="s">
        <v>22</v>
      </c>
      <c r="L1702" s="6">
        <v>70.0</v>
      </c>
      <c r="M1702" s="5">
        <v>46013.0</v>
      </c>
      <c r="N1702" s="6" t="s">
        <v>54</v>
      </c>
      <c r="O1702" s="6" t="str">
        <f>SUMIFS([1]order_sku_sales_bb2_report!P:P,[1]order_sku_sales_bb2_report!H:H,C29558,[1]order_sku_sales_bb2_report!J:J,H29558)</f>
        <v>#ERROR!</v>
      </c>
      <c r="P1702" s="6" t="str">
        <f>SUMIFS([1]order_sku_sales_bb2_report!O:O,[1]order_sku_sales_bb2_report!H:H,C29558,[1]order_sku_sales_bb2_report!J:J,H29558)</f>
        <v>#ERROR!</v>
      </c>
      <c r="Q1702" s="6" t="str">
        <f t="shared" si="1"/>
        <v>22-12-2025</v>
      </c>
      <c r="R1702" s="6" t="str">
        <f>IFERROR( VLOOKUP(C29558,[1]expressOrderReport!$S:$AZ,34,0),0)</f>
        <v>#ERROR!</v>
      </c>
      <c r="S1702" s="6" t="str">
        <f>ARRAY_CONSTRAIN(ARRAYFORMULA(_xludf.XLOOKUP(D29558,[1]order_Report_SA_ID_BB2.0!V:V,[1]order_Report_SA_ID_BB2.0!AM:AM,"")), 1, 1)</f>
        <v>#ERROR!</v>
      </c>
      <c r="T1702" s="6" t="str">
        <f t="shared" si="2"/>
        <v>Dec'25</v>
      </c>
    </row>
    <row r="1703" ht="15.75" customHeight="1">
      <c r="A1703" s="5">
        <v>46013.0</v>
      </c>
      <c r="B1703" s="6">
        <v>9087.0</v>
      </c>
      <c r="C1703" s="6">
        <v>1.859165128E9</v>
      </c>
      <c r="D1703" s="6">
        <v>198583.0</v>
      </c>
      <c r="E1703" s="6" t="s">
        <v>2571</v>
      </c>
      <c r="F1703" s="6" t="s">
        <v>2572</v>
      </c>
      <c r="G1703" s="6">
        <v>9.84514939E9</v>
      </c>
      <c r="H1703" s="6">
        <v>4.0149832E7</v>
      </c>
      <c r="I1703" s="6" t="s">
        <v>26</v>
      </c>
      <c r="J1703" s="6" t="s">
        <v>21</v>
      </c>
      <c r="K1703" s="6" t="s">
        <v>22</v>
      </c>
      <c r="L1703" s="6">
        <v>48.0</v>
      </c>
      <c r="M1703" s="5">
        <v>46013.0</v>
      </c>
      <c r="N1703" s="6" t="s">
        <v>23</v>
      </c>
      <c r="O1703" s="6" t="str">
        <f>SUMIFS([1]order_sku_sales_bb2_report!P:P,[1]order_sku_sales_bb2_report!H:H,C29559,[1]order_sku_sales_bb2_report!J:J,H29559)</f>
        <v>#ERROR!</v>
      </c>
      <c r="P1703" s="6" t="str">
        <f>SUMIFS([1]order_sku_sales_bb2_report!O:O,[1]order_sku_sales_bb2_report!H:H,C29559,[1]order_sku_sales_bb2_report!J:J,H29559)</f>
        <v>#ERROR!</v>
      </c>
      <c r="Q1703" s="6" t="str">
        <f t="shared" si="1"/>
        <v>22-12-2025</v>
      </c>
      <c r="R1703" s="6" t="str">
        <f>IFERROR( VLOOKUP(C29559,[1]expressOrderReport!$S:$AZ,34,0),0)</f>
        <v>#ERROR!</v>
      </c>
      <c r="S1703" s="6" t="str">
        <f>ARRAY_CONSTRAIN(ARRAYFORMULA(_xludf.XLOOKUP(D29559,[1]order_Report_SA_ID_BB2.0!V:V,[1]order_Report_SA_ID_BB2.0!AM:AM,"")), 1, 1)</f>
        <v>#ERROR!</v>
      </c>
      <c r="T1703" s="6" t="str">
        <f t="shared" si="2"/>
        <v>Dec'25</v>
      </c>
    </row>
    <row r="1704" ht="15.75" customHeight="1">
      <c r="A1704" s="5">
        <v>46013.0</v>
      </c>
      <c r="B1704" s="6">
        <v>9097.0</v>
      </c>
      <c r="C1704" s="6">
        <v>1.859165136E9</v>
      </c>
      <c r="D1704" s="6">
        <v>3.0704593E7</v>
      </c>
      <c r="E1704" s="6" t="s">
        <v>2573</v>
      </c>
      <c r="F1704" s="6" t="s">
        <v>2574</v>
      </c>
      <c r="G1704" s="6">
        <v>9.434546681E9</v>
      </c>
      <c r="H1704" s="6">
        <v>4.0147616E7</v>
      </c>
      <c r="I1704" s="6" t="s">
        <v>276</v>
      </c>
      <c r="J1704" s="6" t="s">
        <v>21</v>
      </c>
      <c r="K1704" s="6" t="s">
        <v>22</v>
      </c>
      <c r="L1704" s="6">
        <v>57.0</v>
      </c>
      <c r="M1704" s="5">
        <v>46013.0</v>
      </c>
      <c r="N1704" s="6" t="s">
        <v>23</v>
      </c>
      <c r="O1704" s="6" t="str">
        <f>SUMIFS([1]order_sku_sales_bb2_report!P:P,[1]order_sku_sales_bb2_report!H:H,C29560,[1]order_sku_sales_bb2_report!J:J,H29560)</f>
        <v>#ERROR!</v>
      </c>
      <c r="P1704" s="6" t="str">
        <f>SUMIFS([1]order_sku_sales_bb2_report!O:O,[1]order_sku_sales_bb2_report!H:H,C29560,[1]order_sku_sales_bb2_report!J:J,H29560)</f>
        <v>#ERROR!</v>
      </c>
      <c r="Q1704" s="6" t="str">
        <f t="shared" si="1"/>
        <v>22-12-2025</v>
      </c>
      <c r="R1704" s="6" t="str">
        <f>IFERROR( VLOOKUP(C29560,[1]expressOrderReport!$S:$AZ,34,0),0)</f>
        <v>#ERROR!</v>
      </c>
      <c r="S1704" s="6" t="str">
        <f>ARRAY_CONSTRAIN(ARRAYFORMULA(_xludf.XLOOKUP(D29560,[1]order_Report_SA_ID_BB2.0!V:V,[1]order_Report_SA_ID_BB2.0!AM:AM,"")), 1, 1)</f>
        <v>#ERROR!</v>
      </c>
      <c r="T1704" s="6" t="str">
        <f t="shared" si="2"/>
        <v>Dec'25</v>
      </c>
    </row>
    <row r="1705" ht="15.75" customHeight="1">
      <c r="A1705" s="5">
        <v>46013.0</v>
      </c>
      <c r="B1705" s="6">
        <v>9098.0</v>
      </c>
      <c r="C1705" s="6">
        <v>1.859165136E9</v>
      </c>
      <c r="D1705" s="6">
        <v>3.0704593E7</v>
      </c>
      <c r="E1705" s="6" t="s">
        <v>2573</v>
      </c>
      <c r="F1705" s="6" t="s">
        <v>2574</v>
      </c>
      <c r="G1705" s="6">
        <v>9.434546681E9</v>
      </c>
      <c r="H1705" s="6">
        <v>4.014762E7</v>
      </c>
      <c r="I1705" s="6" t="s">
        <v>30</v>
      </c>
      <c r="J1705" s="6" t="s">
        <v>21</v>
      </c>
      <c r="K1705" s="6" t="s">
        <v>22</v>
      </c>
      <c r="L1705" s="6">
        <v>57.0</v>
      </c>
      <c r="M1705" s="5">
        <v>46013.0</v>
      </c>
      <c r="N1705" s="6" t="s">
        <v>23</v>
      </c>
      <c r="O1705" s="6" t="str">
        <f>SUMIFS([1]order_sku_sales_bb2_report!P:P,[1]order_sku_sales_bb2_report!H:H,C29561,[1]order_sku_sales_bb2_report!J:J,H29561)</f>
        <v>#ERROR!</v>
      </c>
      <c r="P1705" s="6" t="str">
        <f>SUMIFS([1]order_sku_sales_bb2_report!O:O,[1]order_sku_sales_bb2_report!H:H,C29561,[1]order_sku_sales_bb2_report!J:J,H29561)</f>
        <v>#ERROR!</v>
      </c>
      <c r="Q1705" s="6" t="str">
        <f t="shared" si="1"/>
        <v>22-12-2025</v>
      </c>
      <c r="R1705" s="6" t="str">
        <f>IFERROR( VLOOKUP(C29561,[1]expressOrderReport!$S:$AZ,34,0),0)</f>
        <v>#ERROR!</v>
      </c>
      <c r="S1705" s="6" t="str">
        <f>ARRAY_CONSTRAIN(ARRAYFORMULA(_xludf.XLOOKUP(D29561,[1]order_Report_SA_ID_BB2.0!V:V,[1]order_Report_SA_ID_BB2.0!AM:AM,"")), 1, 1)</f>
        <v>#ERROR!</v>
      </c>
      <c r="T1705" s="6" t="str">
        <f t="shared" si="2"/>
        <v>Dec'25</v>
      </c>
    </row>
    <row r="1706" ht="15.75" customHeight="1">
      <c r="A1706" s="5">
        <v>46013.0</v>
      </c>
      <c r="B1706" s="6">
        <v>9111.0</v>
      </c>
      <c r="C1706" s="6">
        <v>1.859165147E9</v>
      </c>
      <c r="D1706" s="6">
        <v>2.3894903E7</v>
      </c>
      <c r="E1706" s="6" t="s">
        <v>2575</v>
      </c>
      <c r="F1706" s="6" t="s">
        <v>2576</v>
      </c>
      <c r="G1706" s="6">
        <v>9.146149742E9</v>
      </c>
      <c r="H1706" s="6">
        <v>4.0147597E7</v>
      </c>
      <c r="I1706" s="6" t="s">
        <v>59</v>
      </c>
      <c r="J1706" s="6" t="s">
        <v>21</v>
      </c>
      <c r="K1706" s="6" t="s">
        <v>22</v>
      </c>
      <c r="L1706" s="6">
        <v>52.0</v>
      </c>
      <c r="M1706" s="5">
        <v>46013.0</v>
      </c>
      <c r="N1706" s="6" t="s">
        <v>23</v>
      </c>
      <c r="O1706" s="6" t="str">
        <f>SUMIFS([1]order_sku_sales_bb2_report!P:P,[1]order_sku_sales_bb2_report!H:H,C29562,[1]order_sku_sales_bb2_report!J:J,H29562)</f>
        <v>#ERROR!</v>
      </c>
      <c r="P1706" s="6" t="str">
        <f>SUMIFS([1]order_sku_sales_bb2_report!O:O,[1]order_sku_sales_bb2_report!H:H,C29562,[1]order_sku_sales_bb2_report!J:J,H29562)</f>
        <v>#ERROR!</v>
      </c>
      <c r="Q1706" s="6" t="str">
        <f t="shared" si="1"/>
        <v>22-12-2025</v>
      </c>
      <c r="R1706" s="6" t="str">
        <f>IFERROR( VLOOKUP(C29562,[1]expressOrderReport!$S:$AZ,34,0),0)</f>
        <v>#ERROR!</v>
      </c>
      <c r="S1706" s="6" t="str">
        <f>ARRAY_CONSTRAIN(ARRAYFORMULA(_xludf.XLOOKUP(D29562,[1]order_Report_SA_ID_BB2.0!V:V,[1]order_Report_SA_ID_BB2.0!AM:AM,"")), 1, 1)</f>
        <v>#ERROR!</v>
      </c>
      <c r="T1706" s="6" t="str">
        <f t="shared" si="2"/>
        <v>Dec'25</v>
      </c>
    </row>
    <row r="1707" ht="15.75" customHeight="1">
      <c r="A1707" s="5">
        <v>46013.0</v>
      </c>
      <c r="B1707" s="6">
        <v>9184.0</v>
      </c>
      <c r="C1707" s="6">
        <v>1.859165164E9</v>
      </c>
      <c r="D1707" s="6">
        <v>3863401.0</v>
      </c>
      <c r="E1707" s="6" t="s">
        <v>2577</v>
      </c>
      <c r="F1707" s="6" t="s">
        <v>2578</v>
      </c>
      <c r="G1707" s="6">
        <v>9.920054044E9</v>
      </c>
      <c r="H1707" s="6">
        <v>4.0148723E7</v>
      </c>
      <c r="I1707" s="6" t="s">
        <v>69</v>
      </c>
      <c r="J1707" s="6" t="s">
        <v>21</v>
      </c>
      <c r="K1707" s="6" t="s">
        <v>22</v>
      </c>
      <c r="L1707" s="6">
        <v>66.0</v>
      </c>
      <c r="M1707" s="5">
        <v>46013.0</v>
      </c>
      <c r="N1707" s="6" t="s">
        <v>23</v>
      </c>
      <c r="O1707" s="6" t="str">
        <f>SUMIFS([1]order_sku_sales_bb2_report!P:P,[1]order_sku_sales_bb2_report!H:H,C29564,[1]order_sku_sales_bb2_report!J:J,H29564)</f>
        <v>#ERROR!</v>
      </c>
      <c r="P1707" s="6" t="str">
        <f>SUMIFS([1]order_sku_sales_bb2_report!O:O,[1]order_sku_sales_bb2_report!H:H,C29564,[1]order_sku_sales_bb2_report!J:J,H29564)</f>
        <v>#ERROR!</v>
      </c>
      <c r="Q1707" s="6" t="str">
        <f t="shared" si="1"/>
        <v>22-12-2025</v>
      </c>
      <c r="R1707" s="6" t="str">
        <f>IFERROR( VLOOKUP(C29564,[1]expressOrderReport!$S:$AZ,34,0),0)</f>
        <v>#ERROR!</v>
      </c>
      <c r="S1707" s="6" t="str">
        <f>ARRAY_CONSTRAIN(ARRAYFORMULA(_xludf.XLOOKUP(D29564,[1]order_Report_SA_ID_BB2.0!V:V,[1]order_Report_SA_ID_BB2.0!AM:AM,"")), 1, 1)</f>
        <v>#ERROR!</v>
      </c>
      <c r="T1707" s="6" t="str">
        <f t="shared" si="2"/>
        <v>Dec'25</v>
      </c>
    </row>
    <row r="1708" ht="15.75" customHeight="1">
      <c r="A1708" s="5">
        <v>46013.0</v>
      </c>
      <c r="B1708" s="6">
        <v>11252.0</v>
      </c>
      <c r="C1708" s="6">
        <v>1.859165164E9</v>
      </c>
      <c r="D1708" s="6">
        <v>3863401.0</v>
      </c>
      <c r="E1708" s="6" t="s">
        <v>2577</v>
      </c>
      <c r="F1708" s="6" t="s">
        <v>2578</v>
      </c>
      <c r="G1708" s="6">
        <v>9.920054044E9</v>
      </c>
      <c r="H1708" s="6">
        <v>4.0149832E7</v>
      </c>
      <c r="I1708" s="6" t="s">
        <v>26</v>
      </c>
      <c r="J1708" s="6" t="s">
        <v>21</v>
      </c>
      <c r="K1708" s="6" t="s">
        <v>22</v>
      </c>
      <c r="L1708" s="6">
        <v>66.0</v>
      </c>
      <c r="M1708" s="5">
        <v>46013.0</v>
      </c>
      <c r="N1708" s="6" t="s">
        <v>23</v>
      </c>
      <c r="O1708" s="6" t="str">
        <f>SUMIFS([1]order_sku_sales_bb2_report!P:P,[1]order_sku_sales_bb2_report!H:H,C29565,[1]order_sku_sales_bb2_report!J:J,H29565)</f>
        <v>#ERROR!</v>
      </c>
      <c r="P1708" s="6" t="str">
        <f>SUMIFS([1]order_sku_sales_bb2_report!O:O,[1]order_sku_sales_bb2_report!H:H,C29565,[1]order_sku_sales_bb2_report!J:J,H29565)</f>
        <v>#ERROR!</v>
      </c>
      <c r="Q1708" s="6" t="str">
        <f t="shared" si="1"/>
        <v>22-12-2025</v>
      </c>
      <c r="R1708" s="6" t="str">
        <f>IFERROR( VLOOKUP(C29565,[1]expressOrderReport!$S:$AZ,34,0),0)</f>
        <v>#ERROR!</v>
      </c>
      <c r="S1708" s="6" t="str">
        <f>ARRAY_CONSTRAIN(ARRAYFORMULA(_xludf.XLOOKUP(D29565,[1]order_Report_SA_ID_BB2.0!V:V,[1]order_Report_SA_ID_BB2.0!AM:AM,"")), 1, 1)</f>
        <v>#ERROR!</v>
      </c>
      <c r="T1708" s="6" t="str">
        <f t="shared" si="2"/>
        <v>Dec'25</v>
      </c>
    </row>
    <row r="1709" ht="15.75" customHeight="1">
      <c r="A1709" s="5">
        <v>46013.0</v>
      </c>
      <c r="B1709" s="6">
        <v>9197.0</v>
      </c>
      <c r="C1709" s="6">
        <v>1.859165172E9</v>
      </c>
      <c r="D1709" s="6">
        <v>2.0492592E7</v>
      </c>
      <c r="E1709" s="6" t="s">
        <v>625</v>
      </c>
      <c r="F1709" s="6" t="s">
        <v>2579</v>
      </c>
      <c r="G1709" s="6">
        <v>8.884900233E9</v>
      </c>
      <c r="H1709" s="6">
        <v>4.0148717E7</v>
      </c>
      <c r="I1709" s="6" t="s">
        <v>226</v>
      </c>
      <c r="J1709" s="6" t="s">
        <v>21</v>
      </c>
      <c r="K1709" s="6" t="s">
        <v>22</v>
      </c>
      <c r="L1709" s="6">
        <v>53.0</v>
      </c>
      <c r="M1709" s="5">
        <v>46013.0</v>
      </c>
      <c r="N1709" s="6" t="s">
        <v>23</v>
      </c>
      <c r="O1709" s="6" t="str">
        <f>SUMIFS([1]order_sku_sales_bb2_report!P:P,[1]order_sku_sales_bb2_report!H:H,C29566,[1]order_sku_sales_bb2_report!J:J,H29566)</f>
        <v>#ERROR!</v>
      </c>
      <c r="P1709" s="6" t="str">
        <f>SUMIFS([1]order_sku_sales_bb2_report!O:O,[1]order_sku_sales_bb2_report!H:H,C29566,[1]order_sku_sales_bb2_report!J:J,H29566)</f>
        <v>#ERROR!</v>
      </c>
      <c r="Q1709" s="6" t="str">
        <f t="shared" si="1"/>
        <v>22-12-2025</v>
      </c>
      <c r="R1709" s="6" t="str">
        <f>IFERROR( VLOOKUP(C29566,[1]expressOrderReport!$S:$AZ,34,0),0)</f>
        <v>#ERROR!</v>
      </c>
      <c r="S1709" s="6" t="str">
        <f>ARRAY_CONSTRAIN(ARRAYFORMULA(_xludf.XLOOKUP(D29566,[1]order_Report_SA_ID_BB2.0!V:V,[1]order_Report_SA_ID_BB2.0!AM:AM,"")), 1, 1)</f>
        <v>#ERROR!</v>
      </c>
      <c r="T1709" s="6" t="str">
        <f t="shared" si="2"/>
        <v>Dec'25</v>
      </c>
    </row>
    <row r="1710" ht="15.75" customHeight="1">
      <c r="A1710" s="5">
        <v>46013.0</v>
      </c>
      <c r="B1710" s="6">
        <v>9269.0</v>
      </c>
      <c r="C1710" s="6">
        <v>1.859165182E9</v>
      </c>
      <c r="D1710" s="6">
        <v>7826764.0</v>
      </c>
      <c r="E1710" s="6" t="s">
        <v>2580</v>
      </c>
      <c r="F1710" s="6" t="s">
        <v>2581</v>
      </c>
      <c r="G1710" s="6">
        <v>9.845604791E9</v>
      </c>
      <c r="H1710" s="6">
        <v>4.0149833E7</v>
      </c>
      <c r="I1710" s="6" t="s">
        <v>40</v>
      </c>
      <c r="J1710" s="6" t="s">
        <v>21</v>
      </c>
      <c r="K1710" s="6" t="s">
        <v>22</v>
      </c>
      <c r="L1710" s="6">
        <v>27.0</v>
      </c>
      <c r="M1710" s="5">
        <v>46013.0</v>
      </c>
      <c r="N1710" s="6" t="s">
        <v>23</v>
      </c>
      <c r="O1710" s="6" t="str">
        <f>SUMIFS([1]order_sku_sales_bb2_report!P:P,[1]order_sku_sales_bb2_report!H:H,C29567,[1]order_sku_sales_bb2_report!J:J,H29567)</f>
        <v>#ERROR!</v>
      </c>
      <c r="P1710" s="6" t="str">
        <f>SUMIFS([1]order_sku_sales_bb2_report!O:O,[1]order_sku_sales_bb2_report!H:H,C29567,[1]order_sku_sales_bb2_report!J:J,H29567)</f>
        <v>#ERROR!</v>
      </c>
      <c r="Q1710" s="6" t="str">
        <f t="shared" si="1"/>
        <v>22-12-2025</v>
      </c>
      <c r="R1710" s="6" t="str">
        <f>IFERROR( VLOOKUP(C29567,[1]expressOrderReport!$S:$AZ,34,0),0)</f>
        <v>#ERROR!</v>
      </c>
      <c r="S1710" s="6" t="str">
        <f>ARRAY_CONSTRAIN(ARRAYFORMULA(_xludf.XLOOKUP(D29567,[1]order_Report_SA_ID_BB2.0!V:V,[1]order_Report_SA_ID_BB2.0!AM:AM,"")), 1, 1)</f>
        <v>#ERROR!</v>
      </c>
      <c r="T1710" s="6" t="str">
        <f t="shared" si="2"/>
        <v>Dec'25</v>
      </c>
    </row>
    <row r="1711" ht="15.75" customHeight="1">
      <c r="A1711" s="5">
        <v>46013.0</v>
      </c>
      <c r="B1711" s="6">
        <v>9277.0</v>
      </c>
      <c r="C1711" s="6">
        <v>1.859165193E9</v>
      </c>
      <c r="D1711" s="6">
        <v>7.1824416E7</v>
      </c>
      <c r="E1711" s="6" t="s">
        <v>2582</v>
      </c>
      <c r="F1711" s="6" t="s">
        <v>2583</v>
      </c>
      <c r="G1711" s="6">
        <v>9.845473815E9</v>
      </c>
      <c r="H1711" s="6">
        <v>4.0149834E7</v>
      </c>
      <c r="I1711" s="6" t="s">
        <v>40</v>
      </c>
      <c r="J1711" s="6" t="s">
        <v>21</v>
      </c>
      <c r="K1711" s="6" t="s">
        <v>22</v>
      </c>
      <c r="L1711" s="6">
        <v>52.0</v>
      </c>
      <c r="M1711" s="5">
        <v>46013.0</v>
      </c>
      <c r="N1711" s="6" t="s">
        <v>23</v>
      </c>
      <c r="O1711" s="6" t="str">
        <f>SUMIFS([1]order_sku_sales_bb2_report!P:P,[1]order_sku_sales_bb2_report!H:H,C29568,[1]order_sku_sales_bb2_report!J:J,H29568)</f>
        <v>#ERROR!</v>
      </c>
      <c r="P1711" s="6" t="str">
        <f>SUMIFS([1]order_sku_sales_bb2_report!O:O,[1]order_sku_sales_bb2_report!H:H,C29568,[1]order_sku_sales_bb2_report!J:J,H29568)</f>
        <v>#ERROR!</v>
      </c>
      <c r="Q1711" s="6" t="str">
        <f t="shared" si="1"/>
        <v>22-12-2025</v>
      </c>
      <c r="R1711" s="6" t="str">
        <f>IFERROR( VLOOKUP(C29568,[1]expressOrderReport!$S:$AZ,34,0),0)</f>
        <v>#ERROR!</v>
      </c>
      <c r="S1711" s="6" t="str">
        <f>ARRAY_CONSTRAIN(ARRAYFORMULA(_xludf.XLOOKUP(D29568,[1]order_Report_SA_ID_BB2.0!V:V,[1]order_Report_SA_ID_BB2.0!AM:AM,"")), 1, 1)</f>
        <v>#ERROR!</v>
      </c>
      <c r="T1711" s="6" t="str">
        <f t="shared" si="2"/>
        <v>Dec'25</v>
      </c>
    </row>
    <row r="1712" ht="15.75" customHeight="1">
      <c r="A1712" s="5">
        <v>46013.0</v>
      </c>
      <c r="B1712" s="6">
        <v>9291.0</v>
      </c>
      <c r="C1712" s="6">
        <v>1.859165199E9</v>
      </c>
      <c r="D1712" s="6">
        <v>1.0874297E7</v>
      </c>
      <c r="E1712" s="6" t="s">
        <v>2584</v>
      </c>
      <c r="F1712" s="6" t="s">
        <v>2585</v>
      </c>
      <c r="G1712" s="6">
        <v>8.95854016E9</v>
      </c>
      <c r="H1712" s="6">
        <v>4.0149833E7</v>
      </c>
      <c r="I1712" s="6" t="s">
        <v>40</v>
      </c>
      <c r="J1712" s="6" t="s">
        <v>21</v>
      </c>
      <c r="K1712" s="6" t="s">
        <v>22</v>
      </c>
      <c r="L1712" s="6">
        <v>27.0</v>
      </c>
      <c r="M1712" s="5">
        <v>46013.0</v>
      </c>
      <c r="N1712" s="6" t="s">
        <v>23</v>
      </c>
      <c r="O1712" s="6" t="str">
        <f>SUMIFS([1]order_sku_sales_bb2_report!P:P,[1]order_sku_sales_bb2_report!H:H,C29569,[1]order_sku_sales_bb2_report!J:J,H29569)</f>
        <v>#ERROR!</v>
      </c>
      <c r="P1712" s="6" t="str">
        <f>SUMIFS([1]order_sku_sales_bb2_report!O:O,[1]order_sku_sales_bb2_report!H:H,C29569,[1]order_sku_sales_bb2_report!J:J,H29569)</f>
        <v>#ERROR!</v>
      </c>
      <c r="Q1712" s="6" t="str">
        <f t="shared" si="1"/>
        <v>22-12-2025</v>
      </c>
      <c r="R1712" s="6" t="str">
        <f>IFERROR( VLOOKUP(C29569,[1]expressOrderReport!$S:$AZ,34,0),0)</f>
        <v>#ERROR!</v>
      </c>
      <c r="S1712" s="6" t="str">
        <f>ARRAY_CONSTRAIN(ARRAYFORMULA(_xludf.XLOOKUP(D29569,[1]order_Report_SA_ID_BB2.0!V:V,[1]order_Report_SA_ID_BB2.0!AM:AM,"")), 1, 1)</f>
        <v>#ERROR!</v>
      </c>
      <c r="T1712" s="6" t="str">
        <f t="shared" si="2"/>
        <v>Dec'25</v>
      </c>
    </row>
    <row r="1713" ht="15.75" customHeight="1">
      <c r="A1713" s="5">
        <v>46013.0</v>
      </c>
      <c r="B1713" s="6">
        <v>9298.0</v>
      </c>
      <c r="C1713" s="6">
        <v>1.859165209E9</v>
      </c>
      <c r="D1713" s="6">
        <v>2.3417682E7</v>
      </c>
      <c r="E1713" s="6" t="s">
        <v>625</v>
      </c>
      <c r="F1713" s="6" t="s">
        <v>2586</v>
      </c>
      <c r="G1713" s="6">
        <v>9.739593149E9</v>
      </c>
      <c r="H1713" s="6">
        <v>4.0149832E7</v>
      </c>
      <c r="I1713" s="6" t="s">
        <v>26</v>
      </c>
      <c r="J1713" s="6" t="s">
        <v>21</v>
      </c>
      <c r="K1713" s="6" t="s">
        <v>22</v>
      </c>
      <c r="L1713" s="6">
        <v>74.0</v>
      </c>
      <c r="M1713" s="5">
        <v>46013.0</v>
      </c>
      <c r="N1713" s="6" t="s">
        <v>23</v>
      </c>
      <c r="O1713" s="6" t="str">
        <f>SUMIFS([1]order_sku_sales_bb2_report!P:P,[1]order_sku_sales_bb2_report!H:H,C29570,[1]order_sku_sales_bb2_report!J:J,H29570)</f>
        <v>#ERROR!</v>
      </c>
      <c r="P1713" s="6" t="str">
        <f>SUMIFS([1]order_sku_sales_bb2_report!O:O,[1]order_sku_sales_bb2_report!H:H,C29570,[1]order_sku_sales_bb2_report!J:J,H29570)</f>
        <v>#ERROR!</v>
      </c>
      <c r="Q1713" s="6" t="str">
        <f t="shared" si="1"/>
        <v>22-12-2025</v>
      </c>
      <c r="R1713" s="6" t="str">
        <f>IFERROR( VLOOKUP(C29570,[1]expressOrderReport!$S:$AZ,34,0),0)</f>
        <v>#ERROR!</v>
      </c>
      <c r="S1713" s="6" t="str">
        <f>ARRAY_CONSTRAIN(ARRAYFORMULA(_xludf.XLOOKUP(D29570,[1]order_Report_SA_ID_BB2.0!V:V,[1]order_Report_SA_ID_BB2.0!AM:AM,"")), 1, 1)</f>
        <v>#ERROR!</v>
      </c>
      <c r="T1713" s="6" t="str">
        <f t="shared" si="2"/>
        <v>Dec'25</v>
      </c>
    </row>
    <row r="1714" ht="15.75" customHeight="1">
      <c r="A1714" s="5">
        <v>46013.0</v>
      </c>
      <c r="B1714" s="6">
        <v>9299.0</v>
      </c>
      <c r="C1714" s="6">
        <v>1.859165209E9</v>
      </c>
      <c r="D1714" s="6">
        <v>2.3417682E7</v>
      </c>
      <c r="E1714" s="6" t="s">
        <v>625</v>
      </c>
      <c r="F1714" s="6" t="s">
        <v>2586</v>
      </c>
      <c r="G1714" s="6">
        <v>9.739593149E9</v>
      </c>
      <c r="H1714" s="6">
        <v>4.0149831E7</v>
      </c>
      <c r="I1714" s="6" t="s">
        <v>65</v>
      </c>
      <c r="J1714" s="6" t="s">
        <v>21</v>
      </c>
      <c r="K1714" s="6" t="s">
        <v>22</v>
      </c>
      <c r="L1714" s="6">
        <v>74.0</v>
      </c>
      <c r="M1714" s="5">
        <v>46013.0</v>
      </c>
      <c r="N1714" s="6" t="s">
        <v>23</v>
      </c>
      <c r="O1714" s="6" t="str">
        <f>SUMIFS([1]order_sku_sales_bb2_report!P:P,[1]order_sku_sales_bb2_report!H:H,C29571,[1]order_sku_sales_bb2_report!J:J,H29571)</f>
        <v>#ERROR!</v>
      </c>
      <c r="P1714" s="6" t="str">
        <f>SUMIFS([1]order_sku_sales_bb2_report!O:O,[1]order_sku_sales_bb2_report!H:H,C29571,[1]order_sku_sales_bb2_report!J:J,H29571)</f>
        <v>#ERROR!</v>
      </c>
      <c r="Q1714" s="6" t="str">
        <f t="shared" si="1"/>
        <v>22-12-2025</v>
      </c>
      <c r="R1714" s="6" t="str">
        <f>IFERROR( VLOOKUP(C29571,[1]expressOrderReport!$S:$AZ,34,0),0)</f>
        <v>#ERROR!</v>
      </c>
      <c r="S1714" s="6" t="str">
        <f>ARRAY_CONSTRAIN(ARRAYFORMULA(_xludf.XLOOKUP(D29571,[1]order_Report_SA_ID_BB2.0!V:V,[1]order_Report_SA_ID_BB2.0!AM:AM,"")), 1, 1)</f>
        <v>#ERROR!</v>
      </c>
      <c r="T1714" s="6" t="str">
        <f t="shared" si="2"/>
        <v>Dec'25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2025-12-22T13:32:28Z</dcterms:created>
  <dc:creator>syed.muazzam@bigbasket.com</dc:creator>
</cp:coreProperties>
</file>